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66925"/>
  <xr:revisionPtr revIDLastSave="0" documentId="13_ncr:1_{32F46526-FCFA-4914-AC66-BAD289928B8D}" xr6:coauthVersionLast="45" xr6:coauthVersionMax="45" xr10:uidLastSave="{00000000-0000-0000-0000-000000000000}"/>
  <bookViews>
    <workbookView xWindow="-120" yWindow="-120" windowWidth="29040" windowHeight="15840" xr2:uid="{88AC6065-28B9-4782-9BCA-B31E3DD0B4B4}"/>
  </bookViews>
  <sheets>
    <sheet name="PoolData" sheetId="11" r:id="rId1"/>
    <sheet name="Impermanent Loss" sheetId="18" r:id="rId2"/>
    <sheet name="Your Pooling" sheetId="14" r:id="rId3"/>
    <sheet name="Basic_Pool Stats" sheetId="17" r:id="rId4"/>
    <sheet name="FSN_XXX Graph" sheetId="13" r:id="rId5"/>
    <sheet name="FSN_aUSDT" sheetId="7" r:id="rId6"/>
    <sheet name="Basic_Fusion_aUSDT" sheetId="9" r:id="rId7"/>
    <sheet name="Basic_Fusion_ANY(orXXX)" sheetId="10" r:id="rId8"/>
  </sheets>
  <definedNames>
    <definedName name="ANYFSN">PoolData!$D$4</definedName>
    <definedName name="DAILYANY">PoolData!$D$3</definedName>
    <definedName name="FEEREWARDS">PoolData!$D$2</definedName>
    <definedName name="FSNPRICE">PoolData!$D$5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8" i="18" l="1"/>
  <c r="T8" i="18" s="1"/>
  <c r="N8" i="18"/>
  <c r="J8" i="18"/>
  <c r="G8" i="18"/>
  <c r="H8" i="18" s="1"/>
  <c r="F8" i="18"/>
  <c r="AB9" i="18"/>
  <c r="AB10" i="18"/>
  <c r="AB11" i="18"/>
  <c r="AB12" i="18"/>
  <c r="AB13" i="18"/>
  <c r="AB14" i="18"/>
  <c r="AB15" i="18"/>
  <c r="AB16" i="18"/>
  <c r="AB17" i="18"/>
  <c r="AB18" i="18"/>
  <c r="AB19" i="18"/>
  <c r="AB20" i="18"/>
  <c r="AB21" i="18"/>
  <c r="AB22" i="18"/>
  <c r="AB23" i="18"/>
  <c r="AB24" i="18"/>
  <c r="AB25" i="18"/>
  <c r="AB26" i="18"/>
  <c r="AB27" i="18"/>
  <c r="AB28" i="18"/>
  <c r="AB29" i="18"/>
  <c r="AB30" i="18"/>
  <c r="AB31" i="18"/>
  <c r="AB32" i="18"/>
  <c r="AB33" i="18"/>
  <c r="AB34" i="18"/>
  <c r="AB35" i="18"/>
  <c r="AB36" i="18"/>
  <c r="AB37" i="18"/>
  <c r="AB38" i="18"/>
  <c r="AB39" i="18"/>
  <c r="AB40" i="18"/>
  <c r="AB41" i="18"/>
  <c r="AB42" i="18"/>
  <c r="AB43" i="18"/>
  <c r="AB44" i="18"/>
  <c r="AB45" i="18"/>
  <c r="AB46" i="18"/>
  <c r="AB47" i="18"/>
  <c r="AB48" i="18"/>
  <c r="AB49" i="18"/>
  <c r="AB50" i="18"/>
  <c r="AB51" i="18"/>
  <c r="AB52" i="18"/>
  <c r="AB53" i="18"/>
  <c r="AB54" i="18"/>
  <c r="AB55" i="18"/>
  <c r="AB56" i="18"/>
  <c r="AB57" i="18"/>
  <c r="AB58" i="18"/>
  <c r="AB59" i="18"/>
  <c r="AB60" i="18"/>
  <c r="AB61" i="18"/>
  <c r="AB62" i="18"/>
  <c r="AB63" i="18"/>
  <c r="AB64" i="18"/>
  <c r="AB65" i="18"/>
  <c r="AB66" i="18"/>
  <c r="AB67" i="18"/>
  <c r="AB68" i="18"/>
  <c r="AB69" i="18"/>
  <c r="AB70" i="18"/>
  <c r="AB71" i="18"/>
  <c r="AB72" i="18"/>
  <c r="AB73" i="18"/>
  <c r="AB74" i="18"/>
  <c r="AB75" i="18"/>
  <c r="AB76" i="18"/>
  <c r="AB77" i="18"/>
  <c r="AB78" i="18"/>
  <c r="AB79" i="18"/>
  <c r="AB80" i="18"/>
  <c r="AB81" i="18"/>
  <c r="AB82" i="18"/>
  <c r="AB83" i="18"/>
  <c r="AB84" i="18"/>
  <c r="AB85" i="18"/>
  <c r="AB86" i="18"/>
  <c r="AB87" i="18"/>
  <c r="AB88" i="18"/>
  <c r="AB89" i="18"/>
  <c r="AB90" i="18"/>
  <c r="AB91" i="18"/>
  <c r="AB92" i="18"/>
  <c r="AB93" i="18"/>
  <c r="AB94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75" i="18"/>
  <c r="Z76" i="18"/>
  <c r="Z77" i="18"/>
  <c r="Z78" i="18"/>
  <c r="Z79" i="18"/>
  <c r="Z80" i="18"/>
  <c r="Z81" i="18"/>
  <c r="Z82" i="18"/>
  <c r="Z83" i="18"/>
  <c r="Z84" i="18"/>
  <c r="Z85" i="18"/>
  <c r="Z86" i="18"/>
  <c r="Z87" i="18"/>
  <c r="Z88" i="18"/>
  <c r="Z89" i="18"/>
  <c r="Z90" i="18"/>
  <c r="Z91" i="18"/>
  <c r="Z92" i="18"/>
  <c r="Z93" i="18"/>
  <c r="Z94" i="18"/>
  <c r="I8" i="18" l="1"/>
  <c r="O8" i="18" s="1"/>
  <c r="R8" i="18"/>
  <c r="M8" i="18"/>
  <c r="F13" i="11"/>
  <c r="K8" i="18" l="1"/>
  <c r="Z7" i="18"/>
  <c r="Z6" i="18"/>
  <c r="Z5" i="18"/>
  <c r="C9" i="18"/>
  <c r="Q9" i="18"/>
  <c r="N9" i="18"/>
  <c r="J9" i="18"/>
  <c r="G9" i="18"/>
  <c r="I9" i="18" s="1"/>
  <c r="O9" i="18" s="1"/>
  <c r="F9" i="18"/>
  <c r="AB7" i="18"/>
  <c r="AB5" i="18"/>
  <c r="Y5" i="18"/>
  <c r="Y6" i="18"/>
  <c r="Y7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Y58" i="18"/>
  <c r="Y59" i="18"/>
  <c r="Y60" i="18"/>
  <c r="Y61" i="18"/>
  <c r="Y62" i="18"/>
  <c r="Y63" i="18"/>
  <c r="Y64" i="18"/>
  <c r="Y65" i="18"/>
  <c r="Y66" i="18"/>
  <c r="Y67" i="18"/>
  <c r="Y68" i="18"/>
  <c r="Y69" i="18"/>
  <c r="Y70" i="18"/>
  <c r="Y71" i="18"/>
  <c r="Y72" i="18"/>
  <c r="Y73" i="18"/>
  <c r="Y74" i="18"/>
  <c r="Y75" i="18"/>
  <c r="Y76" i="18"/>
  <c r="Y77" i="18"/>
  <c r="Y78" i="18"/>
  <c r="Y79" i="18"/>
  <c r="Y80" i="18"/>
  <c r="Y81" i="18"/>
  <c r="Y82" i="18"/>
  <c r="Y83" i="18"/>
  <c r="Y84" i="18"/>
  <c r="Y85" i="18"/>
  <c r="Y86" i="18"/>
  <c r="Y87" i="18"/>
  <c r="Y88" i="18"/>
  <c r="Y89" i="18"/>
  <c r="Y90" i="18"/>
  <c r="Y91" i="18"/>
  <c r="Y92" i="18"/>
  <c r="Y93" i="18"/>
  <c r="Y94" i="18"/>
  <c r="T6" i="18"/>
  <c r="T7" i="18"/>
  <c r="T5" i="18"/>
  <c r="C5" i="18"/>
  <c r="N7" i="18"/>
  <c r="N6" i="18"/>
  <c r="N5" i="18"/>
  <c r="Q6" i="18"/>
  <c r="Q7" i="18"/>
  <c r="Q5" i="18"/>
  <c r="J7" i="18"/>
  <c r="G7" i="18"/>
  <c r="H7" i="18" s="1"/>
  <c r="R7" i="18" s="1"/>
  <c r="F7" i="18"/>
  <c r="J6" i="18"/>
  <c r="G6" i="18"/>
  <c r="F6" i="18"/>
  <c r="J5" i="18"/>
  <c r="F5" i="18"/>
  <c r="G5" i="18"/>
  <c r="H5" i="18" s="1"/>
  <c r="R5" i="18" s="1"/>
  <c r="AB6" i="18" l="1"/>
  <c r="T9" i="18"/>
  <c r="H9" i="18"/>
  <c r="M7" i="18"/>
  <c r="M5" i="18"/>
  <c r="I5" i="18"/>
  <c r="H6" i="18"/>
  <c r="I7" i="18"/>
  <c r="I6" i="18"/>
  <c r="O6" i="18" s="1"/>
  <c r="C15" i="14"/>
  <c r="C14" i="14"/>
  <c r="C13" i="14"/>
  <c r="D4" i="13"/>
  <c r="D3" i="13"/>
  <c r="K3" i="13" s="1"/>
  <c r="K9" i="18" l="1"/>
  <c r="R9" i="18"/>
  <c r="M9" i="18"/>
  <c r="R6" i="18"/>
  <c r="M6" i="18"/>
  <c r="K5" i="18"/>
  <c r="O5" i="18"/>
  <c r="K7" i="18"/>
  <c r="O7" i="18"/>
  <c r="K6" i="18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5" i="17"/>
  <c r="A16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G15" i="11"/>
  <c r="H15" i="11"/>
  <c r="G16" i="11"/>
  <c r="H16" i="11"/>
  <c r="G17" i="11"/>
  <c r="H17" i="11"/>
  <c r="G18" i="11"/>
  <c r="H18" i="11"/>
  <c r="G19" i="11"/>
  <c r="H19" i="11"/>
  <c r="G20" i="11"/>
  <c r="H20" i="11"/>
  <c r="G21" i="11"/>
  <c r="H21" i="11"/>
  <c r="G22" i="11"/>
  <c r="H22" i="11"/>
  <c r="G23" i="11"/>
  <c r="H23" i="11"/>
  <c r="G24" i="11"/>
  <c r="H24" i="11"/>
  <c r="G25" i="11"/>
  <c r="H25" i="11"/>
  <c r="G26" i="11"/>
  <c r="H26" i="11"/>
  <c r="G27" i="11"/>
  <c r="H27" i="11"/>
  <c r="G28" i="11"/>
  <c r="H28" i="11"/>
  <c r="G29" i="11"/>
  <c r="H29" i="11"/>
  <c r="G30" i="11"/>
  <c r="H30" i="11"/>
  <c r="G31" i="11"/>
  <c r="H31" i="11"/>
  <c r="G32" i="11"/>
  <c r="H32" i="11"/>
  <c r="G33" i="11"/>
  <c r="H33" i="11"/>
  <c r="G34" i="11"/>
  <c r="H34" i="11"/>
  <c r="G35" i="11"/>
  <c r="H35" i="11"/>
  <c r="G36" i="11"/>
  <c r="H36" i="11"/>
  <c r="G37" i="11"/>
  <c r="H37" i="11"/>
  <c r="G38" i="11"/>
  <c r="H38" i="11"/>
  <c r="G39" i="11"/>
  <c r="H39" i="11"/>
  <c r="G40" i="11"/>
  <c r="H40" i="11"/>
  <c r="G41" i="11"/>
  <c r="H41" i="11"/>
  <c r="G42" i="11"/>
  <c r="H42" i="11"/>
  <c r="G43" i="11"/>
  <c r="H43" i="11"/>
  <c r="G44" i="11"/>
  <c r="H44" i="11"/>
  <c r="G45" i="11"/>
  <c r="H45" i="11"/>
  <c r="G46" i="11"/>
  <c r="H46" i="11"/>
  <c r="G47" i="11"/>
  <c r="H47" i="11"/>
  <c r="G48" i="11"/>
  <c r="H48" i="11"/>
  <c r="G49" i="11"/>
  <c r="H49" i="11"/>
  <c r="G50" i="11"/>
  <c r="H50" i="11"/>
  <c r="G51" i="11"/>
  <c r="H51" i="11"/>
  <c r="G52" i="11"/>
  <c r="H52" i="11"/>
  <c r="G53" i="11"/>
  <c r="H53" i="11"/>
  <c r="G54" i="11"/>
  <c r="H54" i="11"/>
  <c r="G55" i="11"/>
  <c r="H55" i="11"/>
  <c r="G56" i="11"/>
  <c r="H56" i="11"/>
  <c r="G57" i="11"/>
  <c r="H57" i="11"/>
  <c r="G58" i="11"/>
  <c r="H58" i="11"/>
  <c r="G59" i="11"/>
  <c r="H59" i="11"/>
  <c r="G60" i="11"/>
  <c r="H60" i="11"/>
  <c r="G61" i="11"/>
  <c r="H61" i="11"/>
  <c r="G62" i="11"/>
  <c r="H62" i="11"/>
  <c r="G63" i="11"/>
  <c r="H63" i="11"/>
  <c r="G64" i="11"/>
  <c r="H64" i="11"/>
  <c r="G65" i="11"/>
  <c r="H65" i="11"/>
  <c r="G66" i="11"/>
  <c r="H66" i="11"/>
  <c r="G67" i="11"/>
  <c r="H67" i="11"/>
  <c r="G68" i="11"/>
  <c r="H68" i="11"/>
  <c r="G69" i="11"/>
  <c r="H69" i="11"/>
  <c r="G70" i="11"/>
  <c r="H70" i="11"/>
  <c r="G71" i="11"/>
  <c r="H71" i="11"/>
  <c r="G72" i="11"/>
  <c r="H72" i="11"/>
  <c r="G73" i="11"/>
  <c r="H73" i="11"/>
  <c r="G74" i="11"/>
  <c r="H74" i="11"/>
  <c r="G75" i="11"/>
  <c r="H75" i="11"/>
  <c r="G76" i="11"/>
  <c r="H76" i="11"/>
  <c r="G77" i="11"/>
  <c r="H77" i="11"/>
  <c r="G78" i="11"/>
  <c r="H78" i="11"/>
  <c r="G79" i="11"/>
  <c r="H79" i="11"/>
  <c r="G80" i="11"/>
  <c r="H80" i="11"/>
  <c r="G81" i="11"/>
  <c r="H81" i="11"/>
  <c r="G82" i="11"/>
  <c r="H82" i="11"/>
  <c r="G83" i="11"/>
  <c r="H83" i="11"/>
  <c r="G84" i="11"/>
  <c r="H84" i="11"/>
  <c r="G85" i="11"/>
  <c r="H85" i="11"/>
  <c r="G86" i="11"/>
  <c r="H86" i="11"/>
  <c r="G87" i="11"/>
  <c r="H87" i="11"/>
  <c r="G88" i="11"/>
  <c r="H88" i="11"/>
  <c r="G89" i="11"/>
  <c r="H89" i="11"/>
  <c r="G90" i="11"/>
  <c r="H90" i="11"/>
  <c r="G91" i="11"/>
  <c r="H91" i="11"/>
  <c r="G92" i="11"/>
  <c r="H92" i="11"/>
  <c r="G93" i="11"/>
  <c r="H93" i="11"/>
  <c r="G94" i="11"/>
  <c r="H94" i="11"/>
  <c r="G95" i="11"/>
  <c r="H95" i="11"/>
  <c r="G96" i="11"/>
  <c r="H96" i="11"/>
  <c r="G97" i="11"/>
  <c r="H97" i="11"/>
  <c r="G98" i="11"/>
  <c r="H98" i="11"/>
  <c r="G99" i="11"/>
  <c r="H99" i="11"/>
  <c r="G100" i="11"/>
  <c r="H100" i="11"/>
  <c r="H13" i="11"/>
  <c r="G13" i="11"/>
  <c r="H12" i="11"/>
  <c r="G12" i="11"/>
  <c r="D14" i="14" s="1"/>
  <c r="F14" i="14" s="1"/>
  <c r="H11" i="11"/>
  <c r="G11" i="11"/>
  <c r="D13" i="14" s="1"/>
  <c r="F13" i="14" s="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D8" i="11"/>
  <c r="P100" i="11"/>
  <c r="F100" i="11"/>
  <c r="B100" i="11"/>
  <c r="P99" i="11"/>
  <c r="F99" i="11"/>
  <c r="B99" i="11"/>
  <c r="P98" i="11"/>
  <c r="F98" i="11"/>
  <c r="B98" i="11"/>
  <c r="P97" i="11"/>
  <c r="F97" i="11"/>
  <c r="B97" i="11"/>
  <c r="P96" i="11"/>
  <c r="F96" i="11"/>
  <c r="B96" i="11"/>
  <c r="P95" i="11"/>
  <c r="F95" i="11"/>
  <c r="B95" i="11"/>
  <c r="P94" i="11"/>
  <c r="F94" i="11"/>
  <c r="B94" i="11"/>
  <c r="P93" i="11"/>
  <c r="F93" i="11"/>
  <c r="B93" i="11"/>
  <c r="P92" i="11"/>
  <c r="F92" i="11"/>
  <c r="B92" i="11"/>
  <c r="P91" i="11"/>
  <c r="F91" i="11"/>
  <c r="B91" i="11"/>
  <c r="P90" i="11"/>
  <c r="F90" i="11"/>
  <c r="B90" i="11"/>
  <c r="P89" i="11"/>
  <c r="F89" i="11"/>
  <c r="B89" i="11"/>
  <c r="P88" i="11"/>
  <c r="F88" i="11"/>
  <c r="B88" i="11"/>
  <c r="P87" i="11"/>
  <c r="F87" i="11"/>
  <c r="B87" i="11"/>
  <c r="P86" i="11"/>
  <c r="F86" i="11"/>
  <c r="B86" i="11"/>
  <c r="P85" i="11"/>
  <c r="F85" i="11"/>
  <c r="B85" i="11"/>
  <c r="P84" i="11"/>
  <c r="F84" i="11"/>
  <c r="B84" i="11"/>
  <c r="P83" i="11"/>
  <c r="F83" i="11"/>
  <c r="B83" i="11"/>
  <c r="P82" i="11"/>
  <c r="F82" i="11"/>
  <c r="B82" i="11"/>
  <c r="P81" i="11"/>
  <c r="F81" i="11"/>
  <c r="B81" i="11"/>
  <c r="P80" i="11"/>
  <c r="F80" i="11"/>
  <c r="B80" i="11"/>
  <c r="P79" i="11"/>
  <c r="F79" i="11"/>
  <c r="B79" i="11"/>
  <c r="P78" i="11"/>
  <c r="F78" i="11"/>
  <c r="B78" i="11"/>
  <c r="P77" i="11"/>
  <c r="F77" i="11"/>
  <c r="B77" i="11"/>
  <c r="P76" i="11"/>
  <c r="F76" i="11"/>
  <c r="B76" i="11"/>
  <c r="P75" i="11"/>
  <c r="F75" i="11"/>
  <c r="B75" i="11"/>
  <c r="P74" i="11"/>
  <c r="F74" i="11"/>
  <c r="B74" i="11"/>
  <c r="P73" i="11"/>
  <c r="F73" i="11"/>
  <c r="B73" i="11"/>
  <c r="P72" i="11"/>
  <c r="F72" i="11"/>
  <c r="B72" i="11"/>
  <c r="P71" i="11"/>
  <c r="F71" i="11"/>
  <c r="B71" i="11"/>
  <c r="P70" i="11"/>
  <c r="F70" i="11"/>
  <c r="B70" i="11"/>
  <c r="P69" i="11"/>
  <c r="F69" i="11"/>
  <c r="B69" i="11"/>
  <c r="P68" i="11"/>
  <c r="F68" i="11"/>
  <c r="B68" i="11"/>
  <c r="P67" i="11"/>
  <c r="F67" i="11"/>
  <c r="B67" i="11"/>
  <c r="P66" i="11"/>
  <c r="F66" i="11"/>
  <c r="B66" i="11"/>
  <c r="P65" i="11"/>
  <c r="F65" i="11"/>
  <c r="B65" i="11"/>
  <c r="P64" i="11"/>
  <c r="F64" i="11"/>
  <c r="B64" i="11"/>
  <c r="P63" i="11"/>
  <c r="F63" i="11"/>
  <c r="B63" i="11"/>
  <c r="P62" i="11"/>
  <c r="F62" i="11"/>
  <c r="B62" i="11"/>
  <c r="P61" i="11"/>
  <c r="F61" i="11"/>
  <c r="B61" i="11"/>
  <c r="P60" i="11"/>
  <c r="F60" i="11"/>
  <c r="B60" i="11"/>
  <c r="P59" i="11"/>
  <c r="F59" i="11"/>
  <c r="B59" i="11"/>
  <c r="P58" i="11"/>
  <c r="F58" i="11"/>
  <c r="B58" i="11"/>
  <c r="P57" i="11"/>
  <c r="F57" i="11"/>
  <c r="B57" i="11"/>
  <c r="P56" i="11"/>
  <c r="F56" i="11"/>
  <c r="B56" i="11"/>
  <c r="P55" i="11"/>
  <c r="F55" i="11"/>
  <c r="B55" i="11"/>
  <c r="P54" i="11"/>
  <c r="F54" i="11"/>
  <c r="B54" i="11"/>
  <c r="P53" i="11"/>
  <c r="F53" i="11"/>
  <c r="B53" i="11"/>
  <c r="P52" i="11"/>
  <c r="F52" i="11"/>
  <c r="B52" i="11"/>
  <c r="P51" i="11"/>
  <c r="F51" i="11"/>
  <c r="B51" i="11"/>
  <c r="P50" i="11"/>
  <c r="F50" i="11"/>
  <c r="B50" i="11"/>
  <c r="P49" i="11"/>
  <c r="F49" i="11"/>
  <c r="B49" i="11"/>
  <c r="P48" i="11"/>
  <c r="F48" i="11"/>
  <c r="B48" i="11"/>
  <c r="P47" i="11"/>
  <c r="F47" i="11"/>
  <c r="B47" i="11"/>
  <c r="P46" i="11"/>
  <c r="F46" i="11"/>
  <c r="B46" i="11"/>
  <c r="P45" i="11"/>
  <c r="F45" i="11"/>
  <c r="B45" i="11"/>
  <c r="P44" i="11"/>
  <c r="F44" i="11"/>
  <c r="B44" i="11"/>
  <c r="P43" i="11"/>
  <c r="F43" i="11"/>
  <c r="B43" i="11"/>
  <c r="P42" i="11"/>
  <c r="F42" i="11"/>
  <c r="B42" i="11"/>
  <c r="P41" i="11"/>
  <c r="F41" i="11"/>
  <c r="B41" i="11"/>
  <c r="P40" i="11"/>
  <c r="F40" i="11"/>
  <c r="B40" i="11"/>
  <c r="P39" i="11"/>
  <c r="F39" i="11"/>
  <c r="B39" i="11"/>
  <c r="P38" i="11"/>
  <c r="F38" i="11"/>
  <c r="B38" i="11"/>
  <c r="P37" i="11"/>
  <c r="F37" i="11"/>
  <c r="B37" i="11"/>
  <c r="P36" i="11"/>
  <c r="F36" i="11"/>
  <c r="B36" i="11"/>
  <c r="P35" i="11"/>
  <c r="F35" i="11"/>
  <c r="B35" i="11"/>
  <c r="P34" i="11"/>
  <c r="F34" i="11"/>
  <c r="B34" i="11"/>
  <c r="P33" i="11"/>
  <c r="F33" i="11"/>
  <c r="B33" i="11"/>
  <c r="I50" i="11" l="1"/>
  <c r="I40" i="11"/>
  <c r="I66" i="11"/>
  <c r="D15" i="14"/>
  <c r="F15" i="14" s="1"/>
  <c r="I42" i="11"/>
  <c r="I78" i="11"/>
  <c r="I92" i="11"/>
  <c r="I90" i="11"/>
  <c r="I86" i="11"/>
  <c r="I84" i="11"/>
  <c r="I82" i="11"/>
  <c r="I80" i="11"/>
  <c r="I76" i="11"/>
  <c r="I74" i="11"/>
  <c r="I72" i="11"/>
  <c r="I70" i="11"/>
  <c r="I68" i="11"/>
  <c r="I64" i="11"/>
  <c r="I62" i="11"/>
  <c r="I60" i="11"/>
  <c r="I58" i="11"/>
  <c r="I56" i="11"/>
  <c r="I54" i="11"/>
  <c r="I52" i="11"/>
  <c r="I48" i="11"/>
  <c r="I46" i="11"/>
  <c r="I44" i="11"/>
  <c r="I38" i="11"/>
  <c r="I36" i="11"/>
  <c r="I34" i="11"/>
  <c r="I99" i="11"/>
  <c r="I97" i="11"/>
  <c r="I95" i="11"/>
  <c r="I93" i="11"/>
  <c r="I91" i="11"/>
  <c r="I89" i="11"/>
  <c r="I87" i="11"/>
  <c r="I85" i="11"/>
  <c r="I83" i="11"/>
  <c r="I81" i="11"/>
  <c r="I79" i="11"/>
  <c r="I77" i="11"/>
  <c r="I75" i="11"/>
  <c r="I73" i="11"/>
  <c r="I71" i="11"/>
  <c r="I69" i="11"/>
  <c r="I67" i="11"/>
  <c r="I65" i="11"/>
  <c r="I63" i="11"/>
  <c r="I61" i="11"/>
  <c r="I59" i="11"/>
  <c r="I57" i="11"/>
  <c r="I55" i="11"/>
  <c r="I53" i="11"/>
  <c r="I51" i="11"/>
  <c r="I49" i="11"/>
  <c r="I47" i="11"/>
  <c r="I45" i="11"/>
  <c r="I43" i="11"/>
  <c r="I41" i="11"/>
  <c r="I39" i="11"/>
  <c r="I37" i="11"/>
  <c r="I35" i="11"/>
  <c r="I33" i="11"/>
  <c r="I96" i="11"/>
  <c r="I94" i="11"/>
  <c r="I88" i="11"/>
  <c r="I100" i="11"/>
  <c r="I98" i="11"/>
  <c r="F12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11" i="11"/>
  <c r="B17" i="17" l="1"/>
  <c r="C17" i="17"/>
  <c r="B18" i="17"/>
  <c r="C18" i="17"/>
  <c r="B19" i="17"/>
  <c r="C19" i="17"/>
  <c r="B20" i="17"/>
  <c r="C20" i="17"/>
  <c r="B21" i="17"/>
  <c r="C21" i="17"/>
  <c r="B22" i="17"/>
  <c r="C22" i="17"/>
  <c r="B23" i="17"/>
  <c r="C23" i="17"/>
  <c r="B24" i="17"/>
  <c r="C24" i="17"/>
  <c r="B25" i="17"/>
  <c r="C25" i="17"/>
  <c r="B26" i="17"/>
  <c r="C26" i="17"/>
  <c r="B27" i="17"/>
  <c r="C27" i="17"/>
  <c r="B28" i="17"/>
  <c r="C28" i="17"/>
  <c r="B29" i="17"/>
  <c r="C29" i="17"/>
  <c r="B30" i="17"/>
  <c r="C30" i="17"/>
  <c r="B31" i="17"/>
  <c r="C31" i="17"/>
  <c r="B14" i="17"/>
  <c r="C14" i="17"/>
  <c r="B15" i="17"/>
  <c r="C15" i="17"/>
  <c r="B16" i="17"/>
  <c r="C16" i="17"/>
  <c r="P13" i="11"/>
  <c r="P12" i="11"/>
  <c r="P11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Q7" i="13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A30" i="11"/>
  <c r="A31" i="11"/>
  <c r="A32" i="11"/>
  <c r="A14" i="11"/>
  <c r="Y8" i="18" s="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13" i="11"/>
  <c r="A12" i="11"/>
  <c r="A11" i="11"/>
  <c r="A14" i="17" s="1"/>
  <c r="B13" i="11"/>
  <c r="B12" i="11"/>
  <c r="B11" i="11"/>
  <c r="AB8" i="18" l="1"/>
  <c r="Z8" i="18"/>
  <c r="C100" i="14"/>
  <c r="C96" i="14"/>
  <c r="C92" i="14"/>
  <c r="C88" i="14"/>
  <c r="C84" i="14"/>
  <c r="C80" i="14"/>
  <c r="C76" i="14"/>
  <c r="C72" i="14"/>
  <c r="C68" i="14"/>
  <c r="C64" i="14"/>
  <c r="C60" i="14"/>
  <c r="C56" i="14"/>
  <c r="C52" i="14"/>
  <c r="C48" i="14"/>
  <c r="C44" i="14"/>
  <c r="C40" i="14"/>
  <c r="C36" i="14"/>
  <c r="C32" i="14"/>
  <c r="C28" i="14"/>
  <c r="C24" i="14"/>
  <c r="C20" i="14"/>
  <c r="C16" i="14"/>
  <c r="C49" i="14"/>
  <c r="C29" i="14"/>
  <c r="C99" i="14"/>
  <c r="C95" i="14"/>
  <c r="C91" i="14"/>
  <c r="C87" i="14"/>
  <c r="C83" i="14"/>
  <c r="C79" i="14"/>
  <c r="C75" i="14"/>
  <c r="C71" i="14"/>
  <c r="C67" i="14"/>
  <c r="C63" i="14"/>
  <c r="C59" i="14"/>
  <c r="C55" i="14"/>
  <c r="C51" i="14"/>
  <c r="C47" i="14"/>
  <c r="C43" i="14"/>
  <c r="C39" i="14"/>
  <c r="C35" i="14"/>
  <c r="C31" i="14"/>
  <c r="C27" i="14"/>
  <c r="C23" i="14"/>
  <c r="C19" i="14"/>
  <c r="C93" i="14"/>
  <c r="C85" i="14"/>
  <c r="C77" i="14"/>
  <c r="C69" i="14"/>
  <c r="C61" i="14"/>
  <c r="C53" i="14"/>
  <c r="C45" i="14"/>
  <c r="C37" i="14"/>
  <c r="C21" i="14"/>
  <c r="C98" i="14"/>
  <c r="C94" i="14"/>
  <c r="C90" i="14"/>
  <c r="C86" i="14"/>
  <c r="C82" i="14"/>
  <c r="C78" i="14"/>
  <c r="C74" i="14"/>
  <c r="C70" i="14"/>
  <c r="C66" i="14"/>
  <c r="C62" i="14"/>
  <c r="C58" i="14"/>
  <c r="C54" i="14"/>
  <c r="C50" i="14"/>
  <c r="C46" i="14"/>
  <c r="C42" i="14"/>
  <c r="C38" i="14"/>
  <c r="C34" i="14"/>
  <c r="C30" i="14"/>
  <c r="C26" i="14"/>
  <c r="C22" i="14"/>
  <c r="C18" i="14"/>
  <c r="C97" i="14"/>
  <c r="C89" i="14"/>
  <c r="C81" i="14"/>
  <c r="C73" i="14"/>
  <c r="C65" i="14"/>
  <c r="C57" i="14"/>
  <c r="C41" i="14"/>
  <c r="C33" i="14"/>
  <c r="C25" i="14"/>
  <c r="C17" i="14"/>
  <c r="H14" i="11"/>
  <c r="A17" i="17"/>
  <c r="G14" i="11"/>
  <c r="D16" i="14" s="1"/>
  <c r="F16" i="14" s="1"/>
  <c r="D60" i="14"/>
  <c r="F60" i="14" s="1"/>
  <c r="D87" i="14"/>
  <c r="F87" i="14" s="1"/>
  <c r="D23" i="14"/>
  <c r="F23" i="14" s="1"/>
  <c r="D66" i="14"/>
  <c r="F66" i="14" s="1"/>
  <c r="D45" i="14"/>
  <c r="F45" i="14" s="1"/>
  <c r="D64" i="14"/>
  <c r="F64" i="14" s="1"/>
  <c r="F96" i="17"/>
  <c r="F93" i="17"/>
  <c r="F90" i="17"/>
  <c r="F80" i="17"/>
  <c r="F77" i="17"/>
  <c r="F74" i="17"/>
  <c r="F64" i="17"/>
  <c r="F61" i="17"/>
  <c r="F58" i="17"/>
  <c r="F48" i="17"/>
  <c r="F45" i="17"/>
  <c r="F42" i="17"/>
  <c r="F88" i="17"/>
  <c r="F82" i="17"/>
  <c r="F72" i="17"/>
  <c r="F66" i="17"/>
  <c r="F53" i="17"/>
  <c r="F37" i="17"/>
  <c r="F92" i="17"/>
  <c r="F86" i="17"/>
  <c r="F76" i="17"/>
  <c r="F70" i="17"/>
  <c r="F60" i="17"/>
  <c r="F44" i="17"/>
  <c r="F38" i="17"/>
  <c r="F100" i="17"/>
  <c r="F97" i="17"/>
  <c r="F94" i="17"/>
  <c r="F84" i="17"/>
  <c r="F81" i="17"/>
  <c r="F78" i="17"/>
  <c r="F68" i="17"/>
  <c r="F65" i="17"/>
  <c r="F62" i="17"/>
  <c r="F52" i="17"/>
  <c r="F49" i="17"/>
  <c r="F46" i="17"/>
  <c r="F36" i="17"/>
  <c r="F98" i="17"/>
  <c r="F85" i="17"/>
  <c r="F69" i="17"/>
  <c r="F56" i="17"/>
  <c r="F50" i="17"/>
  <c r="F40" i="17"/>
  <c r="F89" i="17"/>
  <c r="F73" i="17"/>
  <c r="F57" i="17"/>
  <c r="F54" i="17"/>
  <c r="F41" i="17"/>
  <c r="F47" i="17"/>
  <c r="F63" i="17"/>
  <c r="F79" i="17"/>
  <c r="F95" i="17"/>
  <c r="F39" i="17"/>
  <c r="F87" i="17"/>
  <c r="F75" i="17"/>
  <c r="F51" i="17"/>
  <c r="F67" i="17"/>
  <c r="F83" i="17"/>
  <c r="F99" i="17"/>
  <c r="F55" i="17"/>
  <c r="F71" i="17"/>
  <c r="F43" i="17"/>
  <c r="F59" i="17"/>
  <c r="F91" i="17"/>
  <c r="G7" i="13"/>
  <c r="F35" i="17"/>
  <c r="F34" i="17"/>
  <c r="F32" i="17"/>
  <c r="F33" i="17"/>
  <c r="F16" i="17"/>
  <c r="F14" i="17"/>
  <c r="F15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O7" i="13"/>
  <c r="J1" i="13"/>
  <c r="V7" i="13"/>
  <c r="K3" i="7"/>
  <c r="O7" i="7"/>
  <c r="J1" i="7"/>
  <c r="W7" i="7"/>
  <c r="N7" i="7"/>
  <c r="Q7" i="7"/>
  <c r="B6" i="9"/>
  <c r="B10" i="9"/>
  <c r="B9" i="9"/>
  <c r="B10" i="10"/>
  <c r="B9" i="10"/>
  <c r="A9" i="10" s="1"/>
  <c r="B6" i="10"/>
  <c r="D6" i="10" s="1"/>
  <c r="B7" i="10"/>
  <c r="J10" i="10"/>
  <c r="K10" i="10" s="1"/>
  <c r="I10" i="10"/>
  <c r="D10" i="10"/>
  <c r="G10" i="10" s="1"/>
  <c r="D9" i="10"/>
  <c r="E9" i="10" s="1"/>
  <c r="J9" i="10" s="1"/>
  <c r="K9" i="10" s="1"/>
  <c r="D7" i="10"/>
  <c r="E7" i="10" s="1"/>
  <c r="J7" i="10" s="1"/>
  <c r="K7" i="10" s="1"/>
  <c r="E10" i="10"/>
  <c r="E8" i="10"/>
  <c r="J8" i="10" s="1"/>
  <c r="D20" i="10"/>
  <c r="A8" i="10"/>
  <c r="B20" i="10" s="1"/>
  <c r="L20" i="10" s="1"/>
  <c r="D93" i="14" l="1"/>
  <c r="F93" i="14" s="1"/>
  <c r="D55" i="14"/>
  <c r="F55" i="14" s="1"/>
  <c r="D92" i="14"/>
  <c r="F92" i="14" s="1"/>
  <c r="D22" i="14"/>
  <c r="F22" i="14" s="1"/>
  <c r="D98" i="14"/>
  <c r="F98" i="14" s="1"/>
  <c r="D54" i="14"/>
  <c r="F54" i="14" s="1"/>
  <c r="D40" i="14"/>
  <c r="F40" i="14" s="1"/>
  <c r="D42" i="14"/>
  <c r="F42" i="14" s="1"/>
  <c r="D71" i="14"/>
  <c r="F71" i="14" s="1"/>
  <c r="D28" i="14"/>
  <c r="F28" i="14" s="1"/>
  <c r="D30" i="14"/>
  <c r="F30" i="14" s="1"/>
  <c r="D77" i="14"/>
  <c r="F77" i="14" s="1"/>
  <c r="D82" i="14"/>
  <c r="F82" i="14" s="1"/>
  <c r="D39" i="14"/>
  <c r="F39" i="14" s="1"/>
  <c r="D52" i="14"/>
  <c r="F52" i="14" s="1"/>
  <c r="D76" i="14"/>
  <c r="F76" i="14" s="1"/>
  <c r="D20" i="14"/>
  <c r="F20" i="14" s="1"/>
  <c r="D21" i="14"/>
  <c r="F21" i="14" s="1"/>
  <c r="D85" i="14"/>
  <c r="F85" i="14" s="1"/>
  <c r="D56" i="14"/>
  <c r="F56" i="14" s="1"/>
  <c r="D90" i="14"/>
  <c r="F90" i="14" s="1"/>
  <c r="D58" i="14"/>
  <c r="F58" i="14" s="1"/>
  <c r="D47" i="14"/>
  <c r="F47" i="14" s="1"/>
  <c r="D79" i="14"/>
  <c r="F79" i="14" s="1"/>
  <c r="D96" i="14"/>
  <c r="F96" i="14" s="1"/>
  <c r="D44" i="14"/>
  <c r="F44" i="14" s="1"/>
  <c r="D84" i="14"/>
  <c r="F84" i="14" s="1"/>
  <c r="D41" i="14"/>
  <c r="F41" i="14" s="1"/>
  <c r="D80" i="14"/>
  <c r="F80" i="14" s="1"/>
  <c r="D61" i="14"/>
  <c r="F61" i="14" s="1"/>
  <c r="D24" i="14"/>
  <c r="F24" i="14" s="1"/>
  <c r="D74" i="14"/>
  <c r="F74" i="14" s="1"/>
  <c r="D26" i="14"/>
  <c r="F26" i="14" s="1"/>
  <c r="D31" i="14"/>
  <c r="F31" i="14" s="1"/>
  <c r="D63" i="14"/>
  <c r="F63" i="14" s="1"/>
  <c r="D95" i="14"/>
  <c r="F95" i="14" s="1"/>
  <c r="D53" i="14"/>
  <c r="F53" i="14" s="1"/>
  <c r="D68" i="14"/>
  <c r="F68" i="14" s="1"/>
  <c r="D100" i="14"/>
  <c r="F100" i="14" s="1"/>
  <c r="D89" i="14"/>
  <c r="F89" i="14" s="1"/>
  <c r="D33" i="14"/>
  <c r="F33" i="14" s="1"/>
  <c r="D46" i="14"/>
  <c r="F46" i="14" s="1"/>
  <c r="D57" i="14"/>
  <c r="F57" i="14" s="1"/>
  <c r="D88" i="14"/>
  <c r="F88" i="14" s="1"/>
  <c r="D25" i="14"/>
  <c r="F25" i="14" s="1"/>
  <c r="D73" i="14"/>
  <c r="F73" i="14" s="1"/>
  <c r="D48" i="14"/>
  <c r="F48" i="14" s="1"/>
  <c r="D36" i="14"/>
  <c r="F36" i="14" s="1"/>
  <c r="D29" i="14"/>
  <c r="F29" i="14" s="1"/>
  <c r="D27" i="14"/>
  <c r="F27" i="14" s="1"/>
  <c r="D69" i="14"/>
  <c r="F69" i="14" s="1"/>
  <c r="D75" i="14"/>
  <c r="F75" i="14" s="1"/>
  <c r="D86" i="14"/>
  <c r="F86" i="14" s="1"/>
  <c r="D65" i="14"/>
  <c r="F65" i="14" s="1"/>
  <c r="D97" i="14"/>
  <c r="F97" i="14" s="1"/>
  <c r="D38" i="14"/>
  <c r="F38" i="14" s="1"/>
  <c r="D32" i="14"/>
  <c r="F32" i="14" s="1"/>
  <c r="D50" i="14"/>
  <c r="F50" i="14" s="1"/>
  <c r="D91" i="14"/>
  <c r="F91" i="14" s="1"/>
  <c r="D17" i="14"/>
  <c r="F17" i="14" s="1"/>
  <c r="D49" i="14"/>
  <c r="F49" i="14" s="1"/>
  <c r="D81" i="14"/>
  <c r="F81" i="14" s="1"/>
  <c r="D72" i="14"/>
  <c r="F72" i="14" s="1"/>
  <c r="D37" i="14"/>
  <c r="F37" i="14" s="1"/>
  <c r="D70" i="14"/>
  <c r="F70" i="14" s="1"/>
  <c r="D43" i="14"/>
  <c r="F43" i="14" s="1"/>
  <c r="D18" i="14"/>
  <c r="F18" i="14" s="1"/>
  <c r="D59" i="14"/>
  <c r="F59" i="14" s="1"/>
  <c r="D78" i="14"/>
  <c r="F78" i="14" s="1"/>
  <c r="D34" i="14"/>
  <c r="F34" i="14" s="1"/>
  <c r="D35" i="14"/>
  <c r="F35" i="14" s="1"/>
  <c r="D67" i="14"/>
  <c r="F67" i="14" s="1"/>
  <c r="D99" i="14"/>
  <c r="F99" i="14" s="1"/>
  <c r="D62" i="14"/>
  <c r="F62" i="14" s="1"/>
  <c r="D94" i="14"/>
  <c r="F94" i="14" s="1"/>
  <c r="D19" i="14"/>
  <c r="F19" i="14" s="1"/>
  <c r="D51" i="14"/>
  <c r="F51" i="14" s="1"/>
  <c r="D83" i="14"/>
  <c r="F83" i="14" s="1"/>
  <c r="E12" i="11"/>
  <c r="E14" i="14" s="1"/>
  <c r="E88" i="11"/>
  <c r="O88" i="11" s="1"/>
  <c r="E72" i="11"/>
  <c r="O72" i="11" s="1"/>
  <c r="E56" i="11"/>
  <c r="O56" i="11" s="1"/>
  <c r="E40" i="11"/>
  <c r="O40" i="11" s="1"/>
  <c r="E24" i="11"/>
  <c r="E95" i="11"/>
  <c r="O95" i="11" s="1"/>
  <c r="E79" i="11"/>
  <c r="O79" i="11" s="1"/>
  <c r="E63" i="11"/>
  <c r="O63" i="11" s="1"/>
  <c r="E47" i="11"/>
  <c r="O47" i="11" s="1"/>
  <c r="E31" i="11"/>
  <c r="E15" i="11"/>
  <c r="E94" i="11"/>
  <c r="O94" i="11" s="1"/>
  <c r="E78" i="11"/>
  <c r="O78" i="11" s="1"/>
  <c r="E62" i="11"/>
  <c r="O62" i="11" s="1"/>
  <c r="E46" i="11"/>
  <c r="O46" i="11" s="1"/>
  <c r="E30" i="11"/>
  <c r="E85" i="11"/>
  <c r="O85" i="11" s="1"/>
  <c r="E69" i="11"/>
  <c r="O69" i="11" s="1"/>
  <c r="E53" i="11"/>
  <c r="O53" i="11" s="1"/>
  <c r="E37" i="11"/>
  <c r="O37" i="11" s="1"/>
  <c r="E21" i="11"/>
  <c r="E17" i="11"/>
  <c r="E93" i="11"/>
  <c r="O93" i="11" s="1"/>
  <c r="E61" i="11"/>
  <c r="O61" i="11" s="1"/>
  <c r="E45" i="11"/>
  <c r="O45" i="11" s="1"/>
  <c r="D7" i="11"/>
  <c r="I14" i="11"/>
  <c r="E13" i="11"/>
  <c r="E15" i="14" s="1"/>
  <c r="E76" i="11"/>
  <c r="O76" i="11" s="1"/>
  <c r="E99" i="11"/>
  <c r="O99" i="11" s="1"/>
  <c r="E67" i="11"/>
  <c r="O67" i="11" s="1"/>
  <c r="E35" i="11"/>
  <c r="O35" i="11" s="1"/>
  <c r="E82" i="11"/>
  <c r="O82" i="11" s="1"/>
  <c r="E89" i="11"/>
  <c r="O89" i="11" s="1"/>
  <c r="E41" i="11"/>
  <c r="O41" i="11" s="1"/>
  <c r="E100" i="11"/>
  <c r="O100" i="11" s="1"/>
  <c r="E84" i="11"/>
  <c r="O84" i="11" s="1"/>
  <c r="E68" i="11"/>
  <c r="O68" i="11" s="1"/>
  <c r="E52" i="11"/>
  <c r="O52" i="11" s="1"/>
  <c r="E36" i="11"/>
  <c r="O36" i="11" s="1"/>
  <c r="E20" i="11"/>
  <c r="E91" i="11"/>
  <c r="O91" i="11" s="1"/>
  <c r="E75" i="11"/>
  <c r="O75" i="11" s="1"/>
  <c r="E59" i="11"/>
  <c r="O59" i="11" s="1"/>
  <c r="E43" i="11"/>
  <c r="O43" i="11" s="1"/>
  <c r="E27" i="11"/>
  <c r="E11" i="11"/>
  <c r="E13" i="14" s="1"/>
  <c r="E90" i="11"/>
  <c r="O90" i="11" s="1"/>
  <c r="E74" i="11"/>
  <c r="O74" i="11" s="1"/>
  <c r="E58" i="11"/>
  <c r="O58" i="11" s="1"/>
  <c r="E42" i="11"/>
  <c r="O42" i="11" s="1"/>
  <c r="E26" i="11"/>
  <c r="E97" i="11"/>
  <c r="O97" i="11" s="1"/>
  <c r="E81" i="11"/>
  <c r="O81" i="11" s="1"/>
  <c r="E65" i="11"/>
  <c r="O65" i="11" s="1"/>
  <c r="E49" i="11"/>
  <c r="O49" i="11" s="1"/>
  <c r="E33" i="11"/>
  <c r="O33" i="11" s="1"/>
  <c r="E96" i="11"/>
  <c r="O96" i="11" s="1"/>
  <c r="E80" i="11"/>
  <c r="O80" i="11" s="1"/>
  <c r="E64" i="11"/>
  <c r="O64" i="11" s="1"/>
  <c r="E48" i="11"/>
  <c r="O48" i="11" s="1"/>
  <c r="E32" i="11"/>
  <c r="E16" i="11"/>
  <c r="E87" i="11"/>
  <c r="O87" i="11" s="1"/>
  <c r="E71" i="11"/>
  <c r="O71" i="11" s="1"/>
  <c r="E55" i="11"/>
  <c r="O55" i="11" s="1"/>
  <c r="E39" i="11"/>
  <c r="O39" i="11" s="1"/>
  <c r="E23" i="11"/>
  <c r="D6" i="11"/>
  <c r="E86" i="11"/>
  <c r="O86" i="11" s="1"/>
  <c r="E70" i="11"/>
  <c r="O70" i="11" s="1"/>
  <c r="E54" i="11"/>
  <c r="O54" i="11" s="1"/>
  <c r="E38" i="11"/>
  <c r="O38" i="11" s="1"/>
  <c r="E22" i="11"/>
  <c r="E77" i="11"/>
  <c r="O77" i="11" s="1"/>
  <c r="E29" i="11"/>
  <c r="E92" i="11"/>
  <c r="O92" i="11" s="1"/>
  <c r="E44" i="11"/>
  <c r="O44" i="11" s="1"/>
  <c r="E83" i="11"/>
  <c r="O83" i="11" s="1"/>
  <c r="E51" i="11"/>
  <c r="O51" i="11" s="1"/>
  <c r="E19" i="11"/>
  <c r="E66" i="11"/>
  <c r="O66" i="11" s="1"/>
  <c r="E34" i="11"/>
  <c r="O34" i="11" s="1"/>
  <c r="E57" i="11"/>
  <c r="O57" i="11" s="1"/>
  <c r="E60" i="11"/>
  <c r="O60" i="11" s="1"/>
  <c r="E28" i="11"/>
  <c r="E98" i="11"/>
  <c r="O98" i="11" s="1"/>
  <c r="E50" i="11"/>
  <c r="O50" i="11" s="1"/>
  <c r="E18" i="11"/>
  <c r="E73" i="11"/>
  <c r="O73" i="11" s="1"/>
  <c r="E25" i="11"/>
  <c r="E14" i="11"/>
  <c r="D4" i="11"/>
  <c r="I13" i="11"/>
  <c r="F12" i="17"/>
  <c r="F7" i="13"/>
  <c r="N7" i="13" s="1"/>
  <c r="M7" i="13"/>
  <c r="H7" i="13"/>
  <c r="K1" i="13"/>
  <c r="G48" i="13" s="1"/>
  <c r="P7" i="13"/>
  <c r="W7" i="13"/>
  <c r="J2" i="13"/>
  <c r="L2" i="13"/>
  <c r="K2" i="13"/>
  <c r="H48" i="13" s="1"/>
  <c r="L2" i="7"/>
  <c r="X7" i="7"/>
  <c r="P7" i="7"/>
  <c r="J2" i="7"/>
  <c r="C18" i="10"/>
  <c r="E6" i="10"/>
  <c r="J6" i="10" s="1"/>
  <c r="K6" i="10" s="1"/>
  <c r="N9" i="10"/>
  <c r="K8" i="10"/>
  <c r="N8" i="10"/>
  <c r="O8" i="10" s="1"/>
  <c r="N7" i="10"/>
  <c r="O7" i="10" s="1"/>
  <c r="N6" i="10"/>
  <c r="O6" i="10" s="1"/>
  <c r="N10" i="10"/>
  <c r="O10" i="10" s="1"/>
  <c r="G8" i="10"/>
  <c r="I9" i="10"/>
  <c r="G9" i="10"/>
  <c r="G7" i="10"/>
  <c r="I8" i="10"/>
  <c r="I7" i="10"/>
  <c r="A6" i="10"/>
  <c r="B18" i="10" s="1"/>
  <c r="L18" i="10" s="1"/>
  <c r="C8" i="10"/>
  <c r="A10" i="10"/>
  <c r="B22" i="10" s="1"/>
  <c r="L22" i="10" s="1"/>
  <c r="D21" i="10"/>
  <c r="D22" i="10"/>
  <c r="D19" i="10"/>
  <c r="F8" i="10"/>
  <c r="C20" i="10"/>
  <c r="A7" i="10"/>
  <c r="B19" i="10" s="1"/>
  <c r="L19" i="10" s="1"/>
  <c r="B21" i="10"/>
  <c r="L21" i="10" s="1"/>
  <c r="D20" i="9"/>
  <c r="A8" i="9"/>
  <c r="B20" i="9" s="1"/>
  <c r="J20" i="9" s="1"/>
  <c r="E9" i="9"/>
  <c r="E10" i="9"/>
  <c r="A6" i="9"/>
  <c r="B18" i="9" s="1"/>
  <c r="J18" i="9" s="1"/>
  <c r="B7" i="9"/>
  <c r="A7" i="9" s="1"/>
  <c r="B19" i="9" s="1"/>
  <c r="J19" i="9" s="1"/>
  <c r="D8" i="9"/>
  <c r="C20" i="9" s="1"/>
  <c r="E18" i="14" l="1"/>
  <c r="E81" i="14"/>
  <c r="G81" i="14" s="1"/>
  <c r="I81" i="14" s="1"/>
  <c r="J81" i="14" s="1"/>
  <c r="E20" i="14"/>
  <c r="E74" i="14"/>
  <c r="G74" i="14" s="1"/>
  <c r="I74" i="14" s="1"/>
  <c r="J74" i="14" s="1"/>
  <c r="E82" i="14"/>
  <c r="E90" i="14"/>
  <c r="G90" i="14" s="1"/>
  <c r="I90" i="14" s="1"/>
  <c r="J90" i="14" s="1"/>
  <c r="E98" i="14"/>
  <c r="G98" i="14" s="1"/>
  <c r="I98" i="14" s="1"/>
  <c r="J98" i="14" s="1"/>
  <c r="E83" i="14"/>
  <c r="G83" i="14" s="1"/>
  <c r="I83" i="14" s="1"/>
  <c r="J83" i="14" s="1"/>
  <c r="E24" i="14"/>
  <c r="E93" i="14"/>
  <c r="G93" i="14" s="1"/>
  <c r="I93" i="14" s="1"/>
  <c r="J93" i="14" s="1"/>
  <c r="E29" i="14"/>
  <c r="E47" i="14"/>
  <c r="G47" i="14" s="1"/>
  <c r="I47" i="14" s="1"/>
  <c r="J47" i="14" s="1"/>
  <c r="E19" i="14"/>
  <c r="E56" i="14"/>
  <c r="G56" i="14" s="1"/>
  <c r="I56" i="14" s="1"/>
  <c r="J56" i="14" s="1"/>
  <c r="E30" i="14"/>
  <c r="G30" i="14" s="1"/>
  <c r="I30" i="14" s="1"/>
  <c r="J30" i="14" s="1"/>
  <c r="E66" i="14"/>
  <c r="G66" i="14" s="1"/>
  <c r="I66" i="14" s="1"/>
  <c r="J66" i="14" s="1"/>
  <c r="E21" i="14"/>
  <c r="E31" i="14"/>
  <c r="G31" i="14" s="1"/>
  <c r="I31" i="14" s="1"/>
  <c r="J31" i="14" s="1"/>
  <c r="E50" i="14"/>
  <c r="G50" i="14" s="1"/>
  <c r="I50" i="14" s="1"/>
  <c r="J50" i="14" s="1"/>
  <c r="E65" i="14"/>
  <c r="G65" i="14" s="1"/>
  <c r="I65" i="14" s="1"/>
  <c r="J65" i="14" s="1"/>
  <c r="E68" i="14"/>
  <c r="E40" i="14"/>
  <c r="G40" i="14" s="1"/>
  <c r="I40" i="14" s="1"/>
  <c r="J40" i="14" s="1"/>
  <c r="E25" i="14"/>
  <c r="E87" i="14"/>
  <c r="G87" i="14" s="1"/>
  <c r="I87" i="14" s="1"/>
  <c r="J87" i="14" s="1"/>
  <c r="E27" i="14"/>
  <c r="E76" i="14"/>
  <c r="G76" i="14" s="1"/>
  <c r="I76" i="14" s="1"/>
  <c r="J76" i="14" s="1"/>
  <c r="E84" i="14"/>
  <c r="G84" i="14" s="1"/>
  <c r="I84" i="14" s="1"/>
  <c r="J84" i="14" s="1"/>
  <c r="E92" i="14"/>
  <c r="G92" i="14" s="1"/>
  <c r="I92" i="14" s="1"/>
  <c r="J92" i="14" s="1"/>
  <c r="E16" i="14"/>
  <c r="E89" i="14"/>
  <c r="G89" i="14" s="1"/>
  <c r="I89" i="14" s="1"/>
  <c r="J89" i="14" s="1"/>
  <c r="E73" i="14"/>
  <c r="G73" i="14" s="1"/>
  <c r="I73" i="14" s="1"/>
  <c r="J73" i="14" s="1"/>
  <c r="E97" i="14"/>
  <c r="G97" i="14" s="1"/>
  <c r="I97" i="14" s="1"/>
  <c r="J97" i="14" s="1"/>
  <c r="E54" i="14"/>
  <c r="E42" i="14"/>
  <c r="G42" i="14" s="1"/>
  <c r="I42" i="14" s="1"/>
  <c r="J42" i="14" s="1"/>
  <c r="E34" i="14"/>
  <c r="E57" i="14"/>
  <c r="G57" i="14" s="1"/>
  <c r="I57" i="14" s="1"/>
  <c r="J57" i="14" s="1"/>
  <c r="E60" i="14"/>
  <c r="E69" i="14"/>
  <c r="E38" i="14"/>
  <c r="E67" i="14"/>
  <c r="G67" i="14" s="1"/>
  <c r="I67" i="14" s="1"/>
  <c r="J67" i="14" s="1"/>
  <c r="E62" i="14"/>
  <c r="E49" i="14"/>
  <c r="G49" i="14" s="1"/>
  <c r="I49" i="14" s="1"/>
  <c r="J49" i="14" s="1"/>
  <c r="E44" i="14"/>
  <c r="G44" i="14" s="1"/>
  <c r="I44" i="14" s="1"/>
  <c r="J44" i="14" s="1"/>
  <c r="E100" i="14"/>
  <c r="G100" i="14" s="1"/>
  <c r="I100" i="14" s="1"/>
  <c r="J100" i="14" s="1"/>
  <c r="E91" i="14"/>
  <c r="E70" i="14"/>
  <c r="E78" i="14"/>
  <c r="G78" i="14" s="1"/>
  <c r="I78" i="14" s="1"/>
  <c r="J78" i="14" s="1"/>
  <c r="E86" i="14"/>
  <c r="G86" i="14" s="1"/>
  <c r="I86" i="14" s="1"/>
  <c r="J86" i="14" s="1"/>
  <c r="E94" i="14"/>
  <c r="E71" i="14"/>
  <c r="G71" i="14" s="1"/>
  <c r="I71" i="14" s="1"/>
  <c r="J71" i="14" s="1"/>
  <c r="E95" i="14"/>
  <c r="G95" i="14" s="1"/>
  <c r="I95" i="14" s="1"/>
  <c r="J95" i="14" s="1"/>
  <c r="E79" i="14"/>
  <c r="G79" i="14" s="1"/>
  <c r="I79" i="14" s="1"/>
  <c r="J79" i="14" s="1"/>
  <c r="E61" i="14"/>
  <c r="E64" i="14"/>
  <c r="G64" i="14" s="1"/>
  <c r="I64" i="14" s="1"/>
  <c r="J64" i="14" s="1"/>
  <c r="E59" i="14"/>
  <c r="G59" i="14" s="1"/>
  <c r="I59" i="14" s="1"/>
  <c r="J59" i="14" s="1"/>
  <c r="E48" i="14"/>
  <c r="G48" i="14" s="1"/>
  <c r="I48" i="14" s="1"/>
  <c r="J48" i="14" s="1"/>
  <c r="E41" i="14"/>
  <c r="E28" i="14"/>
  <c r="G28" i="14" s="1"/>
  <c r="I28" i="14" s="1"/>
  <c r="J28" i="14" s="1"/>
  <c r="E53" i="14"/>
  <c r="G53" i="14" s="1"/>
  <c r="I53" i="14" s="1"/>
  <c r="J53" i="14" s="1"/>
  <c r="E52" i="14"/>
  <c r="G52" i="14" s="1"/>
  <c r="I52" i="14" s="1"/>
  <c r="J52" i="14" s="1"/>
  <c r="E51" i="14"/>
  <c r="E32" i="14"/>
  <c r="G32" i="14" s="1"/>
  <c r="I32" i="14" s="1"/>
  <c r="J32" i="14" s="1"/>
  <c r="E33" i="14"/>
  <c r="G33" i="14" s="1"/>
  <c r="I33" i="14" s="1"/>
  <c r="J33" i="14" s="1"/>
  <c r="E55" i="14"/>
  <c r="G55" i="14" s="1"/>
  <c r="I55" i="14" s="1"/>
  <c r="J55" i="14" s="1"/>
  <c r="E75" i="14"/>
  <c r="E99" i="14"/>
  <c r="E72" i="14"/>
  <c r="G72" i="14" s="1"/>
  <c r="I72" i="14" s="1"/>
  <c r="J72" i="14" s="1"/>
  <c r="E80" i="14"/>
  <c r="G80" i="14" s="1"/>
  <c r="I80" i="14" s="1"/>
  <c r="J80" i="14" s="1"/>
  <c r="E88" i="14"/>
  <c r="E96" i="14"/>
  <c r="E77" i="14"/>
  <c r="G77" i="14" s="1"/>
  <c r="I77" i="14" s="1"/>
  <c r="J77" i="14" s="1"/>
  <c r="E22" i="14"/>
  <c r="G22" i="14" s="1"/>
  <c r="I22" i="14" s="1"/>
  <c r="J22" i="14" s="1"/>
  <c r="E85" i="14"/>
  <c r="E45" i="14"/>
  <c r="G45" i="14" s="1"/>
  <c r="I45" i="14" s="1"/>
  <c r="J45" i="14" s="1"/>
  <c r="E36" i="14"/>
  <c r="E43" i="14"/>
  <c r="G43" i="14" s="1"/>
  <c r="I43" i="14" s="1"/>
  <c r="J43" i="14" s="1"/>
  <c r="E23" i="14"/>
  <c r="E17" i="14"/>
  <c r="E39" i="14"/>
  <c r="G39" i="14" s="1"/>
  <c r="I39" i="14" s="1"/>
  <c r="J39" i="14" s="1"/>
  <c r="E37" i="14"/>
  <c r="G37" i="14" s="1"/>
  <c r="I37" i="14" s="1"/>
  <c r="J37" i="14" s="1"/>
  <c r="E63" i="14"/>
  <c r="G63" i="14" s="1"/>
  <c r="I63" i="14" s="1"/>
  <c r="J63" i="14" s="1"/>
  <c r="E35" i="14"/>
  <c r="G35" i="14" s="1"/>
  <c r="I35" i="14" s="1"/>
  <c r="J35" i="14" s="1"/>
  <c r="E26" i="14"/>
  <c r="G26" i="14" s="1"/>
  <c r="I26" i="14" s="1"/>
  <c r="J26" i="14" s="1"/>
  <c r="E46" i="14"/>
  <c r="G46" i="14" s="1"/>
  <c r="I46" i="14" s="1"/>
  <c r="J46" i="14" s="1"/>
  <c r="E58" i="14"/>
  <c r="G15" i="14"/>
  <c r="I15" i="14" s="1"/>
  <c r="J15" i="14" s="1"/>
  <c r="G61" i="14"/>
  <c r="I61" i="14" s="1"/>
  <c r="J61" i="14" s="1"/>
  <c r="G68" i="14"/>
  <c r="I68" i="14" s="1"/>
  <c r="J68" i="14" s="1"/>
  <c r="G58" i="14"/>
  <c r="I58" i="14" s="1"/>
  <c r="J58" i="14" s="1"/>
  <c r="G62" i="14"/>
  <c r="I62" i="14" s="1"/>
  <c r="J62" i="14" s="1"/>
  <c r="G69" i="14"/>
  <c r="I69" i="14" s="1"/>
  <c r="J69" i="14" s="1"/>
  <c r="G16" i="14"/>
  <c r="I16" i="14" s="1"/>
  <c r="J16" i="14" s="1"/>
  <c r="G24" i="14"/>
  <c r="I24" i="14" s="1"/>
  <c r="J24" i="14" s="1"/>
  <c r="G60" i="14"/>
  <c r="I60" i="14" s="1"/>
  <c r="J60" i="14" s="1"/>
  <c r="G36" i="14"/>
  <c r="I36" i="14" s="1"/>
  <c r="J36" i="14" s="1"/>
  <c r="G27" i="14"/>
  <c r="I27" i="14" s="1"/>
  <c r="J27" i="14" s="1"/>
  <c r="G21" i="14"/>
  <c r="I21" i="14" s="1"/>
  <c r="J21" i="14" s="1"/>
  <c r="G99" i="14"/>
  <c r="I99" i="14" s="1"/>
  <c r="J99" i="14" s="1"/>
  <c r="G91" i="14"/>
  <c r="I91" i="14" s="1"/>
  <c r="J91" i="14" s="1"/>
  <c r="G75" i="14"/>
  <c r="I75" i="14" s="1"/>
  <c r="J75" i="14" s="1"/>
  <c r="G41" i="14"/>
  <c r="I41" i="14" s="1"/>
  <c r="J41" i="14" s="1"/>
  <c r="G17" i="14"/>
  <c r="I17" i="14" s="1"/>
  <c r="J17" i="14" s="1"/>
  <c r="G88" i="14"/>
  <c r="I88" i="14" s="1"/>
  <c r="J88" i="14" s="1"/>
  <c r="G51" i="14"/>
  <c r="I51" i="14" s="1"/>
  <c r="J51" i="14" s="1"/>
  <c r="G38" i="14"/>
  <c r="I38" i="14" s="1"/>
  <c r="J38" i="14" s="1"/>
  <c r="G94" i="14"/>
  <c r="I94" i="14" s="1"/>
  <c r="J94" i="14" s="1"/>
  <c r="G20" i="14"/>
  <c r="I20" i="14" s="1"/>
  <c r="J20" i="14" s="1"/>
  <c r="G34" i="14"/>
  <c r="I34" i="14" s="1"/>
  <c r="J34" i="14" s="1"/>
  <c r="G82" i="14"/>
  <c r="I82" i="14" s="1"/>
  <c r="J82" i="14" s="1"/>
  <c r="G29" i="14"/>
  <c r="I29" i="14" s="1"/>
  <c r="J29" i="14" s="1"/>
  <c r="G54" i="14"/>
  <c r="I54" i="14" s="1"/>
  <c r="J54" i="14" s="1"/>
  <c r="G25" i="14"/>
  <c r="I25" i="14" s="1"/>
  <c r="J25" i="14" s="1"/>
  <c r="G23" i="14"/>
  <c r="I23" i="14" s="1"/>
  <c r="J23" i="14" s="1"/>
  <c r="G96" i="14"/>
  <c r="I96" i="14" s="1"/>
  <c r="J96" i="14" s="1"/>
  <c r="G19" i="14"/>
  <c r="I19" i="14" s="1"/>
  <c r="J19" i="14" s="1"/>
  <c r="G18" i="14"/>
  <c r="I18" i="14" s="1"/>
  <c r="J18" i="14" s="1"/>
  <c r="G70" i="14"/>
  <c r="I70" i="14" s="1"/>
  <c r="J70" i="14" s="1"/>
  <c r="G85" i="14"/>
  <c r="I85" i="14" s="1"/>
  <c r="J85" i="14" s="1"/>
  <c r="G13" i="14"/>
  <c r="I13" i="14" s="1"/>
  <c r="J13" i="14" s="1"/>
  <c r="G14" i="14"/>
  <c r="I14" i="14" s="1"/>
  <c r="J14" i="14" s="1"/>
  <c r="I12" i="11"/>
  <c r="S7" i="13"/>
  <c r="O48" i="13"/>
  <c r="I48" i="13"/>
  <c r="G47" i="13"/>
  <c r="G46" i="13" s="1"/>
  <c r="G45" i="13" s="1"/>
  <c r="G44" i="13" s="1"/>
  <c r="G43" i="13" s="1"/>
  <c r="G42" i="13" s="1"/>
  <c r="G41" i="13" s="1"/>
  <c r="G40" i="13" s="1"/>
  <c r="G39" i="13" s="1"/>
  <c r="G38" i="13" s="1"/>
  <c r="G37" i="13" s="1"/>
  <c r="G36" i="13" s="1"/>
  <c r="G35" i="13" s="1"/>
  <c r="G34" i="13" s="1"/>
  <c r="G33" i="13" s="1"/>
  <c r="G32" i="13" s="1"/>
  <c r="G31" i="13" s="1"/>
  <c r="G30" i="13" s="1"/>
  <c r="G29" i="13" s="1"/>
  <c r="G28" i="13" s="1"/>
  <c r="G27" i="13" s="1"/>
  <c r="G26" i="13" s="1"/>
  <c r="G25" i="13" s="1"/>
  <c r="G24" i="13" s="1"/>
  <c r="G23" i="13" s="1"/>
  <c r="G22" i="13" s="1"/>
  <c r="G21" i="13" s="1"/>
  <c r="G20" i="13" s="1"/>
  <c r="G19" i="13" s="1"/>
  <c r="G18" i="13" s="1"/>
  <c r="G17" i="13" s="1"/>
  <c r="G16" i="13" s="1"/>
  <c r="G15" i="13" s="1"/>
  <c r="G14" i="13" s="1"/>
  <c r="G13" i="13" s="1"/>
  <c r="G49" i="13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G78" i="13" s="1"/>
  <c r="G79" i="13" s="1"/>
  <c r="G80" i="13" s="1"/>
  <c r="G81" i="13" s="1"/>
  <c r="G82" i="13" s="1"/>
  <c r="G83" i="13" s="1"/>
  <c r="G84" i="13" s="1"/>
  <c r="G85" i="13" s="1"/>
  <c r="G86" i="13" s="1"/>
  <c r="G87" i="13" s="1"/>
  <c r="G88" i="13" s="1"/>
  <c r="G89" i="13" s="1"/>
  <c r="G90" i="13" s="1"/>
  <c r="G91" i="13" s="1"/>
  <c r="G92" i="13" s="1"/>
  <c r="G93" i="13" s="1"/>
  <c r="G94" i="13" s="1"/>
  <c r="G95" i="13" s="1"/>
  <c r="G96" i="13" s="1"/>
  <c r="G97" i="13" s="1"/>
  <c r="G98" i="13" s="1"/>
  <c r="G99" i="13" s="1"/>
  <c r="G100" i="13" s="1"/>
  <c r="G101" i="13" s="1"/>
  <c r="G102" i="13" s="1"/>
  <c r="G103" i="13" s="1"/>
  <c r="G104" i="13" s="1"/>
  <c r="G105" i="13" s="1"/>
  <c r="G106" i="13" s="1"/>
  <c r="G107" i="13" s="1"/>
  <c r="G108" i="13" s="1"/>
  <c r="G109" i="13" s="1"/>
  <c r="G110" i="13" s="1"/>
  <c r="G111" i="13" s="1"/>
  <c r="G112" i="13" s="1"/>
  <c r="G113" i="13" s="1"/>
  <c r="G114" i="13" s="1"/>
  <c r="G115" i="13" s="1"/>
  <c r="G116" i="13" s="1"/>
  <c r="G117" i="13" s="1"/>
  <c r="G118" i="13" s="1"/>
  <c r="G119" i="13" s="1"/>
  <c r="G120" i="13" s="1"/>
  <c r="G121" i="13" s="1"/>
  <c r="G122" i="13" s="1"/>
  <c r="G123" i="13" s="1"/>
  <c r="G124" i="13" s="1"/>
  <c r="G125" i="13" s="1"/>
  <c r="G126" i="13" s="1"/>
  <c r="G127" i="13" s="1"/>
  <c r="G128" i="13" s="1"/>
  <c r="G129" i="13" s="1"/>
  <c r="G130" i="13" s="1"/>
  <c r="G131" i="13" s="1"/>
  <c r="G132" i="13" s="1"/>
  <c r="G133" i="13" s="1"/>
  <c r="G134" i="13" s="1"/>
  <c r="G135" i="13" s="1"/>
  <c r="G136" i="13" s="1"/>
  <c r="G137" i="13" s="1"/>
  <c r="G138" i="13" s="1"/>
  <c r="G139" i="13" s="1"/>
  <c r="G140" i="13" s="1"/>
  <c r="G141" i="13" s="1"/>
  <c r="G142" i="13" s="1"/>
  <c r="G143" i="13" s="1"/>
  <c r="G144" i="13" s="1"/>
  <c r="G145" i="13" s="1"/>
  <c r="G146" i="13" s="1"/>
  <c r="G147" i="13" s="1"/>
  <c r="G148" i="13" s="1"/>
  <c r="G149" i="13" s="1"/>
  <c r="G150" i="13" s="1"/>
  <c r="G151" i="13" s="1"/>
  <c r="G152" i="13" s="1"/>
  <c r="G153" i="13" s="1"/>
  <c r="G154" i="13" s="1"/>
  <c r="G155" i="13" s="1"/>
  <c r="G156" i="13" s="1"/>
  <c r="G157" i="13" s="1"/>
  <c r="G158" i="13" s="1"/>
  <c r="G159" i="13" s="1"/>
  <c r="G160" i="13" s="1"/>
  <c r="G161" i="13" s="1"/>
  <c r="G162" i="13" s="1"/>
  <c r="G163" i="13" s="1"/>
  <c r="G164" i="13" s="1"/>
  <c r="G165" i="13" s="1"/>
  <c r="G166" i="13" s="1"/>
  <c r="G167" i="13" s="1"/>
  <c r="G168" i="13" s="1"/>
  <c r="G169" i="13" s="1"/>
  <c r="G170" i="13" s="1"/>
  <c r="G171" i="13" s="1"/>
  <c r="G172" i="13" s="1"/>
  <c r="G173" i="13" s="1"/>
  <c r="G174" i="13" s="1"/>
  <c r="G175" i="13" s="1"/>
  <c r="G176" i="13" s="1"/>
  <c r="G177" i="13" s="1"/>
  <c r="G178" i="13" s="1"/>
  <c r="G179" i="13" s="1"/>
  <c r="G180" i="13" s="1"/>
  <c r="G181" i="13" s="1"/>
  <c r="G182" i="13" s="1"/>
  <c r="G183" i="13" s="1"/>
  <c r="G184" i="13" s="1"/>
  <c r="G185" i="13" s="1"/>
  <c r="G186" i="13" s="1"/>
  <c r="G187" i="13" s="1"/>
  <c r="G188" i="13" s="1"/>
  <c r="G189" i="13" s="1"/>
  <c r="G190" i="13" s="1"/>
  <c r="G191" i="13" s="1"/>
  <c r="G192" i="13" s="1"/>
  <c r="G193" i="13" s="1"/>
  <c r="G194" i="13" s="1"/>
  <c r="G195" i="13" s="1"/>
  <c r="G196" i="13" s="1"/>
  <c r="G197" i="13" s="1"/>
  <c r="G198" i="13" s="1"/>
  <c r="G199" i="13" s="1"/>
  <c r="G200" i="13" s="1"/>
  <c r="G201" i="13" s="1"/>
  <c r="G202" i="13" s="1"/>
  <c r="G203" i="13" s="1"/>
  <c r="G204" i="13" s="1"/>
  <c r="G205" i="13" s="1"/>
  <c r="G206" i="13" s="1"/>
  <c r="G207" i="13" s="1"/>
  <c r="G208" i="13" s="1"/>
  <c r="G209" i="13" s="1"/>
  <c r="G210" i="13" s="1"/>
  <c r="G211" i="13" s="1"/>
  <c r="G212" i="13" s="1"/>
  <c r="G213" i="13" s="1"/>
  <c r="G214" i="13" s="1"/>
  <c r="G215" i="13" s="1"/>
  <c r="G216" i="13" s="1"/>
  <c r="G217" i="13" s="1"/>
  <c r="G218" i="13" s="1"/>
  <c r="G219" i="13" s="1"/>
  <c r="G220" i="13" s="1"/>
  <c r="G221" i="13" s="1"/>
  <c r="G222" i="13" s="1"/>
  <c r="G223" i="13" s="1"/>
  <c r="G224" i="13" s="1"/>
  <c r="G225" i="13" s="1"/>
  <c r="G226" i="13" s="1"/>
  <c r="G227" i="13" s="1"/>
  <c r="G228" i="13" s="1"/>
  <c r="G229" i="13" s="1"/>
  <c r="G230" i="13" s="1"/>
  <c r="G231" i="13" s="1"/>
  <c r="G232" i="13" s="1"/>
  <c r="G233" i="13" s="1"/>
  <c r="G234" i="13" s="1"/>
  <c r="G235" i="13" s="1"/>
  <c r="G236" i="13" s="1"/>
  <c r="G237" i="13" s="1"/>
  <c r="G238" i="13" s="1"/>
  <c r="G239" i="13" s="1"/>
  <c r="G240" i="13" s="1"/>
  <c r="G241" i="13" s="1"/>
  <c r="G242" i="13" s="1"/>
  <c r="G243" i="13" s="1"/>
  <c r="G244" i="13" s="1"/>
  <c r="G245" i="13" s="1"/>
  <c r="G246" i="13" s="1"/>
  <c r="G247" i="13" s="1"/>
  <c r="G248" i="13" s="1"/>
  <c r="G249" i="13" s="1"/>
  <c r="G250" i="13" s="1"/>
  <c r="G251" i="13" s="1"/>
  <c r="G252" i="13" s="1"/>
  <c r="G253" i="13" s="1"/>
  <c r="G254" i="13" s="1"/>
  <c r="G255" i="13" s="1"/>
  <c r="G256" i="13" s="1"/>
  <c r="G257" i="13" s="1"/>
  <c r="G258" i="13" s="1"/>
  <c r="G259" i="13" s="1"/>
  <c r="G260" i="13" s="1"/>
  <c r="G261" i="13" s="1"/>
  <c r="G262" i="13" s="1"/>
  <c r="G263" i="13" s="1"/>
  <c r="G264" i="13" s="1"/>
  <c r="G265" i="13" s="1"/>
  <c r="G266" i="13" s="1"/>
  <c r="G267" i="13" s="1"/>
  <c r="G268" i="13" s="1"/>
  <c r="G269" i="13" s="1"/>
  <c r="G270" i="13" s="1"/>
  <c r="G271" i="13" s="1"/>
  <c r="G272" i="13" s="1"/>
  <c r="G273" i="13" s="1"/>
  <c r="G274" i="13" s="1"/>
  <c r="G275" i="13" s="1"/>
  <c r="G276" i="13" s="1"/>
  <c r="G277" i="13" s="1"/>
  <c r="G278" i="13" s="1"/>
  <c r="G279" i="13" s="1"/>
  <c r="G280" i="13" s="1"/>
  <c r="G281" i="13" s="1"/>
  <c r="G282" i="13" s="1"/>
  <c r="G283" i="13" s="1"/>
  <c r="G284" i="13" s="1"/>
  <c r="G285" i="13" s="1"/>
  <c r="G286" i="13" s="1"/>
  <c r="G287" i="13" s="1"/>
  <c r="G288" i="13" s="1"/>
  <c r="G289" i="13" s="1"/>
  <c r="G290" i="13" s="1"/>
  <c r="G291" i="13" s="1"/>
  <c r="G292" i="13" s="1"/>
  <c r="G293" i="13" s="1"/>
  <c r="G294" i="13" s="1"/>
  <c r="G295" i="13" s="1"/>
  <c r="G296" i="13" s="1"/>
  <c r="G297" i="13" s="1"/>
  <c r="G298" i="13" s="1"/>
  <c r="G299" i="13" s="1"/>
  <c r="G300" i="13" s="1"/>
  <c r="G301" i="13" s="1"/>
  <c r="G302" i="13" s="1"/>
  <c r="G303" i="13" s="1"/>
  <c r="G304" i="13" s="1"/>
  <c r="G305" i="13" s="1"/>
  <c r="G306" i="13" s="1"/>
  <c r="G307" i="13" s="1"/>
  <c r="G308" i="13" s="1"/>
  <c r="G309" i="13" s="1"/>
  <c r="G310" i="13" s="1"/>
  <c r="G311" i="13" s="1"/>
  <c r="G312" i="13" s="1"/>
  <c r="G313" i="13" s="1"/>
  <c r="G314" i="13" s="1"/>
  <c r="G315" i="13" s="1"/>
  <c r="G316" i="13" s="1"/>
  <c r="G317" i="13" s="1"/>
  <c r="G318" i="13" s="1"/>
  <c r="G319" i="13" s="1"/>
  <c r="G320" i="13" s="1"/>
  <c r="G321" i="13" s="1"/>
  <c r="G322" i="13" s="1"/>
  <c r="G323" i="13" s="1"/>
  <c r="G324" i="13" s="1"/>
  <c r="G325" i="13" s="1"/>
  <c r="G326" i="13" s="1"/>
  <c r="G327" i="13" s="1"/>
  <c r="G328" i="13" s="1"/>
  <c r="G329" i="13" s="1"/>
  <c r="G330" i="13" s="1"/>
  <c r="G331" i="13" s="1"/>
  <c r="G332" i="13" s="1"/>
  <c r="G333" i="13" s="1"/>
  <c r="G334" i="13" s="1"/>
  <c r="G335" i="13" s="1"/>
  <c r="G336" i="13" s="1"/>
  <c r="G337" i="13" s="1"/>
  <c r="G338" i="13" s="1"/>
  <c r="G339" i="13" s="1"/>
  <c r="G340" i="13" s="1"/>
  <c r="G341" i="13" s="1"/>
  <c r="G342" i="13" s="1"/>
  <c r="G343" i="13" s="1"/>
  <c r="G344" i="13" s="1"/>
  <c r="G345" i="13" s="1"/>
  <c r="G346" i="13" s="1"/>
  <c r="G347" i="13" s="1"/>
  <c r="G348" i="13" s="1"/>
  <c r="G349" i="13" s="1"/>
  <c r="G350" i="13" s="1"/>
  <c r="G351" i="13" s="1"/>
  <c r="G352" i="13" s="1"/>
  <c r="G353" i="13" s="1"/>
  <c r="G354" i="13" s="1"/>
  <c r="G355" i="13" s="1"/>
  <c r="G356" i="13" s="1"/>
  <c r="G357" i="13" s="1"/>
  <c r="G358" i="13" s="1"/>
  <c r="G359" i="13" s="1"/>
  <c r="G360" i="13" s="1"/>
  <c r="G361" i="13" s="1"/>
  <c r="G362" i="13" s="1"/>
  <c r="G363" i="13" s="1"/>
  <c r="G364" i="13" s="1"/>
  <c r="G365" i="13" s="1"/>
  <c r="G366" i="13" s="1"/>
  <c r="G367" i="13" s="1"/>
  <c r="G368" i="13" s="1"/>
  <c r="G369" i="13" s="1"/>
  <c r="G370" i="13" s="1"/>
  <c r="G371" i="13" s="1"/>
  <c r="G372" i="13" s="1"/>
  <c r="G373" i="13" s="1"/>
  <c r="G374" i="13" s="1"/>
  <c r="G375" i="13" s="1"/>
  <c r="G376" i="13" s="1"/>
  <c r="G377" i="13" s="1"/>
  <c r="G378" i="13" s="1"/>
  <c r="G379" i="13" s="1"/>
  <c r="G380" i="13" s="1"/>
  <c r="G381" i="13" s="1"/>
  <c r="G382" i="13" s="1"/>
  <c r="G383" i="13" s="1"/>
  <c r="G384" i="13" s="1"/>
  <c r="G385" i="13" s="1"/>
  <c r="G386" i="13" s="1"/>
  <c r="G387" i="13" s="1"/>
  <c r="G388" i="13" s="1"/>
  <c r="G389" i="13" s="1"/>
  <c r="G390" i="13" s="1"/>
  <c r="G391" i="13" s="1"/>
  <c r="G392" i="13" s="1"/>
  <c r="G393" i="13" s="1"/>
  <c r="G394" i="13" s="1"/>
  <c r="G395" i="13" s="1"/>
  <c r="G396" i="13" s="1"/>
  <c r="G397" i="13" s="1"/>
  <c r="G398" i="13" s="1"/>
  <c r="G399" i="13" s="1"/>
  <c r="G400" i="13" s="1"/>
  <c r="G401" i="13" s="1"/>
  <c r="G402" i="13" s="1"/>
  <c r="G403" i="13" s="1"/>
  <c r="G404" i="13" s="1"/>
  <c r="G405" i="13" s="1"/>
  <c r="G406" i="13" s="1"/>
  <c r="G407" i="13" s="1"/>
  <c r="G408" i="13" s="1"/>
  <c r="G409" i="13" s="1"/>
  <c r="G410" i="13" s="1"/>
  <c r="G411" i="13" s="1"/>
  <c r="G412" i="13" s="1"/>
  <c r="G413" i="13" s="1"/>
  <c r="G414" i="13" s="1"/>
  <c r="G415" i="13" s="1"/>
  <c r="G416" i="13" s="1"/>
  <c r="G417" i="13" s="1"/>
  <c r="G418" i="13" s="1"/>
  <c r="G419" i="13" s="1"/>
  <c r="G420" i="13" s="1"/>
  <c r="G421" i="13" s="1"/>
  <c r="G422" i="13" s="1"/>
  <c r="G423" i="13" s="1"/>
  <c r="G424" i="13" s="1"/>
  <c r="G425" i="13" s="1"/>
  <c r="G426" i="13" s="1"/>
  <c r="G427" i="13" s="1"/>
  <c r="G428" i="13" s="1"/>
  <c r="G429" i="13" s="1"/>
  <c r="G430" i="13" s="1"/>
  <c r="G431" i="13" s="1"/>
  <c r="G432" i="13" s="1"/>
  <c r="G433" i="13" s="1"/>
  <c r="G434" i="13" s="1"/>
  <c r="G435" i="13" s="1"/>
  <c r="G436" i="13" s="1"/>
  <c r="G437" i="13" s="1"/>
  <c r="G438" i="13" s="1"/>
  <c r="G439" i="13" s="1"/>
  <c r="G440" i="13" s="1"/>
  <c r="G441" i="13" s="1"/>
  <c r="G442" i="13" s="1"/>
  <c r="G443" i="13" s="1"/>
  <c r="G444" i="13" s="1"/>
  <c r="G445" i="13" s="1"/>
  <c r="G446" i="13" s="1"/>
  <c r="G447" i="13" s="1"/>
  <c r="G448" i="13" s="1"/>
  <c r="G449" i="13" s="1"/>
  <c r="G450" i="13" s="1"/>
  <c r="G451" i="13" s="1"/>
  <c r="G452" i="13" s="1"/>
  <c r="G453" i="13" s="1"/>
  <c r="G454" i="13" s="1"/>
  <c r="G455" i="13" s="1"/>
  <c r="G456" i="13" s="1"/>
  <c r="G457" i="13" s="1"/>
  <c r="G458" i="13" s="1"/>
  <c r="G459" i="13" s="1"/>
  <c r="G460" i="13" s="1"/>
  <c r="G461" i="13" s="1"/>
  <c r="G462" i="13" s="1"/>
  <c r="G463" i="13" s="1"/>
  <c r="G464" i="13" s="1"/>
  <c r="G465" i="13" s="1"/>
  <c r="G466" i="13" s="1"/>
  <c r="G467" i="13" s="1"/>
  <c r="G468" i="13" s="1"/>
  <c r="G469" i="13" s="1"/>
  <c r="G470" i="13" s="1"/>
  <c r="G471" i="13" s="1"/>
  <c r="G472" i="13" s="1"/>
  <c r="G473" i="13" s="1"/>
  <c r="G474" i="13" s="1"/>
  <c r="G475" i="13" s="1"/>
  <c r="G476" i="13" s="1"/>
  <c r="G477" i="13" s="1"/>
  <c r="G478" i="13" s="1"/>
  <c r="G479" i="13" s="1"/>
  <c r="G480" i="13" s="1"/>
  <c r="G481" i="13" s="1"/>
  <c r="G482" i="13" s="1"/>
  <c r="G483" i="13" s="1"/>
  <c r="G484" i="13" s="1"/>
  <c r="G485" i="13" s="1"/>
  <c r="G486" i="13" s="1"/>
  <c r="G487" i="13" s="1"/>
  <c r="G488" i="13" s="1"/>
  <c r="G489" i="13" s="1"/>
  <c r="G490" i="13" s="1"/>
  <c r="G491" i="13" s="1"/>
  <c r="G492" i="13" s="1"/>
  <c r="G493" i="13" s="1"/>
  <c r="G494" i="13" s="1"/>
  <c r="G495" i="13" s="1"/>
  <c r="G496" i="13" s="1"/>
  <c r="G497" i="13" s="1"/>
  <c r="G498" i="13" s="1"/>
  <c r="G499" i="13" s="1"/>
  <c r="G500" i="13" s="1"/>
  <c r="G501" i="13" s="1"/>
  <c r="G502" i="13" s="1"/>
  <c r="G503" i="13" s="1"/>
  <c r="G504" i="13" s="1"/>
  <c r="G505" i="13" s="1"/>
  <c r="G506" i="13" s="1"/>
  <c r="G507" i="13" s="1"/>
  <c r="G508" i="13" s="1"/>
  <c r="G509" i="13" s="1"/>
  <c r="G510" i="13" s="1"/>
  <c r="G511" i="13" s="1"/>
  <c r="G512" i="13" s="1"/>
  <c r="G513" i="13" s="1"/>
  <c r="G514" i="13" s="1"/>
  <c r="G515" i="13" s="1"/>
  <c r="G516" i="13" s="1"/>
  <c r="G517" i="13" s="1"/>
  <c r="G518" i="13" s="1"/>
  <c r="G519" i="13" s="1"/>
  <c r="G520" i="13" s="1"/>
  <c r="G521" i="13" s="1"/>
  <c r="G522" i="13" s="1"/>
  <c r="G523" i="13" s="1"/>
  <c r="G524" i="13" s="1"/>
  <c r="G525" i="13" s="1"/>
  <c r="G526" i="13" s="1"/>
  <c r="G527" i="13" s="1"/>
  <c r="G528" i="13" s="1"/>
  <c r="G529" i="13" s="1"/>
  <c r="G530" i="13" s="1"/>
  <c r="G531" i="13" s="1"/>
  <c r="G532" i="13" s="1"/>
  <c r="G533" i="13" s="1"/>
  <c r="G534" i="13" s="1"/>
  <c r="G535" i="13" s="1"/>
  <c r="G536" i="13" s="1"/>
  <c r="G537" i="13" s="1"/>
  <c r="G538" i="13" s="1"/>
  <c r="G539" i="13" s="1"/>
  <c r="G540" i="13" s="1"/>
  <c r="G541" i="13" s="1"/>
  <c r="G542" i="13" s="1"/>
  <c r="G543" i="13" s="1"/>
  <c r="G544" i="13" s="1"/>
  <c r="G545" i="13" s="1"/>
  <c r="G546" i="13" s="1"/>
  <c r="G547" i="13" s="1"/>
  <c r="G548" i="13" s="1"/>
  <c r="G549" i="13" s="1"/>
  <c r="G550" i="13" s="1"/>
  <c r="G551" i="13" s="1"/>
  <c r="G552" i="13" s="1"/>
  <c r="G553" i="13" s="1"/>
  <c r="G554" i="13" s="1"/>
  <c r="G555" i="13" s="1"/>
  <c r="G556" i="13" s="1"/>
  <c r="G557" i="13" s="1"/>
  <c r="G558" i="13" s="1"/>
  <c r="G559" i="13" s="1"/>
  <c r="G560" i="13" s="1"/>
  <c r="G561" i="13" s="1"/>
  <c r="G562" i="13" s="1"/>
  <c r="G563" i="13" s="1"/>
  <c r="G564" i="13" s="1"/>
  <c r="G565" i="13" s="1"/>
  <c r="G566" i="13" s="1"/>
  <c r="G567" i="13" s="1"/>
  <c r="G568" i="13" s="1"/>
  <c r="G569" i="13" s="1"/>
  <c r="G570" i="13" s="1"/>
  <c r="G571" i="13" s="1"/>
  <c r="G572" i="13" s="1"/>
  <c r="G573" i="13" s="1"/>
  <c r="G574" i="13" s="1"/>
  <c r="G575" i="13" s="1"/>
  <c r="G576" i="13" s="1"/>
  <c r="G577" i="13" s="1"/>
  <c r="G578" i="13" s="1"/>
  <c r="G579" i="13" s="1"/>
  <c r="G580" i="13" s="1"/>
  <c r="G581" i="13" s="1"/>
  <c r="G582" i="13" s="1"/>
  <c r="G583" i="13" s="1"/>
  <c r="G584" i="13" s="1"/>
  <c r="G585" i="13" s="1"/>
  <c r="G586" i="13" s="1"/>
  <c r="G587" i="13" s="1"/>
  <c r="G588" i="13" s="1"/>
  <c r="G589" i="13" s="1"/>
  <c r="G590" i="13" s="1"/>
  <c r="G591" i="13" s="1"/>
  <c r="G592" i="13" s="1"/>
  <c r="G593" i="13" s="1"/>
  <c r="G594" i="13" s="1"/>
  <c r="G595" i="13" s="1"/>
  <c r="G596" i="13" s="1"/>
  <c r="G597" i="13" s="1"/>
  <c r="G598" i="13" s="1"/>
  <c r="G599" i="13" s="1"/>
  <c r="G600" i="13" s="1"/>
  <c r="G601" i="13" s="1"/>
  <c r="G602" i="13" s="1"/>
  <c r="G603" i="13" s="1"/>
  <c r="G604" i="13" s="1"/>
  <c r="G605" i="13" s="1"/>
  <c r="G606" i="13" s="1"/>
  <c r="G607" i="13" s="1"/>
  <c r="G608" i="13" s="1"/>
  <c r="G609" i="13" s="1"/>
  <c r="G610" i="13" s="1"/>
  <c r="G611" i="13" s="1"/>
  <c r="G612" i="13" s="1"/>
  <c r="G613" i="13" s="1"/>
  <c r="G614" i="13" s="1"/>
  <c r="G615" i="13" s="1"/>
  <c r="G616" i="13" s="1"/>
  <c r="G617" i="13" s="1"/>
  <c r="G618" i="13" s="1"/>
  <c r="G619" i="13" s="1"/>
  <c r="G620" i="13" s="1"/>
  <c r="G621" i="13" s="1"/>
  <c r="G622" i="13" s="1"/>
  <c r="G623" i="13" s="1"/>
  <c r="G624" i="13" s="1"/>
  <c r="G625" i="13" s="1"/>
  <c r="G626" i="13" s="1"/>
  <c r="G627" i="13" s="1"/>
  <c r="G628" i="13" s="1"/>
  <c r="G629" i="13" s="1"/>
  <c r="G630" i="13" s="1"/>
  <c r="G631" i="13" s="1"/>
  <c r="G632" i="13" s="1"/>
  <c r="G633" i="13" s="1"/>
  <c r="G634" i="13" s="1"/>
  <c r="G635" i="13" s="1"/>
  <c r="G636" i="13" s="1"/>
  <c r="G637" i="13" s="1"/>
  <c r="G638" i="13" s="1"/>
  <c r="G639" i="13" s="1"/>
  <c r="G640" i="13" s="1"/>
  <c r="G641" i="13" s="1"/>
  <c r="G642" i="13" s="1"/>
  <c r="G643" i="13" s="1"/>
  <c r="G644" i="13" s="1"/>
  <c r="G645" i="13" s="1"/>
  <c r="G646" i="13" s="1"/>
  <c r="G647" i="13" s="1"/>
  <c r="G648" i="13" s="1"/>
  <c r="G649" i="13" s="1"/>
  <c r="G650" i="13" s="1"/>
  <c r="G651" i="13" s="1"/>
  <c r="G652" i="13" s="1"/>
  <c r="G653" i="13" s="1"/>
  <c r="G654" i="13" s="1"/>
  <c r="G655" i="13" s="1"/>
  <c r="G656" i="13" s="1"/>
  <c r="G657" i="13" s="1"/>
  <c r="G658" i="13" s="1"/>
  <c r="G659" i="13" s="1"/>
  <c r="G660" i="13" s="1"/>
  <c r="G661" i="13" s="1"/>
  <c r="G662" i="13" s="1"/>
  <c r="G663" i="13" s="1"/>
  <c r="G664" i="13" s="1"/>
  <c r="G665" i="13" s="1"/>
  <c r="G666" i="13" s="1"/>
  <c r="G667" i="13" s="1"/>
  <c r="G668" i="13" s="1"/>
  <c r="G669" i="13" s="1"/>
  <c r="G670" i="13" s="1"/>
  <c r="G671" i="13" s="1"/>
  <c r="G672" i="13" s="1"/>
  <c r="G673" i="13" s="1"/>
  <c r="G674" i="13" s="1"/>
  <c r="G675" i="13" s="1"/>
  <c r="G676" i="13" s="1"/>
  <c r="G677" i="13" s="1"/>
  <c r="G678" i="13" s="1"/>
  <c r="G679" i="13" s="1"/>
  <c r="G680" i="13" s="1"/>
  <c r="G681" i="13" s="1"/>
  <c r="G682" i="13" s="1"/>
  <c r="G683" i="13" s="1"/>
  <c r="G684" i="13" s="1"/>
  <c r="G685" i="13" s="1"/>
  <c r="G686" i="13" s="1"/>
  <c r="G687" i="13" s="1"/>
  <c r="G688" i="13" s="1"/>
  <c r="G689" i="13" s="1"/>
  <c r="G690" i="13" s="1"/>
  <c r="G691" i="13" s="1"/>
  <c r="G692" i="13" s="1"/>
  <c r="G693" i="13" s="1"/>
  <c r="G694" i="13" s="1"/>
  <c r="G695" i="13" s="1"/>
  <c r="G696" i="13" s="1"/>
  <c r="G697" i="13" s="1"/>
  <c r="G698" i="13" s="1"/>
  <c r="G699" i="13" s="1"/>
  <c r="G700" i="13" s="1"/>
  <c r="G701" i="13" s="1"/>
  <c r="G702" i="13" s="1"/>
  <c r="G703" i="13" s="1"/>
  <c r="G704" i="13" s="1"/>
  <c r="G705" i="13" s="1"/>
  <c r="G706" i="13" s="1"/>
  <c r="G707" i="13" s="1"/>
  <c r="G708" i="13" s="1"/>
  <c r="G709" i="13" s="1"/>
  <c r="G710" i="13" s="1"/>
  <c r="G711" i="13" s="1"/>
  <c r="G712" i="13" s="1"/>
  <c r="G713" i="13" s="1"/>
  <c r="G714" i="13" s="1"/>
  <c r="G715" i="13" s="1"/>
  <c r="G716" i="13" s="1"/>
  <c r="G717" i="13" s="1"/>
  <c r="G718" i="13" s="1"/>
  <c r="G719" i="13" s="1"/>
  <c r="G720" i="13" s="1"/>
  <c r="G721" i="13" s="1"/>
  <c r="G722" i="13" s="1"/>
  <c r="G723" i="13" s="1"/>
  <c r="G724" i="13" s="1"/>
  <c r="G725" i="13" s="1"/>
  <c r="G726" i="13" s="1"/>
  <c r="G727" i="13" s="1"/>
  <c r="G728" i="13" s="1"/>
  <c r="G729" i="13" s="1"/>
  <c r="G730" i="13" s="1"/>
  <c r="G731" i="13" s="1"/>
  <c r="G732" i="13" s="1"/>
  <c r="G733" i="13" s="1"/>
  <c r="G734" i="13" s="1"/>
  <c r="G735" i="13" s="1"/>
  <c r="G736" i="13" s="1"/>
  <c r="G737" i="13" s="1"/>
  <c r="G738" i="13" s="1"/>
  <c r="G739" i="13" s="1"/>
  <c r="G740" i="13" s="1"/>
  <c r="G741" i="13" s="1"/>
  <c r="G742" i="13" s="1"/>
  <c r="G743" i="13" s="1"/>
  <c r="G744" i="13" s="1"/>
  <c r="G745" i="13" s="1"/>
  <c r="G746" i="13" s="1"/>
  <c r="G747" i="13" s="1"/>
  <c r="G748" i="13" s="1"/>
  <c r="G749" i="13" s="1"/>
  <c r="G750" i="13" s="1"/>
  <c r="G751" i="13" s="1"/>
  <c r="G752" i="13" s="1"/>
  <c r="G753" i="13" s="1"/>
  <c r="G754" i="13" s="1"/>
  <c r="G755" i="13" s="1"/>
  <c r="G756" i="13" s="1"/>
  <c r="G757" i="13" s="1"/>
  <c r="G758" i="13" s="1"/>
  <c r="G759" i="13" s="1"/>
  <c r="G760" i="13" s="1"/>
  <c r="G761" i="13" s="1"/>
  <c r="G762" i="13" s="1"/>
  <c r="G763" i="13" s="1"/>
  <c r="G764" i="13" s="1"/>
  <c r="G765" i="13" s="1"/>
  <c r="G766" i="13" s="1"/>
  <c r="G767" i="13" s="1"/>
  <c r="G768" i="13" s="1"/>
  <c r="G769" i="13" s="1"/>
  <c r="G770" i="13" s="1"/>
  <c r="G771" i="13" s="1"/>
  <c r="G772" i="13" s="1"/>
  <c r="G773" i="13" s="1"/>
  <c r="G774" i="13" s="1"/>
  <c r="G775" i="13" s="1"/>
  <c r="G776" i="13" s="1"/>
  <c r="G777" i="13" s="1"/>
  <c r="G778" i="13" s="1"/>
  <c r="G779" i="13" s="1"/>
  <c r="G780" i="13" s="1"/>
  <c r="G781" i="13" s="1"/>
  <c r="G782" i="13" s="1"/>
  <c r="G783" i="13" s="1"/>
  <c r="G784" i="13" s="1"/>
  <c r="G785" i="13" s="1"/>
  <c r="G786" i="13" s="1"/>
  <c r="G787" i="13" s="1"/>
  <c r="G788" i="13" s="1"/>
  <c r="G789" i="13" s="1"/>
  <c r="G790" i="13" s="1"/>
  <c r="G791" i="13" s="1"/>
  <c r="G792" i="13" s="1"/>
  <c r="G793" i="13" s="1"/>
  <c r="G794" i="13" s="1"/>
  <c r="G795" i="13" s="1"/>
  <c r="G796" i="13" s="1"/>
  <c r="G797" i="13" s="1"/>
  <c r="G798" i="13" s="1"/>
  <c r="G799" i="13" s="1"/>
  <c r="G800" i="13" s="1"/>
  <c r="G801" i="13" s="1"/>
  <c r="G802" i="13" s="1"/>
  <c r="G803" i="13" s="1"/>
  <c r="G804" i="13" s="1"/>
  <c r="G805" i="13" s="1"/>
  <c r="G806" i="13" s="1"/>
  <c r="G807" i="13" s="1"/>
  <c r="G808" i="13" s="1"/>
  <c r="G809" i="13" s="1"/>
  <c r="G810" i="13" s="1"/>
  <c r="G811" i="13" s="1"/>
  <c r="G812" i="13" s="1"/>
  <c r="G813" i="13" s="1"/>
  <c r="G814" i="13" s="1"/>
  <c r="G815" i="13" s="1"/>
  <c r="F48" i="13"/>
  <c r="N48" i="13" s="1"/>
  <c r="K4" i="13"/>
  <c r="L3" i="13"/>
  <c r="T7" i="13" s="1"/>
  <c r="L7" i="10"/>
  <c r="L6" i="10"/>
  <c r="F20" i="10"/>
  <c r="L8" i="10"/>
  <c r="L10" i="10"/>
  <c r="L9" i="10"/>
  <c r="G6" i="10"/>
  <c r="D18" i="10"/>
  <c r="O9" i="10"/>
  <c r="I6" i="10"/>
  <c r="F6" i="10"/>
  <c r="F22" i="10"/>
  <c r="E18" i="10"/>
  <c r="F10" i="10"/>
  <c r="F19" i="10"/>
  <c r="C19" i="10"/>
  <c r="C7" i="10"/>
  <c r="C21" i="10"/>
  <c r="F21" i="10"/>
  <c r="C9" i="10"/>
  <c r="E21" i="10"/>
  <c r="F9" i="10"/>
  <c r="E20" i="10"/>
  <c r="M8" i="10"/>
  <c r="J20" i="10" s="1"/>
  <c r="E19" i="10"/>
  <c r="F18" i="10"/>
  <c r="C6" i="10"/>
  <c r="C22" i="10"/>
  <c r="C10" i="10"/>
  <c r="F7" i="10"/>
  <c r="E22" i="10"/>
  <c r="E7" i="9"/>
  <c r="F8" i="9"/>
  <c r="D10" i="9"/>
  <c r="I10" i="9" s="1"/>
  <c r="D6" i="9"/>
  <c r="C18" i="9" s="1"/>
  <c r="E6" i="9"/>
  <c r="D9" i="9"/>
  <c r="C9" i="9" s="1"/>
  <c r="D7" i="9"/>
  <c r="G8" i="9"/>
  <c r="A9" i="9"/>
  <c r="B21" i="9" s="1"/>
  <c r="J21" i="9" s="1"/>
  <c r="I8" i="9"/>
  <c r="A10" i="9"/>
  <c r="B22" i="9" s="1"/>
  <c r="J22" i="9" s="1"/>
  <c r="C8" i="9"/>
  <c r="D21" i="9"/>
  <c r="J8" i="9"/>
  <c r="G12" i="13" l="1"/>
  <c r="G11" i="13" s="1"/>
  <c r="G10" i="13" s="1"/>
  <c r="G9" i="13" s="1"/>
  <c r="N4" i="13"/>
  <c r="U7" i="13"/>
  <c r="P48" i="13"/>
  <c r="O50" i="13"/>
  <c r="O46" i="13"/>
  <c r="I49" i="13"/>
  <c r="I50" i="13" s="1"/>
  <c r="I47" i="13"/>
  <c r="O47" i="13"/>
  <c r="O49" i="13"/>
  <c r="I7" i="9"/>
  <c r="F19" i="9" s="1"/>
  <c r="D19" i="9"/>
  <c r="G7" i="9"/>
  <c r="F9" i="9"/>
  <c r="M6" i="10"/>
  <c r="J18" i="10" s="1"/>
  <c r="M10" i="10"/>
  <c r="J22" i="10" s="1"/>
  <c r="M7" i="10"/>
  <c r="J19" i="10" s="1"/>
  <c r="M9" i="10"/>
  <c r="J21" i="10" s="1"/>
  <c r="F10" i="9"/>
  <c r="J10" i="9"/>
  <c r="E22" i="9" s="1"/>
  <c r="I9" i="9"/>
  <c r="F21" i="9" s="1"/>
  <c r="F7" i="9"/>
  <c r="C19" i="9"/>
  <c r="J7" i="9"/>
  <c r="E19" i="9" s="1"/>
  <c r="G9" i="9"/>
  <c r="J6" i="9"/>
  <c r="E18" i="9" s="1"/>
  <c r="G6" i="9"/>
  <c r="F6" i="9"/>
  <c r="K6" i="9"/>
  <c r="K10" i="9"/>
  <c r="K9" i="9"/>
  <c r="K8" i="9"/>
  <c r="L8" i="9" s="1"/>
  <c r="L20" i="9" s="1"/>
  <c r="G10" i="9"/>
  <c r="E20" i="9"/>
  <c r="K7" i="9"/>
  <c r="F20" i="9"/>
  <c r="D22" i="9"/>
  <c r="C7" i="9"/>
  <c r="C6" i="9"/>
  <c r="C10" i="9"/>
  <c r="C22" i="9"/>
  <c r="D18" i="9"/>
  <c r="C21" i="9"/>
  <c r="I6" i="9"/>
  <c r="F18" i="9" s="1"/>
  <c r="J9" i="9"/>
  <c r="E21" i="9" s="1"/>
  <c r="L6" i="9" l="1"/>
  <c r="H47" i="13"/>
  <c r="I46" i="13"/>
  <c r="H49" i="13"/>
  <c r="L18" i="9"/>
  <c r="L10" i="9"/>
  <c r="L22" i="9" s="1"/>
  <c r="L9" i="9"/>
  <c r="L21" i="9" s="1"/>
  <c r="L7" i="9"/>
  <c r="L19" i="9" s="1"/>
  <c r="F22" i="9"/>
  <c r="F49" i="13" l="1"/>
  <c r="O45" i="13"/>
  <c r="F47" i="13"/>
  <c r="O51" i="13"/>
  <c r="I51" i="13"/>
  <c r="H50" i="13"/>
  <c r="F50" i="13" s="1"/>
  <c r="P50" i="13" s="1"/>
  <c r="I45" i="13"/>
  <c r="H46" i="13"/>
  <c r="F46" i="13" s="1"/>
  <c r="P46" i="13" s="1"/>
  <c r="N47" i="13" l="1"/>
  <c r="P47" i="13"/>
  <c r="N49" i="13"/>
  <c r="P49" i="13"/>
  <c r="O44" i="13"/>
  <c r="O52" i="13"/>
  <c r="I52" i="13"/>
  <c r="H51" i="13"/>
  <c r="F51" i="13" s="1"/>
  <c r="P51" i="13" s="1"/>
  <c r="N50" i="13"/>
  <c r="N46" i="13"/>
  <c r="I44" i="13"/>
  <c r="H45" i="13"/>
  <c r="F45" i="13" s="1"/>
  <c r="P45" i="13" s="1"/>
  <c r="O53" i="13" l="1"/>
  <c r="O43" i="13"/>
  <c r="N45" i="13"/>
  <c r="H44" i="13"/>
  <c r="F44" i="13" s="1"/>
  <c r="P44" i="13" s="1"/>
  <c r="I43" i="13"/>
  <c r="N51" i="13"/>
  <c r="I53" i="13"/>
  <c r="H52" i="13"/>
  <c r="F52" i="13" s="1"/>
  <c r="P52" i="13" s="1"/>
  <c r="O42" i="13" l="1"/>
  <c r="O54" i="13"/>
  <c r="N52" i="13"/>
  <c r="I54" i="13"/>
  <c r="H53" i="13"/>
  <c r="F53" i="13" s="1"/>
  <c r="P53" i="13" s="1"/>
  <c r="H43" i="13"/>
  <c r="F43" i="13" s="1"/>
  <c r="P43" i="13" s="1"/>
  <c r="I42" i="13"/>
  <c r="N44" i="13"/>
  <c r="O55" i="13" l="1"/>
  <c r="O41" i="13"/>
  <c r="I41" i="13"/>
  <c r="H42" i="13"/>
  <c r="F42" i="13" s="1"/>
  <c r="P42" i="13" s="1"/>
  <c r="N53" i="13"/>
  <c r="N43" i="13"/>
  <c r="I55" i="13"/>
  <c r="H54" i="13"/>
  <c r="F54" i="13" s="1"/>
  <c r="P54" i="13" s="1"/>
  <c r="O40" i="13" l="1"/>
  <c r="O56" i="13"/>
  <c r="I56" i="13"/>
  <c r="H55" i="13"/>
  <c r="F55" i="13" s="1"/>
  <c r="P55" i="13" s="1"/>
  <c r="N42" i="13"/>
  <c r="I40" i="13"/>
  <c r="H41" i="13"/>
  <c r="F41" i="13" s="1"/>
  <c r="P41" i="13" s="1"/>
  <c r="N54" i="13"/>
  <c r="O57" i="13" l="1"/>
  <c r="O39" i="13"/>
  <c r="N41" i="13"/>
  <c r="N55" i="13"/>
  <c r="H40" i="13"/>
  <c r="F40" i="13" s="1"/>
  <c r="P40" i="13" s="1"/>
  <c r="I39" i="13"/>
  <c r="H56" i="13"/>
  <c r="F56" i="13" s="1"/>
  <c r="P56" i="13" s="1"/>
  <c r="I57" i="13"/>
  <c r="O38" i="13" l="1"/>
  <c r="O58" i="13"/>
  <c r="N40" i="13"/>
  <c r="I58" i="13"/>
  <c r="H57" i="13"/>
  <c r="F57" i="13" s="1"/>
  <c r="P57" i="13" s="1"/>
  <c r="N56" i="13"/>
  <c r="H39" i="13"/>
  <c r="F39" i="13" s="1"/>
  <c r="P39" i="13" s="1"/>
  <c r="I38" i="13"/>
  <c r="O59" i="13" l="1"/>
  <c r="O37" i="13"/>
  <c r="N57" i="13"/>
  <c r="I59" i="13"/>
  <c r="H58" i="13"/>
  <c r="F58" i="13" s="1"/>
  <c r="P58" i="13" s="1"/>
  <c r="I37" i="13"/>
  <c r="H38" i="13"/>
  <c r="F38" i="13" s="1"/>
  <c r="P38" i="13" s="1"/>
  <c r="N39" i="13"/>
  <c r="O36" i="13" l="1"/>
  <c r="O60" i="13"/>
  <c r="N38" i="13"/>
  <c r="I36" i="13"/>
  <c r="H37" i="13"/>
  <c r="F37" i="13" s="1"/>
  <c r="P37" i="13" s="1"/>
  <c r="N58" i="13"/>
  <c r="I60" i="13"/>
  <c r="H59" i="13"/>
  <c r="F59" i="13" s="1"/>
  <c r="P59" i="13" s="1"/>
  <c r="O35" i="13" l="1"/>
  <c r="O61" i="13"/>
  <c r="N59" i="13"/>
  <c r="H36" i="13"/>
  <c r="F36" i="13" s="1"/>
  <c r="P36" i="13" s="1"/>
  <c r="I35" i="13"/>
  <c r="N37" i="13"/>
  <c r="I61" i="13"/>
  <c r="H60" i="13"/>
  <c r="F60" i="13" s="1"/>
  <c r="P60" i="13" s="1"/>
  <c r="O62" i="13" l="1"/>
  <c r="O34" i="13"/>
  <c r="N60" i="13"/>
  <c r="H35" i="13"/>
  <c r="F35" i="13" s="1"/>
  <c r="P35" i="13" s="1"/>
  <c r="I34" i="13"/>
  <c r="I62" i="13"/>
  <c r="H61" i="13"/>
  <c r="F61" i="13" s="1"/>
  <c r="P61" i="13" s="1"/>
  <c r="N36" i="13"/>
  <c r="O33" i="13" l="1"/>
  <c r="O63" i="13"/>
  <c r="N35" i="13"/>
  <c r="I33" i="13"/>
  <c r="H34" i="13"/>
  <c r="F34" i="13" s="1"/>
  <c r="P34" i="13" s="1"/>
  <c r="N61" i="13"/>
  <c r="I63" i="13"/>
  <c r="H62" i="13"/>
  <c r="F62" i="13" s="1"/>
  <c r="P62" i="13" s="1"/>
  <c r="O64" i="13" l="1"/>
  <c r="O32" i="13"/>
  <c r="I64" i="13"/>
  <c r="H63" i="13"/>
  <c r="F63" i="13" s="1"/>
  <c r="P63" i="13" s="1"/>
  <c r="I32" i="13"/>
  <c r="H33" i="13"/>
  <c r="F33" i="13" s="1"/>
  <c r="P33" i="13" s="1"/>
  <c r="N62" i="13"/>
  <c r="N34" i="13"/>
  <c r="O31" i="13" l="1"/>
  <c r="O65" i="13"/>
  <c r="N33" i="13"/>
  <c r="H32" i="13"/>
  <c r="F32" i="13" s="1"/>
  <c r="P32" i="13" s="1"/>
  <c r="I31" i="13"/>
  <c r="N63" i="13"/>
  <c r="I65" i="13"/>
  <c r="H64" i="13"/>
  <c r="F64" i="13" s="1"/>
  <c r="P64" i="13" s="1"/>
  <c r="O66" i="13" l="1"/>
  <c r="O30" i="13"/>
  <c r="N64" i="13"/>
  <c r="I66" i="13"/>
  <c r="H65" i="13"/>
  <c r="F65" i="13" s="1"/>
  <c r="P65" i="13" s="1"/>
  <c r="H31" i="13"/>
  <c r="F31" i="13" s="1"/>
  <c r="P31" i="13" s="1"/>
  <c r="I30" i="13"/>
  <c r="N32" i="13"/>
  <c r="O29" i="13" l="1"/>
  <c r="O67" i="13"/>
  <c r="N65" i="13"/>
  <c r="N31" i="13"/>
  <c r="I67" i="13"/>
  <c r="H66" i="13"/>
  <c r="F66" i="13" s="1"/>
  <c r="P66" i="13" s="1"/>
  <c r="I29" i="13"/>
  <c r="H30" i="13"/>
  <c r="F30" i="13" s="1"/>
  <c r="P30" i="13" s="1"/>
  <c r="O68" i="13" l="1"/>
  <c r="O28" i="13"/>
  <c r="N30" i="13"/>
  <c r="N66" i="13"/>
  <c r="I28" i="13"/>
  <c r="H29" i="13"/>
  <c r="F29" i="13" s="1"/>
  <c r="P29" i="13" s="1"/>
  <c r="I68" i="13"/>
  <c r="H67" i="13"/>
  <c r="F67" i="13" s="1"/>
  <c r="P67" i="13" s="1"/>
  <c r="O27" i="13" l="1"/>
  <c r="O69" i="13"/>
  <c r="H28" i="13"/>
  <c r="F28" i="13" s="1"/>
  <c r="P28" i="13" s="1"/>
  <c r="I27" i="13"/>
  <c r="I69" i="13"/>
  <c r="H68" i="13"/>
  <c r="F68" i="13" s="1"/>
  <c r="P68" i="13" s="1"/>
  <c r="N67" i="13"/>
  <c r="N29" i="13"/>
  <c r="O70" i="13" l="1"/>
  <c r="O26" i="13"/>
  <c r="H27" i="13"/>
  <c r="F27" i="13" s="1"/>
  <c r="P27" i="13" s="1"/>
  <c r="I26" i="13"/>
  <c r="I70" i="13"/>
  <c r="H69" i="13"/>
  <c r="F69" i="13" s="1"/>
  <c r="P69" i="13" s="1"/>
  <c r="N68" i="13"/>
  <c r="N28" i="13"/>
  <c r="O25" i="13" l="1"/>
  <c r="O71" i="13"/>
  <c r="N27" i="13"/>
  <c r="I71" i="13"/>
  <c r="H70" i="13"/>
  <c r="F70" i="13" s="1"/>
  <c r="P70" i="13" s="1"/>
  <c r="N69" i="13"/>
  <c r="I25" i="13"/>
  <c r="H26" i="13"/>
  <c r="F26" i="13" s="1"/>
  <c r="P26" i="13" s="1"/>
  <c r="O24" i="13" l="1"/>
  <c r="O72" i="13"/>
  <c r="N70" i="13"/>
  <c r="I72" i="13"/>
  <c r="H71" i="13"/>
  <c r="F71" i="13" s="1"/>
  <c r="P71" i="13" s="1"/>
  <c r="I24" i="13"/>
  <c r="H25" i="13"/>
  <c r="F25" i="13" s="1"/>
  <c r="P25" i="13" s="1"/>
  <c r="N26" i="13"/>
  <c r="O73" i="13" l="1"/>
  <c r="O23" i="13"/>
  <c r="H24" i="13"/>
  <c r="F24" i="13" s="1"/>
  <c r="P24" i="13" s="1"/>
  <c r="I23" i="13"/>
  <c r="H72" i="13"/>
  <c r="F72" i="13" s="1"/>
  <c r="P72" i="13" s="1"/>
  <c r="I73" i="13"/>
  <c r="N25" i="13"/>
  <c r="N71" i="13"/>
  <c r="O22" i="13" l="1"/>
  <c r="O74" i="13"/>
  <c r="H23" i="13"/>
  <c r="F23" i="13" s="1"/>
  <c r="P23" i="13" s="1"/>
  <c r="I22" i="13"/>
  <c r="I74" i="13"/>
  <c r="H73" i="13"/>
  <c r="F73" i="13" s="1"/>
  <c r="P73" i="13" s="1"/>
  <c r="N24" i="13"/>
  <c r="N72" i="13"/>
  <c r="O75" i="13" l="1"/>
  <c r="O21" i="13"/>
  <c r="N73" i="13"/>
  <c r="I75" i="13"/>
  <c r="H74" i="13"/>
  <c r="F74" i="13" s="1"/>
  <c r="P74" i="13" s="1"/>
  <c r="I21" i="13"/>
  <c r="H22" i="13"/>
  <c r="F22" i="13" s="1"/>
  <c r="P22" i="13" s="1"/>
  <c r="N23" i="13"/>
  <c r="O20" i="13" l="1"/>
  <c r="O76" i="13"/>
  <c r="N74" i="13"/>
  <c r="N22" i="13"/>
  <c r="I76" i="13"/>
  <c r="H75" i="13"/>
  <c r="F75" i="13" s="1"/>
  <c r="P75" i="13" s="1"/>
  <c r="I20" i="13"/>
  <c r="H21" i="13"/>
  <c r="F21" i="13" s="1"/>
  <c r="P21" i="13" s="1"/>
  <c r="O77" i="13" l="1"/>
  <c r="O19" i="13"/>
  <c r="N21" i="13"/>
  <c r="N75" i="13"/>
  <c r="H20" i="13"/>
  <c r="F20" i="13" s="1"/>
  <c r="P20" i="13" s="1"/>
  <c r="I19" i="13"/>
  <c r="I77" i="13"/>
  <c r="H76" i="13"/>
  <c r="F76" i="13" s="1"/>
  <c r="P76" i="13" s="1"/>
  <c r="O18" i="13" l="1"/>
  <c r="O78" i="13"/>
  <c r="N76" i="13"/>
  <c r="H77" i="13"/>
  <c r="F77" i="13" s="1"/>
  <c r="P77" i="13" s="1"/>
  <c r="I78" i="13"/>
  <c r="I18" i="13"/>
  <c r="H19" i="13"/>
  <c r="F19" i="13" s="1"/>
  <c r="P19" i="13" s="1"/>
  <c r="N20" i="13"/>
  <c r="O17" i="13" l="1"/>
  <c r="O79" i="13"/>
  <c r="N77" i="13"/>
  <c r="N19" i="13"/>
  <c r="H18" i="13"/>
  <c r="F18" i="13" s="1"/>
  <c r="P18" i="13" s="1"/>
  <c r="I17" i="13"/>
  <c r="I79" i="13"/>
  <c r="H78" i="13"/>
  <c r="F78" i="13" s="1"/>
  <c r="P78" i="13" s="1"/>
  <c r="O80" i="13" l="1"/>
  <c r="O16" i="13"/>
  <c r="H17" i="13"/>
  <c r="F17" i="13" s="1"/>
  <c r="P17" i="13" s="1"/>
  <c r="I16" i="13"/>
  <c r="N78" i="13"/>
  <c r="I80" i="13"/>
  <c r="H79" i="13"/>
  <c r="F79" i="13" s="1"/>
  <c r="P79" i="13" s="1"/>
  <c r="N18" i="13"/>
  <c r="O15" i="13" l="1"/>
  <c r="O81" i="13"/>
  <c r="I81" i="13"/>
  <c r="H80" i="13"/>
  <c r="F80" i="13" s="1"/>
  <c r="P80" i="13" s="1"/>
  <c r="N17" i="13"/>
  <c r="N79" i="13"/>
  <c r="I15" i="13"/>
  <c r="H16" i="13"/>
  <c r="F16" i="13" s="1"/>
  <c r="P16" i="13" s="1"/>
  <c r="O82" i="13" l="1"/>
  <c r="O14" i="13"/>
  <c r="N16" i="13"/>
  <c r="N80" i="13"/>
  <c r="I14" i="13"/>
  <c r="H15" i="13"/>
  <c r="F15" i="13" s="1"/>
  <c r="P15" i="13" s="1"/>
  <c r="I82" i="13"/>
  <c r="H81" i="13"/>
  <c r="F81" i="13" s="1"/>
  <c r="P81" i="13" s="1"/>
  <c r="O13" i="13" l="1"/>
  <c r="O83" i="13"/>
  <c r="N81" i="13"/>
  <c r="I13" i="13"/>
  <c r="H14" i="13"/>
  <c r="F14" i="13" s="1"/>
  <c r="P14" i="13" s="1"/>
  <c r="N15" i="13"/>
  <c r="I83" i="13"/>
  <c r="H82" i="13"/>
  <c r="F82" i="13" s="1"/>
  <c r="P82" i="13" s="1"/>
  <c r="O84" i="13" l="1"/>
  <c r="O12" i="13"/>
  <c r="H83" i="13"/>
  <c r="F83" i="13" s="1"/>
  <c r="P83" i="13" s="1"/>
  <c r="I84" i="13"/>
  <c r="N14" i="13"/>
  <c r="H13" i="13"/>
  <c r="F13" i="13" s="1"/>
  <c r="I12" i="13"/>
  <c r="N82" i="13"/>
  <c r="P13" i="13" l="1"/>
  <c r="O11" i="13"/>
  <c r="O85" i="13"/>
  <c r="I85" i="13"/>
  <c r="H84" i="13"/>
  <c r="F84" i="13" s="1"/>
  <c r="P84" i="13" s="1"/>
  <c r="H12" i="13"/>
  <c r="F12" i="13" s="1"/>
  <c r="P12" i="13" s="1"/>
  <c r="I11" i="13"/>
  <c r="N83" i="13"/>
  <c r="N13" i="13" l="1"/>
  <c r="O86" i="13"/>
  <c r="G8" i="13"/>
  <c r="O10" i="13"/>
  <c r="N84" i="13"/>
  <c r="I86" i="13"/>
  <c r="H85" i="13"/>
  <c r="F85" i="13" s="1"/>
  <c r="P85" i="13" s="1"/>
  <c r="I10" i="13"/>
  <c r="H11" i="13"/>
  <c r="F11" i="13" s="1"/>
  <c r="P11" i="13" s="1"/>
  <c r="N12" i="13"/>
  <c r="O8" i="13" l="1"/>
  <c r="O9" i="13"/>
  <c r="O87" i="13"/>
  <c r="N11" i="13"/>
  <c r="H10" i="13"/>
  <c r="F10" i="13" s="1"/>
  <c r="P10" i="13" s="1"/>
  <c r="I9" i="13"/>
  <c r="N85" i="13"/>
  <c r="I87" i="13"/>
  <c r="H86" i="13"/>
  <c r="F86" i="13" s="1"/>
  <c r="P86" i="13" s="1"/>
  <c r="O88" i="13" l="1"/>
  <c r="I8" i="13"/>
  <c r="H8" i="13" s="1"/>
  <c r="F8" i="13" s="1"/>
  <c r="P8" i="13" s="1"/>
  <c r="H9" i="13"/>
  <c r="F9" i="13" s="1"/>
  <c r="P9" i="13" s="1"/>
  <c r="N86" i="13"/>
  <c r="I88" i="13"/>
  <c r="H87" i="13"/>
  <c r="F87" i="13" s="1"/>
  <c r="P87" i="13" s="1"/>
  <c r="N10" i="13"/>
  <c r="O89" i="13" l="1"/>
  <c r="N87" i="13"/>
  <c r="I89" i="13"/>
  <c r="H88" i="13"/>
  <c r="F88" i="13" s="1"/>
  <c r="P88" i="13" s="1"/>
  <c r="N9" i="13"/>
  <c r="N8" i="13"/>
  <c r="O90" i="13" l="1"/>
  <c r="N88" i="13"/>
  <c r="I90" i="13"/>
  <c r="H89" i="13"/>
  <c r="F89" i="13" s="1"/>
  <c r="P89" i="13" s="1"/>
  <c r="O91" i="13" l="1"/>
  <c r="I91" i="13"/>
  <c r="H90" i="13"/>
  <c r="F90" i="13" s="1"/>
  <c r="P90" i="13" s="1"/>
  <c r="N89" i="13"/>
  <c r="O92" i="13" l="1"/>
  <c r="N90" i="13"/>
  <c r="I92" i="13"/>
  <c r="H91" i="13"/>
  <c r="F91" i="13" s="1"/>
  <c r="P91" i="13" s="1"/>
  <c r="O93" i="13" l="1"/>
  <c r="N91" i="13"/>
  <c r="I93" i="13"/>
  <c r="H92" i="13"/>
  <c r="F92" i="13" s="1"/>
  <c r="P92" i="13" s="1"/>
  <c r="O94" i="13" l="1"/>
  <c r="N92" i="13"/>
  <c r="H93" i="13"/>
  <c r="F93" i="13" s="1"/>
  <c r="P93" i="13" s="1"/>
  <c r="I94" i="13"/>
  <c r="O95" i="13" l="1"/>
  <c r="I95" i="13"/>
  <c r="H94" i="13"/>
  <c r="F94" i="13" s="1"/>
  <c r="P94" i="13" s="1"/>
  <c r="N93" i="13"/>
  <c r="O96" i="13" l="1"/>
  <c r="I96" i="13"/>
  <c r="H95" i="13"/>
  <c r="F95" i="13" s="1"/>
  <c r="P95" i="13" s="1"/>
  <c r="N94" i="13"/>
  <c r="O97" i="13" l="1"/>
  <c r="N95" i="13"/>
  <c r="I97" i="13"/>
  <c r="H96" i="13"/>
  <c r="F96" i="13" s="1"/>
  <c r="P96" i="13" s="1"/>
  <c r="O98" i="13" l="1"/>
  <c r="N96" i="13"/>
  <c r="I98" i="13"/>
  <c r="H97" i="13"/>
  <c r="F97" i="13" s="1"/>
  <c r="P97" i="13" s="1"/>
  <c r="O99" i="13" l="1"/>
  <c r="I99" i="13"/>
  <c r="H98" i="13"/>
  <c r="F98" i="13" s="1"/>
  <c r="P98" i="13" s="1"/>
  <c r="N97" i="13"/>
  <c r="O100" i="13" l="1"/>
  <c r="N98" i="13"/>
  <c r="H99" i="13"/>
  <c r="F99" i="13" s="1"/>
  <c r="P99" i="13" s="1"/>
  <c r="I100" i="13"/>
  <c r="I101" i="13" l="1"/>
  <c r="H100" i="13"/>
  <c r="F100" i="13" s="1"/>
  <c r="P100" i="13" s="1"/>
  <c r="N99" i="13"/>
  <c r="N100" i="13" l="1"/>
  <c r="I102" i="13"/>
  <c r="H101" i="13"/>
  <c r="F101" i="13" s="1"/>
  <c r="I103" i="13" l="1"/>
  <c r="H102" i="13"/>
  <c r="F102" i="13" s="1"/>
  <c r="I104" i="13" l="1"/>
  <c r="H103" i="13"/>
  <c r="F103" i="13" s="1"/>
  <c r="I105" i="13" l="1"/>
  <c r="H104" i="13"/>
  <c r="F104" i="13" s="1"/>
  <c r="I106" i="13" l="1"/>
  <c r="H105" i="13"/>
  <c r="F105" i="13" s="1"/>
  <c r="I107" i="13" l="1"/>
  <c r="H106" i="13"/>
  <c r="F106" i="13" s="1"/>
  <c r="I108" i="13" l="1"/>
  <c r="H107" i="13"/>
  <c r="F107" i="13" s="1"/>
  <c r="I109" i="13" l="1"/>
  <c r="H108" i="13"/>
  <c r="F108" i="13" s="1"/>
  <c r="I110" i="13" l="1"/>
  <c r="H109" i="13"/>
  <c r="F109" i="13" s="1"/>
  <c r="I111" i="13" l="1"/>
  <c r="H110" i="13"/>
  <c r="F110" i="13" s="1"/>
  <c r="I112" i="13" l="1"/>
  <c r="H111" i="13"/>
  <c r="F111" i="13" s="1"/>
  <c r="I113" i="13" l="1"/>
  <c r="H112" i="13"/>
  <c r="F112" i="13" s="1"/>
  <c r="I114" i="13" l="1"/>
  <c r="H113" i="13"/>
  <c r="F113" i="13" s="1"/>
  <c r="I115" i="13" l="1"/>
  <c r="H114" i="13"/>
  <c r="F114" i="13" s="1"/>
  <c r="H115" i="13" l="1"/>
  <c r="F115" i="13" s="1"/>
  <c r="I116" i="13"/>
  <c r="I117" i="13" l="1"/>
  <c r="H116" i="13"/>
  <c r="F116" i="13" s="1"/>
  <c r="I118" i="13" l="1"/>
  <c r="H117" i="13"/>
  <c r="F117" i="13" s="1"/>
  <c r="I119" i="13" l="1"/>
  <c r="H118" i="13"/>
  <c r="F118" i="13" s="1"/>
  <c r="I120" i="13" l="1"/>
  <c r="H119" i="13"/>
  <c r="F119" i="13" s="1"/>
  <c r="I121" i="13" l="1"/>
  <c r="H120" i="13"/>
  <c r="F120" i="13" s="1"/>
  <c r="I122" i="13" l="1"/>
  <c r="H121" i="13"/>
  <c r="F121" i="13" s="1"/>
  <c r="I123" i="13" l="1"/>
  <c r="H122" i="13"/>
  <c r="F122" i="13" s="1"/>
  <c r="I124" i="13" l="1"/>
  <c r="H123" i="13"/>
  <c r="F123" i="13" s="1"/>
  <c r="H124" i="13" l="1"/>
  <c r="F124" i="13" s="1"/>
  <c r="I125" i="13"/>
  <c r="I126" i="13" l="1"/>
  <c r="H125" i="13"/>
  <c r="F125" i="13" s="1"/>
  <c r="I127" i="13" l="1"/>
  <c r="H126" i="13"/>
  <c r="F126" i="13" s="1"/>
  <c r="I128" i="13" l="1"/>
  <c r="H127" i="13"/>
  <c r="F127" i="13" s="1"/>
  <c r="I129" i="13" l="1"/>
  <c r="H128" i="13"/>
  <c r="F128" i="13" s="1"/>
  <c r="I130" i="13" l="1"/>
  <c r="H129" i="13"/>
  <c r="F129" i="13" s="1"/>
  <c r="I131" i="13" l="1"/>
  <c r="H130" i="13"/>
  <c r="F130" i="13" s="1"/>
  <c r="I132" i="13" l="1"/>
  <c r="H131" i="13"/>
  <c r="F131" i="13" s="1"/>
  <c r="I133" i="13" l="1"/>
  <c r="H132" i="13"/>
  <c r="F132" i="13" s="1"/>
  <c r="I134" i="13" l="1"/>
  <c r="H133" i="13"/>
  <c r="F133" i="13" s="1"/>
  <c r="I135" i="13" l="1"/>
  <c r="H134" i="13"/>
  <c r="F134" i="13" s="1"/>
  <c r="I136" i="13" l="1"/>
  <c r="H135" i="13"/>
  <c r="F135" i="13" s="1"/>
  <c r="I137" i="13" l="1"/>
  <c r="H136" i="13"/>
  <c r="F136" i="13" s="1"/>
  <c r="I138" i="13" l="1"/>
  <c r="H137" i="13"/>
  <c r="F137" i="13" s="1"/>
  <c r="I139" i="13" l="1"/>
  <c r="H138" i="13"/>
  <c r="F138" i="13" s="1"/>
  <c r="I140" i="13" l="1"/>
  <c r="H139" i="13"/>
  <c r="F139" i="13" s="1"/>
  <c r="I141" i="13" l="1"/>
  <c r="H140" i="13"/>
  <c r="F140" i="13" s="1"/>
  <c r="I142" i="13" l="1"/>
  <c r="H141" i="13"/>
  <c r="F141" i="13" s="1"/>
  <c r="I143" i="13" l="1"/>
  <c r="H142" i="13"/>
  <c r="F142" i="13" s="1"/>
  <c r="I144" i="13" l="1"/>
  <c r="H143" i="13"/>
  <c r="F143" i="13" s="1"/>
  <c r="I145" i="13" l="1"/>
  <c r="H144" i="13"/>
  <c r="F144" i="13" s="1"/>
  <c r="I146" i="13" l="1"/>
  <c r="H145" i="13"/>
  <c r="F145" i="13" s="1"/>
  <c r="I147" i="13" l="1"/>
  <c r="H146" i="13"/>
  <c r="F146" i="13" s="1"/>
  <c r="I148" i="13" l="1"/>
  <c r="H147" i="13"/>
  <c r="F147" i="13" s="1"/>
  <c r="I149" i="13" l="1"/>
  <c r="H148" i="13"/>
  <c r="F148" i="13" s="1"/>
  <c r="I150" i="13" l="1"/>
  <c r="H149" i="13"/>
  <c r="F149" i="13" s="1"/>
  <c r="I151" i="13" l="1"/>
  <c r="H150" i="13"/>
  <c r="F150" i="13" s="1"/>
  <c r="I152" i="13" l="1"/>
  <c r="H151" i="13"/>
  <c r="F151" i="13" s="1"/>
  <c r="I153" i="13" l="1"/>
  <c r="H152" i="13"/>
  <c r="F152" i="13" s="1"/>
  <c r="I154" i="13" l="1"/>
  <c r="H153" i="13"/>
  <c r="F153" i="13" s="1"/>
  <c r="I155" i="13" l="1"/>
  <c r="H154" i="13"/>
  <c r="F154" i="13" s="1"/>
  <c r="I156" i="13" l="1"/>
  <c r="H155" i="13"/>
  <c r="F155" i="13" s="1"/>
  <c r="I157" i="13" l="1"/>
  <c r="H156" i="13"/>
  <c r="F156" i="13" s="1"/>
  <c r="I158" i="13" l="1"/>
  <c r="H157" i="13"/>
  <c r="F157" i="13" s="1"/>
  <c r="I159" i="13" l="1"/>
  <c r="H158" i="13"/>
  <c r="F158" i="13" s="1"/>
  <c r="I160" i="13" l="1"/>
  <c r="H159" i="13"/>
  <c r="F159" i="13" s="1"/>
  <c r="I161" i="13" l="1"/>
  <c r="H160" i="13"/>
  <c r="F160" i="13" s="1"/>
  <c r="I162" i="13" l="1"/>
  <c r="H161" i="13"/>
  <c r="F161" i="13" s="1"/>
  <c r="I163" i="13" l="1"/>
  <c r="H162" i="13"/>
  <c r="F162" i="13" s="1"/>
  <c r="I164" i="13" l="1"/>
  <c r="H163" i="13"/>
  <c r="F163" i="13" s="1"/>
  <c r="I165" i="13" l="1"/>
  <c r="H164" i="13"/>
  <c r="F164" i="13" s="1"/>
  <c r="I166" i="13" l="1"/>
  <c r="H165" i="13"/>
  <c r="F165" i="13" s="1"/>
  <c r="I167" i="13" l="1"/>
  <c r="H166" i="13"/>
  <c r="F166" i="13" s="1"/>
  <c r="I168" i="13" l="1"/>
  <c r="H167" i="13"/>
  <c r="F167" i="13" s="1"/>
  <c r="I169" i="13" l="1"/>
  <c r="H168" i="13"/>
  <c r="F168" i="13" s="1"/>
  <c r="I170" i="13" l="1"/>
  <c r="H169" i="13"/>
  <c r="F169" i="13" s="1"/>
  <c r="I171" i="13" l="1"/>
  <c r="H170" i="13"/>
  <c r="F170" i="13" s="1"/>
  <c r="I172" i="13" l="1"/>
  <c r="H171" i="13"/>
  <c r="F171" i="13" s="1"/>
  <c r="I173" i="13" l="1"/>
  <c r="H172" i="13"/>
  <c r="F172" i="13" s="1"/>
  <c r="I174" i="13" l="1"/>
  <c r="H173" i="13"/>
  <c r="F173" i="13" s="1"/>
  <c r="I175" i="13" l="1"/>
  <c r="H174" i="13"/>
  <c r="F174" i="13" s="1"/>
  <c r="I176" i="13" l="1"/>
  <c r="H175" i="13"/>
  <c r="F175" i="13" s="1"/>
  <c r="I177" i="13" l="1"/>
  <c r="H176" i="13"/>
  <c r="F176" i="13" s="1"/>
  <c r="I178" i="13" l="1"/>
  <c r="H177" i="13"/>
  <c r="F177" i="13" s="1"/>
  <c r="I179" i="13" l="1"/>
  <c r="H178" i="13"/>
  <c r="F178" i="13" s="1"/>
  <c r="I180" i="13" l="1"/>
  <c r="H179" i="13"/>
  <c r="F179" i="13" s="1"/>
  <c r="I181" i="13" l="1"/>
  <c r="H180" i="13"/>
  <c r="F180" i="13" s="1"/>
  <c r="I182" i="13" l="1"/>
  <c r="H181" i="13"/>
  <c r="F181" i="13" s="1"/>
  <c r="I183" i="13" l="1"/>
  <c r="H182" i="13"/>
  <c r="F182" i="13" s="1"/>
  <c r="I184" i="13" l="1"/>
  <c r="H183" i="13"/>
  <c r="F183" i="13" s="1"/>
  <c r="I185" i="13" l="1"/>
  <c r="H184" i="13"/>
  <c r="F184" i="13" s="1"/>
  <c r="I186" i="13" l="1"/>
  <c r="H185" i="13"/>
  <c r="F185" i="13" s="1"/>
  <c r="I187" i="13" l="1"/>
  <c r="H186" i="13"/>
  <c r="F186" i="13" s="1"/>
  <c r="I188" i="13" l="1"/>
  <c r="H187" i="13"/>
  <c r="F187" i="13" s="1"/>
  <c r="I189" i="13" l="1"/>
  <c r="H188" i="13"/>
  <c r="F188" i="13" s="1"/>
  <c r="I190" i="13" l="1"/>
  <c r="H189" i="13"/>
  <c r="F189" i="13" s="1"/>
  <c r="I191" i="13" l="1"/>
  <c r="H190" i="13"/>
  <c r="F190" i="13" s="1"/>
  <c r="I192" i="13" l="1"/>
  <c r="H191" i="13"/>
  <c r="F191" i="13" s="1"/>
  <c r="I193" i="13" l="1"/>
  <c r="H192" i="13"/>
  <c r="F192" i="13" s="1"/>
  <c r="I194" i="13" l="1"/>
  <c r="H193" i="13"/>
  <c r="F193" i="13" s="1"/>
  <c r="I195" i="13" l="1"/>
  <c r="H194" i="13"/>
  <c r="F194" i="13" s="1"/>
  <c r="I196" i="13" l="1"/>
  <c r="H195" i="13"/>
  <c r="F195" i="13" s="1"/>
  <c r="I197" i="13" l="1"/>
  <c r="H196" i="13"/>
  <c r="F196" i="13" s="1"/>
  <c r="I198" i="13" l="1"/>
  <c r="H197" i="13"/>
  <c r="F197" i="13" s="1"/>
  <c r="I199" i="13" l="1"/>
  <c r="H198" i="13"/>
  <c r="F198" i="13" s="1"/>
  <c r="I200" i="13" l="1"/>
  <c r="H199" i="13"/>
  <c r="F199" i="13" s="1"/>
  <c r="I201" i="13" l="1"/>
  <c r="H200" i="13"/>
  <c r="F200" i="13" s="1"/>
  <c r="H201" i="13" l="1"/>
  <c r="F201" i="13" s="1"/>
  <c r="I202" i="13"/>
  <c r="H202" i="13" l="1"/>
  <c r="F202" i="13" s="1"/>
  <c r="I203" i="13"/>
  <c r="H203" i="13" l="1"/>
  <c r="F203" i="13" s="1"/>
  <c r="I204" i="13"/>
  <c r="H204" i="13" l="1"/>
  <c r="F204" i="13" s="1"/>
  <c r="I205" i="13"/>
  <c r="H205" i="13" l="1"/>
  <c r="F205" i="13" s="1"/>
  <c r="I206" i="13"/>
  <c r="H206" i="13" l="1"/>
  <c r="F206" i="13" s="1"/>
  <c r="I207" i="13"/>
  <c r="H207" i="13" l="1"/>
  <c r="F207" i="13" s="1"/>
  <c r="I208" i="13"/>
  <c r="H208" i="13" l="1"/>
  <c r="F208" i="13" s="1"/>
  <c r="I209" i="13"/>
  <c r="H209" i="13" l="1"/>
  <c r="F209" i="13" s="1"/>
  <c r="I210" i="13"/>
  <c r="H210" i="13" l="1"/>
  <c r="F210" i="13" s="1"/>
  <c r="I211" i="13"/>
  <c r="H211" i="13" l="1"/>
  <c r="F211" i="13" s="1"/>
  <c r="I212" i="13"/>
  <c r="H212" i="13" l="1"/>
  <c r="F212" i="13" s="1"/>
  <c r="I213" i="13"/>
  <c r="H213" i="13" l="1"/>
  <c r="F213" i="13" s="1"/>
  <c r="I214" i="13"/>
  <c r="H214" i="13" l="1"/>
  <c r="F214" i="13" s="1"/>
  <c r="I215" i="13"/>
  <c r="H215" i="13" l="1"/>
  <c r="F215" i="13" s="1"/>
  <c r="I216" i="13"/>
  <c r="H216" i="13" l="1"/>
  <c r="F216" i="13" s="1"/>
  <c r="I217" i="13"/>
  <c r="H217" i="13" l="1"/>
  <c r="F217" i="13" s="1"/>
  <c r="I218" i="13"/>
  <c r="H218" i="13" l="1"/>
  <c r="F218" i="13" s="1"/>
  <c r="I219" i="13"/>
  <c r="H219" i="13" l="1"/>
  <c r="F219" i="13" s="1"/>
  <c r="I220" i="13"/>
  <c r="H220" i="13" l="1"/>
  <c r="F220" i="13" s="1"/>
  <c r="I221" i="13"/>
  <c r="H221" i="13" l="1"/>
  <c r="F221" i="13" s="1"/>
  <c r="I222" i="13"/>
  <c r="H222" i="13" l="1"/>
  <c r="F222" i="13" s="1"/>
  <c r="I223" i="13"/>
  <c r="H223" i="13" l="1"/>
  <c r="F223" i="13" s="1"/>
  <c r="I224" i="13"/>
  <c r="H224" i="13" l="1"/>
  <c r="F224" i="13" s="1"/>
  <c r="I225" i="13"/>
  <c r="H225" i="13" l="1"/>
  <c r="F225" i="13" s="1"/>
  <c r="I226" i="13"/>
  <c r="H226" i="13" l="1"/>
  <c r="F226" i="13" s="1"/>
  <c r="I227" i="13"/>
  <c r="H227" i="13" l="1"/>
  <c r="F227" i="13" s="1"/>
  <c r="I228" i="13"/>
  <c r="H228" i="13" l="1"/>
  <c r="F228" i="13" s="1"/>
  <c r="I229" i="13"/>
  <c r="H229" i="13" l="1"/>
  <c r="F229" i="13" s="1"/>
  <c r="I230" i="13"/>
  <c r="H230" i="13" l="1"/>
  <c r="F230" i="13" s="1"/>
  <c r="I231" i="13"/>
  <c r="H231" i="13" l="1"/>
  <c r="F231" i="13" s="1"/>
  <c r="I232" i="13"/>
  <c r="H232" i="13" l="1"/>
  <c r="F232" i="13" s="1"/>
  <c r="I233" i="13"/>
  <c r="H233" i="13" l="1"/>
  <c r="F233" i="13" s="1"/>
  <c r="I234" i="13"/>
  <c r="H234" i="13" l="1"/>
  <c r="F234" i="13" s="1"/>
  <c r="I235" i="13"/>
  <c r="H235" i="13" l="1"/>
  <c r="F235" i="13" s="1"/>
  <c r="I236" i="13"/>
  <c r="H236" i="13" l="1"/>
  <c r="F236" i="13" s="1"/>
  <c r="I237" i="13"/>
  <c r="H237" i="13" l="1"/>
  <c r="F237" i="13" s="1"/>
  <c r="I238" i="13"/>
  <c r="H238" i="13" l="1"/>
  <c r="F238" i="13" s="1"/>
  <c r="I239" i="13"/>
  <c r="H239" i="13" l="1"/>
  <c r="F239" i="13" s="1"/>
  <c r="I240" i="13"/>
  <c r="H240" i="13" l="1"/>
  <c r="F240" i="13" s="1"/>
  <c r="I241" i="13"/>
  <c r="H241" i="13" l="1"/>
  <c r="F241" i="13" s="1"/>
  <c r="I242" i="13"/>
  <c r="H242" i="13" l="1"/>
  <c r="F242" i="13" s="1"/>
  <c r="I243" i="13"/>
  <c r="H243" i="13" l="1"/>
  <c r="F243" i="13" s="1"/>
  <c r="I244" i="13"/>
  <c r="H244" i="13" l="1"/>
  <c r="F244" i="13" s="1"/>
  <c r="I245" i="13"/>
  <c r="H245" i="13" l="1"/>
  <c r="F245" i="13" s="1"/>
  <c r="I246" i="13"/>
  <c r="H246" i="13" l="1"/>
  <c r="F246" i="13" s="1"/>
  <c r="I247" i="13"/>
  <c r="H247" i="13" l="1"/>
  <c r="F247" i="13" s="1"/>
  <c r="I248" i="13"/>
  <c r="H248" i="13" l="1"/>
  <c r="F248" i="13" s="1"/>
  <c r="I249" i="13"/>
  <c r="H249" i="13" l="1"/>
  <c r="F249" i="13" s="1"/>
  <c r="I250" i="13"/>
  <c r="H250" i="13" l="1"/>
  <c r="F250" i="13" s="1"/>
  <c r="I251" i="13"/>
  <c r="H251" i="13" l="1"/>
  <c r="F251" i="13" s="1"/>
  <c r="I252" i="13"/>
  <c r="H252" i="13" l="1"/>
  <c r="F252" i="13" s="1"/>
  <c r="I253" i="13"/>
  <c r="H253" i="13" l="1"/>
  <c r="F253" i="13" s="1"/>
  <c r="I254" i="13"/>
  <c r="H254" i="13" l="1"/>
  <c r="F254" i="13" s="1"/>
  <c r="I255" i="13"/>
  <c r="H255" i="13" l="1"/>
  <c r="F255" i="13" s="1"/>
  <c r="I256" i="13"/>
  <c r="H256" i="13" l="1"/>
  <c r="F256" i="13" s="1"/>
  <c r="I257" i="13"/>
  <c r="H257" i="13" l="1"/>
  <c r="F257" i="13" s="1"/>
  <c r="I258" i="13"/>
  <c r="H258" i="13" l="1"/>
  <c r="F258" i="13" s="1"/>
  <c r="I259" i="13"/>
  <c r="H259" i="13" l="1"/>
  <c r="F259" i="13" s="1"/>
  <c r="I260" i="13"/>
  <c r="H260" i="13" l="1"/>
  <c r="F260" i="13" s="1"/>
  <c r="I261" i="13"/>
  <c r="H261" i="13" l="1"/>
  <c r="F261" i="13" s="1"/>
  <c r="I262" i="13"/>
  <c r="H262" i="13" l="1"/>
  <c r="F262" i="13" s="1"/>
  <c r="I263" i="13"/>
  <c r="H263" i="13" l="1"/>
  <c r="F263" i="13" s="1"/>
  <c r="I264" i="13"/>
  <c r="H264" i="13" l="1"/>
  <c r="F264" i="13" s="1"/>
  <c r="I265" i="13"/>
  <c r="H265" i="13" l="1"/>
  <c r="F265" i="13" s="1"/>
  <c r="I266" i="13"/>
  <c r="H266" i="13" l="1"/>
  <c r="F266" i="13" s="1"/>
  <c r="I267" i="13"/>
  <c r="H267" i="13" l="1"/>
  <c r="F267" i="13" s="1"/>
  <c r="I268" i="13"/>
  <c r="H268" i="13" l="1"/>
  <c r="F268" i="13" s="1"/>
  <c r="I269" i="13"/>
  <c r="H269" i="13" l="1"/>
  <c r="F269" i="13" s="1"/>
  <c r="I270" i="13"/>
  <c r="H270" i="13" l="1"/>
  <c r="F270" i="13" s="1"/>
  <c r="I271" i="13"/>
  <c r="H271" i="13" l="1"/>
  <c r="F271" i="13" s="1"/>
  <c r="I272" i="13"/>
  <c r="H272" i="13" l="1"/>
  <c r="F272" i="13" s="1"/>
  <c r="I273" i="13"/>
  <c r="H273" i="13" l="1"/>
  <c r="F273" i="13" s="1"/>
  <c r="I274" i="13"/>
  <c r="H274" i="13" l="1"/>
  <c r="F274" i="13" s="1"/>
  <c r="I275" i="13"/>
  <c r="H275" i="13" l="1"/>
  <c r="F275" i="13" s="1"/>
  <c r="I276" i="13"/>
  <c r="H276" i="13" l="1"/>
  <c r="F276" i="13" s="1"/>
  <c r="I277" i="13"/>
  <c r="H277" i="13" l="1"/>
  <c r="F277" i="13" s="1"/>
  <c r="I278" i="13"/>
  <c r="H278" i="13" l="1"/>
  <c r="F278" i="13" s="1"/>
  <c r="I279" i="13"/>
  <c r="H279" i="13" l="1"/>
  <c r="F279" i="13" s="1"/>
  <c r="I280" i="13"/>
  <c r="H280" i="13" l="1"/>
  <c r="F280" i="13" s="1"/>
  <c r="I281" i="13"/>
  <c r="H281" i="13" l="1"/>
  <c r="F281" i="13" s="1"/>
  <c r="I282" i="13"/>
  <c r="H282" i="13" l="1"/>
  <c r="F282" i="13" s="1"/>
  <c r="I283" i="13"/>
  <c r="H283" i="13" l="1"/>
  <c r="F283" i="13" s="1"/>
  <c r="I284" i="13"/>
  <c r="H284" i="13" l="1"/>
  <c r="F284" i="13" s="1"/>
  <c r="I285" i="13"/>
  <c r="H285" i="13" l="1"/>
  <c r="F285" i="13" s="1"/>
  <c r="I286" i="13"/>
  <c r="H286" i="13" l="1"/>
  <c r="F286" i="13" s="1"/>
  <c r="I287" i="13"/>
  <c r="H287" i="13" l="1"/>
  <c r="F287" i="13" s="1"/>
  <c r="I288" i="13"/>
  <c r="H288" i="13" l="1"/>
  <c r="F288" i="13" s="1"/>
  <c r="I289" i="13"/>
  <c r="H289" i="13" l="1"/>
  <c r="F289" i="13" s="1"/>
  <c r="I290" i="13"/>
  <c r="H290" i="13" l="1"/>
  <c r="F290" i="13" s="1"/>
  <c r="I291" i="13"/>
  <c r="H291" i="13" l="1"/>
  <c r="F291" i="13" s="1"/>
  <c r="I292" i="13"/>
  <c r="H292" i="13" l="1"/>
  <c r="F292" i="13" s="1"/>
  <c r="I293" i="13"/>
  <c r="H293" i="13" l="1"/>
  <c r="F293" i="13" s="1"/>
  <c r="I294" i="13"/>
  <c r="H294" i="13" l="1"/>
  <c r="F294" i="13" s="1"/>
  <c r="I295" i="13"/>
  <c r="H295" i="13" l="1"/>
  <c r="F295" i="13" s="1"/>
  <c r="I296" i="13"/>
  <c r="H296" i="13" l="1"/>
  <c r="F296" i="13" s="1"/>
  <c r="I297" i="13"/>
  <c r="H297" i="13" l="1"/>
  <c r="F297" i="13" s="1"/>
  <c r="I298" i="13"/>
  <c r="H298" i="13" l="1"/>
  <c r="F298" i="13" s="1"/>
  <c r="I299" i="13"/>
  <c r="H299" i="13" l="1"/>
  <c r="F299" i="13" s="1"/>
  <c r="I300" i="13"/>
  <c r="H300" i="13" l="1"/>
  <c r="F300" i="13" s="1"/>
  <c r="I301" i="13"/>
  <c r="H301" i="13" l="1"/>
  <c r="F301" i="13" s="1"/>
  <c r="I302" i="13"/>
  <c r="H302" i="13" l="1"/>
  <c r="F302" i="13" s="1"/>
  <c r="I303" i="13"/>
  <c r="H303" i="13" l="1"/>
  <c r="F303" i="13" s="1"/>
  <c r="I304" i="13"/>
  <c r="H304" i="13" l="1"/>
  <c r="F304" i="13" s="1"/>
  <c r="I305" i="13"/>
  <c r="H305" i="13" l="1"/>
  <c r="F305" i="13" s="1"/>
  <c r="I306" i="13"/>
  <c r="H306" i="13" l="1"/>
  <c r="F306" i="13" s="1"/>
  <c r="I307" i="13"/>
  <c r="H307" i="13" l="1"/>
  <c r="F307" i="13" s="1"/>
  <c r="I308" i="13"/>
  <c r="H308" i="13" l="1"/>
  <c r="F308" i="13" s="1"/>
  <c r="I309" i="13"/>
  <c r="H309" i="13" l="1"/>
  <c r="F309" i="13" s="1"/>
  <c r="I310" i="13"/>
  <c r="H310" i="13" l="1"/>
  <c r="F310" i="13" s="1"/>
  <c r="I311" i="13"/>
  <c r="H311" i="13" l="1"/>
  <c r="F311" i="13" s="1"/>
  <c r="I312" i="13"/>
  <c r="H312" i="13" l="1"/>
  <c r="F312" i="13" s="1"/>
  <c r="I313" i="13"/>
  <c r="H313" i="13" l="1"/>
  <c r="F313" i="13" s="1"/>
  <c r="I314" i="13"/>
  <c r="H314" i="13" l="1"/>
  <c r="F314" i="13" s="1"/>
  <c r="I315" i="13"/>
  <c r="H315" i="13" l="1"/>
  <c r="F315" i="13" s="1"/>
  <c r="I316" i="13"/>
  <c r="H316" i="13" l="1"/>
  <c r="F316" i="13" s="1"/>
  <c r="I317" i="13"/>
  <c r="H317" i="13" l="1"/>
  <c r="F317" i="13" s="1"/>
  <c r="I318" i="13"/>
  <c r="H318" i="13" l="1"/>
  <c r="F318" i="13" s="1"/>
  <c r="I319" i="13"/>
  <c r="H319" i="13" l="1"/>
  <c r="F319" i="13" s="1"/>
  <c r="I320" i="13"/>
  <c r="H320" i="13" l="1"/>
  <c r="F320" i="13" s="1"/>
  <c r="I321" i="13"/>
  <c r="H321" i="13" l="1"/>
  <c r="F321" i="13" s="1"/>
  <c r="I322" i="13"/>
  <c r="H322" i="13" l="1"/>
  <c r="F322" i="13" s="1"/>
  <c r="I323" i="13"/>
  <c r="H323" i="13" l="1"/>
  <c r="F323" i="13" s="1"/>
  <c r="I324" i="13"/>
  <c r="H324" i="13" l="1"/>
  <c r="F324" i="13" s="1"/>
  <c r="I325" i="13"/>
  <c r="H325" i="13" l="1"/>
  <c r="F325" i="13" s="1"/>
  <c r="I326" i="13"/>
  <c r="H326" i="13" l="1"/>
  <c r="F326" i="13" s="1"/>
  <c r="I327" i="13"/>
  <c r="H327" i="13" l="1"/>
  <c r="F327" i="13" s="1"/>
  <c r="I328" i="13"/>
  <c r="I329" i="13" l="1"/>
  <c r="H328" i="13"/>
  <c r="F328" i="13" s="1"/>
  <c r="I330" i="13" l="1"/>
  <c r="H329" i="13"/>
  <c r="F329" i="13" s="1"/>
  <c r="I331" i="13" l="1"/>
  <c r="H330" i="13"/>
  <c r="F330" i="13" s="1"/>
  <c r="I332" i="13" l="1"/>
  <c r="H331" i="13"/>
  <c r="F331" i="13" s="1"/>
  <c r="I333" i="13" l="1"/>
  <c r="H332" i="13"/>
  <c r="F332" i="13" s="1"/>
  <c r="I334" i="13" l="1"/>
  <c r="H333" i="13"/>
  <c r="F333" i="13" s="1"/>
  <c r="I335" i="13" l="1"/>
  <c r="H334" i="13"/>
  <c r="F334" i="13" s="1"/>
  <c r="I336" i="13" l="1"/>
  <c r="H335" i="13"/>
  <c r="F335" i="13" s="1"/>
  <c r="I337" i="13" l="1"/>
  <c r="H336" i="13"/>
  <c r="F336" i="13" s="1"/>
  <c r="I338" i="13" l="1"/>
  <c r="H337" i="13"/>
  <c r="F337" i="13" s="1"/>
  <c r="I339" i="13" l="1"/>
  <c r="H338" i="13"/>
  <c r="F338" i="13" s="1"/>
  <c r="I340" i="13" l="1"/>
  <c r="H339" i="13"/>
  <c r="F339" i="13" s="1"/>
  <c r="I341" i="13" l="1"/>
  <c r="H340" i="13"/>
  <c r="F340" i="13" s="1"/>
  <c r="I342" i="13" l="1"/>
  <c r="H341" i="13"/>
  <c r="F341" i="13" s="1"/>
  <c r="I343" i="13" l="1"/>
  <c r="H342" i="13"/>
  <c r="F342" i="13" s="1"/>
  <c r="I344" i="13" l="1"/>
  <c r="H343" i="13"/>
  <c r="F343" i="13" s="1"/>
  <c r="I345" i="13" l="1"/>
  <c r="H344" i="13"/>
  <c r="F344" i="13" s="1"/>
  <c r="I346" i="13" l="1"/>
  <c r="H345" i="13"/>
  <c r="F345" i="13" s="1"/>
  <c r="I347" i="13" l="1"/>
  <c r="H346" i="13"/>
  <c r="F346" i="13" s="1"/>
  <c r="I348" i="13" l="1"/>
  <c r="H347" i="13"/>
  <c r="F347" i="13" s="1"/>
  <c r="I349" i="13" l="1"/>
  <c r="H348" i="13"/>
  <c r="F348" i="13" s="1"/>
  <c r="I350" i="13" l="1"/>
  <c r="H349" i="13"/>
  <c r="F349" i="13" s="1"/>
  <c r="I351" i="13" l="1"/>
  <c r="H350" i="13"/>
  <c r="F350" i="13" s="1"/>
  <c r="I352" i="13" l="1"/>
  <c r="H351" i="13"/>
  <c r="F351" i="13" s="1"/>
  <c r="I353" i="13" l="1"/>
  <c r="H352" i="13"/>
  <c r="F352" i="13" s="1"/>
  <c r="I354" i="13" l="1"/>
  <c r="H353" i="13"/>
  <c r="F353" i="13" s="1"/>
  <c r="I355" i="13" l="1"/>
  <c r="H354" i="13"/>
  <c r="F354" i="13" s="1"/>
  <c r="I356" i="13" l="1"/>
  <c r="H355" i="13"/>
  <c r="F355" i="13" s="1"/>
  <c r="I357" i="13" l="1"/>
  <c r="H356" i="13"/>
  <c r="F356" i="13" s="1"/>
  <c r="I358" i="13" l="1"/>
  <c r="H357" i="13"/>
  <c r="F357" i="13" s="1"/>
  <c r="I359" i="13" l="1"/>
  <c r="H358" i="13"/>
  <c r="F358" i="13" s="1"/>
  <c r="I360" i="13" l="1"/>
  <c r="H359" i="13"/>
  <c r="F359" i="13" s="1"/>
  <c r="I361" i="13" l="1"/>
  <c r="H360" i="13"/>
  <c r="F360" i="13" s="1"/>
  <c r="I362" i="13" l="1"/>
  <c r="H361" i="13"/>
  <c r="F361" i="13" s="1"/>
  <c r="I363" i="13" l="1"/>
  <c r="H362" i="13"/>
  <c r="F362" i="13" s="1"/>
  <c r="I364" i="13" l="1"/>
  <c r="H363" i="13"/>
  <c r="F363" i="13" s="1"/>
  <c r="I365" i="13" l="1"/>
  <c r="H364" i="13"/>
  <c r="F364" i="13" s="1"/>
  <c r="I366" i="13" l="1"/>
  <c r="H365" i="13"/>
  <c r="F365" i="13" s="1"/>
  <c r="I367" i="13" l="1"/>
  <c r="H366" i="13"/>
  <c r="F366" i="13" s="1"/>
  <c r="I368" i="13" l="1"/>
  <c r="H367" i="13"/>
  <c r="F367" i="13" s="1"/>
  <c r="I369" i="13" l="1"/>
  <c r="H368" i="13"/>
  <c r="F368" i="13" s="1"/>
  <c r="I370" i="13" l="1"/>
  <c r="H369" i="13"/>
  <c r="F369" i="13" s="1"/>
  <c r="I371" i="13" l="1"/>
  <c r="H370" i="13"/>
  <c r="F370" i="13" s="1"/>
  <c r="I372" i="13" l="1"/>
  <c r="H371" i="13"/>
  <c r="F371" i="13" s="1"/>
  <c r="I373" i="13" l="1"/>
  <c r="H372" i="13"/>
  <c r="F372" i="13" s="1"/>
  <c r="I374" i="13" l="1"/>
  <c r="H373" i="13"/>
  <c r="F373" i="13" s="1"/>
  <c r="I375" i="13" l="1"/>
  <c r="H374" i="13"/>
  <c r="F374" i="13" s="1"/>
  <c r="I376" i="13" l="1"/>
  <c r="H375" i="13"/>
  <c r="F375" i="13" s="1"/>
  <c r="I377" i="13" l="1"/>
  <c r="H376" i="13"/>
  <c r="F376" i="13" s="1"/>
  <c r="I378" i="13" l="1"/>
  <c r="H377" i="13"/>
  <c r="F377" i="13" s="1"/>
  <c r="I379" i="13" l="1"/>
  <c r="H378" i="13"/>
  <c r="F378" i="13" s="1"/>
  <c r="I380" i="13" l="1"/>
  <c r="H379" i="13"/>
  <c r="F379" i="13" s="1"/>
  <c r="I381" i="13" l="1"/>
  <c r="H380" i="13"/>
  <c r="F380" i="13" s="1"/>
  <c r="I382" i="13" l="1"/>
  <c r="H381" i="13"/>
  <c r="F381" i="13" s="1"/>
  <c r="I383" i="13" l="1"/>
  <c r="H382" i="13"/>
  <c r="F382" i="13" s="1"/>
  <c r="I384" i="13" l="1"/>
  <c r="H383" i="13"/>
  <c r="F383" i="13" s="1"/>
  <c r="I385" i="13" l="1"/>
  <c r="H384" i="13"/>
  <c r="F384" i="13" s="1"/>
  <c r="I386" i="13" l="1"/>
  <c r="H385" i="13"/>
  <c r="F385" i="13" s="1"/>
  <c r="I387" i="13" l="1"/>
  <c r="H386" i="13"/>
  <c r="F386" i="13" s="1"/>
  <c r="I388" i="13" l="1"/>
  <c r="H387" i="13"/>
  <c r="F387" i="13" s="1"/>
  <c r="I389" i="13" l="1"/>
  <c r="H388" i="13"/>
  <c r="F388" i="13" s="1"/>
  <c r="I390" i="13" l="1"/>
  <c r="H389" i="13"/>
  <c r="F389" i="13" s="1"/>
  <c r="I391" i="13" l="1"/>
  <c r="H390" i="13"/>
  <c r="F390" i="13" s="1"/>
  <c r="I392" i="13" l="1"/>
  <c r="H391" i="13"/>
  <c r="F391" i="13" s="1"/>
  <c r="I393" i="13" l="1"/>
  <c r="H392" i="13"/>
  <c r="F392" i="13" s="1"/>
  <c r="I394" i="13" l="1"/>
  <c r="H393" i="13"/>
  <c r="F393" i="13" s="1"/>
  <c r="I395" i="13" l="1"/>
  <c r="H394" i="13"/>
  <c r="F394" i="13" s="1"/>
  <c r="I396" i="13" l="1"/>
  <c r="H395" i="13"/>
  <c r="F395" i="13" s="1"/>
  <c r="I397" i="13" l="1"/>
  <c r="H396" i="13"/>
  <c r="F396" i="13" s="1"/>
  <c r="I398" i="13" l="1"/>
  <c r="H397" i="13"/>
  <c r="F397" i="13" s="1"/>
  <c r="I399" i="13" l="1"/>
  <c r="H398" i="13"/>
  <c r="F398" i="13" s="1"/>
  <c r="I400" i="13" l="1"/>
  <c r="H399" i="13"/>
  <c r="F399" i="13" s="1"/>
  <c r="I401" i="13" l="1"/>
  <c r="H400" i="13"/>
  <c r="F400" i="13" s="1"/>
  <c r="I402" i="13" l="1"/>
  <c r="H401" i="13"/>
  <c r="F401" i="13" s="1"/>
  <c r="I403" i="13" l="1"/>
  <c r="H402" i="13"/>
  <c r="F402" i="13" s="1"/>
  <c r="I404" i="13" l="1"/>
  <c r="H403" i="13"/>
  <c r="F403" i="13" s="1"/>
  <c r="I405" i="13" l="1"/>
  <c r="H404" i="13"/>
  <c r="F404" i="13" s="1"/>
  <c r="I406" i="13" l="1"/>
  <c r="H405" i="13"/>
  <c r="F405" i="13" s="1"/>
  <c r="I407" i="13" l="1"/>
  <c r="H406" i="13"/>
  <c r="F406" i="13" s="1"/>
  <c r="I408" i="13" l="1"/>
  <c r="H407" i="13"/>
  <c r="F407" i="13" s="1"/>
  <c r="I409" i="13" l="1"/>
  <c r="H408" i="13"/>
  <c r="F408" i="13" s="1"/>
  <c r="I410" i="13" l="1"/>
  <c r="H409" i="13"/>
  <c r="F409" i="13" s="1"/>
  <c r="I411" i="13" l="1"/>
  <c r="H410" i="13"/>
  <c r="F410" i="13" s="1"/>
  <c r="I412" i="13" l="1"/>
  <c r="H411" i="13"/>
  <c r="F411" i="13" s="1"/>
  <c r="I413" i="13" l="1"/>
  <c r="H412" i="13"/>
  <c r="F412" i="13" s="1"/>
  <c r="I414" i="13" l="1"/>
  <c r="H413" i="13"/>
  <c r="F413" i="13" s="1"/>
  <c r="I415" i="13" l="1"/>
  <c r="H414" i="13"/>
  <c r="F414" i="13" s="1"/>
  <c r="I416" i="13" l="1"/>
  <c r="H415" i="13"/>
  <c r="F415" i="13" s="1"/>
  <c r="I417" i="13" l="1"/>
  <c r="H416" i="13"/>
  <c r="F416" i="13" s="1"/>
  <c r="I418" i="13" l="1"/>
  <c r="H417" i="13"/>
  <c r="F417" i="13" s="1"/>
  <c r="I419" i="13" l="1"/>
  <c r="H418" i="13"/>
  <c r="F418" i="13" s="1"/>
  <c r="I420" i="13" l="1"/>
  <c r="H419" i="13"/>
  <c r="F419" i="13" s="1"/>
  <c r="I421" i="13" l="1"/>
  <c r="H420" i="13"/>
  <c r="F420" i="13" s="1"/>
  <c r="I422" i="13" l="1"/>
  <c r="H421" i="13"/>
  <c r="F421" i="13" s="1"/>
  <c r="I423" i="13" l="1"/>
  <c r="H422" i="13"/>
  <c r="F422" i="13" s="1"/>
  <c r="I424" i="13" l="1"/>
  <c r="H423" i="13"/>
  <c r="F423" i="13" s="1"/>
  <c r="I425" i="13" l="1"/>
  <c r="H424" i="13"/>
  <c r="F424" i="13" s="1"/>
  <c r="I426" i="13" l="1"/>
  <c r="H425" i="13"/>
  <c r="F425" i="13" s="1"/>
  <c r="I427" i="13" l="1"/>
  <c r="H426" i="13"/>
  <c r="F426" i="13" s="1"/>
  <c r="I428" i="13" l="1"/>
  <c r="H427" i="13"/>
  <c r="F427" i="13" s="1"/>
  <c r="I429" i="13" l="1"/>
  <c r="H428" i="13"/>
  <c r="F428" i="13" s="1"/>
  <c r="I430" i="13" l="1"/>
  <c r="H429" i="13"/>
  <c r="F429" i="13" s="1"/>
  <c r="I431" i="13" l="1"/>
  <c r="H430" i="13"/>
  <c r="F430" i="13" s="1"/>
  <c r="I432" i="13" l="1"/>
  <c r="H431" i="13"/>
  <c r="F431" i="13" s="1"/>
  <c r="I433" i="13" l="1"/>
  <c r="H432" i="13"/>
  <c r="F432" i="13" s="1"/>
  <c r="I434" i="13" l="1"/>
  <c r="H433" i="13"/>
  <c r="F433" i="13" s="1"/>
  <c r="I435" i="13" l="1"/>
  <c r="H434" i="13"/>
  <c r="F434" i="13" s="1"/>
  <c r="I436" i="13" l="1"/>
  <c r="H435" i="13"/>
  <c r="F435" i="13" s="1"/>
  <c r="I437" i="13" l="1"/>
  <c r="H436" i="13"/>
  <c r="F436" i="13" s="1"/>
  <c r="I438" i="13" l="1"/>
  <c r="H437" i="13"/>
  <c r="F437" i="13" s="1"/>
  <c r="I439" i="13" l="1"/>
  <c r="H438" i="13"/>
  <c r="F438" i="13" s="1"/>
  <c r="I440" i="13" l="1"/>
  <c r="H439" i="13"/>
  <c r="F439" i="13" s="1"/>
  <c r="I441" i="13" l="1"/>
  <c r="H440" i="13"/>
  <c r="F440" i="13" s="1"/>
  <c r="I442" i="13" l="1"/>
  <c r="H441" i="13"/>
  <c r="F441" i="13" s="1"/>
  <c r="I443" i="13" l="1"/>
  <c r="H442" i="13"/>
  <c r="F442" i="13" s="1"/>
  <c r="I444" i="13" l="1"/>
  <c r="H443" i="13"/>
  <c r="F443" i="13" s="1"/>
  <c r="I445" i="13" l="1"/>
  <c r="H444" i="13"/>
  <c r="F444" i="13" s="1"/>
  <c r="I446" i="13" l="1"/>
  <c r="H445" i="13"/>
  <c r="F445" i="13" s="1"/>
  <c r="I447" i="13" l="1"/>
  <c r="H446" i="13"/>
  <c r="F446" i="13" s="1"/>
  <c r="I448" i="13" l="1"/>
  <c r="H447" i="13"/>
  <c r="F447" i="13" s="1"/>
  <c r="I449" i="13" l="1"/>
  <c r="H448" i="13"/>
  <c r="F448" i="13" s="1"/>
  <c r="I450" i="13" l="1"/>
  <c r="H449" i="13"/>
  <c r="F449" i="13" s="1"/>
  <c r="I451" i="13" l="1"/>
  <c r="H450" i="13"/>
  <c r="F450" i="13" s="1"/>
  <c r="I452" i="13" l="1"/>
  <c r="H451" i="13"/>
  <c r="F451" i="13" s="1"/>
  <c r="I453" i="13" l="1"/>
  <c r="H452" i="13"/>
  <c r="F452" i="13" s="1"/>
  <c r="I454" i="13" l="1"/>
  <c r="H453" i="13"/>
  <c r="F453" i="13" s="1"/>
  <c r="I455" i="13" l="1"/>
  <c r="H454" i="13"/>
  <c r="F454" i="13" s="1"/>
  <c r="I456" i="13" l="1"/>
  <c r="H455" i="13"/>
  <c r="F455" i="13" s="1"/>
  <c r="I457" i="13" l="1"/>
  <c r="H456" i="13"/>
  <c r="F456" i="13" s="1"/>
  <c r="I458" i="13" l="1"/>
  <c r="H457" i="13"/>
  <c r="F457" i="13" s="1"/>
  <c r="I459" i="13" l="1"/>
  <c r="H458" i="13"/>
  <c r="F458" i="13" s="1"/>
  <c r="I460" i="13" l="1"/>
  <c r="H459" i="13"/>
  <c r="F459" i="13" s="1"/>
  <c r="I461" i="13" l="1"/>
  <c r="H460" i="13"/>
  <c r="F460" i="13" s="1"/>
  <c r="I462" i="13" l="1"/>
  <c r="H461" i="13"/>
  <c r="F461" i="13" s="1"/>
  <c r="I463" i="13" l="1"/>
  <c r="H462" i="13"/>
  <c r="F462" i="13" s="1"/>
  <c r="I464" i="13" l="1"/>
  <c r="H463" i="13"/>
  <c r="F463" i="13" s="1"/>
  <c r="I465" i="13" l="1"/>
  <c r="H464" i="13"/>
  <c r="F464" i="13" s="1"/>
  <c r="I466" i="13" l="1"/>
  <c r="H465" i="13"/>
  <c r="F465" i="13" s="1"/>
  <c r="I467" i="13" l="1"/>
  <c r="H466" i="13"/>
  <c r="F466" i="13" s="1"/>
  <c r="I468" i="13" l="1"/>
  <c r="H467" i="13"/>
  <c r="F467" i="13" s="1"/>
  <c r="I469" i="13" l="1"/>
  <c r="H468" i="13"/>
  <c r="F468" i="13" s="1"/>
  <c r="I470" i="13" l="1"/>
  <c r="H469" i="13"/>
  <c r="F469" i="13" s="1"/>
  <c r="I471" i="13" l="1"/>
  <c r="H470" i="13"/>
  <c r="F470" i="13" s="1"/>
  <c r="I472" i="13" l="1"/>
  <c r="H471" i="13"/>
  <c r="F471" i="13" s="1"/>
  <c r="I473" i="13" l="1"/>
  <c r="H472" i="13"/>
  <c r="F472" i="13" s="1"/>
  <c r="I474" i="13" l="1"/>
  <c r="H473" i="13"/>
  <c r="F473" i="13" s="1"/>
  <c r="I475" i="13" l="1"/>
  <c r="H474" i="13"/>
  <c r="F474" i="13" s="1"/>
  <c r="I476" i="13" l="1"/>
  <c r="H475" i="13"/>
  <c r="F475" i="13" s="1"/>
  <c r="I477" i="13" l="1"/>
  <c r="H476" i="13"/>
  <c r="F476" i="13" s="1"/>
  <c r="I478" i="13" l="1"/>
  <c r="H477" i="13"/>
  <c r="F477" i="13" s="1"/>
  <c r="I479" i="13" l="1"/>
  <c r="H478" i="13"/>
  <c r="F478" i="13" s="1"/>
  <c r="I480" i="13" l="1"/>
  <c r="H479" i="13"/>
  <c r="F479" i="13" s="1"/>
  <c r="I481" i="13" l="1"/>
  <c r="H480" i="13"/>
  <c r="F480" i="13" s="1"/>
  <c r="I482" i="13" l="1"/>
  <c r="H481" i="13"/>
  <c r="F481" i="13" s="1"/>
  <c r="I483" i="13" l="1"/>
  <c r="H482" i="13"/>
  <c r="F482" i="13" s="1"/>
  <c r="I484" i="13" l="1"/>
  <c r="H483" i="13"/>
  <c r="F483" i="13" s="1"/>
  <c r="I485" i="13" l="1"/>
  <c r="H484" i="13"/>
  <c r="F484" i="13" s="1"/>
  <c r="I486" i="13" l="1"/>
  <c r="H485" i="13"/>
  <c r="F485" i="13" s="1"/>
  <c r="I487" i="13" l="1"/>
  <c r="H486" i="13"/>
  <c r="F486" i="13" s="1"/>
  <c r="I488" i="13" l="1"/>
  <c r="H487" i="13"/>
  <c r="F487" i="13" s="1"/>
  <c r="I489" i="13" l="1"/>
  <c r="H488" i="13"/>
  <c r="F488" i="13" s="1"/>
  <c r="I490" i="13" l="1"/>
  <c r="H489" i="13"/>
  <c r="F489" i="13" s="1"/>
  <c r="I491" i="13" l="1"/>
  <c r="H490" i="13"/>
  <c r="F490" i="13" s="1"/>
  <c r="I492" i="13" l="1"/>
  <c r="H491" i="13"/>
  <c r="F491" i="13" s="1"/>
  <c r="I493" i="13" l="1"/>
  <c r="H492" i="13"/>
  <c r="F492" i="13" s="1"/>
  <c r="I494" i="13" l="1"/>
  <c r="H493" i="13"/>
  <c r="F493" i="13" s="1"/>
  <c r="I495" i="13" l="1"/>
  <c r="H494" i="13"/>
  <c r="F494" i="13" s="1"/>
  <c r="I496" i="13" l="1"/>
  <c r="H495" i="13"/>
  <c r="F495" i="13" s="1"/>
  <c r="I497" i="13" l="1"/>
  <c r="H496" i="13"/>
  <c r="F496" i="13" s="1"/>
  <c r="I498" i="13" l="1"/>
  <c r="H497" i="13"/>
  <c r="F497" i="13" s="1"/>
  <c r="I499" i="13" l="1"/>
  <c r="H498" i="13"/>
  <c r="F498" i="13" s="1"/>
  <c r="I500" i="13" l="1"/>
  <c r="H499" i="13"/>
  <c r="F499" i="13" s="1"/>
  <c r="I501" i="13" l="1"/>
  <c r="H500" i="13"/>
  <c r="F500" i="13" s="1"/>
  <c r="I502" i="13" l="1"/>
  <c r="H501" i="13"/>
  <c r="F501" i="13" s="1"/>
  <c r="I503" i="13" l="1"/>
  <c r="H502" i="13"/>
  <c r="F502" i="13" s="1"/>
  <c r="I504" i="13" l="1"/>
  <c r="H503" i="13"/>
  <c r="F503" i="13" s="1"/>
  <c r="I505" i="13" l="1"/>
  <c r="H504" i="13"/>
  <c r="F504" i="13" s="1"/>
  <c r="I506" i="13" l="1"/>
  <c r="H505" i="13"/>
  <c r="F505" i="13" s="1"/>
  <c r="I507" i="13" l="1"/>
  <c r="H506" i="13"/>
  <c r="F506" i="13" s="1"/>
  <c r="I508" i="13" l="1"/>
  <c r="H507" i="13"/>
  <c r="F507" i="13" s="1"/>
  <c r="I509" i="13" l="1"/>
  <c r="H508" i="13"/>
  <c r="F508" i="13" s="1"/>
  <c r="I510" i="13" l="1"/>
  <c r="H509" i="13"/>
  <c r="F509" i="13" s="1"/>
  <c r="I511" i="13" l="1"/>
  <c r="H510" i="13"/>
  <c r="F510" i="13" s="1"/>
  <c r="I512" i="13" l="1"/>
  <c r="H511" i="13"/>
  <c r="F511" i="13" s="1"/>
  <c r="I513" i="13" l="1"/>
  <c r="H512" i="13"/>
  <c r="F512" i="13" s="1"/>
  <c r="I514" i="13" l="1"/>
  <c r="H513" i="13"/>
  <c r="F513" i="13" s="1"/>
  <c r="I515" i="13" l="1"/>
  <c r="H514" i="13"/>
  <c r="F514" i="13" s="1"/>
  <c r="I516" i="13" l="1"/>
  <c r="H515" i="13"/>
  <c r="F515" i="13" s="1"/>
  <c r="I517" i="13" l="1"/>
  <c r="H516" i="13"/>
  <c r="F516" i="13" s="1"/>
  <c r="I518" i="13" l="1"/>
  <c r="H517" i="13"/>
  <c r="F517" i="13" s="1"/>
  <c r="I519" i="13" l="1"/>
  <c r="H518" i="13"/>
  <c r="F518" i="13" s="1"/>
  <c r="I520" i="13" l="1"/>
  <c r="H519" i="13"/>
  <c r="F519" i="13" s="1"/>
  <c r="I521" i="13" l="1"/>
  <c r="H520" i="13"/>
  <c r="F520" i="13" s="1"/>
  <c r="I522" i="13" l="1"/>
  <c r="H521" i="13"/>
  <c r="F521" i="13" s="1"/>
  <c r="I523" i="13" l="1"/>
  <c r="H522" i="13"/>
  <c r="F522" i="13" s="1"/>
  <c r="I524" i="13" l="1"/>
  <c r="H523" i="13"/>
  <c r="F523" i="13" s="1"/>
  <c r="I525" i="13" l="1"/>
  <c r="H524" i="13"/>
  <c r="F524" i="13" s="1"/>
  <c r="I526" i="13" l="1"/>
  <c r="H525" i="13"/>
  <c r="F525" i="13" s="1"/>
  <c r="I527" i="13" l="1"/>
  <c r="H526" i="13"/>
  <c r="F526" i="13" s="1"/>
  <c r="I528" i="13" l="1"/>
  <c r="H527" i="13"/>
  <c r="F527" i="13" s="1"/>
  <c r="I529" i="13" l="1"/>
  <c r="H528" i="13"/>
  <c r="F528" i="13" s="1"/>
  <c r="I530" i="13" l="1"/>
  <c r="H529" i="13"/>
  <c r="F529" i="13" s="1"/>
  <c r="I531" i="13" l="1"/>
  <c r="H530" i="13"/>
  <c r="F530" i="13" s="1"/>
  <c r="I532" i="13" l="1"/>
  <c r="H531" i="13"/>
  <c r="F531" i="13" s="1"/>
  <c r="I533" i="13" l="1"/>
  <c r="H532" i="13"/>
  <c r="F532" i="13" s="1"/>
  <c r="I534" i="13" l="1"/>
  <c r="H533" i="13"/>
  <c r="F533" i="13" s="1"/>
  <c r="I535" i="13" l="1"/>
  <c r="H534" i="13"/>
  <c r="F534" i="13" s="1"/>
  <c r="I536" i="13" l="1"/>
  <c r="H535" i="13"/>
  <c r="F535" i="13" s="1"/>
  <c r="I537" i="13" l="1"/>
  <c r="H536" i="13"/>
  <c r="F536" i="13" s="1"/>
  <c r="I538" i="13" l="1"/>
  <c r="H537" i="13"/>
  <c r="F537" i="13" s="1"/>
  <c r="I539" i="13" l="1"/>
  <c r="H538" i="13"/>
  <c r="F538" i="13" s="1"/>
  <c r="I540" i="13" l="1"/>
  <c r="H539" i="13"/>
  <c r="F539" i="13" s="1"/>
  <c r="I541" i="13" l="1"/>
  <c r="H540" i="13"/>
  <c r="F540" i="13" s="1"/>
  <c r="I542" i="13" l="1"/>
  <c r="H541" i="13"/>
  <c r="F541" i="13" s="1"/>
  <c r="I543" i="13" l="1"/>
  <c r="H542" i="13"/>
  <c r="F542" i="13" s="1"/>
  <c r="I544" i="13" l="1"/>
  <c r="H543" i="13"/>
  <c r="F543" i="13" s="1"/>
  <c r="I545" i="13" l="1"/>
  <c r="H544" i="13"/>
  <c r="F544" i="13" s="1"/>
  <c r="I546" i="13" l="1"/>
  <c r="H545" i="13"/>
  <c r="F545" i="13" s="1"/>
  <c r="I547" i="13" l="1"/>
  <c r="H546" i="13"/>
  <c r="F546" i="13" s="1"/>
  <c r="I548" i="13" l="1"/>
  <c r="H547" i="13"/>
  <c r="F547" i="13" s="1"/>
  <c r="I549" i="13" l="1"/>
  <c r="H548" i="13"/>
  <c r="F548" i="13" s="1"/>
  <c r="I550" i="13" l="1"/>
  <c r="H549" i="13"/>
  <c r="F549" i="13" s="1"/>
  <c r="I551" i="13" l="1"/>
  <c r="H550" i="13"/>
  <c r="F550" i="13" s="1"/>
  <c r="I552" i="13" l="1"/>
  <c r="H551" i="13"/>
  <c r="F551" i="13" s="1"/>
  <c r="I553" i="13" l="1"/>
  <c r="H552" i="13"/>
  <c r="F552" i="13" s="1"/>
  <c r="I554" i="13" l="1"/>
  <c r="H553" i="13"/>
  <c r="F553" i="13" s="1"/>
  <c r="I555" i="13" l="1"/>
  <c r="H554" i="13"/>
  <c r="F554" i="13" s="1"/>
  <c r="I556" i="13" l="1"/>
  <c r="H555" i="13"/>
  <c r="F555" i="13" s="1"/>
  <c r="I557" i="13" l="1"/>
  <c r="H556" i="13"/>
  <c r="F556" i="13" s="1"/>
  <c r="I558" i="13" l="1"/>
  <c r="H557" i="13"/>
  <c r="F557" i="13" s="1"/>
  <c r="I559" i="13" l="1"/>
  <c r="H558" i="13"/>
  <c r="F558" i="13" s="1"/>
  <c r="I560" i="13" l="1"/>
  <c r="H559" i="13"/>
  <c r="F559" i="13" s="1"/>
  <c r="I561" i="13" l="1"/>
  <c r="H560" i="13"/>
  <c r="F560" i="13" s="1"/>
  <c r="I562" i="13" l="1"/>
  <c r="H561" i="13"/>
  <c r="F561" i="13" s="1"/>
  <c r="I563" i="13" l="1"/>
  <c r="H562" i="13"/>
  <c r="F562" i="13" s="1"/>
  <c r="I564" i="13" l="1"/>
  <c r="H563" i="13"/>
  <c r="F563" i="13" s="1"/>
  <c r="I565" i="13" l="1"/>
  <c r="H564" i="13"/>
  <c r="F564" i="13" s="1"/>
  <c r="I566" i="13" l="1"/>
  <c r="H565" i="13"/>
  <c r="F565" i="13" s="1"/>
  <c r="I567" i="13" l="1"/>
  <c r="H566" i="13"/>
  <c r="F566" i="13" s="1"/>
  <c r="I568" i="13" l="1"/>
  <c r="H567" i="13"/>
  <c r="F567" i="13" s="1"/>
  <c r="I569" i="13" l="1"/>
  <c r="H568" i="13"/>
  <c r="F568" i="13" s="1"/>
  <c r="I570" i="13" l="1"/>
  <c r="H569" i="13"/>
  <c r="F569" i="13" s="1"/>
  <c r="I571" i="13" l="1"/>
  <c r="H570" i="13"/>
  <c r="F570" i="13" s="1"/>
  <c r="I572" i="13" l="1"/>
  <c r="H571" i="13"/>
  <c r="F571" i="13" s="1"/>
  <c r="I573" i="13" l="1"/>
  <c r="H572" i="13"/>
  <c r="F572" i="13" s="1"/>
  <c r="I574" i="13" l="1"/>
  <c r="H573" i="13"/>
  <c r="F573" i="13" s="1"/>
  <c r="I575" i="13" l="1"/>
  <c r="H574" i="13"/>
  <c r="F574" i="13" s="1"/>
  <c r="I576" i="13" l="1"/>
  <c r="H575" i="13"/>
  <c r="F575" i="13" s="1"/>
  <c r="I577" i="13" l="1"/>
  <c r="H576" i="13"/>
  <c r="F576" i="13" s="1"/>
  <c r="I578" i="13" l="1"/>
  <c r="H577" i="13"/>
  <c r="F577" i="13" s="1"/>
  <c r="I579" i="13" l="1"/>
  <c r="H578" i="13"/>
  <c r="F578" i="13" s="1"/>
  <c r="I580" i="13" l="1"/>
  <c r="H579" i="13"/>
  <c r="F579" i="13" s="1"/>
  <c r="I581" i="13" l="1"/>
  <c r="H580" i="13"/>
  <c r="F580" i="13" s="1"/>
  <c r="I582" i="13" l="1"/>
  <c r="H581" i="13"/>
  <c r="F581" i="13" s="1"/>
  <c r="I583" i="13" l="1"/>
  <c r="H582" i="13"/>
  <c r="F582" i="13" s="1"/>
  <c r="I584" i="13" l="1"/>
  <c r="H583" i="13"/>
  <c r="F583" i="13" s="1"/>
  <c r="I585" i="13" l="1"/>
  <c r="H584" i="13"/>
  <c r="F584" i="13" s="1"/>
  <c r="I586" i="13" l="1"/>
  <c r="H585" i="13"/>
  <c r="F585" i="13" s="1"/>
  <c r="I587" i="13" l="1"/>
  <c r="H586" i="13"/>
  <c r="F586" i="13" s="1"/>
  <c r="I588" i="13" l="1"/>
  <c r="H587" i="13"/>
  <c r="F587" i="13" s="1"/>
  <c r="I589" i="13" l="1"/>
  <c r="H588" i="13"/>
  <c r="F588" i="13" s="1"/>
  <c r="I590" i="13" l="1"/>
  <c r="H589" i="13"/>
  <c r="F589" i="13" s="1"/>
  <c r="I591" i="13" l="1"/>
  <c r="H590" i="13"/>
  <c r="F590" i="13" s="1"/>
  <c r="I592" i="13" l="1"/>
  <c r="H591" i="13"/>
  <c r="F591" i="13" s="1"/>
  <c r="I593" i="13" l="1"/>
  <c r="H592" i="13"/>
  <c r="F592" i="13" s="1"/>
  <c r="I594" i="13" l="1"/>
  <c r="H593" i="13"/>
  <c r="F593" i="13" s="1"/>
  <c r="I595" i="13" l="1"/>
  <c r="H594" i="13"/>
  <c r="F594" i="13" s="1"/>
  <c r="I596" i="13" l="1"/>
  <c r="H595" i="13"/>
  <c r="F595" i="13" s="1"/>
  <c r="I597" i="13" l="1"/>
  <c r="H596" i="13"/>
  <c r="F596" i="13" s="1"/>
  <c r="I598" i="13" l="1"/>
  <c r="H597" i="13"/>
  <c r="F597" i="13" s="1"/>
  <c r="I599" i="13" l="1"/>
  <c r="H598" i="13"/>
  <c r="F598" i="13" s="1"/>
  <c r="I600" i="13" l="1"/>
  <c r="H599" i="13"/>
  <c r="F599" i="13" s="1"/>
  <c r="I601" i="13" l="1"/>
  <c r="H600" i="13"/>
  <c r="F600" i="13" s="1"/>
  <c r="I602" i="13" l="1"/>
  <c r="H601" i="13"/>
  <c r="F601" i="13" s="1"/>
  <c r="I603" i="13" l="1"/>
  <c r="H602" i="13"/>
  <c r="F602" i="13" s="1"/>
  <c r="I604" i="13" l="1"/>
  <c r="H603" i="13"/>
  <c r="F603" i="13" s="1"/>
  <c r="I605" i="13" l="1"/>
  <c r="H604" i="13"/>
  <c r="F604" i="13" s="1"/>
  <c r="I606" i="13" l="1"/>
  <c r="H605" i="13"/>
  <c r="F605" i="13" s="1"/>
  <c r="I607" i="13" l="1"/>
  <c r="H606" i="13"/>
  <c r="F606" i="13" s="1"/>
  <c r="I608" i="13" l="1"/>
  <c r="H607" i="13"/>
  <c r="F607" i="13" s="1"/>
  <c r="I609" i="13" l="1"/>
  <c r="H608" i="13"/>
  <c r="F608" i="13" s="1"/>
  <c r="I610" i="13" l="1"/>
  <c r="H609" i="13"/>
  <c r="F609" i="13" s="1"/>
  <c r="I611" i="13" l="1"/>
  <c r="H610" i="13"/>
  <c r="F610" i="13" s="1"/>
  <c r="I612" i="13" l="1"/>
  <c r="H611" i="13"/>
  <c r="F611" i="13" s="1"/>
  <c r="I613" i="13" l="1"/>
  <c r="H612" i="13"/>
  <c r="F612" i="13" s="1"/>
  <c r="I614" i="13" l="1"/>
  <c r="H613" i="13"/>
  <c r="F613" i="13" s="1"/>
  <c r="I615" i="13" l="1"/>
  <c r="H614" i="13"/>
  <c r="F614" i="13" s="1"/>
  <c r="I616" i="13" l="1"/>
  <c r="H615" i="13"/>
  <c r="F615" i="13" s="1"/>
  <c r="I617" i="13" l="1"/>
  <c r="H616" i="13"/>
  <c r="F616" i="13" s="1"/>
  <c r="I618" i="13" l="1"/>
  <c r="H617" i="13"/>
  <c r="F617" i="13" s="1"/>
  <c r="I619" i="13" l="1"/>
  <c r="H618" i="13"/>
  <c r="F618" i="13" s="1"/>
  <c r="I620" i="13" l="1"/>
  <c r="H619" i="13"/>
  <c r="F619" i="13" s="1"/>
  <c r="I621" i="13" l="1"/>
  <c r="H620" i="13"/>
  <c r="F620" i="13" s="1"/>
  <c r="I622" i="13" l="1"/>
  <c r="H621" i="13"/>
  <c r="F621" i="13" s="1"/>
  <c r="I623" i="13" l="1"/>
  <c r="H622" i="13"/>
  <c r="F622" i="13" s="1"/>
  <c r="I624" i="13" l="1"/>
  <c r="H623" i="13"/>
  <c r="F623" i="13" s="1"/>
  <c r="I625" i="13" l="1"/>
  <c r="H624" i="13"/>
  <c r="F624" i="13" s="1"/>
  <c r="I626" i="13" l="1"/>
  <c r="H625" i="13"/>
  <c r="F625" i="13" s="1"/>
  <c r="I627" i="13" l="1"/>
  <c r="H626" i="13"/>
  <c r="F626" i="13" s="1"/>
  <c r="I628" i="13" l="1"/>
  <c r="H627" i="13"/>
  <c r="F627" i="13" s="1"/>
  <c r="I629" i="13" l="1"/>
  <c r="H628" i="13"/>
  <c r="F628" i="13" s="1"/>
  <c r="I630" i="13" l="1"/>
  <c r="H629" i="13"/>
  <c r="F629" i="13" s="1"/>
  <c r="I631" i="13" l="1"/>
  <c r="H630" i="13"/>
  <c r="F630" i="13" s="1"/>
  <c r="I632" i="13" l="1"/>
  <c r="H631" i="13"/>
  <c r="F631" i="13" s="1"/>
  <c r="I633" i="13" l="1"/>
  <c r="H632" i="13"/>
  <c r="F632" i="13" s="1"/>
  <c r="I634" i="13" l="1"/>
  <c r="H633" i="13"/>
  <c r="F633" i="13" s="1"/>
  <c r="I635" i="13" l="1"/>
  <c r="H634" i="13"/>
  <c r="F634" i="13" s="1"/>
  <c r="I636" i="13" l="1"/>
  <c r="H635" i="13"/>
  <c r="F635" i="13" s="1"/>
  <c r="I637" i="13" l="1"/>
  <c r="H636" i="13"/>
  <c r="F636" i="13" s="1"/>
  <c r="I638" i="13" l="1"/>
  <c r="H637" i="13"/>
  <c r="F637" i="13" s="1"/>
  <c r="I639" i="13" l="1"/>
  <c r="H638" i="13"/>
  <c r="F638" i="13" s="1"/>
  <c r="I640" i="13" l="1"/>
  <c r="H639" i="13"/>
  <c r="F639" i="13" s="1"/>
  <c r="I641" i="13" l="1"/>
  <c r="H640" i="13"/>
  <c r="F640" i="13" s="1"/>
  <c r="I642" i="13" l="1"/>
  <c r="H641" i="13"/>
  <c r="F641" i="13" s="1"/>
  <c r="I643" i="13" l="1"/>
  <c r="H642" i="13"/>
  <c r="F642" i="13" s="1"/>
  <c r="I644" i="13" l="1"/>
  <c r="H643" i="13"/>
  <c r="F643" i="13" s="1"/>
  <c r="I645" i="13" l="1"/>
  <c r="H644" i="13"/>
  <c r="F644" i="13" s="1"/>
  <c r="I646" i="13" l="1"/>
  <c r="H645" i="13"/>
  <c r="F645" i="13" s="1"/>
  <c r="I647" i="13" l="1"/>
  <c r="H646" i="13"/>
  <c r="F646" i="13" s="1"/>
  <c r="I648" i="13" l="1"/>
  <c r="H647" i="13"/>
  <c r="F647" i="13" s="1"/>
  <c r="I649" i="13" l="1"/>
  <c r="H648" i="13"/>
  <c r="F648" i="13" s="1"/>
  <c r="I650" i="13" l="1"/>
  <c r="H649" i="13"/>
  <c r="F649" i="13" s="1"/>
  <c r="I651" i="13" l="1"/>
  <c r="H650" i="13"/>
  <c r="F650" i="13" s="1"/>
  <c r="I652" i="13" l="1"/>
  <c r="H651" i="13"/>
  <c r="F651" i="13" s="1"/>
  <c r="I653" i="13" l="1"/>
  <c r="H652" i="13"/>
  <c r="F652" i="13" s="1"/>
  <c r="I654" i="13" l="1"/>
  <c r="H653" i="13"/>
  <c r="F653" i="13" s="1"/>
  <c r="I655" i="13" l="1"/>
  <c r="H654" i="13"/>
  <c r="F654" i="13" s="1"/>
  <c r="I656" i="13" l="1"/>
  <c r="H655" i="13"/>
  <c r="F655" i="13" s="1"/>
  <c r="I657" i="13" l="1"/>
  <c r="H656" i="13"/>
  <c r="F656" i="13" s="1"/>
  <c r="I658" i="13" l="1"/>
  <c r="H657" i="13"/>
  <c r="F657" i="13" s="1"/>
  <c r="I659" i="13" l="1"/>
  <c r="H658" i="13"/>
  <c r="F658" i="13" s="1"/>
  <c r="I660" i="13" l="1"/>
  <c r="H659" i="13"/>
  <c r="F659" i="13" s="1"/>
  <c r="I661" i="13" l="1"/>
  <c r="H660" i="13"/>
  <c r="F660" i="13" s="1"/>
  <c r="I662" i="13" l="1"/>
  <c r="H661" i="13"/>
  <c r="F661" i="13" s="1"/>
  <c r="I663" i="13" l="1"/>
  <c r="H662" i="13"/>
  <c r="F662" i="13" s="1"/>
  <c r="I664" i="13" l="1"/>
  <c r="H663" i="13"/>
  <c r="F663" i="13" s="1"/>
  <c r="I665" i="13" l="1"/>
  <c r="H664" i="13"/>
  <c r="F664" i="13" s="1"/>
  <c r="I666" i="13" l="1"/>
  <c r="H665" i="13"/>
  <c r="F665" i="13" s="1"/>
  <c r="I667" i="13" l="1"/>
  <c r="H666" i="13"/>
  <c r="F666" i="13" s="1"/>
  <c r="H667" i="13" l="1"/>
  <c r="F667" i="13" s="1"/>
  <c r="I668" i="13"/>
  <c r="H668" i="13" l="1"/>
  <c r="F668" i="13" s="1"/>
  <c r="I669" i="13"/>
  <c r="H669" i="13" l="1"/>
  <c r="F669" i="13" s="1"/>
  <c r="I670" i="13"/>
  <c r="H670" i="13" l="1"/>
  <c r="F670" i="13" s="1"/>
  <c r="I671" i="13"/>
  <c r="H671" i="13" l="1"/>
  <c r="F671" i="13" s="1"/>
  <c r="I672" i="13"/>
  <c r="H672" i="13" l="1"/>
  <c r="F672" i="13" s="1"/>
  <c r="I673" i="13"/>
  <c r="H673" i="13" l="1"/>
  <c r="F673" i="13" s="1"/>
  <c r="I674" i="13"/>
  <c r="H674" i="13" l="1"/>
  <c r="F674" i="13" s="1"/>
  <c r="I675" i="13"/>
  <c r="H675" i="13" l="1"/>
  <c r="F675" i="13" s="1"/>
  <c r="I676" i="13"/>
  <c r="H676" i="13" l="1"/>
  <c r="F676" i="13" s="1"/>
  <c r="I677" i="13"/>
  <c r="H677" i="13" l="1"/>
  <c r="F677" i="13" s="1"/>
  <c r="I678" i="13"/>
  <c r="H678" i="13" l="1"/>
  <c r="F678" i="13" s="1"/>
  <c r="I679" i="13"/>
  <c r="H679" i="13" l="1"/>
  <c r="F679" i="13" s="1"/>
  <c r="I680" i="13"/>
  <c r="H680" i="13" l="1"/>
  <c r="F680" i="13" s="1"/>
  <c r="I681" i="13"/>
  <c r="H681" i="13" l="1"/>
  <c r="F681" i="13" s="1"/>
  <c r="I682" i="13"/>
  <c r="H682" i="13" l="1"/>
  <c r="F682" i="13" s="1"/>
  <c r="I683" i="13"/>
  <c r="H683" i="13" l="1"/>
  <c r="F683" i="13" s="1"/>
  <c r="I684" i="13"/>
  <c r="H684" i="13" l="1"/>
  <c r="F684" i="13" s="1"/>
  <c r="I685" i="13"/>
  <c r="H685" i="13" l="1"/>
  <c r="F685" i="13" s="1"/>
  <c r="I686" i="13"/>
  <c r="H686" i="13" l="1"/>
  <c r="F686" i="13" s="1"/>
  <c r="I687" i="13"/>
  <c r="H687" i="13" l="1"/>
  <c r="F687" i="13" s="1"/>
  <c r="I688" i="13"/>
  <c r="H688" i="13" l="1"/>
  <c r="F688" i="13" s="1"/>
  <c r="I689" i="13"/>
  <c r="H689" i="13" l="1"/>
  <c r="F689" i="13" s="1"/>
  <c r="I690" i="13"/>
  <c r="H690" i="13" l="1"/>
  <c r="F690" i="13" s="1"/>
  <c r="I691" i="13"/>
  <c r="H691" i="13" l="1"/>
  <c r="F691" i="13" s="1"/>
  <c r="I692" i="13"/>
  <c r="H692" i="13" l="1"/>
  <c r="F692" i="13" s="1"/>
  <c r="I693" i="13"/>
  <c r="H693" i="13" l="1"/>
  <c r="F693" i="13" s="1"/>
  <c r="I694" i="13"/>
  <c r="H694" i="13" l="1"/>
  <c r="F694" i="13" s="1"/>
  <c r="I695" i="13"/>
  <c r="H695" i="13" l="1"/>
  <c r="F695" i="13" s="1"/>
  <c r="I696" i="13"/>
  <c r="H696" i="13" l="1"/>
  <c r="F696" i="13" s="1"/>
  <c r="I697" i="13"/>
  <c r="H697" i="13" l="1"/>
  <c r="F697" i="13" s="1"/>
  <c r="I698" i="13"/>
  <c r="H698" i="13" l="1"/>
  <c r="F698" i="13" s="1"/>
  <c r="I699" i="13"/>
  <c r="H699" i="13" l="1"/>
  <c r="F699" i="13" s="1"/>
  <c r="I700" i="13"/>
  <c r="H700" i="13" l="1"/>
  <c r="F700" i="13" s="1"/>
  <c r="I701" i="13"/>
  <c r="H701" i="13" l="1"/>
  <c r="F701" i="13" s="1"/>
  <c r="I702" i="13"/>
  <c r="H702" i="13" l="1"/>
  <c r="F702" i="13" s="1"/>
  <c r="I703" i="13"/>
  <c r="H703" i="13" l="1"/>
  <c r="F703" i="13" s="1"/>
  <c r="I704" i="13"/>
  <c r="H704" i="13" l="1"/>
  <c r="F704" i="13" s="1"/>
  <c r="I705" i="13"/>
  <c r="H705" i="13" l="1"/>
  <c r="F705" i="13" s="1"/>
  <c r="I706" i="13"/>
  <c r="H706" i="13" l="1"/>
  <c r="F706" i="13" s="1"/>
  <c r="I707" i="13"/>
  <c r="H707" i="13" l="1"/>
  <c r="F707" i="13" s="1"/>
  <c r="I708" i="13"/>
  <c r="H708" i="13" l="1"/>
  <c r="F708" i="13" s="1"/>
  <c r="I709" i="13"/>
  <c r="H709" i="13" l="1"/>
  <c r="F709" i="13" s="1"/>
  <c r="I710" i="13"/>
  <c r="H710" i="13" l="1"/>
  <c r="F710" i="13" s="1"/>
  <c r="I711" i="13"/>
  <c r="H711" i="13" l="1"/>
  <c r="F711" i="13" s="1"/>
  <c r="I712" i="13"/>
  <c r="H712" i="13" l="1"/>
  <c r="F712" i="13" s="1"/>
  <c r="I713" i="13"/>
  <c r="H713" i="13" l="1"/>
  <c r="F713" i="13" s="1"/>
  <c r="I714" i="13"/>
  <c r="H714" i="13" l="1"/>
  <c r="F714" i="13" s="1"/>
  <c r="I715" i="13"/>
  <c r="H715" i="13" l="1"/>
  <c r="F715" i="13" s="1"/>
  <c r="I716" i="13"/>
  <c r="H716" i="13" l="1"/>
  <c r="F716" i="13" s="1"/>
  <c r="I717" i="13"/>
  <c r="H717" i="13" l="1"/>
  <c r="F717" i="13" s="1"/>
  <c r="I718" i="13"/>
  <c r="H718" i="13" l="1"/>
  <c r="F718" i="13" s="1"/>
  <c r="I719" i="13"/>
  <c r="H719" i="13" l="1"/>
  <c r="F719" i="13" s="1"/>
  <c r="I720" i="13"/>
  <c r="H720" i="13" l="1"/>
  <c r="F720" i="13" s="1"/>
  <c r="I721" i="13"/>
  <c r="H721" i="13" l="1"/>
  <c r="F721" i="13" s="1"/>
  <c r="I722" i="13"/>
  <c r="H722" i="13" l="1"/>
  <c r="F722" i="13" s="1"/>
  <c r="I723" i="13"/>
  <c r="H723" i="13" l="1"/>
  <c r="F723" i="13" s="1"/>
  <c r="I724" i="13"/>
  <c r="H724" i="13" l="1"/>
  <c r="F724" i="13" s="1"/>
  <c r="I725" i="13"/>
  <c r="H725" i="13" l="1"/>
  <c r="F725" i="13" s="1"/>
  <c r="I726" i="13"/>
  <c r="H726" i="13" l="1"/>
  <c r="F726" i="13" s="1"/>
  <c r="I727" i="13"/>
  <c r="H727" i="13" l="1"/>
  <c r="F727" i="13" s="1"/>
  <c r="I728" i="13"/>
  <c r="H728" i="13" l="1"/>
  <c r="F728" i="13" s="1"/>
  <c r="I729" i="13"/>
  <c r="H729" i="13" l="1"/>
  <c r="F729" i="13" s="1"/>
  <c r="I730" i="13"/>
  <c r="I731" i="13" l="1"/>
  <c r="H730" i="13"/>
  <c r="F730" i="13" s="1"/>
  <c r="I732" i="13" l="1"/>
  <c r="H731" i="13"/>
  <c r="F731" i="13" s="1"/>
  <c r="I733" i="13" l="1"/>
  <c r="H732" i="13"/>
  <c r="F732" i="13" s="1"/>
  <c r="I734" i="13" l="1"/>
  <c r="H733" i="13"/>
  <c r="F733" i="13" s="1"/>
  <c r="I735" i="13" l="1"/>
  <c r="H734" i="13"/>
  <c r="F734" i="13" s="1"/>
  <c r="I736" i="13" l="1"/>
  <c r="H735" i="13"/>
  <c r="F735" i="13" s="1"/>
  <c r="I737" i="13" l="1"/>
  <c r="H736" i="13"/>
  <c r="F736" i="13" s="1"/>
  <c r="I738" i="13" l="1"/>
  <c r="H737" i="13"/>
  <c r="F737" i="13" s="1"/>
  <c r="I739" i="13" l="1"/>
  <c r="H738" i="13"/>
  <c r="F738" i="13" s="1"/>
  <c r="I740" i="13" l="1"/>
  <c r="H739" i="13"/>
  <c r="F739" i="13" s="1"/>
  <c r="I741" i="13" l="1"/>
  <c r="H740" i="13"/>
  <c r="F740" i="13" s="1"/>
  <c r="I742" i="13" l="1"/>
  <c r="H741" i="13"/>
  <c r="F741" i="13" s="1"/>
  <c r="I743" i="13" l="1"/>
  <c r="H742" i="13"/>
  <c r="F742" i="13" s="1"/>
  <c r="I744" i="13" l="1"/>
  <c r="H743" i="13"/>
  <c r="F743" i="13" s="1"/>
  <c r="I745" i="13" l="1"/>
  <c r="H744" i="13"/>
  <c r="F744" i="13" s="1"/>
  <c r="I746" i="13" l="1"/>
  <c r="H745" i="13"/>
  <c r="F745" i="13" s="1"/>
  <c r="I747" i="13" l="1"/>
  <c r="H746" i="13"/>
  <c r="F746" i="13" s="1"/>
  <c r="I748" i="13" l="1"/>
  <c r="H747" i="13"/>
  <c r="F747" i="13" s="1"/>
  <c r="I749" i="13" l="1"/>
  <c r="H748" i="13"/>
  <c r="F748" i="13" s="1"/>
  <c r="I750" i="13" l="1"/>
  <c r="H749" i="13"/>
  <c r="F749" i="13" s="1"/>
  <c r="I751" i="13" l="1"/>
  <c r="H750" i="13"/>
  <c r="F750" i="13" s="1"/>
  <c r="I752" i="13" l="1"/>
  <c r="H751" i="13"/>
  <c r="F751" i="13" s="1"/>
  <c r="I753" i="13" l="1"/>
  <c r="H752" i="13"/>
  <c r="F752" i="13" s="1"/>
  <c r="I754" i="13" l="1"/>
  <c r="H753" i="13"/>
  <c r="F753" i="13" s="1"/>
  <c r="I755" i="13" l="1"/>
  <c r="H754" i="13"/>
  <c r="F754" i="13" s="1"/>
  <c r="I756" i="13" l="1"/>
  <c r="H755" i="13"/>
  <c r="F755" i="13" s="1"/>
  <c r="I757" i="13" l="1"/>
  <c r="H756" i="13"/>
  <c r="F756" i="13" s="1"/>
  <c r="I758" i="13" l="1"/>
  <c r="H757" i="13"/>
  <c r="F757" i="13" s="1"/>
  <c r="I759" i="13" l="1"/>
  <c r="H758" i="13"/>
  <c r="F758" i="13" s="1"/>
  <c r="I760" i="13" l="1"/>
  <c r="H759" i="13"/>
  <c r="F759" i="13" s="1"/>
  <c r="I761" i="13" l="1"/>
  <c r="H760" i="13"/>
  <c r="F760" i="13" s="1"/>
  <c r="I762" i="13" l="1"/>
  <c r="H761" i="13"/>
  <c r="F761" i="13" s="1"/>
  <c r="I763" i="13" l="1"/>
  <c r="H762" i="13"/>
  <c r="F762" i="13" s="1"/>
  <c r="I764" i="13" l="1"/>
  <c r="H763" i="13"/>
  <c r="F763" i="13" s="1"/>
  <c r="I765" i="13" l="1"/>
  <c r="H764" i="13"/>
  <c r="F764" i="13" s="1"/>
  <c r="I766" i="13" l="1"/>
  <c r="H765" i="13"/>
  <c r="F765" i="13" s="1"/>
  <c r="I767" i="13" l="1"/>
  <c r="H766" i="13"/>
  <c r="F766" i="13" s="1"/>
  <c r="I768" i="13" l="1"/>
  <c r="H767" i="13"/>
  <c r="F767" i="13" s="1"/>
  <c r="I769" i="13" l="1"/>
  <c r="H768" i="13"/>
  <c r="F768" i="13" s="1"/>
  <c r="I770" i="13" l="1"/>
  <c r="H769" i="13"/>
  <c r="F769" i="13" s="1"/>
  <c r="I771" i="13" l="1"/>
  <c r="H770" i="13"/>
  <c r="F770" i="13" s="1"/>
  <c r="I772" i="13" l="1"/>
  <c r="H771" i="13"/>
  <c r="F771" i="13" s="1"/>
  <c r="I773" i="13" l="1"/>
  <c r="H772" i="13"/>
  <c r="F772" i="13" s="1"/>
  <c r="I774" i="13" l="1"/>
  <c r="H773" i="13"/>
  <c r="F773" i="13" s="1"/>
  <c r="I775" i="13" l="1"/>
  <c r="H774" i="13"/>
  <c r="F774" i="13" s="1"/>
  <c r="I776" i="13" l="1"/>
  <c r="H775" i="13"/>
  <c r="F775" i="13" s="1"/>
  <c r="I777" i="13" l="1"/>
  <c r="H776" i="13"/>
  <c r="F776" i="13" s="1"/>
  <c r="I778" i="13" l="1"/>
  <c r="H777" i="13"/>
  <c r="F777" i="13" s="1"/>
  <c r="I779" i="13" l="1"/>
  <c r="H778" i="13"/>
  <c r="F778" i="13" s="1"/>
  <c r="I780" i="13" l="1"/>
  <c r="H779" i="13"/>
  <c r="F779" i="13" s="1"/>
  <c r="I781" i="13" l="1"/>
  <c r="H780" i="13"/>
  <c r="F780" i="13" s="1"/>
  <c r="I782" i="13" l="1"/>
  <c r="H781" i="13"/>
  <c r="F781" i="13" s="1"/>
  <c r="I783" i="13" l="1"/>
  <c r="H782" i="13"/>
  <c r="F782" i="13" s="1"/>
  <c r="I784" i="13" l="1"/>
  <c r="H783" i="13"/>
  <c r="F783" i="13" s="1"/>
  <c r="I785" i="13" l="1"/>
  <c r="H784" i="13"/>
  <c r="F784" i="13" s="1"/>
  <c r="I786" i="13" l="1"/>
  <c r="H785" i="13"/>
  <c r="F785" i="13" s="1"/>
  <c r="I787" i="13" l="1"/>
  <c r="H786" i="13"/>
  <c r="F786" i="13" s="1"/>
  <c r="I788" i="13" l="1"/>
  <c r="H787" i="13"/>
  <c r="F787" i="13" s="1"/>
  <c r="I789" i="13" l="1"/>
  <c r="H788" i="13"/>
  <c r="F788" i="13" s="1"/>
  <c r="I790" i="13" l="1"/>
  <c r="H789" i="13"/>
  <c r="F789" i="13" s="1"/>
  <c r="I791" i="13" l="1"/>
  <c r="H790" i="13"/>
  <c r="F790" i="13" s="1"/>
  <c r="I792" i="13" l="1"/>
  <c r="H791" i="13"/>
  <c r="F791" i="13" s="1"/>
  <c r="I793" i="13" l="1"/>
  <c r="H792" i="13"/>
  <c r="F792" i="13" s="1"/>
  <c r="I794" i="13" l="1"/>
  <c r="H793" i="13"/>
  <c r="F793" i="13" s="1"/>
  <c r="I795" i="13" l="1"/>
  <c r="H794" i="13"/>
  <c r="F794" i="13" s="1"/>
  <c r="I796" i="13" l="1"/>
  <c r="H795" i="13"/>
  <c r="F795" i="13" s="1"/>
  <c r="I797" i="13" l="1"/>
  <c r="H796" i="13"/>
  <c r="F796" i="13" s="1"/>
  <c r="I798" i="13" l="1"/>
  <c r="H797" i="13"/>
  <c r="F797" i="13" s="1"/>
  <c r="I799" i="13" l="1"/>
  <c r="H798" i="13"/>
  <c r="F798" i="13" s="1"/>
  <c r="I800" i="13" l="1"/>
  <c r="H799" i="13"/>
  <c r="F799" i="13" s="1"/>
  <c r="I801" i="13" l="1"/>
  <c r="H800" i="13"/>
  <c r="F800" i="13" s="1"/>
  <c r="I802" i="13" l="1"/>
  <c r="H801" i="13"/>
  <c r="F801" i="13" s="1"/>
  <c r="I803" i="13" l="1"/>
  <c r="H802" i="13"/>
  <c r="F802" i="13" s="1"/>
  <c r="I804" i="13" l="1"/>
  <c r="H803" i="13"/>
  <c r="F803" i="13" s="1"/>
  <c r="I805" i="13" l="1"/>
  <c r="H804" i="13"/>
  <c r="F804" i="13" s="1"/>
  <c r="I806" i="13" l="1"/>
  <c r="H805" i="13"/>
  <c r="F805" i="13" s="1"/>
  <c r="I807" i="13" l="1"/>
  <c r="H806" i="13"/>
  <c r="F806" i="13" s="1"/>
  <c r="I808" i="13" l="1"/>
  <c r="H807" i="13"/>
  <c r="F807" i="13" s="1"/>
  <c r="I809" i="13" l="1"/>
  <c r="H808" i="13"/>
  <c r="F808" i="13" s="1"/>
  <c r="I810" i="13" l="1"/>
  <c r="H809" i="13"/>
  <c r="F809" i="13" s="1"/>
  <c r="I811" i="13" l="1"/>
  <c r="H810" i="13"/>
  <c r="F810" i="13" s="1"/>
  <c r="I812" i="13" l="1"/>
  <c r="H811" i="13"/>
  <c r="F811" i="13" s="1"/>
  <c r="I813" i="13" l="1"/>
  <c r="H812" i="13"/>
  <c r="F812" i="13" s="1"/>
  <c r="I814" i="13" l="1"/>
  <c r="H813" i="13"/>
  <c r="F813" i="13" s="1"/>
  <c r="I815" i="13" l="1"/>
  <c r="H815" i="13" s="1"/>
  <c r="F815" i="13" s="1"/>
  <c r="H814" i="13"/>
  <c r="F814" i="13" s="1"/>
  <c r="O48" i="7" l="1"/>
  <c r="B6" i="14"/>
  <c r="T7" i="7" l="1"/>
  <c r="K1" i="7"/>
  <c r="G48" i="7" s="1"/>
  <c r="O27" i="11"/>
  <c r="O29" i="11"/>
  <c r="O18" i="11"/>
  <c r="O32" i="11"/>
  <c r="O22" i="11"/>
  <c r="O21" i="11"/>
  <c r="O11" i="11"/>
  <c r="E14" i="17" s="1"/>
  <c r="O26" i="11"/>
  <c r="O25" i="11"/>
  <c r="O31" i="11"/>
  <c r="O30" i="11"/>
  <c r="O24" i="11"/>
  <c r="O19" i="11"/>
  <c r="F6" i="17"/>
  <c r="F7" i="17" s="1"/>
  <c r="O20" i="11"/>
  <c r="O28" i="11"/>
  <c r="O16" i="11"/>
  <c r="O15" i="11"/>
  <c r="O14" i="11"/>
  <c r="O17" i="11"/>
  <c r="O23" i="11"/>
  <c r="E95" i="17" l="1"/>
  <c r="E93" i="17"/>
  <c r="E86" i="17"/>
  <c r="E84" i="17"/>
  <c r="E79" i="17"/>
  <c r="E77" i="17"/>
  <c r="E70" i="17"/>
  <c r="E68" i="17"/>
  <c r="E63" i="17"/>
  <c r="E61" i="17"/>
  <c r="E54" i="17"/>
  <c r="E52" i="17"/>
  <c r="E47" i="17"/>
  <c r="E45" i="17"/>
  <c r="E38" i="17"/>
  <c r="E36" i="17"/>
  <c r="E46" i="17"/>
  <c r="E44" i="17"/>
  <c r="E100" i="17"/>
  <c r="E98" i="17"/>
  <c r="E96" i="17"/>
  <c r="E91" i="17"/>
  <c r="E89" i="17"/>
  <c r="E82" i="17"/>
  <c r="E80" i="17"/>
  <c r="E75" i="17"/>
  <c r="E73" i="17"/>
  <c r="E66" i="17"/>
  <c r="E64" i="17"/>
  <c r="E59" i="17"/>
  <c r="E57" i="17"/>
  <c r="E50" i="17"/>
  <c r="E48" i="17"/>
  <c r="E43" i="17"/>
  <c r="E41" i="17"/>
  <c r="E94" i="17"/>
  <c r="E92" i="17"/>
  <c r="E87" i="17"/>
  <c r="E85" i="17"/>
  <c r="E78" i="17"/>
  <c r="E76" i="17"/>
  <c r="E71" i="17"/>
  <c r="E69" i="17"/>
  <c r="E62" i="17"/>
  <c r="E60" i="17"/>
  <c r="E55" i="17"/>
  <c r="E53" i="17"/>
  <c r="E39" i="17"/>
  <c r="E37" i="17"/>
  <c r="E90" i="17"/>
  <c r="E88" i="17"/>
  <c r="E58" i="17"/>
  <c r="E56" i="17"/>
  <c r="E97" i="17"/>
  <c r="E67" i="17"/>
  <c r="E74" i="17"/>
  <c r="E42" i="17"/>
  <c r="E83" i="17"/>
  <c r="E51" i="17"/>
  <c r="E65" i="17"/>
  <c r="E72" i="17"/>
  <c r="E40" i="17"/>
  <c r="E81" i="17"/>
  <c r="E49" i="17"/>
  <c r="E99" i="17"/>
  <c r="E34" i="17"/>
  <c r="E35" i="17"/>
  <c r="E32" i="17"/>
  <c r="E33" i="17"/>
  <c r="O13" i="11"/>
  <c r="E16" i="17" s="1"/>
  <c r="E23" i="17"/>
  <c r="E27" i="17"/>
  <c r="E22" i="17"/>
  <c r="E21" i="17"/>
  <c r="E31" i="17"/>
  <c r="E17" i="17"/>
  <c r="E29" i="17"/>
  <c r="E24" i="17"/>
  <c r="E19" i="17"/>
  <c r="E28" i="17"/>
  <c r="E30" i="17"/>
  <c r="E25" i="17"/>
  <c r="E26" i="17"/>
  <c r="E18" i="17"/>
  <c r="E20" i="17"/>
  <c r="O12" i="11"/>
  <c r="E15" i="17" s="1"/>
  <c r="G49" i="7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G616" i="7" s="1"/>
  <c r="G617" i="7" s="1"/>
  <c r="G618" i="7" s="1"/>
  <c r="G619" i="7" s="1"/>
  <c r="G620" i="7" s="1"/>
  <c r="G621" i="7" s="1"/>
  <c r="G622" i="7" s="1"/>
  <c r="G623" i="7" s="1"/>
  <c r="G624" i="7" s="1"/>
  <c r="G625" i="7" s="1"/>
  <c r="G626" i="7" s="1"/>
  <c r="G627" i="7" s="1"/>
  <c r="G628" i="7" s="1"/>
  <c r="G629" i="7" s="1"/>
  <c r="G630" i="7" s="1"/>
  <c r="G631" i="7" s="1"/>
  <c r="G632" i="7" s="1"/>
  <c r="G633" i="7" s="1"/>
  <c r="G634" i="7" s="1"/>
  <c r="G635" i="7" s="1"/>
  <c r="G636" i="7" s="1"/>
  <c r="G637" i="7" s="1"/>
  <c r="G638" i="7" s="1"/>
  <c r="G639" i="7" s="1"/>
  <c r="G640" i="7" s="1"/>
  <c r="G641" i="7" s="1"/>
  <c r="G642" i="7" s="1"/>
  <c r="G643" i="7" s="1"/>
  <c r="G644" i="7" s="1"/>
  <c r="G645" i="7" s="1"/>
  <c r="G646" i="7" s="1"/>
  <c r="G647" i="7" s="1"/>
  <c r="G648" i="7" s="1"/>
  <c r="G649" i="7" s="1"/>
  <c r="G650" i="7" s="1"/>
  <c r="G651" i="7" s="1"/>
  <c r="G652" i="7" s="1"/>
  <c r="G653" i="7" s="1"/>
  <c r="G654" i="7" s="1"/>
  <c r="G655" i="7" s="1"/>
  <c r="G656" i="7" s="1"/>
  <c r="G657" i="7" s="1"/>
  <c r="G658" i="7" s="1"/>
  <c r="G659" i="7" s="1"/>
  <c r="G660" i="7" s="1"/>
  <c r="G661" i="7" s="1"/>
  <c r="G662" i="7" s="1"/>
  <c r="G663" i="7" s="1"/>
  <c r="G664" i="7" s="1"/>
  <c r="G665" i="7" s="1"/>
  <c r="G666" i="7" s="1"/>
  <c r="G667" i="7" s="1"/>
  <c r="G668" i="7" s="1"/>
  <c r="G669" i="7" s="1"/>
  <c r="G670" i="7" s="1"/>
  <c r="G671" i="7" s="1"/>
  <c r="G672" i="7" s="1"/>
  <c r="G673" i="7" s="1"/>
  <c r="G674" i="7" s="1"/>
  <c r="G675" i="7" s="1"/>
  <c r="G676" i="7" s="1"/>
  <c r="G677" i="7" s="1"/>
  <c r="G678" i="7" s="1"/>
  <c r="G679" i="7" s="1"/>
  <c r="G680" i="7" s="1"/>
  <c r="G681" i="7" s="1"/>
  <c r="G682" i="7" s="1"/>
  <c r="G683" i="7" s="1"/>
  <c r="G684" i="7" s="1"/>
  <c r="G685" i="7" s="1"/>
  <c r="G686" i="7" s="1"/>
  <c r="G687" i="7" s="1"/>
  <c r="G688" i="7" s="1"/>
  <c r="G689" i="7" s="1"/>
  <c r="G690" i="7" s="1"/>
  <c r="G691" i="7" s="1"/>
  <c r="G692" i="7" s="1"/>
  <c r="G693" i="7" s="1"/>
  <c r="G694" i="7" s="1"/>
  <c r="G695" i="7" s="1"/>
  <c r="G696" i="7" s="1"/>
  <c r="G697" i="7" s="1"/>
  <c r="G698" i="7" s="1"/>
  <c r="G699" i="7" s="1"/>
  <c r="G700" i="7" s="1"/>
  <c r="G701" i="7" s="1"/>
  <c r="G702" i="7" s="1"/>
  <c r="G703" i="7" s="1"/>
  <c r="G704" i="7" s="1"/>
  <c r="G705" i="7" s="1"/>
  <c r="G706" i="7" s="1"/>
  <c r="G707" i="7" s="1"/>
  <c r="G708" i="7" s="1"/>
  <c r="G709" i="7" s="1"/>
  <c r="G710" i="7" s="1"/>
  <c r="G711" i="7" s="1"/>
  <c r="G712" i="7" s="1"/>
  <c r="G713" i="7" s="1"/>
  <c r="G714" i="7" s="1"/>
  <c r="G715" i="7" s="1"/>
  <c r="G716" i="7" s="1"/>
  <c r="G717" i="7" s="1"/>
  <c r="G718" i="7" s="1"/>
  <c r="G719" i="7" s="1"/>
  <c r="G720" i="7" s="1"/>
  <c r="G721" i="7" s="1"/>
  <c r="G722" i="7" s="1"/>
  <c r="G723" i="7" s="1"/>
  <c r="G724" i="7" s="1"/>
  <c r="G725" i="7" s="1"/>
  <c r="G726" i="7" s="1"/>
  <c r="G727" i="7" s="1"/>
  <c r="G728" i="7" s="1"/>
  <c r="G729" i="7" s="1"/>
  <c r="G730" i="7" s="1"/>
  <c r="G731" i="7" s="1"/>
  <c r="G732" i="7" s="1"/>
  <c r="G733" i="7" s="1"/>
  <c r="G734" i="7" s="1"/>
  <c r="G735" i="7" s="1"/>
  <c r="G736" i="7" s="1"/>
  <c r="G737" i="7" s="1"/>
  <c r="G738" i="7" s="1"/>
  <c r="G739" i="7" s="1"/>
  <c r="G740" i="7" s="1"/>
  <c r="G741" i="7" s="1"/>
  <c r="G742" i="7" s="1"/>
  <c r="G743" i="7" s="1"/>
  <c r="G744" i="7" s="1"/>
  <c r="G745" i="7" s="1"/>
  <c r="G746" i="7" s="1"/>
  <c r="G747" i="7" s="1"/>
  <c r="G748" i="7" s="1"/>
  <c r="G749" i="7" s="1"/>
  <c r="G750" i="7" s="1"/>
  <c r="G751" i="7" s="1"/>
  <c r="G752" i="7" s="1"/>
  <c r="G753" i="7" s="1"/>
  <c r="G754" i="7" s="1"/>
  <c r="G755" i="7" s="1"/>
  <c r="G756" i="7" s="1"/>
  <c r="G757" i="7" s="1"/>
  <c r="G758" i="7" s="1"/>
  <c r="G759" i="7" s="1"/>
  <c r="G760" i="7" s="1"/>
  <c r="G761" i="7" s="1"/>
  <c r="G762" i="7" s="1"/>
  <c r="G763" i="7" s="1"/>
  <c r="G764" i="7" s="1"/>
  <c r="G765" i="7" s="1"/>
  <c r="G766" i="7" s="1"/>
  <c r="G767" i="7" s="1"/>
  <c r="G768" i="7" s="1"/>
  <c r="G769" i="7" s="1"/>
  <c r="G770" i="7" s="1"/>
  <c r="G771" i="7" s="1"/>
  <c r="G772" i="7" s="1"/>
  <c r="G773" i="7" s="1"/>
  <c r="G774" i="7" s="1"/>
  <c r="G775" i="7" s="1"/>
  <c r="G776" i="7" s="1"/>
  <c r="G777" i="7" s="1"/>
  <c r="G778" i="7" s="1"/>
  <c r="G779" i="7" s="1"/>
  <c r="G780" i="7" s="1"/>
  <c r="G781" i="7" s="1"/>
  <c r="G782" i="7" s="1"/>
  <c r="G783" i="7" s="1"/>
  <c r="G784" i="7" s="1"/>
  <c r="G785" i="7" s="1"/>
  <c r="G786" i="7" s="1"/>
  <c r="G787" i="7" s="1"/>
  <c r="G788" i="7" s="1"/>
  <c r="G789" i="7" s="1"/>
  <c r="G790" i="7" s="1"/>
  <c r="G791" i="7" s="1"/>
  <c r="G792" i="7" s="1"/>
  <c r="G793" i="7" s="1"/>
  <c r="G794" i="7" s="1"/>
  <c r="G795" i="7" s="1"/>
  <c r="G796" i="7" s="1"/>
  <c r="G797" i="7" s="1"/>
  <c r="G798" i="7" s="1"/>
  <c r="G799" i="7" s="1"/>
  <c r="G800" i="7" s="1"/>
  <c r="G801" i="7" s="1"/>
  <c r="G802" i="7" s="1"/>
  <c r="G803" i="7" s="1"/>
  <c r="G804" i="7" s="1"/>
  <c r="G805" i="7" s="1"/>
  <c r="G806" i="7" s="1"/>
  <c r="G807" i="7" s="1"/>
  <c r="G808" i="7" s="1"/>
  <c r="G809" i="7" s="1"/>
  <c r="G810" i="7" s="1"/>
  <c r="G811" i="7" s="1"/>
  <c r="G812" i="7" s="1"/>
  <c r="G813" i="7" s="1"/>
  <c r="G814" i="7" s="1"/>
  <c r="G815" i="7" s="1"/>
  <c r="G47" i="7"/>
  <c r="G46" i="7" s="1"/>
  <c r="G45" i="7" s="1"/>
  <c r="G44" i="7" s="1"/>
  <c r="G43" i="7" s="1"/>
  <c r="G42" i="7" s="1"/>
  <c r="G41" i="7" s="1"/>
  <c r="G40" i="7" s="1"/>
  <c r="G39" i="7" s="1"/>
  <c r="G38" i="7" s="1"/>
  <c r="G37" i="7" s="1"/>
  <c r="G36" i="7" s="1"/>
  <c r="G35" i="7" s="1"/>
  <c r="G34" i="7" s="1"/>
  <c r="G33" i="7" s="1"/>
  <c r="G32" i="7" s="1"/>
  <c r="G31" i="7" s="1"/>
  <c r="G30" i="7" s="1"/>
  <c r="G29" i="7" s="1"/>
  <c r="G28" i="7" s="1"/>
  <c r="G27" i="7" s="1"/>
  <c r="G26" i="7" s="1"/>
  <c r="G25" i="7" s="1"/>
  <c r="G24" i="7" s="1"/>
  <c r="G23" i="7" s="1"/>
  <c r="G22" i="7" s="1"/>
  <c r="G21" i="7" s="1"/>
  <c r="G20" i="7" s="1"/>
  <c r="G19" i="7" s="1"/>
  <c r="G18" i="7" s="1"/>
  <c r="G17" i="7" s="1"/>
  <c r="G16" i="7" s="1"/>
  <c r="G15" i="7" s="1"/>
  <c r="G14" i="7" s="1"/>
  <c r="G13" i="7" s="1"/>
  <c r="G12" i="7" s="1"/>
  <c r="G11" i="7" s="1"/>
  <c r="G10" i="7" s="1"/>
  <c r="G9" i="7" s="1"/>
  <c r="G8" i="7" s="1"/>
  <c r="O8" i="7" s="1"/>
  <c r="K4" i="7"/>
  <c r="D3" i="14" l="1"/>
  <c r="C3" i="14"/>
  <c r="E12" i="17"/>
  <c r="O30" i="7"/>
  <c r="O44" i="7"/>
  <c r="O38" i="7"/>
  <c r="O41" i="7"/>
  <c r="O82" i="7"/>
  <c r="O36" i="7"/>
  <c r="O13" i="7"/>
  <c r="O97" i="7"/>
  <c r="O12" i="7"/>
  <c r="O77" i="7"/>
  <c r="O65" i="7"/>
  <c r="O69" i="7"/>
  <c r="O99" i="7"/>
  <c r="O72" i="7"/>
  <c r="O73" i="7"/>
  <c r="O90" i="7"/>
  <c r="O98" i="7"/>
  <c r="O80" i="7"/>
  <c r="O19" i="7"/>
  <c r="O21" i="7"/>
  <c r="O58" i="7"/>
  <c r="O55" i="7"/>
  <c r="O11" i="7"/>
  <c r="O74" i="7"/>
  <c r="O37" i="7"/>
  <c r="O47" i="7"/>
  <c r="O93" i="7"/>
  <c r="O25" i="7"/>
  <c r="O52" i="7"/>
  <c r="O42" i="7"/>
  <c r="O71" i="7"/>
  <c r="O50" i="7"/>
  <c r="O81" i="7"/>
  <c r="O68" i="7"/>
  <c r="O66" i="7"/>
  <c r="O10" i="7"/>
  <c r="O53" i="7"/>
  <c r="O76" i="7"/>
  <c r="O45" i="7"/>
  <c r="O29" i="7"/>
  <c r="O92" i="7"/>
  <c r="O32" i="7"/>
  <c r="O40" i="7"/>
  <c r="O64" i="7"/>
  <c r="O89" i="7"/>
  <c r="O63" i="7"/>
  <c r="O28" i="7"/>
  <c r="O17" i="7"/>
  <c r="O14" i="7"/>
  <c r="O16" i="7"/>
  <c r="O59" i="7"/>
  <c r="O84" i="7"/>
  <c r="O86" i="7"/>
  <c r="O33" i="7"/>
  <c r="O43" i="7"/>
  <c r="O24" i="7"/>
  <c r="O96" i="7"/>
  <c r="O31" i="7"/>
  <c r="O49" i="7"/>
  <c r="O85" i="7"/>
  <c r="O23" i="7"/>
  <c r="O35" i="7"/>
  <c r="O83" i="7"/>
  <c r="O51" i="7"/>
  <c r="O54" i="7"/>
  <c r="O15" i="7"/>
  <c r="O18" i="7"/>
  <c r="O62" i="7"/>
  <c r="O100" i="7"/>
  <c r="O94" i="7"/>
  <c r="O79" i="7"/>
  <c r="O56" i="7"/>
  <c r="O26" i="7"/>
  <c r="O60" i="7"/>
  <c r="O88" i="7"/>
  <c r="O46" i="7"/>
  <c r="O57" i="7"/>
  <c r="O75" i="7"/>
  <c r="O78" i="7"/>
  <c r="O61" i="7"/>
  <c r="O39" i="7"/>
  <c r="O91" i="7"/>
  <c r="O20" i="7"/>
  <c r="O34" i="7"/>
  <c r="O87" i="7"/>
  <c r="O27" i="7"/>
  <c r="O70" i="7"/>
  <c r="O9" i="7"/>
  <c r="O67" i="7"/>
  <c r="O22" i="7"/>
  <c r="O95" i="7"/>
  <c r="E3" i="14" l="1"/>
  <c r="C6" i="14" s="1"/>
  <c r="D6" i="14" s="1"/>
  <c r="I11" i="11"/>
  <c r="K2" i="7" l="1"/>
  <c r="H48" i="7" s="1"/>
  <c r="F48" i="7" s="1"/>
  <c r="N48" i="7" s="1"/>
  <c r="D5" i="11"/>
  <c r="B1" i="18" l="1"/>
  <c r="AC5" i="18" s="1"/>
  <c r="AA7" i="18"/>
  <c r="AA6" i="18"/>
  <c r="AA5" i="18"/>
  <c r="AC6" i="18"/>
  <c r="U7" i="18"/>
  <c r="V7" i="18" s="1"/>
  <c r="AE6" i="18"/>
  <c r="AF7" i="18"/>
  <c r="AE7" i="18"/>
  <c r="U6" i="18"/>
  <c r="V6" i="18" s="1"/>
  <c r="AH6" i="18" s="1"/>
  <c r="AG7" i="18"/>
  <c r="AG5" i="18"/>
  <c r="H15" i="14"/>
  <c r="H20" i="14"/>
  <c r="H31" i="14"/>
  <c r="H46" i="14"/>
  <c r="H81" i="14"/>
  <c r="H90" i="14"/>
  <c r="H35" i="14"/>
  <c r="H72" i="14"/>
  <c r="H99" i="14"/>
  <c r="H50" i="14"/>
  <c r="H24" i="14"/>
  <c r="H52" i="14"/>
  <c r="H40" i="14"/>
  <c r="H23" i="14"/>
  <c r="H17" i="14"/>
  <c r="H67" i="14"/>
  <c r="H30" i="14"/>
  <c r="H47" i="14"/>
  <c r="H71" i="14"/>
  <c r="H45" i="14"/>
  <c r="H39" i="14"/>
  <c r="H26" i="14"/>
  <c r="H79" i="14"/>
  <c r="H75" i="14"/>
  <c r="H84" i="14"/>
  <c r="H60" i="14"/>
  <c r="H56" i="14"/>
  <c r="H68" i="14"/>
  <c r="H49" i="14"/>
  <c r="H73" i="14"/>
  <c r="H93" i="14"/>
  <c r="H91" i="14"/>
  <c r="H32" i="14"/>
  <c r="H85" i="14"/>
  <c r="H87" i="14"/>
  <c r="H54" i="14"/>
  <c r="H74" i="14"/>
  <c r="H77" i="14"/>
  <c r="H95" i="14"/>
  <c r="H83" i="14"/>
  <c r="H92" i="14"/>
  <c r="H65" i="14"/>
  <c r="H64" i="14"/>
  <c r="H44" i="14"/>
  <c r="H22" i="14"/>
  <c r="H100" i="14"/>
  <c r="H76" i="14"/>
  <c r="H59" i="14"/>
  <c r="H57" i="14"/>
  <c r="H33" i="14"/>
  <c r="H69" i="14"/>
  <c r="H70" i="14"/>
  <c r="H89" i="14"/>
  <c r="H78" i="14"/>
  <c r="H42" i="14"/>
  <c r="H19" i="14"/>
  <c r="H51" i="14"/>
  <c r="H48" i="14"/>
  <c r="H96" i="14"/>
  <c r="H34" i="14"/>
  <c r="H43" i="14"/>
  <c r="H21" i="14"/>
  <c r="H66" i="14"/>
  <c r="H18" i="14"/>
  <c r="H16" i="14"/>
  <c r="H25" i="14"/>
  <c r="H53" i="14"/>
  <c r="H38" i="14"/>
  <c r="H41" i="14"/>
  <c r="H36" i="14"/>
  <c r="H63" i="14"/>
  <c r="H29" i="14"/>
  <c r="H55" i="14"/>
  <c r="H61" i="14"/>
  <c r="H80" i="14"/>
  <c r="H98" i="14"/>
  <c r="H88" i="14"/>
  <c r="H62" i="14"/>
  <c r="H28" i="14"/>
  <c r="H82" i="14"/>
  <c r="H37" i="14"/>
  <c r="H86" i="14"/>
  <c r="H97" i="14"/>
  <c r="H94" i="14"/>
  <c r="H27" i="14"/>
  <c r="H58" i="14"/>
  <c r="H13" i="14"/>
  <c r="H14" i="14"/>
  <c r="Q99" i="11"/>
  <c r="R99" i="11" s="1"/>
  <c r="S99" i="11" s="1"/>
  <c r="Q93" i="11"/>
  <c r="R93" i="11" s="1"/>
  <c r="S93" i="11" s="1"/>
  <c r="Q77" i="11"/>
  <c r="R77" i="11" s="1"/>
  <c r="S77" i="11" s="1"/>
  <c r="Q63" i="11"/>
  <c r="R63" i="11" s="1"/>
  <c r="S63" i="11" s="1"/>
  <c r="Q62" i="11"/>
  <c r="R62" i="11" s="1"/>
  <c r="S62" i="11" s="1"/>
  <c r="Q61" i="11"/>
  <c r="R61" i="11" s="1"/>
  <c r="S61" i="11" s="1"/>
  <c r="Q47" i="11"/>
  <c r="R47" i="11" s="1"/>
  <c r="S47" i="11" s="1"/>
  <c r="Q46" i="11"/>
  <c r="R46" i="11" s="1"/>
  <c r="S46" i="11" s="1"/>
  <c r="Q45" i="11"/>
  <c r="R45" i="11" s="1"/>
  <c r="S45" i="11" s="1"/>
  <c r="Q97" i="11"/>
  <c r="R97" i="11" s="1"/>
  <c r="S97" i="11" s="1"/>
  <c r="Q81" i="11"/>
  <c r="R81" i="11" s="1"/>
  <c r="S81" i="11" s="1"/>
  <c r="Q65" i="11"/>
  <c r="R65" i="11" s="1"/>
  <c r="S65" i="11" s="1"/>
  <c r="Q49" i="11"/>
  <c r="R49" i="11" s="1"/>
  <c r="S49" i="11" s="1"/>
  <c r="Q33" i="11"/>
  <c r="R33" i="11" s="1"/>
  <c r="S33" i="11" s="1"/>
  <c r="Q37" i="11"/>
  <c r="R37" i="11" s="1"/>
  <c r="S37" i="11" s="1"/>
  <c r="Q98" i="11"/>
  <c r="R98" i="11" s="1"/>
  <c r="S98" i="11" s="1"/>
  <c r="Q85" i="11"/>
  <c r="R85" i="11" s="1"/>
  <c r="S85" i="11" s="1"/>
  <c r="Q69" i="11"/>
  <c r="R69" i="11" s="1"/>
  <c r="S69" i="11" s="1"/>
  <c r="Q53" i="11"/>
  <c r="R53" i="11" s="1"/>
  <c r="S53" i="11" s="1"/>
  <c r="Q91" i="11"/>
  <c r="R91" i="11" s="1"/>
  <c r="S91" i="11" s="1"/>
  <c r="Q90" i="11"/>
  <c r="R90" i="11" s="1"/>
  <c r="S90" i="11" s="1"/>
  <c r="Q89" i="11"/>
  <c r="R89" i="11" s="1"/>
  <c r="S89" i="11" s="1"/>
  <c r="Q74" i="11"/>
  <c r="R74" i="11" s="1"/>
  <c r="S74" i="11" s="1"/>
  <c r="Q41" i="11"/>
  <c r="R41" i="11" s="1"/>
  <c r="S41" i="11" s="1"/>
  <c r="Q57" i="11"/>
  <c r="R57" i="11" s="1"/>
  <c r="S57" i="11" s="1"/>
  <c r="Q43" i="11"/>
  <c r="R43" i="11" s="1"/>
  <c r="S43" i="11" s="1"/>
  <c r="Q75" i="11"/>
  <c r="R75" i="11" s="1"/>
  <c r="S75" i="11" s="1"/>
  <c r="Q58" i="11"/>
  <c r="R58" i="11" s="1"/>
  <c r="S58" i="11" s="1"/>
  <c r="Q73" i="11"/>
  <c r="R73" i="11" s="1"/>
  <c r="S73" i="11" s="1"/>
  <c r="Q59" i="11"/>
  <c r="R59" i="11" s="1"/>
  <c r="S59" i="11" s="1"/>
  <c r="Q42" i="11"/>
  <c r="R42" i="11" s="1"/>
  <c r="S42" i="11" s="1"/>
  <c r="Q66" i="11"/>
  <c r="R66" i="11" s="1"/>
  <c r="S66" i="11" s="1"/>
  <c r="Q83" i="11"/>
  <c r="R83" i="11" s="1"/>
  <c r="S83" i="11" s="1"/>
  <c r="Q95" i="11"/>
  <c r="R95" i="11" s="1"/>
  <c r="S95" i="11" s="1"/>
  <c r="Q52" i="11"/>
  <c r="R52" i="11" s="1"/>
  <c r="S52" i="11" s="1"/>
  <c r="Q84" i="11"/>
  <c r="R84" i="11" s="1"/>
  <c r="S84" i="11" s="1"/>
  <c r="Q100" i="11"/>
  <c r="R100" i="11" s="1"/>
  <c r="S100" i="11" s="1"/>
  <c r="Q55" i="11"/>
  <c r="R55" i="11" s="1"/>
  <c r="S55" i="11" s="1"/>
  <c r="Q36" i="11"/>
  <c r="R36" i="11" s="1"/>
  <c r="S36" i="11" s="1"/>
  <c r="Q64" i="11"/>
  <c r="R64" i="11" s="1"/>
  <c r="S64" i="11" s="1"/>
  <c r="Q96" i="11"/>
  <c r="R96" i="11" s="1"/>
  <c r="S96" i="11" s="1"/>
  <c r="Q60" i="11"/>
  <c r="R60" i="11" s="1"/>
  <c r="S60" i="11" s="1"/>
  <c r="Q92" i="11"/>
  <c r="R92" i="11" s="1"/>
  <c r="S92" i="11" s="1"/>
  <c r="Q39" i="11"/>
  <c r="R39" i="11" s="1"/>
  <c r="S39" i="11" s="1"/>
  <c r="Q50" i="11"/>
  <c r="R50" i="11" s="1"/>
  <c r="S50" i="11" s="1"/>
  <c r="Q67" i="11"/>
  <c r="R67" i="11" s="1"/>
  <c r="S67" i="11" s="1"/>
  <c r="Q72" i="11"/>
  <c r="R72" i="11" s="1"/>
  <c r="S72" i="11" s="1"/>
  <c r="Q35" i="11"/>
  <c r="R35" i="11" s="1"/>
  <c r="S35" i="11" s="1"/>
  <c r="Q70" i="11"/>
  <c r="R70" i="11" s="1"/>
  <c r="S70" i="11" s="1"/>
  <c r="Q71" i="11"/>
  <c r="R71" i="11" s="1"/>
  <c r="S71" i="11" s="1"/>
  <c r="Q86" i="11"/>
  <c r="R86" i="11" s="1"/>
  <c r="S86" i="11" s="1"/>
  <c r="Q48" i="11"/>
  <c r="R48" i="11" s="1"/>
  <c r="S48" i="11" s="1"/>
  <c r="Q80" i="11"/>
  <c r="R80" i="11" s="1"/>
  <c r="S80" i="11" s="1"/>
  <c r="Q44" i="11"/>
  <c r="R44" i="11" s="1"/>
  <c r="S44" i="11" s="1"/>
  <c r="Q76" i="11"/>
  <c r="R76" i="11" s="1"/>
  <c r="S76" i="11" s="1"/>
  <c r="Q40" i="11"/>
  <c r="R40" i="11" s="1"/>
  <c r="S40" i="11" s="1"/>
  <c r="Q34" i="11"/>
  <c r="R34" i="11" s="1"/>
  <c r="S34" i="11" s="1"/>
  <c r="Q54" i="11"/>
  <c r="R54" i="11" s="1"/>
  <c r="S54" i="11" s="1"/>
  <c r="Q82" i="11"/>
  <c r="R82" i="11" s="1"/>
  <c r="S82" i="11" s="1"/>
  <c r="Q94" i="11"/>
  <c r="R94" i="11" s="1"/>
  <c r="S94" i="11" s="1"/>
  <c r="Q56" i="11"/>
  <c r="R56" i="11" s="1"/>
  <c r="S56" i="11" s="1"/>
  <c r="Q38" i="11"/>
  <c r="R38" i="11" s="1"/>
  <c r="S38" i="11" s="1"/>
  <c r="Q51" i="11"/>
  <c r="R51" i="11" s="1"/>
  <c r="S51" i="11" s="1"/>
  <c r="Q78" i="11"/>
  <c r="R78" i="11" s="1"/>
  <c r="S78" i="11" s="1"/>
  <c r="Q79" i="11"/>
  <c r="R79" i="11" s="1"/>
  <c r="S79" i="11" s="1"/>
  <c r="Q87" i="11"/>
  <c r="R87" i="11" s="1"/>
  <c r="S87" i="11" s="1"/>
  <c r="Q88" i="11"/>
  <c r="R88" i="11" s="1"/>
  <c r="S88" i="11" s="1"/>
  <c r="Q68" i="11"/>
  <c r="R68" i="11" s="1"/>
  <c r="S68" i="11" s="1"/>
  <c r="Q25" i="11"/>
  <c r="R25" i="11" s="1"/>
  <c r="S25" i="11" s="1"/>
  <c r="Q28" i="11"/>
  <c r="R28" i="11" s="1"/>
  <c r="S28" i="11" s="1"/>
  <c r="P48" i="7"/>
  <c r="U87" i="7" s="1"/>
  <c r="L3" i="7"/>
  <c r="R7" i="7" s="1"/>
  <c r="I48" i="7"/>
  <c r="Q16" i="11"/>
  <c r="R16" i="11" s="1"/>
  <c r="S16" i="11" s="1"/>
  <c r="Q24" i="11"/>
  <c r="R24" i="11" s="1"/>
  <c r="S24" i="11" s="1"/>
  <c r="Q11" i="11"/>
  <c r="Q20" i="11"/>
  <c r="R20" i="11" s="1"/>
  <c r="S20" i="11" s="1"/>
  <c r="Q22" i="11"/>
  <c r="R22" i="11" s="1"/>
  <c r="S22" i="11" s="1"/>
  <c r="Q26" i="11"/>
  <c r="R26" i="11" s="1"/>
  <c r="S26" i="11" s="1"/>
  <c r="Q32" i="11"/>
  <c r="R32" i="11" s="1"/>
  <c r="S32" i="11" s="1"/>
  <c r="Q31" i="11"/>
  <c r="R31" i="11" s="1"/>
  <c r="S31" i="11" s="1"/>
  <c r="Q17" i="11"/>
  <c r="R17" i="11" s="1"/>
  <c r="S17" i="11" s="1"/>
  <c r="Q15" i="11"/>
  <c r="R15" i="11" s="1"/>
  <c r="S15" i="11" s="1"/>
  <c r="K5" i="13"/>
  <c r="Q30" i="11"/>
  <c r="R30" i="11" s="1"/>
  <c r="S30" i="11" s="1"/>
  <c r="Q14" i="11"/>
  <c r="Q12" i="11"/>
  <c r="F3" i="14"/>
  <c r="Q13" i="11"/>
  <c r="Q18" i="11"/>
  <c r="R18" i="11" s="1"/>
  <c r="S18" i="11" s="1"/>
  <c r="Q19" i="11"/>
  <c r="R19" i="11" s="1"/>
  <c r="S19" i="11" s="1"/>
  <c r="Q23" i="11"/>
  <c r="R23" i="11" s="1"/>
  <c r="S23" i="11" s="1"/>
  <c r="Q27" i="11"/>
  <c r="R27" i="11" s="1"/>
  <c r="S27" i="11" s="1"/>
  <c r="Q21" i="11"/>
  <c r="R21" i="11" s="1"/>
  <c r="S21" i="11" s="1"/>
  <c r="Q29" i="11"/>
  <c r="R29" i="11" s="1"/>
  <c r="S29" i="11" s="1"/>
  <c r="AF5" i="18" l="1"/>
  <c r="AG6" i="18"/>
  <c r="AE5" i="18"/>
  <c r="AC7" i="18"/>
  <c r="AD7" i="18"/>
  <c r="AF6" i="18"/>
  <c r="U9" i="18"/>
  <c r="V9" i="18" s="1"/>
  <c r="AD6" i="18"/>
  <c r="AD5" i="18"/>
  <c r="U5" i="18"/>
  <c r="V5" i="18" s="1"/>
  <c r="AE8" i="18"/>
  <c r="AA8" i="18"/>
  <c r="AG8" i="18"/>
  <c r="AH8" i="18"/>
  <c r="AC8" i="18"/>
  <c r="AF8" i="18"/>
  <c r="AD8" i="18"/>
  <c r="U8" i="18"/>
  <c r="V8" i="18" s="1"/>
  <c r="AA12" i="18"/>
  <c r="AA16" i="18"/>
  <c r="AA20" i="18"/>
  <c r="AA24" i="18"/>
  <c r="AA28" i="18"/>
  <c r="AA32" i="18"/>
  <c r="AA36" i="18"/>
  <c r="AA40" i="18"/>
  <c r="AA44" i="18"/>
  <c r="AA48" i="18"/>
  <c r="AA52" i="18"/>
  <c r="AA56" i="18"/>
  <c r="AA60" i="18"/>
  <c r="AA64" i="18"/>
  <c r="AA68" i="18"/>
  <c r="AA72" i="18"/>
  <c r="AA76" i="18"/>
  <c r="AA80" i="18"/>
  <c r="AA84" i="18"/>
  <c r="AA88" i="18"/>
  <c r="AA92" i="18"/>
  <c r="AC9" i="18"/>
  <c r="AG9" i="18"/>
  <c r="AE10" i="18"/>
  <c r="AC11" i="18"/>
  <c r="AG11" i="18"/>
  <c r="AE12" i="18"/>
  <c r="AC13" i="18"/>
  <c r="AG13" i="18"/>
  <c r="AE14" i="18"/>
  <c r="AC15" i="18"/>
  <c r="AG15" i="18"/>
  <c r="AE16" i="18"/>
  <c r="AC17" i="18"/>
  <c r="AG17" i="18"/>
  <c r="AE18" i="18"/>
  <c r="AC19" i="18"/>
  <c r="AG19" i="18"/>
  <c r="AE20" i="18"/>
  <c r="AC21" i="18"/>
  <c r="AG21" i="18"/>
  <c r="AE22" i="18"/>
  <c r="AC23" i="18"/>
  <c r="AG23" i="18"/>
  <c r="AE24" i="18"/>
  <c r="AC25" i="18"/>
  <c r="AG25" i="18"/>
  <c r="AE26" i="18"/>
  <c r="AC27" i="18"/>
  <c r="AG27" i="18"/>
  <c r="AE28" i="18"/>
  <c r="AC29" i="18"/>
  <c r="AG29" i="18"/>
  <c r="AE30" i="18"/>
  <c r="AC31" i="18"/>
  <c r="AG31" i="18"/>
  <c r="AE32" i="18"/>
  <c r="AC33" i="18"/>
  <c r="AG33" i="18"/>
  <c r="AE34" i="18"/>
  <c r="AC35" i="18"/>
  <c r="AG35" i="18"/>
  <c r="AE36" i="18"/>
  <c r="AC37" i="18"/>
  <c r="AG37" i="18"/>
  <c r="AE38" i="18"/>
  <c r="AC39" i="18"/>
  <c r="AG39" i="18"/>
  <c r="AE40" i="18"/>
  <c r="AC41" i="18"/>
  <c r="AG41" i="18"/>
  <c r="AE42" i="18"/>
  <c r="AC43" i="18"/>
  <c r="AG43" i="18"/>
  <c r="AE44" i="18"/>
  <c r="AC45" i="18"/>
  <c r="AG45" i="18"/>
  <c r="AE46" i="18"/>
  <c r="AC47" i="18"/>
  <c r="AG47" i="18"/>
  <c r="AE48" i="18"/>
  <c r="AC49" i="18"/>
  <c r="AG49" i="18"/>
  <c r="AE50" i="18"/>
  <c r="AA9" i="18"/>
  <c r="AA13" i="18"/>
  <c r="AA17" i="18"/>
  <c r="AA21" i="18"/>
  <c r="AA25" i="18"/>
  <c r="AA29" i="18"/>
  <c r="AA33" i="18"/>
  <c r="AA37" i="18"/>
  <c r="AA41" i="18"/>
  <c r="AA45" i="18"/>
  <c r="AA49" i="18"/>
  <c r="AA53" i="18"/>
  <c r="AA57" i="18"/>
  <c r="AA61" i="18"/>
  <c r="AA65" i="18"/>
  <c r="AA69" i="18"/>
  <c r="AA73" i="18"/>
  <c r="AA77" i="18"/>
  <c r="AA81" i="18"/>
  <c r="AA85" i="18"/>
  <c r="AA89" i="18"/>
  <c r="AA93" i="18"/>
  <c r="AD9" i="18"/>
  <c r="AH9" i="18"/>
  <c r="AF10" i="18"/>
  <c r="AD11" i="18"/>
  <c r="AH11" i="18"/>
  <c r="AF12" i="18"/>
  <c r="AD13" i="18"/>
  <c r="AH13" i="18"/>
  <c r="AF14" i="18"/>
  <c r="AD15" i="18"/>
  <c r="AH15" i="18"/>
  <c r="AF16" i="18"/>
  <c r="AD17" i="18"/>
  <c r="AH17" i="18"/>
  <c r="AF18" i="18"/>
  <c r="AD19" i="18"/>
  <c r="AH19" i="18"/>
  <c r="AF20" i="18"/>
  <c r="AD21" i="18"/>
  <c r="AH21" i="18"/>
  <c r="AF22" i="18"/>
  <c r="AD23" i="18"/>
  <c r="AH23" i="18"/>
  <c r="AF24" i="18"/>
  <c r="AD25" i="18"/>
  <c r="AH25" i="18"/>
  <c r="AF26" i="18"/>
  <c r="AD27" i="18"/>
  <c r="AH27" i="18"/>
  <c r="AF28" i="18"/>
  <c r="AD29" i="18"/>
  <c r="AH29" i="18"/>
  <c r="AF30" i="18"/>
  <c r="AD31" i="18"/>
  <c r="AH31" i="18"/>
  <c r="AF32" i="18"/>
  <c r="AA10" i="18"/>
  <c r="AA14" i="18"/>
  <c r="AA18" i="18"/>
  <c r="AA22" i="18"/>
  <c r="AA26" i="18"/>
  <c r="AA30" i="18"/>
  <c r="AA34" i="18"/>
  <c r="AA38" i="18"/>
  <c r="AA42" i="18"/>
  <c r="AA46" i="18"/>
  <c r="AA50" i="18"/>
  <c r="AA54" i="18"/>
  <c r="AA58" i="18"/>
  <c r="AA62" i="18"/>
  <c r="AA66" i="18"/>
  <c r="AA70" i="18"/>
  <c r="AA74" i="18"/>
  <c r="AA78" i="18"/>
  <c r="AA82" i="18"/>
  <c r="AA86" i="18"/>
  <c r="AA90" i="18"/>
  <c r="AA94" i="18"/>
  <c r="AE9" i="18"/>
  <c r="AC10" i="18"/>
  <c r="AG10" i="18"/>
  <c r="AE11" i="18"/>
  <c r="AC12" i="18"/>
  <c r="AG12" i="18"/>
  <c r="AE13" i="18"/>
  <c r="AC14" i="18"/>
  <c r="AG14" i="18"/>
  <c r="AE15" i="18"/>
  <c r="AC16" i="18"/>
  <c r="AG16" i="18"/>
  <c r="AE17" i="18"/>
  <c r="AC18" i="18"/>
  <c r="AG18" i="18"/>
  <c r="AE19" i="18"/>
  <c r="AC20" i="18"/>
  <c r="AG20" i="18"/>
  <c r="AE21" i="18"/>
  <c r="AC22" i="18"/>
  <c r="AG22" i="18"/>
  <c r="AE23" i="18"/>
  <c r="AC24" i="18"/>
  <c r="AG24" i="18"/>
  <c r="AE25" i="18"/>
  <c r="AC26" i="18"/>
  <c r="AG26" i="18"/>
  <c r="AE27" i="18"/>
  <c r="AC28" i="18"/>
  <c r="AG28" i="18"/>
  <c r="AE29" i="18"/>
  <c r="AC30" i="18"/>
  <c r="AG30" i="18"/>
  <c r="AE31" i="18"/>
  <c r="AC32" i="18"/>
  <c r="AG32" i="18"/>
  <c r="AE33" i="18"/>
  <c r="AC34" i="18"/>
  <c r="AG34" i="18"/>
  <c r="AE35" i="18"/>
  <c r="AC36" i="18"/>
  <c r="AG36" i="18"/>
  <c r="AE37" i="18"/>
  <c r="AC38" i="18"/>
  <c r="AG38" i="18"/>
  <c r="AE39" i="18"/>
  <c r="AC40" i="18"/>
  <c r="AG40" i="18"/>
  <c r="AE41" i="18"/>
  <c r="AC42" i="18"/>
  <c r="AG42" i="18"/>
  <c r="AE43" i="18"/>
  <c r="AC44" i="18"/>
  <c r="AG44" i="18"/>
  <c r="AE45" i="18"/>
  <c r="AC46" i="18"/>
  <c r="AG46" i="18"/>
  <c r="AE47" i="18"/>
  <c r="AA11" i="18"/>
  <c r="AA27" i="18"/>
  <c r="AA43" i="18"/>
  <c r="AA59" i="18"/>
  <c r="AA75" i="18"/>
  <c r="AA91" i="18"/>
  <c r="AH10" i="18"/>
  <c r="AF13" i="18"/>
  <c r="AD16" i="18"/>
  <c r="AH18" i="18"/>
  <c r="AF21" i="18"/>
  <c r="AD24" i="18"/>
  <c r="AH26" i="18"/>
  <c r="AF29" i="18"/>
  <c r="AD32" i="18"/>
  <c r="AH33" i="18"/>
  <c r="AD35" i="18"/>
  <c r="AF36" i="18"/>
  <c r="AH37" i="18"/>
  <c r="AD39" i="18"/>
  <c r="AF40" i="18"/>
  <c r="AH41" i="18"/>
  <c r="AD43" i="18"/>
  <c r="AF44" i="18"/>
  <c r="AH45" i="18"/>
  <c r="AD47" i="18"/>
  <c r="AD48" i="18"/>
  <c r="AD49" i="18"/>
  <c r="AC50" i="18"/>
  <c r="AH50" i="18"/>
  <c r="AF51" i="18"/>
  <c r="AD52" i="18"/>
  <c r="AH52" i="18"/>
  <c r="AF53" i="18"/>
  <c r="AD54" i="18"/>
  <c r="AH54" i="18"/>
  <c r="AF55" i="18"/>
  <c r="AD56" i="18"/>
  <c r="AH56" i="18"/>
  <c r="AF57" i="18"/>
  <c r="AD58" i="18"/>
  <c r="AH58" i="18"/>
  <c r="AF59" i="18"/>
  <c r="AD60" i="18"/>
  <c r="AH60" i="18"/>
  <c r="AF61" i="18"/>
  <c r="AD62" i="18"/>
  <c r="AH62" i="18"/>
  <c r="AF63" i="18"/>
  <c r="AD64" i="18"/>
  <c r="AH64" i="18"/>
  <c r="AF65" i="18"/>
  <c r="AD66" i="18"/>
  <c r="AH66" i="18"/>
  <c r="AF67" i="18"/>
  <c r="AD68" i="18"/>
  <c r="AH68" i="18"/>
  <c r="AF69" i="18"/>
  <c r="AD70" i="18"/>
  <c r="AH70" i="18"/>
  <c r="AF71" i="18"/>
  <c r="AD72" i="18"/>
  <c r="AH72" i="18"/>
  <c r="AF73" i="18"/>
  <c r="AD74" i="18"/>
  <c r="AH74" i="18"/>
  <c r="AF75" i="18"/>
  <c r="AD76" i="18"/>
  <c r="AH76" i="18"/>
  <c r="AF77" i="18"/>
  <c r="AD78" i="18"/>
  <c r="AH78" i="18"/>
  <c r="AF79" i="18"/>
  <c r="AD80" i="18"/>
  <c r="AH80" i="18"/>
  <c r="AF81" i="18"/>
  <c r="AD82" i="18"/>
  <c r="AH82" i="18"/>
  <c r="AF83" i="18"/>
  <c r="AD84" i="18"/>
  <c r="AH84" i="18"/>
  <c r="AF85" i="18"/>
  <c r="AD86" i="18"/>
  <c r="AH86" i="18"/>
  <c r="AF87" i="18"/>
  <c r="AD88" i="18"/>
  <c r="AH88" i="18"/>
  <c r="AF89" i="18"/>
  <c r="AD90" i="18"/>
  <c r="AA15" i="18"/>
  <c r="AA31" i="18"/>
  <c r="AA47" i="18"/>
  <c r="AA63" i="18"/>
  <c r="AA79" i="18"/>
  <c r="AF11" i="18"/>
  <c r="AD14" i="18"/>
  <c r="AH16" i="18"/>
  <c r="AF19" i="18"/>
  <c r="AD22" i="18"/>
  <c r="AH24" i="18"/>
  <c r="AF27" i="18"/>
  <c r="AD30" i="18"/>
  <c r="AH32" i="18"/>
  <c r="AD34" i="18"/>
  <c r="AF35" i="18"/>
  <c r="AH36" i="18"/>
  <c r="AD38" i="18"/>
  <c r="AF39" i="18"/>
  <c r="AH40" i="18"/>
  <c r="AD42" i="18"/>
  <c r="AF43" i="18"/>
  <c r="AH44" i="18"/>
  <c r="AD46" i="18"/>
  <c r="AF47" i="18"/>
  <c r="AF48" i="18"/>
  <c r="AE49" i="18"/>
  <c r="AD50" i="18"/>
  <c r="AC51" i="18"/>
  <c r="AG51" i="18"/>
  <c r="AE52" i="18"/>
  <c r="AC53" i="18"/>
  <c r="AG53" i="18"/>
  <c r="AE54" i="18"/>
  <c r="AC55" i="18"/>
  <c r="AG55" i="18"/>
  <c r="AE56" i="18"/>
  <c r="AC57" i="18"/>
  <c r="AG57" i="18"/>
  <c r="AE58" i="18"/>
  <c r="AC59" i="18"/>
  <c r="AG59" i="18"/>
  <c r="AE60" i="18"/>
  <c r="AC61" i="18"/>
  <c r="AG61" i="18"/>
  <c r="AE62" i="18"/>
  <c r="AC63" i="18"/>
  <c r="AG63" i="18"/>
  <c r="AE64" i="18"/>
  <c r="AC65" i="18"/>
  <c r="AG65" i="18"/>
  <c r="AE66" i="18"/>
  <c r="AC67" i="18"/>
  <c r="AG67" i="18"/>
  <c r="AE68" i="18"/>
  <c r="AC69" i="18"/>
  <c r="AG69" i="18"/>
  <c r="AE70" i="18"/>
  <c r="AC71" i="18"/>
  <c r="AG71" i="18"/>
  <c r="AE72" i="18"/>
  <c r="AC73" i="18"/>
  <c r="AG73" i="18"/>
  <c r="AE74" i="18"/>
  <c r="AC75" i="18"/>
  <c r="AG75" i="18"/>
  <c r="AE76" i="18"/>
  <c r="AC77" i="18"/>
  <c r="AG77" i="18"/>
  <c r="AE78" i="18"/>
  <c r="AC79" i="18"/>
  <c r="AG79" i="18"/>
  <c r="AE80" i="18"/>
  <c r="AC81" i="18"/>
  <c r="AG81" i="18"/>
  <c r="AE82" i="18"/>
  <c r="AC83" i="18"/>
  <c r="AG83" i="18"/>
  <c r="AE84" i="18"/>
  <c r="AC85" i="18"/>
  <c r="AG85" i="18"/>
  <c r="AE86" i="18"/>
  <c r="AC87" i="18"/>
  <c r="AG87" i="18"/>
  <c r="AA19" i="18"/>
  <c r="AA35" i="18"/>
  <c r="AA51" i="18"/>
  <c r="AA67" i="18"/>
  <c r="AA83" i="18"/>
  <c r="AF9" i="18"/>
  <c r="AD12" i="18"/>
  <c r="AH14" i="18"/>
  <c r="AF17" i="18"/>
  <c r="AD20" i="18"/>
  <c r="AH22" i="18"/>
  <c r="AF25" i="18"/>
  <c r="AD28" i="18"/>
  <c r="AH30" i="18"/>
  <c r="AD33" i="18"/>
  <c r="AF34" i="18"/>
  <c r="AH35" i="18"/>
  <c r="AD37" i="18"/>
  <c r="AF38" i="18"/>
  <c r="AH39" i="18"/>
  <c r="AD41" i="18"/>
  <c r="AF42" i="18"/>
  <c r="AH43" i="18"/>
  <c r="AD45" i="18"/>
  <c r="AF46" i="18"/>
  <c r="AH47" i="18"/>
  <c r="AG48" i="18"/>
  <c r="AF49" i="18"/>
  <c r="AF50" i="18"/>
  <c r="AD51" i="18"/>
  <c r="AH51" i="18"/>
  <c r="AF52" i="18"/>
  <c r="AD53" i="18"/>
  <c r="AH53" i="18"/>
  <c r="AF54" i="18"/>
  <c r="AD55" i="18"/>
  <c r="AH55" i="18"/>
  <c r="AF56" i="18"/>
  <c r="AD57" i="18"/>
  <c r="AH57" i="18"/>
  <c r="AF58" i="18"/>
  <c r="AD59" i="18"/>
  <c r="AH59" i="18"/>
  <c r="AF60" i="18"/>
  <c r="AD61" i="18"/>
  <c r="AH61" i="18"/>
  <c r="AF62" i="18"/>
  <c r="AD63" i="18"/>
  <c r="AH63" i="18"/>
  <c r="AF64" i="18"/>
  <c r="AD65" i="18"/>
  <c r="AH65" i="18"/>
  <c r="AF66" i="18"/>
  <c r="AD67" i="18"/>
  <c r="AH67" i="18"/>
  <c r="AF68" i="18"/>
  <c r="AD69" i="18"/>
  <c r="AH69" i="18"/>
  <c r="AF70" i="18"/>
  <c r="AD71" i="18"/>
  <c r="AH71" i="18"/>
  <c r="AF72" i="18"/>
  <c r="AD73" i="18"/>
  <c r="AH73" i="18"/>
  <c r="AF74" i="18"/>
  <c r="AD75" i="18"/>
  <c r="AH75" i="18"/>
  <c r="AF76" i="18"/>
  <c r="AD77" i="18"/>
  <c r="AH77" i="18"/>
  <c r="AF78" i="18"/>
  <c r="AD79" i="18"/>
  <c r="AH79" i="18"/>
  <c r="AF80" i="18"/>
  <c r="AD81" i="18"/>
  <c r="AH81" i="18"/>
  <c r="AF82" i="18"/>
  <c r="AD83" i="18"/>
  <c r="AH83" i="18"/>
  <c r="AA23" i="18"/>
  <c r="AA39" i="18"/>
  <c r="AA55" i="18"/>
  <c r="AA71" i="18"/>
  <c r="AA87" i="18"/>
  <c r="AD10" i="18"/>
  <c r="AH12" i="18"/>
  <c r="AF15" i="18"/>
  <c r="AD18" i="18"/>
  <c r="AH20" i="18"/>
  <c r="AF23" i="18"/>
  <c r="AD26" i="18"/>
  <c r="AH28" i="18"/>
  <c r="AF31" i="18"/>
  <c r="AF33" i="18"/>
  <c r="AH34" i="18"/>
  <c r="AD36" i="18"/>
  <c r="AF37" i="18"/>
  <c r="AH38" i="18"/>
  <c r="AD40" i="18"/>
  <c r="AF41" i="18"/>
  <c r="AH42" i="18"/>
  <c r="AD44" i="18"/>
  <c r="AF45" i="18"/>
  <c r="AH46" i="18"/>
  <c r="AC48" i="18"/>
  <c r="AH48" i="18"/>
  <c r="AH49" i="18"/>
  <c r="AG50" i="18"/>
  <c r="AE51" i="18"/>
  <c r="AC52" i="18"/>
  <c r="AG52" i="18"/>
  <c r="AE53" i="18"/>
  <c r="AC54" i="18"/>
  <c r="AG54" i="18"/>
  <c r="AE55" i="18"/>
  <c r="AC56" i="18"/>
  <c r="AG56" i="18"/>
  <c r="AE57" i="18"/>
  <c r="AC58" i="18"/>
  <c r="AG58" i="18"/>
  <c r="AE59" i="18"/>
  <c r="AC60" i="18"/>
  <c r="AG60" i="18"/>
  <c r="AE61" i="18"/>
  <c r="AC62" i="18"/>
  <c r="AG62" i="18"/>
  <c r="AE63" i="18"/>
  <c r="AC64" i="18"/>
  <c r="AG64" i="18"/>
  <c r="AE65" i="18"/>
  <c r="AC66" i="18"/>
  <c r="AG66" i="18"/>
  <c r="AE69" i="18"/>
  <c r="AC72" i="18"/>
  <c r="AG74" i="18"/>
  <c r="AE77" i="18"/>
  <c r="AC80" i="18"/>
  <c r="AG82" i="18"/>
  <c r="AG84" i="18"/>
  <c r="AC86" i="18"/>
  <c r="AE87" i="18"/>
  <c r="AF88" i="18"/>
  <c r="AE89" i="18"/>
  <c r="AE90" i="18"/>
  <c r="AC91" i="18"/>
  <c r="AG91" i="18"/>
  <c r="AE92" i="18"/>
  <c r="AC93" i="18"/>
  <c r="AF94" i="18"/>
  <c r="AE67" i="18"/>
  <c r="AC70" i="18"/>
  <c r="AG72" i="18"/>
  <c r="AE75" i="18"/>
  <c r="AC78" i="18"/>
  <c r="AG80" i="18"/>
  <c r="AE83" i="18"/>
  <c r="AD85" i="18"/>
  <c r="AF86" i="18"/>
  <c r="AH87" i="18"/>
  <c r="AG88" i="18"/>
  <c r="AG89" i="18"/>
  <c r="AF90" i="18"/>
  <c r="AD91" i="18"/>
  <c r="AH91" i="18"/>
  <c r="AF92" i="18"/>
  <c r="AD93" i="18"/>
  <c r="AH93" i="18"/>
  <c r="AC68" i="18"/>
  <c r="AG70" i="18"/>
  <c r="AE73" i="18"/>
  <c r="AC76" i="18"/>
  <c r="AG78" i="18"/>
  <c r="AE81" i="18"/>
  <c r="AC84" i="18"/>
  <c r="AE85" i="18"/>
  <c r="AG86" i="18"/>
  <c r="AC88" i="18"/>
  <c r="AC89" i="18"/>
  <c r="AH89" i="18"/>
  <c r="AG90" i="18"/>
  <c r="AE91" i="18"/>
  <c r="AC92" i="18"/>
  <c r="AG92" i="18"/>
  <c r="AE93" i="18"/>
  <c r="AC94" i="18"/>
  <c r="AG94" i="18"/>
  <c r="AE94" i="18"/>
  <c r="AG68" i="18"/>
  <c r="AE71" i="18"/>
  <c r="AC74" i="18"/>
  <c r="AG76" i="18"/>
  <c r="AE79" i="18"/>
  <c r="AC82" i="18"/>
  <c r="AF84" i="18"/>
  <c r="AH85" i="18"/>
  <c r="AD87" i="18"/>
  <c r="AE88" i="18"/>
  <c r="AD89" i="18"/>
  <c r="AC90" i="18"/>
  <c r="AH90" i="18"/>
  <c r="AF91" i="18"/>
  <c r="AD92" i="18"/>
  <c r="AH92" i="18"/>
  <c r="AF93" i="18"/>
  <c r="AD94" i="18"/>
  <c r="AH94" i="18"/>
  <c r="AG93" i="18"/>
  <c r="AH7" i="18"/>
  <c r="AH5" i="18"/>
  <c r="V1" i="18"/>
  <c r="H94" i="17"/>
  <c r="H92" i="17"/>
  <c r="H85" i="17"/>
  <c r="H78" i="17"/>
  <c r="H76" i="17"/>
  <c r="H69" i="17"/>
  <c r="H62" i="17"/>
  <c r="H60" i="17"/>
  <c r="H53" i="17"/>
  <c r="H46" i="17"/>
  <c r="H44" i="17"/>
  <c r="H37" i="17"/>
  <c r="H52" i="17"/>
  <c r="H38" i="17"/>
  <c r="H36" i="17"/>
  <c r="H97" i="17"/>
  <c r="H90" i="17"/>
  <c r="H88" i="17"/>
  <c r="H81" i="17"/>
  <c r="H74" i="17"/>
  <c r="H72" i="17"/>
  <c r="H65" i="17"/>
  <c r="H58" i="17"/>
  <c r="H56" i="17"/>
  <c r="H49" i="17"/>
  <c r="H42" i="17"/>
  <c r="H40" i="17"/>
  <c r="H93" i="17"/>
  <c r="H86" i="17"/>
  <c r="H84" i="17"/>
  <c r="H77" i="17"/>
  <c r="H70" i="17"/>
  <c r="H68" i="17"/>
  <c r="H61" i="17"/>
  <c r="H54" i="17"/>
  <c r="H45" i="17"/>
  <c r="H98" i="17"/>
  <c r="H96" i="17"/>
  <c r="H66" i="17"/>
  <c r="H64" i="17"/>
  <c r="H41" i="17"/>
  <c r="H82" i="17"/>
  <c r="H50" i="17"/>
  <c r="H73" i="17"/>
  <c r="H100" i="17"/>
  <c r="H80" i="17"/>
  <c r="H48" i="17"/>
  <c r="H89" i="17"/>
  <c r="H57" i="17"/>
  <c r="H51" i="17"/>
  <c r="H67" i="17"/>
  <c r="H83" i="17"/>
  <c r="H99" i="17"/>
  <c r="H47" i="17"/>
  <c r="H79" i="17"/>
  <c r="H39" i="17"/>
  <c r="H55" i="17"/>
  <c r="H71" i="17"/>
  <c r="H87" i="17"/>
  <c r="H43" i="17"/>
  <c r="H59" i="17"/>
  <c r="H75" i="17"/>
  <c r="H91" i="17"/>
  <c r="H63" i="17"/>
  <c r="H95" i="17"/>
  <c r="H35" i="17"/>
  <c r="H34" i="17"/>
  <c r="H32" i="17"/>
  <c r="H33" i="17"/>
  <c r="U19" i="7"/>
  <c r="U89" i="7"/>
  <c r="U81" i="7"/>
  <c r="U85" i="7"/>
  <c r="U99" i="7"/>
  <c r="U28" i="7"/>
  <c r="U94" i="7"/>
  <c r="U100" i="7"/>
  <c r="U18" i="7"/>
  <c r="U76" i="7"/>
  <c r="U8" i="7"/>
  <c r="U98" i="7"/>
  <c r="U48" i="7"/>
  <c r="U79" i="7"/>
  <c r="U54" i="7"/>
  <c r="U38" i="7"/>
  <c r="U84" i="7"/>
  <c r="U47" i="7"/>
  <c r="U44" i="7"/>
  <c r="U93" i="7"/>
  <c r="U41" i="7"/>
  <c r="U60" i="7"/>
  <c r="U9" i="7"/>
  <c r="U68" i="7"/>
  <c r="U25" i="7"/>
  <c r="U16" i="7"/>
  <c r="U82" i="7"/>
  <c r="U42" i="7"/>
  <c r="U33" i="7"/>
  <c r="U13" i="7"/>
  <c r="U92" i="7"/>
  <c r="U39" i="7"/>
  <c r="U75" i="7"/>
  <c r="U88" i="7"/>
  <c r="U32" i="7"/>
  <c r="U95" i="7"/>
  <c r="U58" i="7"/>
  <c r="U21" i="7"/>
  <c r="U46" i="7"/>
  <c r="U66" i="7"/>
  <c r="U70" i="7"/>
  <c r="U26" i="7"/>
  <c r="U73" i="7"/>
  <c r="U37" i="7"/>
  <c r="U67" i="7"/>
  <c r="U22" i="7"/>
  <c r="U17" i="7"/>
  <c r="U80" i="7"/>
  <c r="U36" i="7"/>
  <c r="U56" i="7"/>
  <c r="U40" i="7"/>
  <c r="U53" i="7"/>
  <c r="U61" i="7"/>
  <c r="U15" i="7"/>
  <c r="U12" i="7"/>
  <c r="U90" i="7"/>
  <c r="U96" i="7"/>
  <c r="U51" i="7"/>
  <c r="U59" i="7"/>
  <c r="U72" i="7"/>
  <c r="U20" i="7"/>
  <c r="U11" i="7"/>
  <c r="U45" i="7"/>
  <c r="U62" i="7"/>
  <c r="U64" i="7"/>
  <c r="U29" i="7"/>
  <c r="U71" i="7"/>
  <c r="U74" i="7"/>
  <c r="U14" i="7"/>
  <c r="V48" i="7"/>
  <c r="Q48" i="7"/>
  <c r="U49" i="7"/>
  <c r="R48" i="7"/>
  <c r="X48" i="7" s="1"/>
  <c r="U65" i="7"/>
  <c r="U57" i="7"/>
  <c r="U31" i="7"/>
  <c r="U50" i="7"/>
  <c r="U63" i="7"/>
  <c r="U55" i="7"/>
  <c r="U27" i="7"/>
  <c r="U83" i="7"/>
  <c r="U86" i="7"/>
  <c r="U91" i="7"/>
  <c r="U97" i="7"/>
  <c r="U43" i="7"/>
  <c r="U35" i="7"/>
  <c r="U24" i="7"/>
  <c r="U77" i="7"/>
  <c r="U10" i="7"/>
  <c r="U52" i="7"/>
  <c r="U34" i="7"/>
  <c r="U30" i="7"/>
  <c r="U69" i="7"/>
  <c r="U23" i="7"/>
  <c r="U78" i="7"/>
  <c r="V7" i="7"/>
  <c r="U7" i="7"/>
  <c r="N4" i="7"/>
  <c r="H28" i="17"/>
  <c r="H17" i="17"/>
  <c r="H19" i="17"/>
  <c r="H27" i="17"/>
  <c r="R14" i="11"/>
  <c r="S14" i="11" s="1"/>
  <c r="H20" i="17"/>
  <c r="H21" i="17"/>
  <c r="H30" i="17"/>
  <c r="H23" i="17"/>
  <c r="H29" i="17"/>
  <c r="H22" i="17"/>
  <c r="H18" i="17"/>
  <c r="H24" i="17"/>
  <c r="H26" i="17"/>
  <c r="H25" i="17"/>
  <c r="H31" i="17"/>
  <c r="H14" i="17"/>
  <c r="R11" i="11"/>
  <c r="S11" i="11" s="1"/>
  <c r="J14" i="17" s="1"/>
  <c r="R13" i="11"/>
  <c r="S13" i="11" s="1"/>
  <c r="J16" i="17" s="1"/>
  <c r="H16" i="17"/>
  <c r="T23" i="13"/>
  <c r="U87" i="13"/>
  <c r="T57" i="13"/>
  <c r="T72" i="13"/>
  <c r="U55" i="13"/>
  <c r="T44" i="13"/>
  <c r="T24" i="13"/>
  <c r="U36" i="13"/>
  <c r="U54" i="13"/>
  <c r="T66" i="13"/>
  <c r="U51" i="13"/>
  <c r="T75" i="13"/>
  <c r="U76" i="13"/>
  <c r="T73" i="13"/>
  <c r="T68" i="13"/>
  <c r="U92" i="13"/>
  <c r="T13" i="13"/>
  <c r="U26" i="13"/>
  <c r="T32" i="13"/>
  <c r="T95" i="13"/>
  <c r="U44" i="13"/>
  <c r="U86" i="13"/>
  <c r="T29" i="13"/>
  <c r="U91" i="13"/>
  <c r="T56" i="13"/>
  <c r="T16" i="13"/>
  <c r="T8" i="13"/>
  <c r="U31" i="13"/>
  <c r="T59" i="13"/>
  <c r="U25" i="13"/>
  <c r="U18" i="13"/>
  <c r="T94" i="13"/>
  <c r="U50" i="13"/>
  <c r="T45" i="13"/>
  <c r="U69" i="13"/>
  <c r="T64" i="13"/>
  <c r="U93" i="13"/>
  <c r="T35" i="13"/>
  <c r="T85" i="13"/>
  <c r="U58" i="13"/>
  <c r="U95" i="13"/>
  <c r="T58" i="13"/>
  <c r="T10" i="13"/>
  <c r="T51" i="13"/>
  <c r="U66" i="13"/>
  <c r="U88" i="13"/>
  <c r="U59" i="13"/>
  <c r="T42" i="13"/>
  <c r="U30" i="13"/>
  <c r="U81" i="13"/>
  <c r="T89" i="13"/>
  <c r="T93" i="13"/>
  <c r="U79" i="13"/>
  <c r="U17" i="13"/>
  <c r="Q48" i="13"/>
  <c r="U42" i="13"/>
  <c r="U47" i="13"/>
  <c r="U32" i="13"/>
  <c r="U70" i="13"/>
  <c r="T86" i="13"/>
  <c r="T78" i="13"/>
  <c r="T34" i="13"/>
  <c r="U68" i="13"/>
  <c r="U12" i="13"/>
  <c r="U98" i="13"/>
  <c r="U96" i="13"/>
  <c r="U15" i="13"/>
  <c r="U20" i="13"/>
  <c r="T74" i="13"/>
  <c r="U75" i="13"/>
  <c r="Q52" i="13"/>
  <c r="M29" i="13"/>
  <c r="T30" i="13"/>
  <c r="Q10" i="13"/>
  <c r="M28" i="13"/>
  <c r="M22" i="13"/>
  <c r="M98" i="13"/>
  <c r="Q83" i="13"/>
  <c r="M46" i="13"/>
  <c r="M34" i="13"/>
  <c r="U90" i="13"/>
  <c r="T41" i="13"/>
  <c r="Q89" i="13"/>
  <c r="Q94" i="13"/>
  <c r="Q78" i="13"/>
  <c r="Q64" i="13"/>
  <c r="M61" i="13"/>
  <c r="Q12" i="13"/>
  <c r="M90" i="13"/>
  <c r="Q82" i="13"/>
  <c r="M35" i="13"/>
  <c r="Q65" i="13"/>
  <c r="T28" i="13"/>
  <c r="M77" i="13"/>
  <c r="M84" i="13"/>
  <c r="T62" i="13"/>
  <c r="Q16" i="13"/>
  <c r="T39" i="13"/>
  <c r="U38" i="13"/>
  <c r="Q13" i="13"/>
  <c r="U84" i="13"/>
  <c r="Q26" i="13"/>
  <c r="M79" i="13"/>
  <c r="Q11" i="13"/>
  <c r="Q91" i="13"/>
  <c r="U27" i="13"/>
  <c r="T87" i="13"/>
  <c r="U13" i="13"/>
  <c r="T36" i="13"/>
  <c r="U61" i="13"/>
  <c r="T79" i="13"/>
  <c r="T77" i="13"/>
  <c r="U94" i="13"/>
  <c r="T49" i="13"/>
  <c r="T96" i="13"/>
  <c r="T12" i="13"/>
  <c r="W12" i="13" s="1"/>
  <c r="T80" i="13"/>
  <c r="U64" i="13"/>
  <c r="X64" i="13" s="1"/>
  <c r="T90" i="13"/>
  <c r="U10" i="13"/>
  <c r="U73" i="13"/>
  <c r="U35" i="13"/>
  <c r="T55" i="13"/>
  <c r="U89" i="13"/>
  <c r="T92" i="13"/>
  <c r="U37" i="13"/>
  <c r="U77" i="13"/>
  <c r="U22" i="13"/>
  <c r="U24" i="13"/>
  <c r="U63" i="13"/>
  <c r="U21" i="13"/>
  <c r="T31" i="13"/>
  <c r="U83" i="13"/>
  <c r="T63" i="13"/>
  <c r="T52" i="13"/>
  <c r="W52" i="13" s="1"/>
  <c r="T100" i="13"/>
  <c r="U78" i="13"/>
  <c r="X78" i="13" s="1"/>
  <c r="U52" i="13"/>
  <c r="Q66" i="13"/>
  <c r="M83" i="13"/>
  <c r="M10" i="13"/>
  <c r="M51" i="13"/>
  <c r="M38" i="13"/>
  <c r="M58" i="13"/>
  <c r="Q46" i="13"/>
  <c r="Q40" i="13"/>
  <c r="Q31" i="13"/>
  <c r="Q57" i="13"/>
  <c r="Q51" i="13"/>
  <c r="U60" i="13"/>
  <c r="Q30" i="13"/>
  <c r="M40" i="13"/>
  <c r="Q22" i="13"/>
  <c r="Q24" i="13"/>
  <c r="M62" i="13"/>
  <c r="Q55" i="13"/>
  <c r="M54" i="13"/>
  <c r="T82" i="13"/>
  <c r="W82" i="13" s="1"/>
  <c r="Q67" i="13"/>
  <c r="Q62" i="13"/>
  <c r="Q80" i="13"/>
  <c r="T22" i="13"/>
  <c r="Q87" i="13"/>
  <c r="M49" i="13"/>
  <c r="M75" i="13"/>
  <c r="M74" i="13"/>
  <c r="T14" i="13"/>
  <c r="U85" i="13"/>
  <c r="M48" i="13"/>
  <c r="M9" i="13"/>
  <c r="M53" i="13"/>
  <c r="M21" i="13"/>
  <c r="M57" i="13"/>
  <c r="T67" i="13"/>
  <c r="U97" i="13"/>
  <c r="T19" i="13"/>
  <c r="T99" i="13"/>
  <c r="T54" i="13"/>
  <c r="T26" i="13"/>
  <c r="U100" i="13"/>
  <c r="U71" i="13"/>
  <c r="U46" i="13"/>
  <c r="M72" i="13"/>
  <c r="M99" i="13"/>
  <c r="Q56" i="13"/>
  <c r="Q20" i="13"/>
  <c r="M27" i="13"/>
  <c r="T97" i="13"/>
  <c r="Q59" i="13"/>
  <c r="U56" i="13"/>
  <c r="M44" i="13"/>
  <c r="M86" i="13"/>
  <c r="Q41" i="13"/>
  <c r="M8" i="13"/>
  <c r="M20" i="13"/>
  <c r="Q36" i="13"/>
  <c r="T37" i="13"/>
  <c r="M60" i="13"/>
  <c r="Q19" i="13"/>
  <c r="M80" i="13"/>
  <c r="M76" i="13"/>
  <c r="Q33" i="13"/>
  <c r="Q53" i="13"/>
  <c r="Q29" i="13"/>
  <c r="U49" i="13"/>
  <c r="U16" i="13"/>
  <c r="M47" i="13"/>
  <c r="Q68" i="13"/>
  <c r="T40" i="13"/>
  <c r="M93" i="13"/>
  <c r="M18" i="13"/>
  <c r="Q86" i="13"/>
  <c r="Q69" i="13"/>
  <c r="U65" i="13"/>
  <c r="M59" i="13"/>
  <c r="Q39" i="13"/>
  <c r="M12" i="13"/>
  <c r="T11" i="13"/>
  <c r="Q74" i="13"/>
  <c r="M14" i="13"/>
  <c r="T65" i="13"/>
  <c r="M65" i="13"/>
  <c r="U62" i="13"/>
  <c r="T43" i="13"/>
  <c r="T47" i="13"/>
  <c r="T50" i="13"/>
  <c r="U67" i="13"/>
  <c r="X67" i="13" s="1"/>
  <c r="U34" i="13"/>
  <c r="U72" i="13"/>
  <c r="T53" i="13"/>
  <c r="U82" i="13"/>
  <c r="T69" i="13"/>
  <c r="Q92" i="13"/>
  <c r="M11" i="13"/>
  <c r="M96" i="13"/>
  <c r="Q73" i="13"/>
  <c r="T21" i="13"/>
  <c r="U40" i="13"/>
  <c r="X40" i="13" s="1"/>
  <c r="M19" i="13"/>
  <c r="M56" i="13"/>
  <c r="M95" i="13"/>
  <c r="M97" i="13"/>
  <c r="M87" i="13"/>
  <c r="M41" i="13"/>
  <c r="M67" i="13"/>
  <c r="Q77" i="13"/>
  <c r="U11" i="13"/>
  <c r="M45" i="13"/>
  <c r="U9" i="13"/>
  <c r="Q37" i="13"/>
  <c r="M82" i="13"/>
  <c r="M52" i="13"/>
  <c r="M91" i="13"/>
  <c r="M13" i="13"/>
  <c r="U33" i="13"/>
  <c r="U29" i="13"/>
  <c r="X29" i="13" s="1"/>
  <c r="M70" i="13"/>
  <c r="M85" i="13"/>
  <c r="Q50" i="13"/>
  <c r="M36" i="13"/>
  <c r="Q27" i="13"/>
  <c r="U43" i="13"/>
  <c r="Q43" i="13"/>
  <c r="Q60" i="13"/>
  <c r="M64" i="13"/>
  <c r="Q100" i="13"/>
  <c r="Q75" i="13"/>
  <c r="Q99" i="13"/>
  <c r="M100" i="13"/>
  <c r="M69" i="13"/>
  <c r="M66" i="13"/>
  <c r="Q95" i="13"/>
  <c r="T46" i="13"/>
  <c r="W46" i="13" s="1"/>
  <c r="T33" i="13"/>
  <c r="W33" i="13" s="1"/>
  <c r="T17" i="13"/>
  <c r="T83" i="13"/>
  <c r="T71" i="13"/>
  <c r="T98" i="13"/>
  <c r="U45" i="13"/>
  <c r="T76" i="13"/>
  <c r="T81" i="13"/>
  <c r="U74" i="13"/>
  <c r="M33" i="13"/>
  <c r="Q90" i="13"/>
  <c r="Q81" i="13"/>
  <c r="M88" i="13"/>
  <c r="M55" i="13"/>
  <c r="M15" i="13"/>
  <c r="T48" i="13"/>
  <c r="Q97" i="13"/>
  <c r="T88" i="13"/>
  <c r="M42" i="13"/>
  <c r="M39" i="13"/>
  <c r="Q85" i="13"/>
  <c r="U8" i="13"/>
  <c r="M17" i="13"/>
  <c r="T84" i="13"/>
  <c r="Q23" i="13"/>
  <c r="M16" i="13"/>
  <c r="Q47" i="13"/>
  <c r="M71" i="13"/>
  <c r="M92" i="13"/>
  <c r="Q61" i="13"/>
  <c r="Q84" i="13"/>
  <c r="T25" i="13"/>
  <c r="Q35" i="13"/>
  <c r="M24" i="13"/>
  <c r="Q17" i="13"/>
  <c r="Q58" i="13"/>
  <c r="Q63" i="13"/>
  <c r="Q54" i="13"/>
  <c r="Q70" i="13"/>
  <c r="Q9" i="13"/>
  <c r="Q98" i="13"/>
  <c r="Q49" i="13"/>
  <c r="M23" i="13"/>
  <c r="M78" i="13"/>
  <c r="M31" i="13"/>
  <c r="Q42" i="13"/>
  <c r="M94" i="13"/>
  <c r="Q76" i="13"/>
  <c r="M43" i="13"/>
  <c r="U14" i="13"/>
  <c r="T18" i="13"/>
  <c r="U19" i="13"/>
  <c r="T27" i="13"/>
  <c r="T61" i="13"/>
  <c r="W61" i="13" s="1"/>
  <c r="T15" i="13"/>
  <c r="U80" i="13"/>
  <c r="X80" i="13" s="1"/>
  <c r="U99" i="13"/>
  <c r="U23" i="13"/>
  <c r="M32" i="13"/>
  <c r="Q93" i="13"/>
  <c r="Q25" i="13"/>
  <c r="T20" i="13"/>
  <c r="Q44" i="13"/>
  <c r="T70" i="13"/>
  <c r="M50" i="13"/>
  <c r="Q21" i="13"/>
  <c r="Q32" i="13"/>
  <c r="Q14" i="13"/>
  <c r="M89" i="13"/>
  <c r="Q15" i="13"/>
  <c r="Q71" i="13"/>
  <c r="M37" i="13"/>
  <c r="U41" i="13"/>
  <c r="Q96" i="13"/>
  <c r="U57" i="13"/>
  <c r="X57" i="13" s="1"/>
  <c r="Q88" i="13"/>
  <c r="M26" i="13"/>
  <c r="Q38" i="13"/>
  <c r="Q8" i="13"/>
  <c r="U48" i="13"/>
  <c r="T38" i="13"/>
  <c r="T91" i="13"/>
  <c r="Q79" i="13"/>
  <c r="Q28" i="13"/>
  <c r="T60" i="13"/>
  <c r="U39" i="13"/>
  <c r="Q18" i="13"/>
  <c r="Q34" i="13"/>
  <c r="M73" i="13"/>
  <c r="M63" i="13"/>
  <c r="M68" i="13"/>
  <c r="M25" i="13"/>
  <c r="M81" i="13"/>
  <c r="U53" i="13"/>
  <c r="X53" i="13" s="1"/>
  <c r="Q45" i="13"/>
  <c r="Q72" i="13"/>
  <c r="U28" i="13"/>
  <c r="M30" i="13"/>
  <c r="T9" i="13"/>
  <c r="H15" i="17"/>
  <c r="R12" i="11"/>
  <c r="S12" i="11" s="1"/>
  <c r="J15" i="17" s="1"/>
  <c r="I47" i="7"/>
  <c r="I49" i="7"/>
  <c r="T48" i="7"/>
  <c r="AH1" i="18" l="1"/>
  <c r="X13" i="13"/>
  <c r="J97" i="17"/>
  <c r="J90" i="17"/>
  <c r="J88" i="17"/>
  <c r="J81" i="17"/>
  <c r="J74" i="17"/>
  <c r="J72" i="17"/>
  <c r="J65" i="17"/>
  <c r="J58" i="17"/>
  <c r="J56" i="17"/>
  <c r="J49" i="17"/>
  <c r="J42" i="17"/>
  <c r="J40" i="17"/>
  <c r="J41" i="17"/>
  <c r="J93" i="17"/>
  <c r="J86" i="17"/>
  <c r="J84" i="17"/>
  <c r="J77" i="17"/>
  <c r="J70" i="17"/>
  <c r="J68" i="17"/>
  <c r="J61" i="17"/>
  <c r="J54" i="17"/>
  <c r="J52" i="17"/>
  <c r="J45" i="17"/>
  <c r="J38" i="17"/>
  <c r="J36" i="17"/>
  <c r="J100" i="17"/>
  <c r="J98" i="17"/>
  <c r="J96" i="17"/>
  <c r="J89" i="17"/>
  <c r="J82" i="17"/>
  <c r="J80" i="17"/>
  <c r="J73" i="17"/>
  <c r="J66" i="17"/>
  <c r="J64" i="17"/>
  <c r="J57" i="17"/>
  <c r="J50" i="17"/>
  <c r="J48" i="17"/>
  <c r="J85" i="17"/>
  <c r="J78" i="17"/>
  <c r="J53" i="17"/>
  <c r="J46" i="17"/>
  <c r="J60" i="17"/>
  <c r="J94" i="17"/>
  <c r="J69" i="17"/>
  <c r="J62" i="17"/>
  <c r="J37" i="17"/>
  <c r="J92" i="17"/>
  <c r="J44" i="17"/>
  <c r="J76" i="17"/>
  <c r="J83" i="17"/>
  <c r="J67" i="17"/>
  <c r="J99" i="17"/>
  <c r="J63" i="17"/>
  <c r="J95" i="17"/>
  <c r="J59" i="17"/>
  <c r="J91" i="17"/>
  <c r="J55" i="17"/>
  <c r="J51" i="17"/>
  <c r="J79" i="17"/>
  <c r="J47" i="17"/>
  <c r="J75" i="17"/>
  <c r="J39" i="17"/>
  <c r="J71" i="17"/>
  <c r="J43" i="17"/>
  <c r="J87" i="17"/>
  <c r="J33" i="17"/>
  <c r="J34" i="17"/>
  <c r="J32" i="17"/>
  <c r="J35" i="17"/>
  <c r="W48" i="7"/>
  <c r="X52" i="13"/>
  <c r="X48" i="13"/>
  <c r="X19" i="13"/>
  <c r="W48" i="13"/>
  <c r="X89" i="13"/>
  <c r="W40" i="13"/>
  <c r="X83" i="13"/>
  <c r="W83" i="13"/>
  <c r="X10" i="13"/>
  <c r="W20" i="13"/>
  <c r="X82" i="13"/>
  <c r="W26" i="13"/>
  <c r="Y48" i="7"/>
  <c r="W65" i="13"/>
  <c r="X11" i="13"/>
  <c r="W11" i="13"/>
  <c r="X65" i="13"/>
  <c r="X74" i="13"/>
  <c r="X43" i="13"/>
  <c r="W53" i="13"/>
  <c r="W67" i="13"/>
  <c r="W15" i="13"/>
  <c r="W43" i="13"/>
  <c r="W19" i="13"/>
  <c r="W31" i="13"/>
  <c r="W38" i="13"/>
  <c r="W9" i="13"/>
  <c r="W69" i="13"/>
  <c r="X22" i="13"/>
  <c r="W76" i="13"/>
  <c r="X39" i="13"/>
  <c r="W91" i="13"/>
  <c r="X62" i="13"/>
  <c r="X28" i="13"/>
  <c r="W60" i="13"/>
  <c r="X41" i="13"/>
  <c r="X99" i="13"/>
  <c r="W27" i="13"/>
  <c r="W50" i="13"/>
  <c r="X16" i="13"/>
  <c r="X56" i="13"/>
  <c r="X46" i="13"/>
  <c r="W22" i="13"/>
  <c r="W18" i="13"/>
  <c r="X34" i="13"/>
  <c r="W97" i="13"/>
  <c r="X100" i="13"/>
  <c r="X85" i="13"/>
  <c r="W100" i="13"/>
  <c r="W77" i="13"/>
  <c r="W62" i="13"/>
  <c r="X20" i="13"/>
  <c r="X12" i="13"/>
  <c r="W86" i="13"/>
  <c r="X42" i="13"/>
  <c r="W93" i="13"/>
  <c r="W42" i="13"/>
  <c r="W51" i="13"/>
  <c r="X58" i="13"/>
  <c r="W64" i="13"/>
  <c r="W94" i="13"/>
  <c r="X31" i="13"/>
  <c r="X91" i="13"/>
  <c r="W95" i="13"/>
  <c r="X92" i="13"/>
  <c r="W75" i="13"/>
  <c r="X36" i="13"/>
  <c r="W72" i="13"/>
  <c r="I50" i="7"/>
  <c r="H49" i="7"/>
  <c r="F49" i="7" s="1"/>
  <c r="I46" i="7"/>
  <c r="H47" i="7"/>
  <c r="F47" i="7" s="1"/>
  <c r="X23" i="13"/>
  <c r="X14" i="13"/>
  <c r="X8" i="13"/>
  <c r="W88" i="13"/>
  <c r="X45" i="13"/>
  <c r="W17" i="13"/>
  <c r="X33" i="13"/>
  <c r="X97" i="13"/>
  <c r="W14" i="13"/>
  <c r="X21" i="13"/>
  <c r="X77" i="13"/>
  <c r="W55" i="13"/>
  <c r="W90" i="13"/>
  <c r="W96" i="13"/>
  <c r="W79" i="13"/>
  <c r="W87" i="13"/>
  <c r="X38" i="13"/>
  <c r="X15" i="13"/>
  <c r="X68" i="13"/>
  <c r="X70" i="13"/>
  <c r="S63" i="13"/>
  <c r="V63" i="13" s="1"/>
  <c r="S60" i="13"/>
  <c r="V60" i="13" s="1"/>
  <c r="S8" i="13"/>
  <c r="V8" i="13" s="1"/>
  <c r="S70" i="13"/>
  <c r="V70" i="13" s="1"/>
  <c r="S93" i="13"/>
  <c r="V93" i="13" s="1"/>
  <c r="S76" i="13"/>
  <c r="V76" i="13" s="1"/>
  <c r="S34" i="13"/>
  <c r="V34" i="13" s="1"/>
  <c r="S32" i="13"/>
  <c r="V32" i="13" s="1"/>
  <c r="S79" i="13"/>
  <c r="V79" i="13" s="1"/>
  <c r="S16" i="13"/>
  <c r="V16" i="13" s="1"/>
  <c r="S45" i="13"/>
  <c r="V45" i="13" s="1"/>
  <c r="S12" i="13"/>
  <c r="V12" i="13" s="1"/>
  <c r="S21" i="13"/>
  <c r="V21" i="13" s="1"/>
  <c r="S13" i="13"/>
  <c r="V13" i="13" s="1"/>
  <c r="S86" i="13"/>
  <c r="V86" i="13" s="1"/>
  <c r="S83" i="13"/>
  <c r="V83" i="13" s="1"/>
  <c r="S91" i="13"/>
  <c r="V91" i="13" s="1"/>
  <c r="S37" i="13"/>
  <c r="V37" i="13" s="1"/>
  <c r="S67" i="13"/>
  <c r="V67" i="13" s="1"/>
  <c r="S65" i="13"/>
  <c r="V65" i="13" s="1"/>
  <c r="S30" i="13"/>
  <c r="V30" i="13" s="1"/>
  <c r="S46" i="13"/>
  <c r="V46" i="13" s="1"/>
  <c r="S73" i="13"/>
  <c r="V73" i="13" s="1"/>
  <c r="S74" i="13"/>
  <c r="V74" i="13" s="1"/>
  <c r="S17" i="13"/>
  <c r="V17" i="13" s="1"/>
  <c r="S82" i="13"/>
  <c r="V82" i="13" s="1"/>
  <c r="S62" i="13"/>
  <c r="V62" i="13" s="1"/>
  <c r="S96" i="13"/>
  <c r="V96" i="13" s="1"/>
  <c r="S78" i="13"/>
  <c r="V78" i="13" s="1"/>
  <c r="S52" i="13"/>
  <c r="V52" i="13" s="1"/>
  <c r="S43" i="13"/>
  <c r="V43" i="13" s="1"/>
  <c r="S50" i="13"/>
  <c r="V50" i="13" s="1"/>
  <c r="S66" i="13"/>
  <c r="V66" i="13" s="1"/>
  <c r="S38" i="13"/>
  <c r="V38" i="13" s="1"/>
  <c r="S28" i="13"/>
  <c r="V28" i="13" s="1"/>
  <c r="S19" i="13"/>
  <c r="V19" i="13" s="1"/>
  <c r="S97" i="13"/>
  <c r="V97" i="13" s="1"/>
  <c r="S90" i="13"/>
  <c r="V90" i="13" s="1"/>
  <c r="S59" i="13"/>
  <c r="V59" i="13" s="1"/>
  <c r="S99" i="13"/>
  <c r="V99" i="13" s="1"/>
  <c r="S15" i="13"/>
  <c r="V15" i="13" s="1"/>
  <c r="S48" i="13"/>
  <c r="V48" i="13" s="1"/>
  <c r="S9" i="13"/>
  <c r="V9" i="13" s="1"/>
  <c r="S68" i="13"/>
  <c r="V68" i="13" s="1"/>
  <c r="S88" i="13"/>
  <c r="V88" i="13" s="1"/>
  <c r="S58" i="13"/>
  <c r="V58" i="13" s="1"/>
  <c r="S94" i="13"/>
  <c r="V94" i="13" s="1"/>
  <c r="S24" i="13"/>
  <c r="V24" i="13" s="1"/>
  <c r="S87" i="13"/>
  <c r="V87" i="13" s="1"/>
  <c r="S39" i="13"/>
  <c r="V39" i="13" s="1"/>
  <c r="S44" i="13"/>
  <c r="V44" i="13" s="1"/>
  <c r="S71" i="13"/>
  <c r="V71" i="13" s="1"/>
  <c r="S61" i="13"/>
  <c r="V61" i="13" s="1"/>
  <c r="S84" i="13"/>
  <c r="V84" i="13" s="1"/>
  <c r="S29" i="13"/>
  <c r="V29" i="13" s="1"/>
  <c r="S47" i="13"/>
  <c r="V47" i="13" s="1"/>
  <c r="S56" i="13"/>
  <c r="V56" i="13" s="1"/>
  <c r="S85" i="13"/>
  <c r="V85" i="13" s="1"/>
  <c r="S11" i="13"/>
  <c r="V11" i="13" s="1"/>
  <c r="S35" i="13"/>
  <c r="V35" i="13" s="1"/>
  <c r="S49" i="13"/>
  <c r="V49" i="13" s="1"/>
  <c r="S18" i="13"/>
  <c r="V18" i="13" s="1"/>
  <c r="S81" i="13"/>
  <c r="V81" i="13" s="1"/>
  <c r="S33" i="13"/>
  <c r="V33" i="13" s="1"/>
  <c r="S80" i="13"/>
  <c r="V80" i="13" s="1"/>
  <c r="S36" i="13"/>
  <c r="V36" i="13" s="1"/>
  <c r="S72" i="13"/>
  <c r="V72" i="13" s="1"/>
  <c r="S54" i="13"/>
  <c r="V54" i="13" s="1"/>
  <c r="S98" i="13"/>
  <c r="V98" i="13" s="1"/>
  <c r="S25" i="13"/>
  <c r="V25" i="13" s="1"/>
  <c r="S95" i="13"/>
  <c r="V95" i="13" s="1"/>
  <c r="S89" i="13"/>
  <c r="V89" i="13" s="1"/>
  <c r="S41" i="13"/>
  <c r="V41" i="13" s="1"/>
  <c r="S75" i="13"/>
  <c r="V75" i="13" s="1"/>
  <c r="S100" i="13"/>
  <c r="V100" i="13" s="1"/>
  <c r="S57" i="13"/>
  <c r="V57" i="13" s="1"/>
  <c r="S51" i="13"/>
  <c r="V51" i="13" s="1"/>
  <c r="S55" i="13"/>
  <c r="V55" i="13" s="1"/>
  <c r="S77" i="13"/>
  <c r="V77" i="13" s="1"/>
  <c r="S92" i="13"/>
  <c r="V92" i="13" s="1"/>
  <c r="S27" i="13"/>
  <c r="V27" i="13" s="1"/>
  <c r="S22" i="13"/>
  <c r="V22" i="13" s="1"/>
  <c r="S10" i="13"/>
  <c r="V10" i="13" s="1"/>
  <c r="S23" i="13"/>
  <c r="V23" i="13" s="1"/>
  <c r="S42" i="13"/>
  <c r="V42" i="13" s="1"/>
  <c r="S20" i="13"/>
  <c r="V20" i="13" s="1"/>
  <c r="S31" i="13"/>
  <c r="V31" i="13" s="1"/>
  <c r="S69" i="13"/>
  <c r="V69" i="13" s="1"/>
  <c r="S40" i="13"/>
  <c r="V40" i="13" s="1"/>
  <c r="S26" i="13"/>
  <c r="V26" i="13" s="1"/>
  <c r="S53" i="13"/>
  <c r="V53" i="13" s="1"/>
  <c r="S64" i="13"/>
  <c r="V64" i="13" s="1"/>
  <c r="S14" i="13"/>
  <c r="V14" i="13" s="1"/>
  <c r="W89" i="13"/>
  <c r="X59" i="13"/>
  <c r="W10" i="13"/>
  <c r="W85" i="13"/>
  <c r="X69" i="13"/>
  <c r="X18" i="13"/>
  <c r="W8" i="13"/>
  <c r="W29" i="13"/>
  <c r="W32" i="13"/>
  <c r="W68" i="13"/>
  <c r="X51" i="13"/>
  <c r="W24" i="13"/>
  <c r="W57" i="13"/>
  <c r="W98" i="13"/>
  <c r="W54" i="13"/>
  <c r="X60" i="13"/>
  <c r="W63" i="13"/>
  <c r="X63" i="13"/>
  <c r="X37" i="13"/>
  <c r="X35" i="13"/>
  <c r="W49" i="13"/>
  <c r="X61" i="13"/>
  <c r="X27" i="13"/>
  <c r="W39" i="13"/>
  <c r="W41" i="13"/>
  <c r="X75" i="13"/>
  <c r="X96" i="13"/>
  <c r="W34" i="13"/>
  <c r="X32" i="13"/>
  <c r="X17" i="13"/>
  <c r="X81" i="13"/>
  <c r="X88" i="13"/>
  <c r="W58" i="13"/>
  <c r="W35" i="13"/>
  <c r="W45" i="13"/>
  <c r="X25" i="13"/>
  <c r="W16" i="13"/>
  <c r="X86" i="13"/>
  <c r="X26" i="13"/>
  <c r="W73" i="13"/>
  <c r="W66" i="13"/>
  <c r="W44" i="13"/>
  <c r="X87" i="13"/>
  <c r="W70" i="13"/>
  <c r="W25" i="13"/>
  <c r="W84" i="13"/>
  <c r="W81" i="13"/>
  <c r="W71" i="13"/>
  <c r="X9" i="13"/>
  <c r="W21" i="13"/>
  <c r="X72" i="13"/>
  <c r="W47" i="13"/>
  <c r="X49" i="13"/>
  <c r="W37" i="13"/>
  <c r="X71" i="13"/>
  <c r="W99" i="13"/>
  <c r="X24" i="13"/>
  <c r="W92" i="13"/>
  <c r="X73" i="13"/>
  <c r="W80" i="13"/>
  <c r="X94" i="13"/>
  <c r="W36" i="13"/>
  <c r="X84" i="13"/>
  <c r="W28" i="13"/>
  <c r="X90" i="13"/>
  <c r="W30" i="13"/>
  <c r="W74" i="13"/>
  <c r="X98" i="13"/>
  <c r="W78" i="13"/>
  <c r="X47" i="13"/>
  <c r="X79" i="13"/>
  <c r="X30" i="13"/>
  <c r="X66" i="13"/>
  <c r="X95" i="13"/>
  <c r="X93" i="13"/>
  <c r="X50" i="13"/>
  <c r="W59" i="13"/>
  <c r="W56" i="13"/>
  <c r="X44" i="13"/>
  <c r="W13" i="13"/>
  <c r="X76" i="13"/>
  <c r="X54" i="13"/>
  <c r="X55" i="13"/>
  <c r="W23" i="13"/>
  <c r="H12" i="17"/>
  <c r="J24" i="17"/>
  <c r="J20" i="17"/>
  <c r="J31" i="17"/>
  <c r="J21" i="17"/>
  <c r="J27" i="17"/>
  <c r="J18" i="17"/>
  <c r="J30" i="17"/>
  <c r="J22" i="17"/>
  <c r="J26" i="17"/>
  <c r="J29" i="17"/>
  <c r="J17" i="17"/>
  <c r="J23" i="17"/>
  <c r="J28" i="17"/>
  <c r="J25" i="17"/>
  <c r="J19" i="17"/>
  <c r="G1" i="17" l="1"/>
  <c r="F1" i="17" s="1"/>
  <c r="P47" i="7"/>
  <c r="N47" i="7"/>
  <c r="I51" i="7"/>
  <c r="H50" i="7"/>
  <c r="F50" i="7" s="1"/>
  <c r="H46" i="7"/>
  <c r="F46" i="7" s="1"/>
  <c r="I45" i="7"/>
  <c r="P49" i="7"/>
  <c r="N49" i="7"/>
  <c r="V49" i="7" l="1"/>
  <c r="T49" i="7"/>
  <c r="P50" i="7"/>
  <c r="N50" i="7"/>
  <c r="R49" i="7"/>
  <c r="X49" i="7" s="1"/>
  <c r="Q49" i="7"/>
  <c r="I52" i="7"/>
  <c r="H51" i="7"/>
  <c r="F51" i="7" s="1"/>
  <c r="I44" i="7"/>
  <c r="H45" i="7"/>
  <c r="F45" i="7" s="1"/>
  <c r="V47" i="7"/>
  <c r="T47" i="7"/>
  <c r="P46" i="7"/>
  <c r="N46" i="7"/>
  <c r="R47" i="7"/>
  <c r="X47" i="7" s="1"/>
  <c r="Q47" i="7"/>
  <c r="W49" i="7" l="1"/>
  <c r="W47" i="7"/>
  <c r="P51" i="7"/>
  <c r="N51" i="7"/>
  <c r="V50" i="7"/>
  <c r="T50" i="7"/>
  <c r="Y47" i="7"/>
  <c r="H52" i="7"/>
  <c r="F52" i="7" s="1"/>
  <c r="I53" i="7"/>
  <c r="R50" i="7"/>
  <c r="X50" i="7" s="1"/>
  <c r="Q50" i="7"/>
  <c r="V46" i="7"/>
  <c r="T46" i="7"/>
  <c r="N45" i="7"/>
  <c r="P45" i="7"/>
  <c r="R46" i="7"/>
  <c r="X46" i="7" s="1"/>
  <c r="Q46" i="7"/>
  <c r="H44" i="7"/>
  <c r="F44" i="7" s="1"/>
  <c r="I43" i="7"/>
  <c r="Y49" i="7"/>
  <c r="W46" i="7" l="1"/>
  <c r="N44" i="7"/>
  <c r="P44" i="7"/>
  <c r="T45" i="7"/>
  <c r="V45" i="7"/>
  <c r="W50" i="7"/>
  <c r="I54" i="7"/>
  <c r="H53" i="7"/>
  <c r="F53" i="7" s="1"/>
  <c r="Y50" i="7"/>
  <c r="Y46" i="7"/>
  <c r="P52" i="7"/>
  <c r="N52" i="7"/>
  <c r="T51" i="7"/>
  <c r="V51" i="7"/>
  <c r="I42" i="7"/>
  <c r="H43" i="7"/>
  <c r="F43" i="7" s="1"/>
  <c r="R45" i="7"/>
  <c r="X45" i="7" s="1"/>
  <c r="Q45" i="7"/>
  <c r="R51" i="7"/>
  <c r="X51" i="7" s="1"/>
  <c r="Q51" i="7"/>
  <c r="W51" i="7" l="1"/>
  <c r="Y51" i="7"/>
  <c r="Y45" i="7"/>
  <c r="P43" i="7"/>
  <c r="N43" i="7"/>
  <c r="T52" i="7"/>
  <c r="V52" i="7"/>
  <c r="P53" i="7"/>
  <c r="N53" i="7"/>
  <c r="W45" i="7"/>
  <c r="I41" i="7"/>
  <c r="H42" i="7"/>
  <c r="F42" i="7" s="1"/>
  <c r="Q52" i="7"/>
  <c r="R52" i="7"/>
  <c r="X52" i="7" s="1"/>
  <c r="H54" i="7"/>
  <c r="F54" i="7" s="1"/>
  <c r="I55" i="7"/>
  <c r="Q44" i="7"/>
  <c r="R44" i="7"/>
  <c r="X44" i="7" s="1"/>
  <c r="V44" i="7"/>
  <c r="T44" i="7"/>
  <c r="W44" i="7" l="1"/>
  <c r="Y44" i="7"/>
  <c r="Y52" i="7"/>
  <c r="P42" i="7"/>
  <c r="N42" i="7"/>
  <c r="P54" i="7"/>
  <c r="N54" i="7"/>
  <c r="I40" i="7"/>
  <c r="H41" i="7"/>
  <c r="F41" i="7" s="1"/>
  <c r="W52" i="7"/>
  <c r="I56" i="7"/>
  <c r="H55" i="7"/>
  <c r="F55" i="7" s="1"/>
  <c r="V53" i="7"/>
  <c r="T53" i="7"/>
  <c r="V43" i="7"/>
  <c r="T43" i="7"/>
  <c r="R53" i="7"/>
  <c r="X53" i="7" s="1"/>
  <c r="Q53" i="7"/>
  <c r="R43" i="7"/>
  <c r="X43" i="7" s="1"/>
  <c r="Q43" i="7"/>
  <c r="W43" i="7" l="1"/>
  <c r="Y53" i="7"/>
  <c r="N55" i="7"/>
  <c r="P55" i="7"/>
  <c r="Y43" i="7"/>
  <c r="H56" i="7"/>
  <c r="F56" i="7" s="1"/>
  <c r="I57" i="7"/>
  <c r="T54" i="7"/>
  <c r="V54" i="7"/>
  <c r="H40" i="7"/>
  <c r="F40" i="7" s="1"/>
  <c r="I39" i="7"/>
  <c r="W53" i="7"/>
  <c r="R54" i="7"/>
  <c r="X54" i="7" s="1"/>
  <c r="Q54" i="7"/>
  <c r="P41" i="7"/>
  <c r="N41" i="7"/>
  <c r="V42" i="7"/>
  <c r="T42" i="7"/>
  <c r="R42" i="7"/>
  <c r="X42" i="7" s="1"/>
  <c r="Q42" i="7"/>
  <c r="Y42" i="7" l="1"/>
  <c r="Y54" i="7"/>
  <c r="W42" i="7"/>
  <c r="P56" i="7"/>
  <c r="N56" i="7"/>
  <c r="V41" i="7"/>
  <c r="T41" i="7"/>
  <c r="W54" i="7"/>
  <c r="Q55" i="7"/>
  <c r="R55" i="7"/>
  <c r="X55" i="7" s="1"/>
  <c r="R41" i="7"/>
  <c r="X41" i="7" s="1"/>
  <c r="Q41" i="7"/>
  <c r="I38" i="7"/>
  <c r="H39" i="7"/>
  <c r="F39" i="7" s="1"/>
  <c r="H57" i="7"/>
  <c r="F57" i="7" s="1"/>
  <c r="I58" i="7"/>
  <c r="T55" i="7"/>
  <c r="V55" i="7"/>
  <c r="N40" i="7"/>
  <c r="P40" i="7"/>
  <c r="Y55" i="7" l="1"/>
  <c r="R40" i="7"/>
  <c r="X40" i="7" s="1"/>
  <c r="Q40" i="7"/>
  <c r="I59" i="7"/>
  <c r="H58" i="7"/>
  <c r="F58" i="7" s="1"/>
  <c r="Q56" i="7"/>
  <c r="R56" i="7"/>
  <c r="X56" i="7" s="1"/>
  <c r="V40" i="7"/>
  <c r="T40" i="7"/>
  <c r="P57" i="7"/>
  <c r="N57" i="7"/>
  <c r="W41" i="7"/>
  <c r="Y41" i="7"/>
  <c r="P39" i="7"/>
  <c r="N39" i="7"/>
  <c r="W55" i="7"/>
  <c r="I37" i="7"/>
  <c r="H38" i="7"/>
  <c r="F38" i="7" s="1"/>
  <c r="V56" i="7"/>
  <c r="Y56" i="7" s="1"/>
  <c r="T56" i="7"/>
  <c r="I36" i="7" l="1"/>
  <c r="H37" i="7"/>
  <c r="F37" i="7" s="1"/>
  <c r="W40" i="7"/>
  <c r="N58" i="7"/>
  <c r="P58" i="7"/>
  <c r="Q39" i="7"/>
  <c r="R39" i="7"/>
  <c r="X39" i="7" s="1"/>
  <c r="Q57" i="7"/>
  <c r="R57" i="7"/>
  <c r="X57" i="7" s="1"/>
  <c r="W56" i="7"/>
  <c r="Y40" i="7"/>
  <c r="I60" i="7"/>
  <c r="H59" i="7"/>
  <c r="F59" i="7" s="1"/>
  <c r="V39" i="7"/>
  <c r="T39" i="7"/>
  <c r="V57" i="7"/>
  <c r="T57" i="7"/>
  <c r="N38" i="7"/>
  <c r="P38" i="7"/>
  <c r="W39" i="7" l="1"/>
  <c r="W57" i="7"/>
  <c r="Y57" i="7"/>
  <c r="H60" i="7"/>
  <c r="F60" i="7" s="1"/>
  <c r="I61" i="7"/>
  <c r="T58" i="7"/>
  <c r="V58" i="7"/>
  <c r="R38" i="7"/>
  <c r="X38" i="7" s="1"/>
  <c r="Q38" i="7"/>
  <c r="V38" i="7"/>
  <c r="T38" i="7"/>
  <c r="Y39" i="7"/>
  <c r="N37" i="7"/>
  <c r="P37" i="7"/>
  <c r="N59" i="7"/>
  <c r="P59" i="7"/>
  <c r="R58" i="7"/>
  <c r="X58" i="7" s="1"/>
  <c r="Q58" i="7"/>
  <c r="H36" i="7"/>
  <c r="F36" i="7" s="1"/>
  <c r="I35" i="7"/>
  <c r="W38" i="7" l="1"/>
  <c r="Y58" i="7"/>
  <c r="Y38" i="7"/>
  <c r="T59" i="7"/>
  <c r="V59" i="7"/>
  <c r="R37" i="7"/>
  <c r="X37" i="7" s="1"/>
  <c r="Q37" i="7"/>
  <c r="W58" i="7"/>
  <c r="V37" i="7"/>
  <c r="T37" i="7"/>
  <c r="I62" i="7"/>
  <c r="H61" i="7"/>
  <c r="F61" i="7" s="1"/>
  <c r="N36" i="7"/>
  <c r="P36" i="7"/>
  <c r="I34" i="7"/>
  <c r="H35" i="7"/>
  <c r="F35" i="7" s="1"/>
  <c r="Q59" i="7"/>
  <c r="R59" i="7"/>
  <c r="X59" i="7" s="1"/>
  <c r="N60" i="7"/>
  <c r="P60" i="7"/>
  <c r="W37" i="7" l="1"/>
  <c r="Y37" i="7"/>
  <c r="T60" i="7"/>
  <c r="V60" i="7"/>
  <c r="I33" i="7"/>
  <c r="H34" i="7"/>
  <c r="F34" i="7" s="1"/>
  <c r="I63" i="7"/>
  <c r="H62" i="7"/>
  <c r="F62" i="7" s="1"/>
  <c r="R36" i="7"/>
  <c r="X36" i="7" s="1"/>
  <c r="Q36" i="7"/>
  <c r="V36" i="7"/>
  <c r="T36" i="7"/>
  <c r="Y59" i="7"/>
  <c r="R60" i="7"/>
  <c r="X60" i="7" s="1"/>
  <c r="Q60" i="7"/>
  <c r="P35" i="7"/>
  <c r="N35" i="7"/>
  <c r="P61" i="7"/>
  <c r="N61" i="7"/>
  <c r="W59" i="7"/>
  <c r="W36" i="7" l="1"/>
  <c r="Q61" i="7"/>
  <c r="R61" i="7"/>
  <c r="X61" i="7" s="1"/>
  <c r="N34" i="7"/>
  <c r="P34" i="7"/>
  <c r="V35" i="7"/>
  <c r="T35" i="7"/>
  <c r="I32" i="7"/>
  <c r="H33" i="7"/>
  <c r="F33" i="7" s="1"/>
  <c r="R35" i="7"/>
  <c r="X35" i="7" s="1"/>
  <c r="Q35" i="7"/>
  <c r="P62" i="7"/>
  <c r="N62" i="7"/>
  <c r="Y60" i="7"/>
  <c r="V61" i="7"/>
  <c r="T61" i="7"/>
  <c r="Y36" i="7"/>
  <c r="H63" i="7"/>
  <c r="F63" i="7" s="1"/>
  <c r="I64" i="7"/>
  <c r="W60" i="7"/>
  <c r="Y61" i="7" l="1"/>
  <c r="W35" i="7"/>
  <c r="W61" i="7"/>
  <c r="T62" i="7"/>
  <c r="V62" i="7"/>
  <c r="N33" i="7"/>
  <c r="P33" i="7"/>
  <c r="Q34" i="7"/>
  <c r="R34" i="7"/>
  <c r="X34" i="7" s="1"/>
  <c r="R62" i="7"/>
  <c r="X62" i="7" s="1"/>
  <c r="Q62" i="7"/>
  <c r="I31" i="7"/>
  <c r="H32" i="7"/>
  <c r="F32" i="7" s="1"/>
  <c r="V34" i="7"/>
  <c r="T34" i="7"/>
  <c r="H64" i="7"/>
  <c r="F64" i="7" s="1"/>
  <c r="I65" i="7"/>
  <c r="P63" i="7"/>
  <c r="N63" i="7"/>
  <c r="Y35" i="7"/>
  <c r="W34" i="7" l="1"/>
  <c r="Y62" i="7"/>
  <c r="T63" i="7"/>
  <c r="V63" i="7"/>
  <c r="R33" i="7"/>
  <c r="X33" i="7" s="1"/>
  <c r="Q33" i="7"/>
  <c r="Q63" i="7"/>
  <c r="R63" i="7"/>
  <c r="X63" i="7" s="1"/>
  <c r="Y34" i="7"/>
  <c r="V33" i="7"/>
  <c r="T33" i="7"/>
  <c r="I66" i="7"/>
  <c r="H65" i="7"/>
  <c r="F65" i="7" s="1"/>
  <c r="P32" i="7"/>
  <c r="N32" i="7"/>
  <c r="P64" i="7"/>
  <c r="N64" i="7"/>
  <c r="I30" i="7"/>
  <c r="H31" i="7"/>
  <c r="F31" i="7" s="1"/>
  <c r="W62" i="7"/>
  <c r="Y33" i="7" l="1"/>
  <c r="I29" i="7"/>
  <c r="H30" i="7"/>
  <c r="F30" i="7" s="1"/>
  <c r="R32" i="7"/>
  <c r="X32" i="7" s="1"/>
  <c r="Q32" i="7"/>
  <c r="T64" i="7"/>
  <c r="V64" i="7"/>
  <c r="N65" i="7"/>
  <c r="P65" i="7"/>
  <c r="R64" i="7"/>
  <c r="X64" i="7" s="1"/>
  <c r="Q64" i="7"/>
  <c r="H66" i="7"/>
  <c r="F66" i="7" s="1"/>
  <c r="I67" i="7"/>
  <c r="Y63" i="7"/>
  <c r="N31" i="7"/>
  <c r="P31" i="7"/>
  <c r="V32" i="7"/>
  <c r="T32" i="7"/>
  <c r="W33" i="7"/>
  <c r="W63" i="7"/>
  <c r="W32" i="7" l="1"/>
  <c r="Y32" i="7"/>
  <c r="I68" i="7"/>
  <c r="H67" i="7"/>
  <c r="F67" i="7" s="1"/>
  <c r="R65" i="7"/>
  <c r="X65" i="7" s="1"/>
  <c r="Q65" i="7"/>
  <c r="R31" i="7"/>
  <c r="X31" i="7" s="1"/>
  <c r="Q31" i="7"/>
  <c r="N66" i="7"/>
  <c r="P66" i="7"/>
  <c r="T65" i="7"/>
  <c r="V65" i="7"/>
  <c r="V31" i="7"/>
  <c r="T31" i="7"/>
  <c r="Y64" i="7"/>
  <c r="N30" i="7"/>
  <c r="P30" i="7"/>
  <c r="W64" i="7"/>
  <c r="I28" i="7"/>
  <c r="H29" i="7"/>
  <c r="F29" i="7" s="1"/>
  <c r="Y65" i="7" l="1"/>
  <c r="W65" i="7"/>
  <c r="N29" i="7"/>
  <c r="P29" i="7"/>
  <c r="V30" i="7"/>
  <c r="T30" i="7"/>
  <c r="W31" i="7"/>
  <c r="Q66" i="7"/>
  <c r="R66" i="7"/>
  <c r="X66" i="7" s="1"/>
  <c r="N67" i="7"/>
  <c r="P67" i="7"/>
  <c r="H28" i="7"/>
  <c r="F28" i="7" s="1"/>
  <c r="I27" i="7"/>
  <c r="H68" i="7"/>
  <c r="F68" i="7" s="1"/>
  <c r="I69" i="7"/>
  <c r="R30" i="7"/>
  <c r="X30" i="7" s="1"/>
  <c r="Q30" i="7"/>
  <c r="Y31" i="7"/>
  <c r="V66" i="7"/>
  <c r="T66" i="7"/>
  <c r="W66" i="7" l="1"/>
  <c r="Y66" i="7"/>
  <c r="N68" i="7"/>
  <c r="P68" i="7"/>
  <c r="V67" i="7"/>
  <c r="T67" i="7"/>
  <c r="W30" i="7"/>
  <c r="P28" i="7"/>
  <c r="N28" i="7"/>
  <c r="I70" i="7"/>
  <c r="H69" i="7"/>
  <c r="F69" i="7" s="1"/>
  <c r="V29" i="7"/>
  <c r="T29" i="7"/>
  <c r="H27" i="7"/>
  <c r="F27" i="7" s="1"/>
  <c r="I26" i="7"/>
  <c r="Y30" i="7"/>
  <c r="R29" i="7"/>
  <c r="X29" i="7" s="1"/>
  <c r="Q29" i="7"/>
  <c r="R67" i="7"/>
  <c r="X67" i="7" s="1"/>
  <c r="Q67" i="7"/>
  <c r="Y29" i="7" l="1"/>
  <c r="N27" i="7"/>
  <c r="P27" i="7"/>
  <c r="H70" i="7"/>
  <c r="F70" i="7" s="1"/>
  <c r="I71" i="7"/>
  <c r="W67" i="7"/>
  <c r="N69" i="7"/>
  <c r="P69" i="7"/>
  <c r="V68" i="7"/>
  <c r="T68" i="7"/>
  <c r="W29" i="7"/>
  <c r="T28" i="7"/>
  <c r="V28" i="7"/>
  <c r="Y67" i="7"/>
  <c r="Q28" i="7"/>
  <c r="R28" i="7"/>
  <c r="X28" i="7" s="1"/>
  <c r="R68" i="7"/>
  <c r="X68" i="7" s="1"/>
  <c r="Q68" i="7"/>
  <c r="I25" i="7"/>
  <c r="H26" i="7"/>
  <c r="F26" i="7" s="1"/>
  <c r="Y28" i="7" l="1"/>
  <c r="W68" i="7"/>
  <c r="I24" i="7"/>
  <c r="H25" i="7"/>
  <c r="F25" i="7" s="1"/>
  <c r="V27" i="7"/>
  <c r="T27" i="7"/>
  <c r="Y68" i="7"/>
  <c r="I72" i="7"/>
  <c r="H71" i="7"/>
  <c r="F71" i="7" s="1"/>
  <c r="N26" i="7"/>
  <c r="P26" i="7"/>
  <c r="W28" i="7"/>
  <c r="R69" i="7"/>
  <c r="X69" i="7" s="1"/>
  <c r="Q69" i="7"/>
  <c r="N70" i="7"/>
  <c r="P70" i="7"/>
  <c r="T69" i="7"/>
  <c r="V69" i="7"/>
  <c r="Q27" i="7"/>
  <c r="R27" i="7"/>
  <c r="X27" i="7" s="1"/>
  <c r="W69" i="7" l="1"/>
  <c r="Y27" i="7"/>
  <c r="Y69" i="7"/>
  <c r="V26" i="7"/>
  <c r="T26" i="7"/>
  <c r="W27" i="7"/>
  <c r="P71" i="7"/>
  <c r="N71" i="7"/>
  <c r="N25" i="7"/>
  <c r="P25" i="7"/>
  <c r="R70" i="7"/>
  <c r="X70" i="7" s="1"/>
  <c r="Q70" i="7"/>
  <c r="I73" i="7"/>
  <c r="H72" i="7"/>
  <c r="F72" i="7" s="1"/>
  <c r="T70" i="7"/>
  <c r="V70" i="7"/>
  <c r="Q26" i="7"/>
  <c r="R26" i="7"/>
  <c r="X26" i="7" s="1"/>
  <c r="H24" i="7"/>
  <c r="F24" i="7" s="1"/>
  <c r="I23" i="7"/>
  <c r="Y70" i="7" l="1"/>
  <c r="Y26" i="7"/>
  <c r="P24" i="7"/>
  <c r="N24" i="7"/>
  <c r="P72" i="7"/>
  <c r="N72" i="7"/>
  <c r="R25" i="7"/>
  <c r="X25" i="7" s="1"/>
  <c r="Q25" i="7"/>
  <c r="H23" i="7"/>
  <c r="F23" i="7" s="1"/>
  <c r="I22" i="7"/>
  <c r="V71" i="7"/>
  <c r="T71" i="7"/>
  <c r="W70" i="7"/>
  <c r="Q71" i="7"/>
  <c r="R71" i="7"/>
  <c r="X71" i="7" s="1"/>
  <c r="I74" i="7"/>
  <c r="H73" i="7"/>
  <c r="F73" i="7" s="1"/>
  <c r="V25" i="7"/>
  <c r="T25" i="7"/>
  <c r="W25" i="7" s="1"/>
  <c r="W26" i="7"/>
  <c r="W71" i="7" l="1"/>
  <c r="Y71" i="7"/>
  <c r="Q24" i="7"/>
  <c r="R24" i="7"/>
  <c r="X24" i="7" s="1"/>
  <c r="Y25" i="7"/>
  <c r="I21" i="7"/>
  <c r="H22" i="7"/>
  <c r="F22" i="7" s="1"/>
  <c r="V72" i="7"/>
  <c r="T72" i="7"/>
  <c r="P73" i="7"/>
  <c r="N73" i="7"/>
  <c r="N23" i="7"/>
  <c r="P23" i="7"/>
  <c r="Q72" i="7"/>
  <c r="R72" i="7"/>
  <c r="X72" i="7" s="1"/>
  <c r="H74" i="7"/>
  <c r="F74" i="7" s="1"/>
  <c r="I75" i="7"/>
  <c r="T24" i="7"/>
  <c r="V24" i="7"/>
  <c r="Y24" i="7" l="1"/>
  <c r="W24" i="7"/>
  <c r="V73" i="7"/>
  <c r="T73" i="7"/>
  <c r="Q73" i="7"/>
  <c r="R73" i="7"/>
  <c r="X73" i="7" s="1"/>
  <c r="I76" i="7"/>
  <c r="H75" i="7"/>
  <c r="F75" i="7" s="1"/>
  <c r="Q23" i="7"/>
  <c r="R23" i="7"/>
  <c r="X23" i="7" s="1"/>
  <c r="W72" i="7"/>
  <c r="N22" i="7"/>
  <c r="P22" i="7"/>
  <c r="I20" i="7"/>
  <c r="H21" i="7"/>
  <c r="F21" i="7" s="1"/>
  <c r="P74" i="7"/>
  <c r="N74" i="7"/>
  <c r="V23" i="7"/>
  <c r="T23" i="7"/>
  <c r="Y72" i="7"/>
  <c r="Y23" i="7" l="1"/>
  <c r="W23" i="7"/>
  <c r="Y73" i="7"/>
  <c r="W73" i="7"/>
  <c r="P75" i="7"/>
  <c r="N75" i="7"/>
  <c r="I19" i="7"/>
  <c r="H20" i="7"/>
  <c r="F20" i="7" s="1"/>
  <c r="R74" i="7"/>
  <c r="X74" i="7" s="1"/>
  <c r="Q74" i="7"/>
  <c r="H76" i="7"/>
  <c r="F76" i="7" s="1"/>
  <c r="I77" i="7"/>
  <c r="V74" i="7"/>
  <c r="T74" i="7"/>
  <c r="R22" i="7"/>
  <c r="X22" i="7" s="1"/>
  <c r="Q22" i="7"/>
  <c r="T22" i="7"/>
  <c r="V22" i="7"/>
  <c r="P21" i="7"/>
  <c r="N21" i="7"/>
  <c r="Y74" i="7" l="1"/>
  <c r="W22" i="7"/>
  <c r="Y22" i="7"/>
  <c r="W74" i="7"/>
  <c r="V21" i="7"/>
  <c r="T21" i="7"/>
  <c r="I78" i="7"/>
  <c r="H77" i="7"/>
  <c r="F77" i="7" s="1"/>
  <c r="N20" i="7"/>
  <c r="P20" i="7"/>
  <c r="R75" i="7"/>
  <c r="X75" i="7" s="1"/>
  <c r="Q75" i="7"/>
  <c r="Q21" i="7"/>
  <c r="R21" i="7"/>
  <c r="X21" i="7" s="1"/>
  <c r="P76" i="7"/>
  <c r="N76" i="7"/>
  <c r="I18" i="7"/>
  <c r="H19" i="7"/>
  <c r="F19" i="7" s="1"/>
  <c r="V75" i="7"/>
  <c r="T75" i="7"/>
  <c r="Y75" i="7" l="1"/>
  <c r="W75" i="7"/>
  <c r="V76" i="7"/>
  <c r="T76" i="7"/>
  <c r="N77" i="7"/>
  <c r="P77" i="7"/>
  <c r="Q76" i="7"/>
  <c r="R76" i="7"/>
  <c r="X76" i="7" s="1"/>
  <c r="H78" i="7"/>
  <c r="F78" i="7" s="1"/>
  <c r="I79" i="7"/>
  <c r="W21" i="7"/>
  <c r="N19" i="7"/>
  <c r="P19" i="7"/>
  <c r="Q20" i="7"/>
  <c r="R20" i="7"/>
  <c r="X20" i="7" s="1"/>
  <c r="I17" i="7"/>
  <c r="H18" i="7"/>
  <c r="F18" i="7" s="1"/>
  <c r="V20" i="7"/>
  <c r="T20" i="7"/>
  <c r="Y21" i="7"/>
  <c r="Y76" i="7" l="1"/>
  <c r="Y20" i="7"/>
  <c r="P18" i="7"/>
  <c r="N18" i="7"/>
  <c r="Q19" i="7"/>
  <c r="R19" i="7"/>
  <c r="X19" i="7" s="1"/>
  <c r="P78" i="7"/>
  <c r="N78" i="7"/>
  <c r="V77" i="7"/>
  <c r="T77" i="7"/>
  <c r="W20" i="7"/>
  <c r="I80" i="7"/>
  <c r="H79" i="7"/>
  <c r="F79" i="7" s="1"/>
  <c r="R77" i="7"/>
  <c r="X77" i="7" s="1"/>
  <c r="Q77" i="7"/>
  <c r="H17" i="7"/>
  <c r="F17" i="7" s="1"/>
  <c r="I16" i="7"/>
  <c r="V19" i="7"/>
  <c r="T19" i="7"/>
  <c r="W76" i="7"/>
  <c r="Y19" i="7" l="1"/>
  <c r="W19" i="7"/>
  <c r="I15" i="7"/>
  <c r="H16" i="7"/>
  <c r="F16" i="7" s="1"/>
  <c r="N79" i="7"/>
  <c r="P79" i="7"/>
  <c r="Y77" i="7"/>
  <c r="W77" i="7"/>
  <c r="P17" i="7"/>
  <c r="N17" i="7"/>
  <c r="H80" i="7"/>
  <c r="F80" i="7" s="1"/>
  <c r="I81" i="7"/>
  <c r="T78" i="7"/>
  <c r="V78" i="7"/>
  <c r="V18" i="7"/>
  <c r="T18" i="7"/>
  <c r="Q78" i="7"/>
  <c r="R78" i="7"/>
  <c r="X78" i="7" s="1"/>
  <c r="Q18" i="7"/>
  <c r="R18" i="7"/>
  <c r="X18" i="7" s="1"/>
  <c r="T17" i="7" l="1"/>
  <c r="V17" i="7"/>
  <c r="Q79" i="7"/>
  <c r="R79" i="7"/>
  <c r="X79" i="7" s="1"/>
  <c r="Y78" i="7"/>
  <c r="W78" i="7"/>
  <c r="R17" i="7"/>
  <c r="X17" i="7" s="1"/>
  <c r="Q17" i="7"/>
  <c r="V79" i="7"/>
  <c r="T79" i="7"/>
  <c r="W18" i="7"/>
  <c r="H81" i="7"/>
  <c r="F81" i="7" s="1"/>
  <c r="I82" i="7"/>
  <c r="P16" i="7"/>
  <c r="N16" i="7"/>
  <c r="Y18" i="7"/>
  <c r="P80" i="7"/>
  <c r="N80" i="7"/>
  <c r="H15" i="7"/>
  <c r="F15" i="7" s="1"/>
  <c r="I14" i="7"/>
  <c r="W79" i="7" l="1"/>
  <c r="Y17" i="7"/>
  <c r="Y79" i="7"/>
  <c r="W17" i="7"/>
  <c r="I13" i="7"/>
  <c r="H14" i="7"/>
  <c r="F14" i="7" s="1"/>
  <c r="N81" i="7"/>
  <c r="P81" i="7"/>
  <c r="N15" i="7"/>
  <c r="P15" i="7"/>
  <c r="V16" i="7"/>
  <c r="T16" i="7"/>
  <c r="V80" i="7"/>
  <c r="T80" i="7"/>
  <c r="R16" i="7"/>
  <c r="X16" i="7" s="1"/>
  <c r="Q16" i="7"/>
  <c r="R80" i="7"/>
  <c r="X80" i="7" s="1"/>
  <c r="Q80" i="7"/>
  <c r="I83" i="7"/>
  <c r="H82" i="7"/>
  <c r="F82" i="7" s="1"/>
  <c r="W80" i="7" l="1"/>
  <c r="P82" i="7"/>
  <c r="N82" i="7"/>
  <c r="W16" i="7"/>
  <c r="R81" i="7"/>
  <c r="X81" i="7" s="1"/>
  <c r="Q81" i="7"/>
  <c r="I84" i="7"/>
  <c r="H83" i="7"/>
  <c r="F83" i="7" s="1"/>
  <c r="Y16" i="7"/>
  <c r="V81" i="7"/>
  <c r="T81" i="7"/>
  <c r="Q15" i="7"/>
  <c r="R15" i="7"/>
  <c r="X15" i="7" s="1"/>
  <c r="P14" i="7"/>
  <c r="N14" i="7"/>
  <c r="Y80" i="7"/>
  <c r="V15" i="7"/>
  <c r="T15" i="7"/>
  <c r="I12" i="7"/>
  <c r="H13" i="7"/>
  <c r="F13" i="7" s="1"/>
  <c r="Y15" i="7" l="1"/>
  <c r="P13" i="7"/>
  <c r="N13" i="7"/>
  <c r="N83" i="7"/>
  <c r="P83" i="7"/>
  <c r="I11" i="7"/>
  <c r="H12" i="7"/>
  <c r="F12" i="7" s="1"/>
  <c r="V14" i="7"/>
  <c r="T14" i="7"/>
  <c r="W81" i="7"/>
  <c r="I85" i="7"/>
  <c r="H84" i="7"/>
  <c r="F84" i="7" s="1"/>
  <c r="V82" i="7"/>
  <c r="T82" i="7"/>
  <c r="W15" i="7"/>
  <c r="R14" i="7"/>
  <c r="X14" i="7" s="1"/>
  <c r="Q14" i="7"/>
  <c r="Y81" i="7"/>
  <c r="R82" i="7"/>
  <c r="X82" i="7" s="1"/>
  <c r="Q82" i="7"/>
  <c r="Y82" i="7" l="1"/>
  <c r="W14" i="7"/>
  <c r="Q83" i="7"/>
  <c r="R83" i="7"/>
  <c r="X83" i="7" s="1"/>
  <c r="P84" i="7"/>
  <c r="N84" i="7"/>
  <c r="Y14" i="7"/>
  <c r="V83" i="7"/>
  <c r="T83" i="7"/>
  <c r="I86" i="7"/>
  <c r="H85" i="7"/>
  <c r="F85" i="7" s="1"/>
  <c r="N12" i="7"/>
  <c r="P12" i="7"/>
  <c r="T13" i="7"/>
  <c r="V13" i="7"/>
  <c r="W82" i="7"/>
  <c r="H11" i="7"/>
  <c r="F11" i="7" s="1"/>
  <c r="I10" i="7"/>
  <c r="Q13" i="7"/>
  <c r="R13" i="7"/>
  <c r="X13" i="7" s="1"/>
  <c r="Y83" i="7" l="1"/>
  <c r="W83" i="7"/>
  <c r="Y13" i="7"/>
  <c r="P11" i="7"/>
  <c r="N11" i="7"/>
  <c r="Q12" i="7"/>
  <c r="R12" i="7"/>
  <c r="X12" i="7" s="1"/>
  <c r="Q84" i="7"/>
  <c r="R84" i="7"/>
  <c r="X84" i="7" s="1"/>
  <c r="T12" i="7"/>
  <c r="V12" i="7"/>
  <c r="N85" i="7"/>
  <c r="P85" i="7"/>
  <c r="I9" i="7"/>
  <c r="H10" i="7"/>
  <c r="F10" i="7" s="1"/>
  <c r="W13" i="7"/>
  <c r="H86" i="7"/>
  <c r="F86" i="7" s="1"/>
  <c r="I87" i="7"/>
  <c r="V84" i="7"/>
  <c r="T84" i="7"/>
  <c r="Y12" i="7" l="1"/>
  <c r="Y84" i="7"/>
  <c r="W12" i="7"/>
  <c r="N10" i="7"/>
  <c r="P10" i="7"/>
  <c r="H87" i="7"/>
  <c r="F87" i="7" s="1"/>
  <c r="I88" i="7"/>
  <c r="H9" i="7"/>
  <c r="F9" i="7" s="1"/>
  <c r="I8" i="7"/>
  <c r="H8" i="7" s="1"/>
  <c r="F8" i="7" s="1"/>
  <c r="P86" i="7"/>
  <c r="N86" i="7"/>
  <c r="Q85" i="7"/>
  <c r="R85" i="7"/>
  <c r="X85" i="7" s="1"/>
  <c r="T11" i="7"/>
  <c r="V11" i="7"/>
  <c r="W84" i="7"/>
  <c r="T85" i="7"/>
  <c r="V85" i="7"/>
  <c r="R11" i="7"/>
  <c r="X11" i="7" s="1"/>
  <c r="Q11" i="7"/>
  <c r="W85" i="7" l="1"/>
  <c r="N8" i="7"/>
  <c r="P8" i="7"/>
  <c r="T10" i="7"/>
  <c r="V10" i="7"/>
  <c r="Y11" i="7"/>
  <c r="V86" i="7"/>
  <c r="T86" i="7"/>
  <c r="H88" i="7"/>
  <c r="F88" i="7" s="1"/>
  <c r="I89" i="7"/>
  <c r="R10" i="7"/>
  <c r="X10" i="7" s="1"/>
  <c r="Q10" i="7"/>
  <c r="N9" i="7"/>
  <c r="P9" i="7"/>
  <c r="Y85" i="7"/>
  <c r="W11" i="7"/>
  <c r="Q86" i="7"/>
  <c r="R86" i="7"/>
  <c r="X86" i="7" s="1"/>
  <c r="P87" i="7"/>
  <c r="N87" i="7"/>
  <c r="Y86" i="7" l="1"/>
  <c r="H89" i="7"/>
  <c r="F89" i="7" s="1"/>
  <c r="I90" i="7"/>
  <c r="V8" i="7"/>
  <c r="T8" i="7"/>
  <c r="V9" i="7"/>
  <c r="T9" i="7"/>
  <c r="N88" i="7"/>
  <c r="P88" i="7"/>
  <c r="Y10" i="7"/>
  <c r="R87" i="7"/>
  <c r="X87" i="7" s="1"/>
  <c r="Q87" i="7"/>
  <c r="Q9" i="7"/>
  <c r="R9" i="7"/>
  <c r="X9" i="7" s="1"/>
  <c r="V87" i="7"/>
  <c r="T87" i="7"/>
  <c r="W86" i="7"/>
  <c r="W10" i="7"/>
  <c r="Q8" i="7"/>
  <c r="R8" i="7"/>
  <c r="X8" i="7" s="1"/>
  <c r="Y87" i="7" l="1"/>
  <c r="W9" i="7"/>
  <c r="P89" i="7"/>
  <c r="N89" i="7"/>
  <c r="Q88" i="7"/>
  <c r="R88" i="7"/>
  <c r="X88" i="7" s="1"/>
  <c r="W8" i="7"/>
  <c r="Y9" i="7"/>
  <c r="W87" i="7"/>
  <c r="T88" i="7"/>
  <c r="V88" i="7"/>
  <c r="Y8" i="7"/>
  <c r="I91" i="7"/>
  <c r="H90" i="7"/>
  <c r="F90" i="7" s="1"/>
  <c r="W88" i="7" l="1"/>
  <c r="Y88" i="7"/>
  <c r="R89" i="7"/>
  <c r="X89" i="7" s="1"/>
  <c r="Q89" i="7"/>
  <c r="T89" i="7"/>
  <c r="V89" i="7"/>
  <c r="P90" i="7"/>
  <c r="N90" i="7"/>
  <c r="I92" i="7"/>
  <c r="H91" i="7"/>
  <c r="F91" i="7" s="1"/>
  <c r="V90" i="7" l="1"/>
  <c r="T90" i="7"/>
  <c r="N91" i="7"/>
  <c r="P91" i="7"/>
  <c r="Y89" i="7"/>
  <c r="Q90" i="7"/>
  <c r="R90" i="7"/>
  <c r="X90" i="7" s="1"/>
  <c r="I93" i="7"/>
  <c r="H92" i="7"/>
  <c r="F92" i="7" s="1"/>
  <c r="W89" i="7"/>
  <c r="W90" i="7" l="1"/>
  <c r="Y90" i="7"/>
  <c r="P92" i="7"/>
  <c r="N92" i="7"/>
  <c r="I94" i="7"/>
  <c r="H93" i="7"/>
  <c r="F93" i="7" s="1"/>
  <c r="Q91" i="7"/>
  <c r="R91" i="7"/>
  <c r="X91" i="7" s="1"/>
  <c r="V91" i="7"/>
  <c r="T91" i="7"/>
  <c r="Q92" i="7" l="1"/>
  <c r="R92" i="7"/>
  <c r="X92" i="7" s="1"/>
  <c r="W91" i="7"/>
  <c r="P93" i="7"/>
  <c r="N93" i="7"/>
  <c r="V92" i="7"/>
  <c r="T92" i="7"/>
  <c r="Y91" i="7"/>
  <c r="I95" i="7"/>
  <c r="H94" i="7"/>
  <c r="F94" i="7" s="1"/>
  <c r="Y92" i="7" l="1"/>
  <c r="P94" i="7"/>
  <c r="N94" i="7"/>
  <c r="R93" i="7"/>
  <c r="X93" i="7" s="1"/>
  <c r="Q93" i="7"/>
  <c r="H95" i="7"/>
  <c r="F95" i="7" s="1"/>
  <c r="I96" i="7"/>
  <c r="V93" i="7"/>
  <c r="T93" i="7"/>
  <c r="W92" i="7"/>
  <c r="Y93" i="7" l="1"/>
  <c r="W93" i="7"/>
  <c r="V94" i="7"/>
  <c r="T94" i="7"/>
  <c r="R94" i="7"/>
  <c r="X94" i="7" s="1"/>
  <c r="Q94" i="7"/>
  <c r="I97" i="7"/>
  <c r="H96" i="7"/>
  <c r="F96" i="7" s="1"/>
  <c r="P95" i="7"/>
  <c r="N95" i="7"/>
  <c r="W94" i="7" l="1"/>
  <c r="Y94" i="7"/>
  <c r="N96" i="7"/>
  <c r="P96" i="7"/>
  <c r="V95" i="7"/>
  <c r="T95" i="7"/>
  <c r="I98" i="7"/>
  <c r="H97" i="7"/>
  <c r="F97" i="7" s="1"/>
  <c r="Q95" i="7"/>
  <c r="R95" i="7"/>
  <c r="X95" i="7" s="1"/>
  <c r="Q96" i="7" l="1"/>
  <c r="R96" i="7"/>
  <c r="X96" i="7" s="1"/>
  <c r="I99" i="7"/>
  <c r="H98" i="7"/>
  <c r="F98" i="7" s="1"/>
  <c r="W95" i="7"/>
  <c r="N97" i="7"/>
  <c r="P97" i="7"/>
  <c r="V96" i="7"/>
  <c r="T96" i="7"/>
  <c r="Y95" i="7"/>
  <c r="W96" i="7" l="1"/>
  <c r="Y96" i="7"/>
  <c r="N98" i="7"/>
  <c r="P98" i="7"/>
  <c r="V97" i="7"/>
  <c r="T97" i="7"/>
  <c r="Q97" i="7"/>
  <c r="R97" i="7"/>
  <c r="X97" i="7" s="1"/>
  <c r="H99" i="7"/>
  <c r="F99" i="7" s="1"/>
  <c r="I100" i="7"/>
  <c r="W97" i="7" l="1"/>
  <c r="Y97" i="7"/>
  <c r="I101" i="7"/>
  <c r="H100" i="7"/>
  <c r="F100" i="7" s="1"/>
  <c r="R98" i="7"/>
  <c r="X98" i="7" s="1"/>
  <c r="Q98" i="7"/>
  <c r="N99" i="7"/>
  <c r="P99" i="7"/>
  <c r="V98" i="7"/>
  <c r="T98" i="7"/>
  <c r="Y98" i="7" l="1"/>
  <c r="W98" i="7"/>
  <c r="R99" i="7"/>
  <c r="X99" i="7" s="1"/>
  <c r="Q99" i="7"/>
  <c r="P100" i="7"/>
  <c r="N100" i="7"/>
  <c r="V99" i="7"/>
  <c r="T99" i="7"/>
  <c r="H101" i="7"/>
  <c r="F101" i="7" s="1"/>
  <c r="I102" i="7"/>
  <c r="Y99" i="7" l="1"/>
  <c r="W99" i="7"/>
  <c r="V100" i="7"/>
  <c r="T100" i="7"/>
  <c r="R100" i="7"/>
  <c r="X100" i="7" s="1"/>
  <c r="Q100" i="7"/>
  <c r="I103" i="7"/>
  <c r="H102" i="7"/>
  <c r="F102" i="7" s="1"/>
  <c r="W100" i="7" l="1"/>
  <c r="Y100" i="7"/>
  <c r="H103" i="7"/>
  <c r="F103" i="7" s="1"/>
  <c r="I104" i="7"/>
  <c r="H104" i="7" l="1"/>
  <c r="F104" i="7" s="1"/>
  <c r="I105" i="7"/>
  <c r="I106" i="7" l="1"/>
  <c r="H105" i="7"/>
  <c r="F105" i="7" s="1"/>
  <c r="I107" i="7" l="1"/>
  <c r="H106" i="7"/>
  <c r="F106" i="7" s="1"/>
  <c r="I108" i="7" l="1"/>
  <c r="H107" i="7"/>
  <c r="F107" i="7" s="1"/>
  <c r="I109" i="7" l="1"/>
  <c r="H108" i="7"/>
  <c r="F108" i="7" s="1"/>
  <c r="I110" i="7" l="1"/>
  <c r="H109" i="7"/>
  <c r="F109" i="7" s="1"/>
  <c r="H110" i="7" l="1"/>
  <c r="F110" i="7" s="1"/>
  <c r="I111" i="7"/>
  <c r="H111" i="7" l="1"/>
  <c r="F111" i="7" s="1"/>
  <c r="I112" i="7"/>
  <c r="H112" i="7" l="1"/>
  <c r="F112" i="7" s="1"/>
  <c r="I113" i="7"/>
  <c r="I114" i="7" l="1"/>
  <c r="H113" i="7"/>
  <c r="F113" i="7" s="1"/>
  <c r="I115" i="7" l="1"/>
  <c r="H114" i="7"/>
  <c r="F114" i="7" s="1"/>
  <c r="H115" i="7" l="1"/>
  <c r="F115" i="7" s="1"/>
  <c r="I116" i="7"/>
  <c r="H116" i="7" l="1"/>
  <c r="F116" i="7" s="1"/>
  <c r="I117" i="7"/>
  <c r="I118" i="7" l="1"/>
  <c r="H117" i="7"/>
  <c r="F117" i="7" s="1"/>
  <c r="I119" i="7" l="1"/>
  <c r="H118" i="7"/>
  <c r="F118" i="7" s="1"/>
  <c r="I120" i="7" l="1"/>
  <c r="H119" i="7"/>
  <c r="F119" i="7" s="1"/>
  <c r="H120" i="7" l="1"/>
  <c r="F120" i="7" s="1"/>
  <c r="I121" i="7"/>
  <c r="I122" i="7" l="1"/>
  <c r="H121" i="7"/>
  <c r="F121" i="7" s="1"/>
  <c r="H122" i="7" l="1"/>
  <c r="F122" i="7" s="1"/>
  <c r="I123" i="7"/>
  <c r="I124" i="7" l="1"/>
  <c r="H123" i="7"/>
  <c r="F123" i="7" s="1"/>
  <c r="H124" i="7" l="1"/>
  <c r="F124" i="7" s="1"/>
  <c r="I125" i="7"/>
  <c r="I126" i="7" l="1"/>
  <c r="H125" i="7"/>
  <c r="F125" i="7" s="1"/>
  <c r="I127" i="7" l="1"/>
  <c r="H126" i="7"/>
  <c r="F126" i="7" s="1"/>
  <c r="I128" i="7" l="1"/>
  <c r="H127" i="7"/>
  <c r="F127" i="7" s="1"/>
  <c r="I129" i="7" l="1"/>
  <c r="H128" i="7"/>
  <c r="F128" i="7" s="1"/>
  <c r="I130" i="7" l="1"/>
  <c r="H129" i="7"/>
  <c r="F129" i="7" s="1"/>
  <c r="I131" i="7" l="1"/>
  <c r="H130" i="7"/>
  <c r="F130" i="7" s="1"/>
  <c r="I132" i="7" l="1"/>
  <c r="H131" i="7"/>
  <c r="F131" i="7" s="1"/>
  <c r="I133" i="7" l="1"/>
  <c r="H132" i="7"/>
  <c r="F132" i="7" s="1"/>
  <c r="I134" i="7" l="1"/>
  <c r="H133" i="7"/>
  <c r="F133" i="7" s="1"/>
  <c r="I135" i="7" l="1"/>
  <c r="H134" i="7"/>
  <c r="F134" i="7" s="1"/>
  <c r="I136" i="7" l="1"/>
  <c r="H135" i="7"/>
  <c r="F135" i="7" s="1"/>
  <c r="H136" i="7" l="1"/>
  <c r="F136" i="7" s="1"/>
  <c r="I137" i="7"/>
  <c r="I138" i="7" l="1"/>
  <c r="H137" i="7"/>
  <c r="F137" i="7" s="1"/>
  <c r="I139" i="7" l="1"/>
  <c r="H138" i="7"/>
  <c r="F138" i="7" s="1"/>
  <c r="I140" i="7" l="1"/>
  <c r="H139" i="7"/>
  <c r="F139" i="7" s="1"/>
  <c r="H140" i="7" l="1"/>
  <c r="F140" i="7" s="1"/>
  <c r="I141" i="7"/>
  <c r="I142" i="7" l="1"/>
  <c r="H141" i="7"/>
  <c r="F141" i="7" s="1"/>
  <c r="I143" i="7" l="1"/>
  <c r="H142" i="7"/>
  <c r="F142" i="7" s="1"/>
  <c r="I144" i="7" l="1"/>
  <c r="H143" i="7"/>
  <c r="F143" i="7" s="1"/>
  <c r="I145" i="7" l="1"/>
  <c r="H144" i="7"/>
  <c r="F144" i="7" s="1"/>
  <c r="H145" i="7" l="1"/>
  <c r="F145" i="7" s="1"/>
  <c r="I146" i="7"/>
  <c r="I147" i="7" l="1"/>
  <c r="H146" i="7"/>
  <c r="F146" i="7" s="1"/>
  <c r="H147" i="7" l="1"/>
  <c r="F147" i="7" s="1"/>
  <c r="I148" i="7"/>
  <c r="I149" i="7" l="1"/>
  <c r="H148" i="7"/>
  <c r="F148" i="7" s="1"/>
  <c r="I150" i="7" l="1"/>
  <c r="H149" i="7"/>
  <c r="F149" i="7" s="1"/>
  <c r="I151" i="7" l="1"/>
  <c r="H150" i="7"/>
  <c r="F150" i="7" s="1"/>
  <c r="H151" i="7" l="1"/>
  <c r="F151" i="7" s="1"/>
  <c r="I152" i="7"/>
  <c r="H152" i="7" l="1"/>
  <c r="F152" i="7" s="1"/>
  <c r="I153" i="7"/>
  <c r="I154" i="7" l="1"/>
  <c r="H153" i="7"/>
  <c r="F153" i="7" s="1"/>
  <c r="I155" i="7" l="1"/>
  <c r="H154" i="7"/>
  <c r="F154" i="7" s="1"/>
  <c r="I156" i="7" l="1"/>
  <c r="H155" i="7"/>
  <c r="F155" i="7" s="1"/>
  <c r="H156" i="7" l="1"/>
  <c r="F156" i="7" s="1"/>
  <c r="I157" i="7"/>
  <c r="I158" i="7" l="1"/>
  <c r="H157" i="7"/>
  <c r="F157" i="7" s="1"/>
  <c r="I159" i="7" l="1"/>
  <c r="H158" i="7"/>
  <c r="F158" i="7" s="1"/>
  <c r="I160" i="7" l="1"/>
  <c r="H159" i="7"/>
  <c r="F159" i="7" s="1"/>
  <c r="H160" i="7" l="1"/>
  <c r="F160" i="7" s="1"/>
  <c r="I161" i="7"/>
  <c r="I162" i="7" l="1"/>
  <c r="H161" i="7"/>
  <c r="F161" i="7" s="1"/>
  <c r="H162" i="7" l="1"/>
  <c r="F162" i="7" s="1"/>
  <c r="I163" i="7"/>
  <c r="I164" i="7" l="1"/>
  <c r="H163" i="7"/>
  <c r="F163" i="7" s="1"/>
  <c r="H164" i="7" l="1"/>
  <c r="F164" i="7" s="1"/>
  <c r="I165" i="7"/>
  <c r="I166" i="7" l="1"/>
  <c r="H165" i="7"/>
  <c r="F165" i="7" s="1"/>
  <c r="I167" i="7" l="1"/>
  <c r="H166" i="7"/>
  <c r="F166" i="7" s="1"/>
  <c r="H167" i="7" l="1"/>
  <c r="F167" i="7" s="1"/>
  <c r="I168" i="7"/>
  <c r="H168" i="7" l="1"/>
  <c r="F168" i="7" s="1"/>
  <c r="I169" i="7"/>
  <c r="H169" i="7" l="1"/>
  <c r="F169" i="7" s="1"/>
  <c r="I170" i="7"/>
  <c r="I171" i="7" l="1"/>
  <c r="H170" i="7"/>
  <c r="F170" i="7" s="1"/>
  <c r="H171" i="7" l="1"/>
  <c r="F171" i="7" s="1"/>
  <c r="I172" i="7"/>
  <c r="I173" i="7" l="1"/>
  <c r="H172" i="7"/>
  <c r="F172" i="7" s="1"/>
  <c r="I174" i="7" l="1"/>
  <c r="H173" i="7"/>
  <c r="F173" i="7" s="1"/>
  <c r="I175" i="7" l="1"/>
  <c r="H174" i="7"/>
  <c r="F174" i="7" s="1"/>
  <c r="I176" i="7" l="1"/>
  <c r="H175" i="7"/>
  <c r="F175" i="7" s="1"/>
  <c r="I177" i="7" l="1"/>
  <c r="H176" i="7"/>
  <c r="F176" i="7" s="1"/>
  <c r="H177" i="7" l="1"/>
  <c r="F177" i="7" s="1"/>
  <c r="I178" i="7"/>
  <c r="H178" i="7" l="1"/>
  <c r="F178" i="7" s="1"/>
  <c r="I179" i="7"/>
  <c r="I180" i="7" l="1"/>
  <c r="H179" i="7"/>
  <c r="F179" i="7" s="1"/>
  <c r="H180" i="7" l="1"/>
  <c r="F180" i="7" s="1"/>
  <c r="I181" i="7"/>
  <c r="I182" i="7" l="1"/>
  <c r="H181" i="7"/>
  <c r="F181" i="7" s="1"/>
  <c r="H182" i="7" l="1"/>
  <c r="F182" i="7" s="1"/>
  <c r="I183" i="7"/>
  <c r="I184" i="7" l="1"/>
  <c r="H183" i="7"/>
  <c r="F183" i="7" s="1"/>
  <c r="H184" i="7" l="1"/>
  <c r="F184" i="7" s="1"/>
  <c r="I185" i="7"/>
  <c r="I186" i="7" l="1"/>
  <c r="H185" i="7"/>
  <c r="F185" i="7" s="1"/>
  <c r="I187" i="7" l="1"/>
  <c r="H186" i="7"/>
  <c r="F186" i="7" s="1"/>
  <c r="H187" i="7" l="1"/>
  <c r="F187" i="7" s="1"/>
  <c r="I188" i="7"/>
  <c r="I189" i="7" l="1"/>
  <c r="H188" i="7"/>
  <c r="F188" i="7" s="1"/>
  <c r="I190" i="7" l="1"/>
  <c r="H189" i="7"/>
  <c r="F189" i="7" s="1"/>
  <c r="I191" i="7" l="1"/>
  <c r="H190" i="7"/>
  <c r="F190" i="7" s="1"/>
  <c r="H191" i="7" l="1"/>
  <c r="F191" i="7" s="1"/>
  <c r="I192" i="7"/>
  <c r="H192" i="7" l="1"/>
  <c r="F192" i="7" s="1"/>
  <c r="I193" i="7"/>
  <c r="H193" i="7" l="1"/>
  <c r="F193" i="7" s="1"/>
  <c r="I194" i="7"/>
  <c r="I195" i="7" l="1"/>
  <c r="H194" i="7"/>
  <c r="F194" i="7" s="1"/>
  <c r="I196" i="7" l="1"/>
  <c r="H195" i="7"/>
  <c r="F195" i="7" s="1"/>
  <c r="H196" i="7" l="1"/>
  <c r="F196" i="7" s="1"/>
  <c r="I197" i="7"/>
  <c r="I198" i="7" l="1"/>
  <c r="H197" i="7"/>
  <c r="F197" i="7" s="1"/>
  <c r="H198" i="7" l="1"/>
  <c r="F198" i="7" s="1"/>
  <c r="I199" i="7"/>
  <c r="H199" i="7" l="1"/>
  <c r="F199" i="7" s="1"/>
  <c r="I200" i="7"/>
  <c r="H200" i="7" l="1"/>
  <c r="F200" i="7" s="1"/>
  <c r="I201" i="7"/>
  <c r="I202" i="7" l="1"/>
  <c r="H201" i="7"/>
  <c r="F201" i="7" s="1"/>
  <c r="I203" i="7" l="1"/>
  <c r="H202" i="7"/>
  <c r="F202" i="7" s="1"/>
  <c r="H203" i="7" l="1"/>
  <c r="F203" i="7" s="1"/>
  <c r="I204" i="7"/>
  <c r="I205" i="7" l="1"/>
  <c r="H204" i="7"/>
  <c r="F204" i="7" s="1"/>
  <c r="H205" i="7" l="1"/>
  <c r="F205" i="7" s="1"/>
  <c r="I206" i="7"/>
  <c r="H206" i="7" l="1"/>
  <c r="F206" i="7" s="1"/>
  <c r="I207" i="7"/>
  <c r="H207" i="7" l="1"/>
  <c r="F207" i="7" s="1"/>
  <c r="I208" i="7"/>
  <c r="H208" i="7" l="1"/>
  <c r="F208" i="7" s="1"/>
  <c r="I209" i="7"/>
  <c r="I210" i="7" l="1"/>
  <c r="H209" i="7"/>
  <c r="F209" i="7" s="1"/>
  <c r="H210" i="7" l="1"/>
  <c r="F210" i="7" s="1"/>
  <c r="I211" i="7"/>
  <c r="I212" i="7" l="1"/>
  <c r="H211" i="7"/>
  <c r="F211" i="7" s="1"/>
  <c r="I213" i="7" l="1"/>
  <c r="H212" i="7"/>
  <c r="F212" i="7" s="1"/>
  <c r="I214" i="7" l="1"/>
  <c r="H213" i="7"/>
  <c r="F213" i="7" s="1"/>
  <c r="H214" i="7" l="1"/>
  <c r="F214" i="7" s="1"/>
  <c r="I215" i="7"/>
  <c r="H215" i="7" l="1"/>
  <c r="F215" i="7" s="1"/>
  <c r="I216" i="7"/>
  <c r="H216" i="7" l="1"/>
  <c r="F216" i="7" s="1"/>
  <c r="I217" i="7"/>
  <c r="I218" i="7" l="1"/>
  <c r="H217" i="7"/>
  <c r="F217" i="7" s="1"/>
  <c r="I219" i="7" l="1"/>
  <c r="H218" i="7"/>
  <c r="F218" i="7" s="1"/>
  <c r="H219" i="7" l="1"/>
  <c r="F219" i="7" s="1"/>
  <c r="I220" i="7"/>
  <c r="I221" i="7" l="1"/>
  <c r="H220" i="7"/>
  <c r="F220" i="7" s="1"/>
  <c r="I222" i="7" l="1"/>
  <c r="H221" i="7"/>
  <c r="F221" i="7" s="1"/>
  <c r="H222" i="7" l="1"/>
  <c r="F222" i="7" s="1"/>
  <c r="I223" i="7"/>
  <c r="I224" i="7" l="1"/>
  <c r="H223" i="7"/>
  <c r="F223" i="7" s="1"/>
  <c r="H224" i="7" l="1"/>
  <c r="F224" i="7" s="1"/>
  <c r="I225" i="7"/>
  <c r="I226" i="7" l="1"/>
  <c r="H225" i="7"/>
  <c r="F225" i="7" s="1"/>
  <c r="H226" i="7" l="1"/>
  <c r="F226" i="7" s="1"/>
  <c r="I227" i="7"/>
  <c r="I228" i="7" l="1"/>
  <c r="H227" i="7"/>
  <c r="F227" i="7" s="1"/>
  <c r="H228" i="7" l="1"/>
  <c r="F228" i="7" s="1"/>
  <c r="I229" i="7"/>
  <c r="I230" i="7" l="1"/>
  <c r="H229" i="7"/>
  <c r="F229" i="7" s="1"/>
  <c r="H230" i="7" l="1"/>
  <c r="F230" i="7" s="1"/>
  <c r="I231" i="7"/>
  <c r="I232" i="7" l="1"/>
  <c r="H231" i="7"/>
  <c r="F231" i="7" s="1"/>
  <c r="H232" i="7" l="1"/>
  <c r="F232" i="7" s="1"/>
  <c r="I233" i="7"/>
  <c r="I234" i="7" l="1"/>
  <c r="H233" i="7"/>
  <c r="F233" i="7" s="1"/>
  <c r="I235" i="7" l="1"/>
  <c r="H234" i="7"/>
  <c r="F234" i="7" s="1"/>
  <c r="H235" i="7" l="1"/>
  <c r="F235" i="7" s="1"/>
  <c r="I236" i="7"/>
  <c r="I237" i="7" l="1"/>
  <c r="H236" i="7"/>
  <c r="F236" i="7" s="1"/>
  <c r="I238" i="7" l="1"/>
  <c r="H237" i="7"/>
  <c r="F237" i="7" s="1"/>
  <c r="I239" i="7" l="1"/>
  <c r="H238" i="7"/>
  <c r="F238" i="7" s="1"/>
  <c r="I240" i="7" l="1"/>
  <c r="H239" i="7"/>
  <c r="F239" i="7" s="1"/>
  <c r="H240" i="7" l="1"/>
  <c r="F240" i="7" s="1"/>
  <c r="I241" i="7"/>
  <c r="I242" i="7" l="1"/>
  <c r="H241" i="7"/>
  <c r="F241" i="7" s="1"/>
  <c r="H242" i="7" l="1"/>
  <c r="F242" i="7" s="1"/>
  <c r="I243" i="7"/>
  <c r="I244" i="7" l="1"/>
  <c r="H243" i="7"/>
  <c r="F243" i="7" s="1"/>
  <c r="H244" i="7" l="1"/>
  <c r="F244" i="7" s="1"/>
  <c r="I245" i="7"/>
  <c r="I246" i="7" l="1"/>
  <c r="H245" i="7"/>
  <c r="F245" i="7" s="1"/>
  <c r="H246" i="7" l="1"/>
  <c r="F246" i="7" s="1"/>
  <c r="I247" i="7"/>
  <c r="H247" i="7" l="1"/>
  <c r="F247" i="7" s="1"/>
  <c r="I248" i="7"/>
  <c r="H248" i="7" l="1"/>
  <c r="F248" i="7" s="1"/>
  <c r="I249" i="7"/>
  <c r="I250" i="7" l="1"/>
  <c r="H249" i="7"/>
  <c r="F249" i="7" s="1"/>
  <c r="H250" i="7" l="1"/>
  <c r="F250" i="7" s="1"/>
  <c r="I251" i="7"/>
  <c r="H251" i="7" l="1"/>
  <c r="F251" i="7" s="1"/>
  <c r="I252" i="7"/>
  <c r="I253" i="7" l="1"/>
  <c r="H252" i="7"/>
  <c r="F252" i="7" s="1"/>
  <c r="I254" i="7" l="1"/>
  <c r="H253" i="7"/>
  <c r="F253" i="7" s="1"/>
  <c r="I255" i="7" l="1"/>
  <c r="H254" i="7"/>
  <c r="F254" i="7" s="1"/>
  <c r="H255" i="7" l="1"/>
  <c r="F255" i="7" s="1"/>
  <c r="I256" i="7"/>
  <c r="I257" i="7" l="1"/>
  <c r="H256" i="7"/>
  <c r="F256" i="7" s="1"/>
  <c r="I258" i="7" l="1"/>
  <c r="H257" i="7"/>
  <c r="F257" i="7" s="1"/>
  <c r="H258" i="7" l="1"/>
  <c r="F258" i="7" s="1"/>
  <c r="I259" i="7"/>
  <c r="I260" i="7" l="1"/>
  <c r="H259" i="7"/>
  <c r="F259" i="7" s="1"/>
  <c r="I261" i="7" l="1"/>
  <c r="H260" i="7"/>
  <c r="F260" i="7" s="1"/>
  <c r="I262" i="7" l="1"/>
  <c r="H261" i="7"/>
  <c r="F261" i="7" s="1"/>
  <c r="H262" i="7" l="1"/>
  <c r="F262" i="7" s="1"/>
  <c r="I263" i="7"/>
  <c r="H263" i="7" l="1"/>
  <c r="F263" i="7" s="1"/>
  <c r="I264" i="7"/>
  <c r="I265" i="7" l="1"/>
  <c r="H264" i="7"/>
  <c r="F264" i="7" s="1"/>
  <c r="I266" i="7" l="1"/>
  <c r="H265" i="7"/>
  <c r="F265" i="7" s="1"/>
  <c r="I267" i="7" l="1"/>
  <c r="H266" i="7"/>
  <c r="F266" i="7" s="1"/>
  <c r="H267" i="7" l="1"/>
  <c r="F267" i="7" s="1"/>
  <c r="I268" i="7"/>
  <c r="I269" i="7" l="1"/>
  <c r="H268" i="7"/>
  <c r="F268" i="7" s="1"/>
  <c r="I270" i="7" l="1"/>
  <c r="H269" i="7"/>
  <c r="F269" i="7" s="1"/>
  <c r="I271" i="7" l="1"/>
  <c r="H270" i="7"/>
  <c r="F270" i="7" s="1"/>
  <c r="I272" i="7" l="1"/>
  <c r="H271" i="7"/>
  <c r="F271" i="7" s="1"/>
  <c r="H272" i="7" l="1"/>
  <c r="F272" i="7" s="1"/>
  <c r="I273" i="7"/>
  <c r="H273" i="7" l="1"/>
  <c r="F273" i="7" s="1"/>
  <c r="I274" i="7"/>
  <c r="I275" i="7" l="1"/>
  <c r="H274" i="7"/>
  <c r="F274" i="7" s="1"/>
  <c r="H275" i="7" l="1"/>
  <c r="F275" i="7" s="1"/>
  <c r="I276" i="7"/>
  <c r="H276" i="7" l="1"/>
  <c r="F276" i="7" s="1"/>
  <c r="I277" i="7"/>
  <c r="I278" i="7" l="1"/>
  <c r="H277" i="7"/>
  <c r="F277" i="7" s="1"/>
  <c r="H278" i="7" l="1"/>
  <c r="F278" i="7" s="1"/>
  <c r="I279" i="7"/>
  <c r="H279" i="7" l="1"/>
  <c r="F279" i="7" s="1"/>
  <c r="I280" i="7"/>
  <c r="H280" i="7" l="1"/>
  <c r="F280" i="7" s="1"/>
  <c r="I281" i="7"/>
  <c r="I282" i="7" l="1"/>
  <c r="H281" i="7"/>
  <c r="F281" i="7" s="1"/>
  <c r="I283" i="7" l="1"/>
  <c r="H282" i="7"/>
  <c r="F282" i="7" s="1"/>
  <c r="I284" i="7" l="1"/>
  <c r="H283" i="7"/>
  <c r="F283" i="7" s="1"/>
  <c r="H284" i="7" l="1"/>
  <c r="F284" i="7" s="1"/>
  <c r="I285" i="7"/>
  <c r="I286" i="7" l="1"/>
  <c r="H285" i="7"/>
  <c r="F285" i="7" s="1"/>
  <c r="H286" i="7" l="1"/>
  <c r="F286" i="7" s="1"/>
  <c r="I287" i="7"/>
  <c r="H287" i="7" l="1"/>
  <c r="F287" i="7" s="1"/>
  <c r="I288" i="7"/>
  <c r="H288" i="7" l="1"/>
  <c r="F288" i="7" s="1"/>
  <c r="I289" i="7"/>
  <c r="I290" i="7" l="1"/>
  <c r="H289" i="7"/>
  <c r="F289" i="7" s="1"/>
  <c r="H290" i="7" l="1"/>
  <c r="F290" i="7" s="1"/>
  <c r="I291" i="7"/>
  <c r="I292" i="7" l="1"/>
  <c r="H291" i="7"/>
  <c r="F291" i="7" s="1"/>
  <c r="H292" i="7" l="1"/>
  <c r="F292" i="7" s="1"/>
  <c r="I293" i="7"/>
  <c r="I294" i="7" l="1"/>
  <c r="H293" i="7"/>
  <c r="F293" i="7" s="1"/>
  <c r="H294" i="7" l="1"/>
  <c r="F294" i="7" s="1"/>
  <c r="I295" i="7"/>
  <c r="H295" i="7" l="1"/>
  <c r="F295" i="7" s="1"/>
  <c r="I296" i="7"/>
  <c r="H296" i="7" l="1"/>
  <c r="F296" i="7" s="1"/>
  <c r="I297" i="7"/>
  <c r="I298" i="7" l="1"/>
  <c r="H297" i="7"/>
  <c r="F297" i="7" s="1"/>
  <c r="I299" i="7" l="1"/>
  <c r="H298" i="7"/>
  <c r="F298" i="7" s="1"/>
  <c r="H299" i="7" l="1"/>
  <c r="F299" i="7" s="1"/>
  <c r="I300" i="7"/>
  <c r="H300" i="7" l="1"/>
  <c r="F300" i="7" s="1"/>
  <c r="I301" i="7"/>
  <c r="I302" i="7" l="1"/>
  <c r="H301" i="7"/>
  <c r="F301" i="7" s="1"/>
  <c r="H302" i="7" l="1"/>
  <c r="F302" i="7" s="1"/>
  <c r="I303" i="7"/>
  <c r="H303" i="7" l="1"/>
  <c r="F303" i="7" s="1"/>
  <c r="I304" i="7"/>
  <c r="H304" i="7" l="1"/>
  <c r="F304" i="7" s="1"/>
  <c r="I305" i="7"/>
  <c r="H305" i="7" l="1"/>
  <c r="F305" i="7" s="1"/>
  <c r="I306" i="7"/>
  <c r="H306" i="7" l="1"/>
  <c r="F306" i="7" s="1"/>
  <c r="I307" i="7"/>
  <c r="I308" i="7" l="1"/>
  <c r="H307" i="7"/>
  <c r="F307" i="7" s="1"/>
  <c r="I309" i="7" l="1"/>
  <c r="H308" i="7"/>
  <c r="F308" i="7" s="1"/>
  <c r="I310" i="7" l="1"/>
  <c r="H309" i="7"/>
  <c r="F309" i="7" s="1"/>
  <c r="H310" i="7" l="1"/>
  <c r="F310" i="7" s="1"/>
  <c r="I311" i="7"/>
  <c r="H311" i="7" l="1"/>
  <c r="F311" i="7" s="1"/>
  <c r="I312" i="7"/>
  <c r="H312" i="7" l="1"/>
  <c r="F312" i="7" s="1"/>
  <c r="I313" i="7"/>
  <c r="I314" i="7" l="1"/>
  <c r="H313" i="7"/>
  <c r="F313" i="7" s="1"/>
  <c r="I315" i="7" l="1"/>
  <c r="H314" i="7"/>
  <c r="F314" i="7" s="1"/>
  <c r="H315" i="7" l="1"/>
  <c r="F315" i="7" s="1"/>
  <c r="I316" i="7"/>
  <c r="I317" i="7" l="1"/>
  <c r="H316" i="7"/>
  <c r="F316" i="7" s="1"/>
  <c r="H317" i="7" l="1"/>
  <c r="F317" i="7" s="1"/>
  <c r="I318" i="7"/>
  <c r="H318" i="7" l="1"/>
  <c r="F318" i="7" s="1"/>
  <c r="I319" i="7"/>
  <c r="H319" i="7" l="1"/>
  <c r="F319" i="7" s="1"/>
  <c r="I320" i="7"/>
  <c r="I321" i="7" l="1"/>
  <c r="H320" i="7"/>
  <c r="F320" i="7" s="1"/>
  <c r="I322" i="7" l="1"/>
  <c r="H321" i="7"/>
  <c r="F321" i="7" s="1"/>
  <c r="I323" i="7" l="1"/>
  <c r="H322" i="7"/>
  <c r="F322" i="7" s="1"/>
  <c r="H323" i="7" l="1"/>
  <c r="F323" i="7" s="1"/>
  <c r="I324" i="7"/>
  <c r="H324" i="7" l="1"/>
  <c r="F324" i="7" s="1"/>
  <c r="I325" i="7"/>
  <c r="I326" i="7" l="1"/>
  <c r="H325" i="7"/>
  <c r="F325" i="7" s="1"/>
  <c r="H326" i="7" l="1"/>
  <c r="F326" i="7" s="1"/>
  <c r="I327" i="7"/>
  <c r="H327" i="7" l="1"/>
  <c r="F327" i="7" s="1"/>
  <c r="I328" i="7"/>
  <c r="I329" i="7" l="1"/>
  <c r="H328" i="7"/>
  <c r="F328" i="7" s="1"/>
  <c r="I330" i="7" l="1"/>
  <c r="H329" i="7"/>
  <c r="F329" i="7" s="1"/>
  <c r="I331" i="7" l="1"/>
  <c r="H330" i="7"/>
  <c r="F330" i="7" s="1"/>
  <c r="H331" i="7" l="1"/>
  <c r="F331" i="7" s="1"/>
  <c r="I332" i="7"/>
  <c r="H332" i="7" l="1"/>
  <c r="F332" i="7" s="1"/>
  <c r="I333" i="7"/>
  <c r="H333" i="7" l="1"/>
  <c r="F333" i="7" s="1"/>
  <c r="I334" i="7"/>
  <c r="H334" i="7" l="1"/>
  <c r="F334" i="7" s="1"/>
  <c r="I335" i="7"/>
  <c r="I336" i="7" l="1"/>
  <c r="H335" i="7"/>
  <c r="F335" i="7" s="1"/>
  <c r="I337" i="7" l="1"/>
  <c r="H336" i="7"/>
  <c r="F336" i="7" s="1"/>
  <c r="I338" i="7" l="1"/>
  <c r="H337" i="7"/>
  <c r="F337" i="7" s="1"/>
  <c r="I339" i="7" l="1"/>
  <c r="H338" i="7"/>
  <c r="F338" i="7" s="1"/>
  <c r="H339" i="7" l="1"/>
  <c r="F339" i="7" s="1"/>
  <c r="I340" i="7"/>
  <c r="I341" i="7" l="1"/>
  <c r="H340" i="7"/>
  <c r="F340" i="7" s="1"/>
  <c r="I342" i="7" l="1"/>
  <c r="H341" i="7"/>
  <c r="F341" i="7" s="1"/>
  <c r="H342" i="7" l="1"/>
  <c r="F342" i="7" s="1"/>
  <c r="I343" i="7"/>
  <c r="H343" i="7" l="1"/>
  <c r="F343" i="7" s="1"/>
  <c r="I344" i="7"/>
  <c r="I345" i="7" l="1"/>
  <c r="H344" i="7"/>
  <c r="F344" i="7" s="1"/>
  <c r="H345" i="7" l="1"/>
  <c r="F345" i="7" s="1"/>
  <c r="I346" i="7"/>
  <c r="H346" i="7" l="1"/>
  <c r="F346" i="7" s="1"/>
  <c r="I347" i="7"/>
  <c r="H347" i="7" l="1"/>
  <c r="F347" i="7" s="1"/>
  <c r="I348" i="7"/>
  <c r="I349" i="7" l="1"/>
  <c r="H348" i="7"/>
  <c r="F348" i="7" s="1"/>
  <c r="I350" i="7" l="1"/>
  <c r="H349" i="7"/>
  <c r="F349" i="7" s="1"/>
  <c r="H350" i="7" l="1"/>
  <c r="F350" i="7" s="1"/>
  <c r="I351" i="7"/>
  <c r="I352" i="7" l="1"/>
  <c r="H351" i="7"/>
  <c r="F351" i="7" s="1"/>
  <c r="H352" i="7" l="1"/>
  <c r="F352" i="7" s="1"/>
  <c r="I353" i="7"/>
  <c r="I354" i="7" l="1"/>
  <c r="H353" i="7"/>
  <c r="F353" i="7" s="1"/>
  <c r="I355" i="7" l="1"/>
  <c r="H354" i="7"/>
  <c r="F354" i="7" s="1"/>
  <c r="H355" i="7" l="1"/>
  <c r="F355" i="7" s="1"/>
  <c r="I356" i="7"/>
  <c r="I357" i="7" l="1"/>
  <c r="H356" i="7"/>
  <c r="F356" i="7" s="1"/>
  <c r="H357" i="7" l="1"/>
  <c r="F357" i="7" s="1"/>
  <c r="I358" i="7"/>
  <c r="I359" i="7" l="1"/>
  <c r="H358" i="7"/>
  <c r="F358" i="7" s="1"/>
  <c r="H359" i="7" l="1"/>
  <c r="F359" i="7" s="1"/>
  <c r="I360" i="7"/>
  <c r="H360" i="7" l="1"/>
  <c r="F360" i="7" s="1"/>
  <c r="I361" i="7"/>
  <c r="H361" i="7" l="1"/>
  <c r="F361" i="7" s="1"/>
  <c r="I362" i="7"/>
  <c r="I363" i="7" l="1"/>
  <c r="H362" i="7"/>
  <c r="F362" i="7" s="1"/>
  <c r="H363" i="7" l="1"/>
  <c r="F363" i="7" s="1"/>
  <c r="I364" i="7"/>
  <c r="H364" i="7" l="1"/>
  <c r="F364" i="7" s="1"/>
  <c r="I365" i="7"/>
  <c r="I366" i="7" l="1"/>
  <c r="H365" i="7"/>
  <c r="F365" i="7" s="1"/>
  <c r="H366" i="7" l="1"/>
  <c r="F366" i="7" s="1"/>
  <c r="I367" i="7"/>
  <c r="I368" i="7" l="1"/>
  <c r="H367" i="7"/>
  <c r="F367" i="7" s="1"/>
  <c r="I369" i="7" l="1"/>
  <c r="H368" i="7"/>
  <c r="F368" i="7" s="1"/>
  <c r="I370" i="7" l="1"/>
  <c r="H369" i="7"/>
  <c r="F369" i="7" s="1"/>
  <c r="I371" i="7" l="1"/>
  <c r="H370" i="7"/>
  <c r="F370" i="7" s="1"/>
  <c r="H371" i="7" l="1"/>
  <c r="F371" i="7" s="1"/>
  <c r="I372" i="7"/>
  <c r="I373" i="7" l="1"/>
  <c r="H372" i="7"/>
  <c r="F372" i="7" s="1"/>
  <c r="I374" i="7" l="1"/>
  <c r="H373" i="7"/>
  <c r="F373" i="7" s="1"/>
  <c r="H374" i="7" l="1"/>
  <c r="F374" i="7" s="1"/>
  <c r="I375" i="7"/>
  <c r="I376" i="7" l="1"/>
  <c r="H375" i="7"/>
  <c r="F375" i="7" s="1"/>
  <c r="I377" i="7" l="1"/>
  <c r="H376" i="7"/>
  <c r="F376" i="7" s="1"/>
  <c r="I378" i="7" l="1"/>
  <c r="H377" i="7"/>
  <c r="F377" i="7" s="1"/>
  <c r="H378" i="7" l="1"/>
  <c r="F378" i="7" s="1"/>
  <c r="I379" i="7"/>
  <c r="I380" i="7" l="1"/>
  <c r="H379" i="7"/>
  <c r="F379" i="7" s="1"/>
  <c r="H380" i="7" l="1"/>
  <c r="F380" i="7" s="1"/>
  <c r="I381" i="7"/>
  <c r="I382" i="7" l="1"/>
  <c r="H381" i="7"/>
  <c r="F381" i="7" s="1"/>
  <c r="H382" i="7" l="1"/>
  <c r="F382" i="7" s="1"/>
  <c r="I383" i="7"/>
  <c r="H383" i="7" l="1"/>
  <c r="F383" i="7" s="1"/>
  <c r="I384" i="7"/>
  <c r="H384" i="7" l="1"/>
  <c r="F384" i="7" s="1"/>
  <c r="I385" i="7"/>
  <c r="I386" i="7" l="1"/>
  <c r="H385" i="7"/>
  <c r="F385" i="7" s="1"/>
  <c r="I387" i="7" l="1"/>
  <c r="H386" i="7"/>
  <c r="F386" i="7" s="1"/>
  <c r="I388" i="7" l="1"/>
  <c r="H387" i="7"/>
  <c r="F387" i="7" s="1"/>
  <c r="I389" i="7" l="1"/>
  <c r="H388" i="7"/>
  <c r="F388" i="7" s="1"/>
  <c r="I390" i="7" l="1"/>
  <c r="H389" i="7"/>
  <c r="F389" i="7" s="1"/>
  <c r="I391" i="7" l="1"/>
  <c r="H390" i="7"/>
  <c r="F390" i="7" s="1"/>
  <c r="I392" i="7" l="1"/>
  <c r="H391" i="7"/>
  <c r="F391" i="7" s="1"/>
  <c r="I393" i="7" l="1"/>
  <c r="H392" i="7"/>
  <c r="F392" i="7" s="1"/>
  <c r="I394" i="7" l="1"/>
  <c r="H393" i="7"/>
  <c r="F393" i="7" s="1"/>
  <c r="I395" i="7" l="1"/>
  <c r="H394" i="7"/>
  <c r="F394" i="7" s="1"/>
  <c r="I396" i="7" l="1"/>
  <c r="H395" i="7"/>
  <c r="F395" i="7" s="1"/>
  <c r="I397" i="7" l="1"/>
  <c r="H396" i="7"/>
  <c r="F396" i="7" s="1"/>
  <c r="I398" i="7" l="1"/>
  <c r="H397" i="7"/>
  <c r="F397" i="7" s="1"/>
  <c r="I399" i="7" l="1"/>
  <c r="H398" i="7"/>
  <c r="F398" i="7" s="1"/>
  <c r="I400" i="7" l="1"/>
  <c r="H399" i="7"/>
  <c r="F399" i="7" s="1"/>
  <c r="H400" i="7" l="1"/>
  <c r="F400" i="7" s="1"/>
  <c r="I401" i="7"/>
  <c r="I402" i="7" l="1"/>
  <c r="H401" i="7"/>
  <c r="F401" i="7" s="1"/>
  <c r="I403" i="7" l="1"/>
  <c r="H402" i="7"/>
  <c r="F402" i="7" s="1"/>
  <c r="H403" i="7" l="1"/>
  <c r="F403" i="7" s="1"/>
  <c r="I404" i="7"/>
  <c r="I405" i="7" l="1"/>
  <c r="H404" i="7"/>
  <c r="F404" i="7" s="1"/>
  <c r="I406" i="7" l="1"/>
  <c r="H405" i="7"/>
  <c r="F405" i="7" s="1"/>
  <c r="I407" i="7" l="1"/>
  <c r="H406" i="7"/>
  <c r="F406" i="7" s="1"/>
  <c r="I408" i="7" l="1"/>
  <c r="H407" i="7"/>
  <c r="F407" i="7" s="1"/>
  <c r="H408" i="7" l="1"/>
  <c r="F408" i="7" s="1"/>
  <c r="I409" i="7"/>
  <c r="I410" i="7" l="1"/>
  <c r="H409" i="7"/>
  <c r="F409" i="7" s="1"/>
  <c r="I411" i="7" l="1"/>
  <c r="H410" i="7"/>
  <c r="F410" i="7" s="1"/>
  <c r="H411" i="7" l="1"/>
  <c r="F411" i="7" s="1"/>
  <c r="I412" i="7"/>
  <c r="I413" i="7" l="1"/>
  <c r="H412" i="7"/>
  <c r="F412" i="7" s="1"/>
  <c r="I414" i="7" l="1"/>
  <c r="H413" i="7"/>
  <c r="F413" i="7" s="1"/>
  <c r="I415" i="7" l="1"/>
  <c r="H414" i="7"/>
  <c r="F414" i="7" s="1"/>
  <c r="I416" i="7" l="1"/>
  <c r="H415" i="7"/>
  <c r="F415" i="7" s="1"/>
  <c r="H416" i="7" l="1"/>
  <c r="F416" i="7" s="1"/>
  <c r="I417" i="7"/>
  <c r="I418" i="7" l="1"/>
  <c r="H417" i="7"/>
  <c r="F417" i="7" s="1"/>
  <c r="I419" i="7" l="1"/>
  <c r="H418" i="7"/>
  <c r="F418" i="7" s="1"/>
  <c r="H419" i="7" l="1"/>
  <c r="F419" i="7" s="1"/>
  <c r="I420" i="7"/>
  <c r="I421" i="7" l="1"/>
  <c r="H420" i="7"/>
  <c r="F420" i="7" s="1"/>
  <c r="I422" i="7" l="1"/>
  <c r="H421" i="7"/>
  <c r="F421" i="7" s="1"/>
  <c r="I423" i="7" l="1"/>
  <c r="H422" i="7"/>
  <c r="F422" i="7" s="1"/>
  <c r="H423" i="7" l="1"/>
  <c r="F423" i="7" s="1"/>
  <c r="I424" i="7"/>
  <c r="H424" i="7" l="1"/>
  <c r="F424" i="7" s="1"/>
  <c r="I425" i="7"/>
  <c r="I426" i="7" l="1"/>
  <c r="H425" i="7"/>
  <c r="F425" i="7" s="1"/>
  <c r="I427" i="7" l="1"/>
  <c r="H426" i="7"/>
  <c r="F426" i="7" s="1"/>
  <c r="H427" i="7" l="1"/>
  <c r="F427" i="7" s="1"/>
  <c r="I428" i="7"/>
  <c r="I429" i="7" l="1"/>
  <c r="H428" i="7"/>
  <c r="F428" i="7" s="1"/>
  <c r="I430" i="7" l="1"/>
  <c r="H429" i="7"/>
  <c r="F429" i="7" s="1"/>
  <c r="I431" i="7" l="1"/>
  <c r="H430" i="7"/>
  <c r="F430" i="7" s="1"/>
  <c r="I432" i="7" l="1"/>
  <c r="H431" i="7"/>
  <c r="F431" i="7" s="1"/>
  <c r="H432" i="7" l="1"/>
  <c r="F432" i="7" s="1"/>
  <c r="I433" i="7"/>
  <c r="I434" i="7" l="1"/>
  <c r="H433" i="7"/>
  <c r="F433" i="7" s="1"/>
  <c r="I435" i="7" l="1"/>
  <c r="H434" i="7"/>
  <c r="F434" i="7" s="1"/>
  <c r="H435" i="7" l="1"/>
  <c r="F435" i="7" s="1"/>
  <c r="I436" i="7"/>
  <c r="I437" i="7" l="1"/>
  <c r="H436" i="7"/>
  <c r="F436" i="7" s="1"/>
  <c r="I438" i="7" l="1"/>
  <c r="H437" i="7"/>
  <c r="F437" i="7" s="1"/>
  <c r="I439" i="7" l="1"/>
  <c r="H438" i="7"/>
  <c r="F438" i="7" s="1"/>
  <c r="I440" i="7" l="1"/>
  <c r="H439" i="7"/>
  <c r="F439" i="7" s="1"/>
  <c r="H440" i="7" l="1"/>
  <c r="F440" i="7" s="1"/>
  <c r="I441" i="7"/>
  <c r="I442" i="7" l="1"/>
  <c r="H441" i="7"/>
  <c r="F441" i="7" s="1"/>
  <c r="I443" i="7" l="1"/>
  <c r="H442" i="7"/>
  <c r="F442" i="7" s="1"/>
  <c r="H443" i="7" l="1"/>
  <c r="F443" i="7" s="1"/>
  <c r="I444" i="7"/>
  <c r="I445" i="7" l="1"/>
  <c r="H444" i="7"/>
  <c r="F444" i="7" s="1"/>
  <c r="I446" i="7" l="1"/>
  <c r="H445" i="7"/>
  <c r="F445" i="7" s="1"/>
  <c r="I447" i="7" l="1"/>
  <c r="H446" i="7"/>
  <c r="F446" i="7" s="1"/>
  <c r="I448" i="7" l="1"/>
  <c r="H447" i="7"/>
  <c r="F447" i="7" s="1"/>
  <c r="H448" i="7" l="1"/>
  <c r="F448" i="7" s="1"/>
  <c r="I449" i="7"/>
  <c r="I450" i="7" l="1"/>
  <c r="H449" i="7"/>
  <c r="F449" i="7" s="1"/>
  <c r="I451" i="7" l="1"/>
  <c r="H450" i="7"/>
  <c r="F450" i="7" s="1"/>
  <c r="H451" i="7" l="1"/>
  <c r="F451" i="7" s="1"/>
  <c r="I452" i="7"/>
  <c r="I453" i="7" l="1"/>
  <c r="H452" i="7"/>
  <c r="F452" i="7" s="1"/>
  <c r="I454" i="7" l="1"/>
  <c r="H453" i="7"/>
  <c r="F453" i="7" s="1"/>
  <c r="I455" i="7" l="1"/>
  <c r="H454" i="7"/>
  <c r="F454" i="7" s="1"/>
  <c r="I456" i="7" l="1"/>
  <c r="H455" i="7"/>
  <c r="F455" i="7" s="1"/>
  <c r="H456" i="7" l="1"/>
  <c r="F456" i="7" s="1"/>
  <c r="I457" i="7"/>
  <c r="I458" i="7" l="1"/>
  <c r="H457" i="7"/>
  <c r="F457" i="7" s="1"/>
  <c r="H458" i="7" l="1"/>
  <c r="F458" i="7" s="1"/>
  <c r="I459" i="7"/>
  <c r="H459" i="7" l="1"/>
  <c r="F459" i="7" s="1"/>
  <c r="I460" i="7"/>
  <c r="I461" i="7" l="1"/>
  <c r="H460" i="7"/>
  <c r="F460" i="7" s="1"/>
  <c r="I462" i="7" l="1"/>
  <c r="H461" i="7"/>
  <c r="F461" i="7" s="1"/>
  <c r="I463" i="7" l="1"/>
  <c r="H462" i="7"/>
  <c r="F462" i="7" s="1"/>
  <c r="I464" i="7" l="1"/>
  <c r="H463" i="7"/>
  <c r="F463" i="7" s="1"/>
  <c r="H464" i="7" l="1"/>
  <c r="F464" i="7" s="1"/>
  <c r="I465" i="7"/>
  <c r="I466" i="7" l="1"/>
  <c r="H465" i="7"/>
  <c r="F465" i="7" s="1"/>
  <c r="H466" i="7" l="1"/>
  <c r="F466" i="7" s="1"/>
  <c r="I467" i="7"/>
  <c r="I468" i="7" l="1"/>
  <c r="H467" i="7"/>
  <c r="F467" i="7" s="1"/>
  <c r="I469" i="7" l="1"/>
  <c r="H468" i="7"/>
  <c r="F468" i="7" s="1"/>
  <c r="I470" i="7" l="1"/>
  <c r="H469" i="7"/>
  <c r="F469" i="7" s="1"/>
  <c r="I471" i="7" l="1"/>
  <c r="H470" i="7"/>
  <c r="F470" i="7" s="1"/>
  <c r="I472" i="7" l="1"/>
  <c r="H471" i="7"/>
  <c r="F471" i="7" s="1"/>
  <c r="H472" i="7" l="1"/>
  <c r="F472" i="7" s="1"/>
  <c r="I473" i="7"/>
  <c r="I474" i="7" l="1"/>
  <c r="H473" i="7"/>
  <c r="F473" i="7" s="1"/>
  <c r="I475" i="7" l="1"/>
  <c r="H474" i="7"/>
  <c r="F474" i="7" s="1"/>
  <c r="H475" i="7" l="1"/>
  <c r="F475" i="7" s="1"/>
  <c r="I476" i="7"/>
  <c r="I477" i="7" l="1"/>
  <c r="H476" i="7"/>
  <c r="F476" i="7" s="1"/>
  <c r="I478" i="7" l="1"/>
  <c r="H477" i="7"/>
  <c r="F477" i="7" s="1"/>
  <c r="H478" i="7" l="1"/>
  <c r="F478" i="7" s="1"/>
  <c r="I479" i="7"/>
  <c r="I480" i="7" l="1"/>
  <c r="H479" i="7"/>
  <c r="F479" i="7" s="1"/>
  <c r="I481" i="7" l="1"/>
  <c r="H480" i="7"/>
  <c r="F480" i="7" s="1"/>
  <c r="H481" i="7" l="1"/>
  <c r="F481" i="7" s="1"/>
  <c r="I482" i="7"/>
  <c r="H482" i="7" l="1"/>
  <c r="F482" i="7" s="1"/>
  <c r="I483" i="7"/>
  <c r="I484" i="7" l="1"/>
  <c r="H483" i="7"/>
  <c r="F483" i="7" s="1"/>
  <c r="I485" i="7" l="1"/>
  <c r="H484" i="7"/>
  <c r="F484" i="7" s="1"/>
  <c r="H485" i="7" l="1"/>
  <c r="F485" i="7" s="1"/>
  <c r="I486" i="7"/>
  <c r="I487" i="7" l="1"/>
  <c r="H486" i="7"/>
  <c r="F486" i="7" s="1"/>
  <c r="H487" i="7" l="1"/>
  <c r="F487" i="7" s="1"/>
  <c r="I488" i="7"/>
  <c r="I489" i="7" l="1"/>
  <c r="H488" i="7"/>
  <c r="F488" i="7" s="1"/>
  <c r="H489" i="7" l="1"/>
  <c r="F489" i="7" s="1"/>
  <c r="I490" i="7"/>
  <c r="I491" i="7" l="1"/>
  <c r="H490" i="7"/>
  <c r="F490" i="7" s="1"/>
  <c r="H491" i="7" l="1"/>
  <c r="F491" i="7" s="1"/>
  <c r="I492" i="7"/>
  <c r="I493" i="7" l="1"/>
  <c r="H492" i="7"/>
  <c r="F492" i="7" s="1"/>
  <c r="I494" i="7" l="1"/>
  <c r="H493" i="7"/>
  <c r="F493" i="7" s="1"/>
  <c r="H494" i="7" l="1"/>
  <c r="F494" i="7" s="1"/>
  <c r="I495" i="7"/>
  <c r="I496" i="7" l="1"/>
  <c r="H495" i="7"/>
  <c r="F495" i="7" s="1"/>
  <c r="I497" i="7" l="1"/>
  <c r="H496" i="7"/>
  <c r="F496" i="7" s="1"/>
  <c r="I498" i="7" l="1"/>
  <c r="H497" i="7"/>
  <c r="F497" i="7" s="1"/>
  <c r="H498" i="7" l="1"/>
  <c r="F498" i="7" s="1"/>
  <c r="I499" i="7"/>
  <c r="H499" i="7" l="1"/>
  <c r="F499" i="7" s="1"/>
  <c r="I500" i="7"/>
  <c r="I501" i="7" l="1"/>
  <c r="H500" i="7"/>
  <c r="F500" i="7" s="1"/>
  <c r="H501" i="7" l="1"/>
  <c r="F501" i="7" s="1"/>
  <c r="I502" i="7"/>
  <c r="I503" i="7" l="1"/>
  <c r="H502" i="7"/>
  <c r="F502" i="7" s="1"/>
  <c r="H503" i="7" l="1"/>
  <c r="F503" i="7" s="1"/>
  <c r="I504" i="7"/>
  <c r="I505" i="7" l="1"/>
  <c r="H504" i="7"/>
  <c r="F504" i="7" s="1"/>
  <c r="H505" i="7" l="1"/>
  <c r="F505" i="7" s="1"/>
  <c r="I506" i="7"/>
  <c r="H506" i="7" l="1"/>
  <c r="F506" i="7" s="1"/>
  <c r="I507" i="7"/>
  <c r="H507" i="7" l="1"/>
  <c r="F507" i="7" s="1"/>
  <c r="I508" i="7"/>
  <c r="I509" i="7" l="1"/>
  <c r="H508" i="7"/>
  <c r="F508" i="7" s="1"/>
  <c r="I510" i="7" l="1"/>
  <c r="H509" i="7"/>
  <c r="F509" i="7" s="1"/>
  <c r="H510" i="7" l="1"/>
  <c r="F510" i="7" s="1"/>
  <c r="I511" i="7"/>
  <c r="I512" i="7" l="1"/>
  <c r="H511" i="7"/>
  <c r="F511" i="7" s="1"/>
  <c r="H512" i="7" l="1"/>
  <c r="F512" i="7" s="1"/>
  <c r="I513" i="7"/>
  <c r="H513" i="7" l="1"/>
  <c r="F513" i="7" s="1"/>
  <c r="I514" i="7"/>
  <c r="I515" i="7" l="1"/>
  <c r="H514" i="7"/>
  <c r="F514" i="7" s="1"/>
  <c r="I516" i="7" l="1"/>
  <c r="H515" i="7"/>
  <c r="F515" i="7" s="1"/>
  <c r="I517" i="7" l="1"/>
  <c r="H516" i="7"/>
  <c r="F516" i="7" s="1"/>
  <c r="H517" i="7" l="1"/>
  <c r="F517" i="7" s="1"/>
  <c r="I518" i="7"/>
  <c r="I519" i="7" l="1"/>
  <c r="H518" i="7"/>
  <c r="F518" i="7" s="1"/>
  <c r="H519" i="7" l="1"/>
  <c r="F519" i="7" s="1"/>
  <c r="I520" i="7"/>
  <c r="I521" i="7" l="1"/>
  <c r="H520" i="7"/>
  <c r="F520" i="7" s="1"/>
  <c r="H521" i="7" l="1"/>
  <c r="F521" i="7" s="1"/>
  <c r="I522" i="7"/>
  <c r="I523" i="7" l="1"/>
  <c r="H522" i="7"/>
  <c r="F522" i="7" s="1"/>
  <c r="H523" i="7" l="1"/>
  <c r="F523" i="7" s="1"/>
  <c r="I524" i="7"/>
  <c r="I525" i="7" l="1"/>
  <c r="H524" i="7"/>
  <c r="F524" i="7" s="1"/>
  <c r="I526" i="7" l="1"/>
  <c r="H525" i="7"/>
  <c r="F525" i="7" s="1"/>
  <c r="H526" i="7" l="1"/>
  <c r="F526" i="7" s="1"/>
  <c r="I527" i="7"/>
  <c r="I528" i="7" l="1"/>
  <c r="H527" i="7"/>
  <c r="F527" i="7" s="1"/>
  <c r="I529" i="7" l="1"/>
  <c r="H528" i="7"/>
  <c r="F528" i="7" s="1"/>
  <c r="I530" i="7" l="1"/>
  <c r="H529" i="7"/>
  <c r="F529" i="7" s="1"/>
  <c r="H530" i="7" l="1"/>
  <c r="F530" i="7" s="1"/>
  <c r="I531" i="7"/>
  <c r="H531" i="7" l="1"/>
  <c r="F531" i="7" s="1"/>
  <c r="I532" i="7"/>
  <c r="I533" i="7" l="1"/>
  <c r="H532" i="7"/>
  <c r="F532" i="7" s="1"/>
  <c r="H533" i="7" l="1"/>
  <c r="F533" i="7" s="1"/>
  <c r="I534" i="7"/>
  <c r="I535" i="7" l="1"/>
  <c r="H534" i="7"/>
  <c r="F534" i="7" s="1"/>
  <c r="H535" i="7" l="1"/>
  <c r="F535" i="7" s="1"/>
  <c r="I536" i="7"/>
  <c r="I537" i="7" l="1"/>
  <c r="H536" i="7"/>
  <c r="F536" i="7" s="1"/>
  <c r="H537" i="7" l="1"/>
  <c r="F537" i="7" s="1"/>
  <c r="I538" i="7"/>
  <c r="H538" i="7" l="1"/>
  <c r="F538" i="7" s="1"/>
  <c r="I539" i="7"/>
  <c r="H539" i="7" l="1"/>
  <c r="F539" i="7" s="1"/>
  <c r="I540" i="7"/>
  <c r="I541" i="7" l="1"/>
  <c r="H540" i="7"/>
  <c r="F540" i="7" s="1"/>
  <c r="I542" i="7" l="1"/>
  <c r="H541" i="7"/>
  <c r="F541" i="7" s="1"/>
  <c r="H542" i="7" l="1"/>
  <c r="F542" i="7" s="1"/>
  <c r="I543" i="7"/>
  <c r="I544" i="7" l="1"/>
  <c r="H543" i="7"/>
  <c r="F543" i="7" s="1"/>
  <c r="I545" i="7" l="1"/>
  <c r="H544" i="7"/>
  <c r="F544" i="7" s="1"/>
  <c r="H545" i="7" l="1"/>
  <c r="F545" i="7" s="1"/>
  <c r="I546" i="7"/>
  <c r="H546" i="7" l="1"/>
  <c r="F546" i="7" s="1"/>
  <c r="I547" i="7"/>
  <c r="I548" i="7" l="1"/>
  <c r="H547" i="7"/>
  <c r="F547" i="7" s="1"/>
  <c r="I549" i="7" l="1"/>
  <c r="H548" i="7"/>
  <c r="F548" i="7" s="1"/>
  <c r="H549" i="7" l="1"/>
  <c r="F549" i="7" s="1"/>
  <c r="I550" i="7"/>
  <c r="I551" i="7" l="1"/>
  <c r="H550" i="7"/>
  <c r="F550" i="7" s="1"/>
  <c r="H551" i="7" l="1"/>
  <c r="F551" i="7" s="1"/>
  <c r="I552" i="7"/>
  <c r="I553" i="7" l="1"/>
  <c r="H552" i="7"/>
  <c r="F552" i="7" s="1"/>
  <c r="H553" i="7" l="1"/>
  <c r="F553" i="7" s="1"/>
  <c r="I554" i="7"/>
  <c r="I555" i="7" l="1"/>
  <c r="H554" i="7"/>
  <c r="F554" i="7" s="1"/>
  <c r="H555" i="7" l="1"/>
  <c r="F555" i="7" s="1"/>
  <c r="I556" i="7"/>
  <c r="I557" i="7" l="1"/>
  <c r="H556" i="7"/>
  <c r="F556" i="7" s="1"/>
  <c r="I558" i="7" l="1"/>
  <c r="H557" i="7"/>
  <c r="F557" i="7" s="1"/>
  <c r="H558" i="7" l="1"/>
  <c r="F558" i="7" s="1"/>
  <c r="I559" i="7"/>
  <c r="I560" i="7" l="1"/>
  <c r="H559" i="7"/>
  <c r="F559" i="7" s="1"/>
  <c r="I561" i="7" l="1"/>
  <c r="H560" i="7"/>
  <c r="F560" i="7" s="1"/>
  <c r="I562" i="7" l="1"/>
  <c r="H561" i="7"/>
  <c r="F561" i="7" s="1"/>
  <c r="H562" i="7" l="1"/>
  <c r="F562" i="7" s="1"/>
  <c r="I563" i="7"/>
  <c r="H563" i="7" l="1"/>
  <c r="F563" i="7" s="1"/>
  <c r="I564" i="7"/>
  <c r="I565" i="7" l="1"/>
  <c r="H564" i="7"/>
  <c r="F564" i="7" s="1"/>
  <c r="H565" i="7" l="1"/>
  <c r="F565" i="7" s="1"/>
  <c r="I566" i="7"/>
  <c r="I567" i="7" l="1"/>
  <c r="H566" i="7"/>
  <c r="F566" i="7" s="1"/>
  <c r="H567" i="7" l="1"/>
  <c r="F567" i="7" s="1"/>
  <c r="I568" i="7"/>
  <c r="I569" i="7" l="1"/>
  <c r="H568" i="7"/>
  <c r="F568" i="7" s="1"/>
  <c r="H569" i="7" l="1"/>
  <c r="F569" i="7" s="1"/>
  <c r="I570" i="7"/>
  <c r="H570" i="7" l="1"/>
  <c r="F570" i="7" s="1"/>
  <c r="I571" i="7"/>
  <c r="H571" i="7" l="1"/>
  <c r="F571" i="7" s="1"/>
  <c r="I572" i="7"/>
  <c r="I573" i="7" l="1"/>
  <c r="H572" i="7"/>
  <c r="F572" i="7" s="1"/>
  <c r="I574" i="7" l="1"/>
  <c r="H573" i="7"/>
  <c r="F573" i="7" s="1"/>
  <c r="H574" i="7" l="1"/>
  <c r="F574" i="7" s="1"/>
  <c r="I575" i="7"/>
  <c r="I576" i="7" l="1"/>
  <c r="H575" i="7"/>
  <c r="F575" i="7" s="1"/>
  <c r="I577" i="7" l="1"/>
  <c r="H576" i="7"/>
  <c r="F576" i="7" s="1"/>
  <c r="H577" i="7" l="1"/>
  <c r="F577" i="7" s="1"/>
  <c r="I578" i="7"/>
  <c r="H578" i="7" l="1"/>
  <c r="F578" i="7" s="1"/>
  <c r="I579" i="7"/>
  <c r="H579" i="7" l="1"/>
  <c r="F579" i="7" s="1"/>
  <c r="I580" i="7"/>
  <c r="I581" i="7" l="1"/>
  <c r="H580" i="7"/>
  <c r="F580" i="7" s="1"/>
  <c r="H581" i="7" l="1"/>
  <c r="F581" i="7" s="1"/>
  <c r="I582" i="7"/>
  <c r="I583" i="7" l="1"/>
  <c r="H582" i="7"/>
  <c r="F582" i="7" s="1"/>
  <c r="H583" i="7" l="1"/>
  <c r="F583" i="7" s="1"/>
  <c r="I584" i="7"/>
  <c r="I585" i="7" l="1"/>
  <c r="H584" i="7"/>
  <c r="F584" i="7" s="1"/>
  <c r="H585" i="7" l="1"/>
  <c r="F585" i="7" s="1"/>
  <c r="I586" i="7"/>
  <c r="H586" i="7" l="1"/>
  <c r="F586" i="7" s="1"/>
  <c r="I587" i="7"/>
  <c r="I588" i="7" l="1"/>
  <c r="H587" i="7"/>
  <c r="F587" i="7" s="1"/>
  <c r="I589" i="7" l="1"/>
  <c r="H588" i="7"/>
  <c r="F588" i="7" s="1"/>
  <c r="I590" i="7" l="1"/>
  <c r="H589" i="7"/>
  <c r="F589" i="7" s="1"/>
  <c r="H590" i="7" l="1"/>
  <c r="F590" i="7" s="1"/>
  <c r="I591" i="7"/>
  <c r="I592" i="7" l="1"/>
  <c r="H591" i="7"/>
  <c r="F591" i="7" s="1"/>
  <c r="I593" i="7" l="1"/>
  <c r="H592" i="7"/>
  <c r="F592" i="7" s="1"/>
  <c r="H593" i="7" l="1"/>
  <c r="F593" i="7" s="1"/>
  <c r="I594" i="7"/>
  <c r="H594" i="7" l="1"/>
  <c r="F594" i="7" s="1"/>
  <c r="I595" i="7"/>
  <c r="H595" i="7" l="1"/>
  <c r="F595" i="7" s="1"/>
  <c r="I596" i="7"/>
  <c r="H596" i="7" l="1"/>
  <c r="F596" i="7" s="1"/>
  <c r="I597" i="7"/>
  <c r="H597" i="7" l="1"/>
  <c r="F597" i="7" s="1"/>
  <c r="I598" i="7"/>
  <c r="H598" i="7" l="1"/>
  <c r="F598" i="7" s="1"/>
  <c r="I599" i="7"/>
  <c r="H599" i="7" l="1"/>
  <c r="F599" i="7" s="1"/>
  <c r="I600" i="7"/>
  <c r="H600" i="7" l="1"/>
  <c r="F600" i="7" s="1"/>
  <c r="I601" i="7"/>
  <c r="H601" i="7" l="1"/>
  <c r="F601" i="7" s="1"/>
  <c r="I602" i="7"/>
  <c r="I603" i="7" l="1"/>
  <c r="H602" i="7"/>
  <c r="F602" i="7" s="1"/>
  <c r="H603" i="7" l="1"/>
  <c r="F603" i="7" s="1"/>
  <c r="I604" i="7"/>
  <c r="H604" i="7" l="1"/>
  <c r="F604" i="7" s="1"/>
  <c r="I605" i="7"/>
  <c r="I606" i="7" l="1"/>
  <c r="H605" i="7"/>
  <c r="F605" i="7" s="1"/>
  <c r="H606" i="7" l="1"/>
  <c r="F606" i="7" s="1"/>
  <c r="I607" i="7"/>
  <c r="I608" i="7" l="1"/>
  <c r="H607" i="7"/>
  <c r="F607" i="7" s="1"/>
  <c r="H608" i="7" l="1"/>
  <c r="F608" i="7" s="1"/>
  <c r="I609" i="7"/>
  <c r="H609" i="7" l="1"/>
  <c r="F609" i="7" s="1"/>
  <c r="I610" i="7"/>
  <c r="I611" i="7" l="1"/>
  <c r="H610" i="7"/>
  <c r="F610" i="7" s="1"/>
  <c r="H611" i="7" l="1"/>
  <c r="F611" i="7" s="1"/>
  <c r="I612" i="7"/>
  <c r="H612" i="7" l="1"/>
  <c r="F612" i="7" s="1"/>
  <c r="I613" i="7"/>
  <c r="I614" i="7" l="1"/>
  <c r="H613" i="7"/>
  <c r="F613" i="7" s="1"/>
  <c r="I615" i="7" l="1"/>
  <c r="H614" i="7"/>
  <c r="F614" i="7" s="1"/>
  <c r="I616" i="7" l="1"/>
  <c r="H615" i="7"/>
  <c r="F615" i="7" s="1"/>
  <c r="H616" i="7" l="1"/>
  <c r="F616" i="7" s="1"/>
  <c r="I617" i="7"/>
  <c r="I618" i="7" l="1"/>
  <c r="H617" i="7"/>
  <c r="F617" i="7" s="1"/>
  <c r="I619" i="7" l="1"/>
  <c r="H618" i="7"/>
  <c r="F618" i="7" s="1"/>
  <c r="I620" i="7" l="1"/>
  <c r="H619" i="7"/>
  <c r="F619" i="7" s="1"/>
  <c r="I621" i="7" l="1"/>
  <c r="H620" i="7"/>
  <c r="F620" i="7" s="1"/>
  <c r="I622" i="7" l="1"/>
  <c r="H621" i="7"/>
  <c r="F621" i="7" s="1"/>
  <c r="I623" i="7" l="1"/>
  <c r="H622" i="7"/>
  <c r="F622" i="7" s="1"/>
  <c r="I624" i="7" l="1"/>
  <c r="H623" i="7"/>
  <c r="F623" i="7" s="1"/>
  <c r="H624" i="7" l="1"/>
  <c r="F624" i="7" s="1"/>
  <c r="I625" i="7"/>
  <c r="H625" i="7" l="1"/>
  <c r="F625" i="7" s="1"/>
  <c r="I626" i="7"/>
  <c r="H626" i="7" l="1"/>
  <c r="F626" i="7" s="1"/>
  <c r="I627" i="7"/>
  <c r="I628" i="7" l="1"/>
  <c r="H627" i="7"/>
  <c r="F627" i="7" s="1"/>
  <c r="H628" i="7" l="1"/>
  <c r="F628" i="7" s="1"/>
  <c r="I629" i="7"/>
  <c r="H629" i="7" l="1"/>
  <c r="F629" i="7" s="1"/>
  <c r="I630" i="7"/>
  <c r="H630" i="7" l="1"/>
  <c r="F630" i="7" s="1"/>
  <c r="I631" i="7"/>
  <c r="H631" i="7" l="1"/>
  <c r="F631" i="7" s="1"/>
  <c r="I632" i="7"/>
  <c r="I633" i="7" l="1"/>
  <c r="H632" i="7"/>
  <c r="F632" i="7" s="1"/>
  <c r="H633" i="7" l="1"/>
  <c r="F633" i="7" s="1"/>
  <c r="I634" i="7"/>
  <c r="I635" i="7" l="1"/>
  <c r="H634" i="7"/>
  <c r="F634" i="7" s="1"/>
  <c r="I636" i="7" l="1"/>
  <c r="H635" i="7"/>
  <c r="F635" i="7" s="1"/>
  <c r="H636" i="7" l="1"/>
  <c r="F636" i="7" s="1"/>
  <c r="I637" i="7"/>
  <c r="I638" i="7" l="1"/>
  <c r="H637" i="7"/>
  <c r="F637" i="7" s="1"/>
  <c r="I639" i="7" l="1"/>
  <c r="H638" i="7"/>
  <c r="F638" i="7" s="1"/>
  <c r="I640" i="7" l="1"/>
  <c r="H639" i="7"/>
  <c r="F639" i="7" s="1"/>
  <c r="H640" i="7" l="1"/>
  <c r="F640" i="7" s="1"/>
  <c r="I641" i="7"/>
  <c r="H641" i="7" l="1"/>
  <c r="F641" i="7" s="1"/>
  <c r="I642" i="7"/>
  <c r="H642" i="7" l="1"/>
  <c r="F642" i="7" s="1"/>
  <c r="I643" i="7"/>
  <c r="H643" i="7" l="1"/>
  <c r="F643" i="7" s="1"/>
  <c r="I644" i="7"/>
  <c r="I645" i="7" l="1"/>
  <c r="H644" i="7"/>
  <c r="F644" i="7" s="1"/>
  <c r="H645" i="7" l="1"/>
  <c r="F645" i="7" s="1"/>
  <c r="I646" i="7"/>
  <c r="I647" i="7" l="1"/>
  <c r="H646" i="7"/>
  <c r="F646" i="7" s="1"/>
  <c r="I648" i="7" l="1"/>
  <c r="H647" i="7"/>
  <c r="F647" i="7" s="1"/>
  <c r="H648" i="7" l="1"/>
  <c r="F648" i="7" s="1"/>
  <c r="I649" i="7"/>
  <c r="H649" i="7" l="1"/>
  <c r="F649" i="7" s="1"/>
  <c r="I650" i="7"/>
  <c r="H650" i="7" l="1"/>
  <c r="F650" i="7" s="1"/>
  <c r="I651" i="7"/>
  <c r="I652" i="7" l="1"/>
  <c r="H651" i="7"/>
  <c r="F651" i="7" s="1"/>
  <c r="H652" i="7" l="1"/>
  <c r="F652" i="7" s="1"/>
  <c r="I653" i="7"/>
  <c r="I654" i="7" l="1"/>
  <c r="H653" i="7"/>
  <c r="F653" i="7" s="1"/>
  <c r="H654" i="7" l="1"/>
  <c r="F654" i="7" s="1"/>
  <c r="I655" i="7"/>
  <c r="I656" i="7" l="1"/>
  <c r="H655" i="7"/>
  <c r="F655" i="7" s="1"/>
  <c r="H656" i="7" l="1"/>
  <c r="F656" i="7" s="1"/>
  <c r="I657" i="7"/>
  <c r="I658" i="7" l="1"/>
  <c r="H657" i="7"/>
  <c r="F657" i="7" s="1"/>
  <c r="I659" i="7" l="1"/>
  <c r="H658" i="7"/>
  <c r="F658" i="7" s="1"/>
  <c r="H659" i="7" l="1"/>
  <c r="F659" i="7" s="1"/>
  <c r="I660" i="7"/>
  <c r="I661" i="7" l="1"/>
  <c r="H660" i="7"/>
  <c r="F660" i="7" s="1"/>
  <c r="I662" i="7" l="1"/>
  <c r="H661" i="7"/>
  <c r="F661" i="7" s="1"/>
  <c r="I663" i="7" l="1"/>
  <c r="H662" i="7"/>
  <c r="F662" i="7" s="1"/>
  <c r="I664" i="7" l="1"/>
  <c r="H663" i="7"/>
  <c r="F663" i="7" s="1"/>
  <c r="I665" i="7" l="1"/>
  <c r="H664" i="7"/>
  <c r="F664" i="7" s="1"/>
  <c r="I666" i="7" l="1"/>
  <c r="H665" i="7"/>
  <c r="F665" i="7" s="1"/>
  <c r="I667" i="7" l="1"/>
  <c r="H666" i="7"/>
  <c r="F666" i="7" s="1"/>
  <c r="H667" i="7" l="1"/>
  <c r="F667" i="7" s="1"/>
  <c r="I668" i="7"/>
  <c r="I669" i="7" l="1"/>
  <c r="H668" i="7"/>
  <c r="F668" i="7" s="1"/>
  <c r="I670" i="7" l="1"/>
  <c r="H669" i="7"/>
  <c r="F669" i="7" s="1"/>
  <c r="I671" i="7" l="1"/>
  <c r="H670" i="7"/>
  <c r="F670" i="7" s="1"/>
  <c r="I672" i="7" l="1"/>
  <c r="H671" i="7"/>
  <c r="F671" i="7" s="1"/>
  <c r="H672" i="7" l="1"/>
  <c r="F672" i="7" s="1"/>
  <c r="I673" i="7"/>
  <c r="H673" i="7" l="1"/>
  <c r="F673" i="7" s="1"/>
  <c r="I674" i="7"/>
  <c r="I675" i="7" l="1"/>
  <c r="H674" i="7"/>
  <c r="F674" i="7" s="1"/>
  <c r="I676" i="7" l="1"/>
  <c r="H675" i="7"/>
  <c r="F675" i="7" s="1"/>
  <c r="I677" i="7" l="1"/>
  <c r="H676" i="7"/>
  <c r="F676" i="7" s="1"/>
  <c r="I678" i="7" l="1"/>
  <c r="H677" i="7"/>
  <c r="F677" i="7" s="1"/>
  <c r="I679" i="7" l="1"/>
  <c r="H678" i="7"/>
  <c r="F678" i="7" s="1"/>
  <c r="I680" i="7" l="1"/>
  <c r="H679" i="7"/>
  <c r="F679" i="7" s="1"/>
  <c r="H680" i="7" l="1"/>
  <c r="F680" i="7" s="1"/>
  <c r="I681" i="7"/>
  <c r="H681" i="7" l="1"/>
  <c r="F681" i="7" s="1"/>
  <c r="I682" i="7"/>
  <c r="I683" i="7" l="1"/>
  <c r="H682" i="7"/>
  <c r="F682" i="7" s="1"/>
  <c r="I684" i="7" l="1"/>
  <c r="H683" i="7"/>
  <c r="F683" i="7" s="1"/>
  <c r="I685" i="7" l="1"/>
  <c r="H684" i="7"/>
  <c r="F684" i="7" s="1"/>
  <c r="I686" i="7" l="1"/>
  <c r="H685" i="7"/>
  <c r="F685" i="7" s="1"/>
  <c r="H686" i="7" l="1"/>
  <c r="F686" i="7" s="1"/>
  <c r="I687" i="7"/>
  <c r="I688" i="7" l="1"/>
  <c r="H687" i="7"/>
  <c r="F687" i="7" s="1"/>
  <c r="H688" i="7" l="1"/>
  <c r="F688" i="7" s="1"/>
  <c r="I689" i="7"/>
  <c r="H689" i="7" l="1"/>
  <c r="F689" i="7" s="1"/>
  <c r="I690" i="7"/>
  <c r="I691" i="7" l="1"/>
  <c r="H690" i="7"/>
  <c r="F690" i="7" s="1"/>
  <c r="I692" i="7" l="1"/>
  <c r="H691" i="7"/>
  <c r="F691" i="7" s="1"/>
  <c r="I693" i="7" l="1"/>
  <c r="H692" i="7"/>
  <c r="F692" i="7" s="1"/>
  <c r="I694" i="7" l="1"/>
  <c r="H693" i="7"/>
  <c r="F693" i="7" s="1"/>
  <c r="H694" i="7" l="1"/>
  <c r="F694" i="7" s="1"/>
  <c r="I695" i="7"/>
  <c r="I696" i="7" l="1"/>
  <c r="H695" i="7"/>
  <c r="F695" i="7" s="1"/>
  <c r="H696" i="7" l="1"/>
  <c r="F696" i="7" s="1"/>
  <c r="I697" i="7"/>
  <c r="H697" i="7" l="1"/>
  <c r="F697" i="7" s="1"/>
  <c r="I698" i="7"/>
  <c r="I699" i="7" l="1"/>
  <c r="H698" i="7"/>
  <c r="F698" i="7" s="1"/>
  <c r="I700" i="7" l="1"/>
  <c r="H699" i="7"/>
  <c r="F699" i="7" s="1"/>
  <c r="I701" i="7" l="1"/>
  <c r="H700" i="7"/>
  <c r="F700" i="7" s="1"/>
  <c r="I702" i="7" l="1"/>
  <c r="H701" i="7"/>
  <c r="F701" i="7" s="1"/>
  <c r="I703" i="7" l="1"/>
  <c r="H702" i="7"/>
  <c r="F702" i="7" s="1"/>
  <c r="H703" i="7" l="1"/>
  <c r="F703" i="7" s="1"/>
  <c r="I704" i="7"/>
  <c r="I705" i="7" l="1"/>
  <c r="H704" i="7"/>
  <c r="F704" i="7" s="1"/>
  <c r="I706" i="7" l="1"/>
  <c r="H705" i="7"/>
  <c r="F705" i="7" s="1"/>
  <c r="H706" i="7" l="1"/>
  <c r="F706" i="7" s="1"/>
  <c r="I707" i="7"/>
  <c r="H707" i="7" l="1"/>
  <c r="F707" i="7" s="1"/>
  <c r="I708" i="7"/>
  <c r="I709" i="7" l="1"/>
  <c r="H708" i="7"/>
  <c r="F708" i="7" s="1"/>
  <c r="I710" i="7" l="1"/>
  <c r="H709" i="7"/>
  <c r="F709" i="7" s="1"/>
  <c r="H710" i="7" l="1"/>
  <c r="F710" i="7" s="1"/>
  <c r="I711" i="7"/>
  <c r="H711" i="7" l="1"/>
  <c r="F711" i="7" s="1"/>
  <c r="I712" i="7"/>
  <c r="I713" i="7" l="1"/>
  <c r="H712" i="7"/>
  <c r="F712" i="7" s="1"/>
  <c r="H713" i="7" l="1"/>
  <c r="F713" i="7" s="1"/>
  <c r="I714" i="7"/>
  <c r="H714" i="7" l="1"/>
  <c r="F714" i="7" s="1"/>
  <c r="I715" i="7"/>
  <c r="I716" i="7" l="1"/>
  <c r="H715" i="7"/>
  <c r="F715" i="7" s="1"/>
  <c r="H716" i="7" l="1"/>
  <c r="F716" i="7" s="1"/>
  <c r="I717" i="7"/>
  <c r="I718" i="7" l="1"/>
  <c r="H717" i="7"/>
  <c r="F717" i="7" s="1"/>
  <c r="I719" i="7" l="1"/>
  <c r="H718" i="7"/>
  <c r="F718" i="7" s="1"/>
  <c r="H719" i="7" l="1"/>
  <c r="F719" i="7" s="1"/>
  <c r="I720" i="7"/>
  <c r="I721" i="7" l="1"/>
  <c r="H720" i="7"/>
  <c r="F720" i="7" s="1"/>
  <c r="I722" i="7" l="1"/>
  <c r="H721" i="7"/>
  <c r="F721" i="7" s="1"/>
  <c r="I723" i="7" l="1"/>
  <c r="H722" i="7"/>
  <c r="F722" i="7" s="1"/>
  <c r="H723" i="7" l="1"/>
  <c r="F723" i="7" s="1"/>
  <c r="I724" i="7"/>
  <c r="I725" i="7" l="1"/>
  <c r="H724" i="7"/>
  <c r="F724" i="7" s="1"/>
  <c r="I726" i="7" l="1"/>
  <c r="H725" i="7"/>
  <c r="F725" i="7" s="1"/>
  <c r="H726" i="7" l="1"/>
  <c r="F726" i="7" s="1"/>
  <c r="I727" i="7"/>
  <c r="I728" i="7" l="1"/>
  <c r="H727" i="7"/>
  <c r="F727" i="7" s="1"/>
  <c r="H728" i="7" l="1"/>
  <c r="F728" i="7" s="1"/>
  <c r="I729" i="7"/>
  <c r="H729" i="7" l="1"/>
  <c r="F729" i="7" s="1"/>
  <c r="I730" i="7"/>
  <c r="H730" i="7" l="1"/>
  <c r="F730" i="7" s="1"/>
  <c r="I731" i="7"/>
  <c r="I732" i="7" l="1"/>
  <c r="H731" i="7"/>
  <c r="F731" i="7" s="1"/>
  <c r="H732" i="7" l="1"/>
  <c r="F732" i="7" s="1"/>
  <c r="I733" i="7"/>
  <c r="I734" i="7" l="1"/>
  <c r="H733" i="7"/>
  <c r="F733" i="7" s="1"/>
  <c r="H734" i="7" l="1"/>
  <c r="F734" i="7" s="1"/>
  <c r="I735" i="7"/>
  <c r="H735" i="7" l="1"/>
  <c r="F735" i="7" s="1"/>
  <c r="I736" i="7"/>
  <c r="I737" i="7" l="1"/>
  <c r="H736" i="7"/>
  <c r="F736" i="7" s="1"/>
  <c r="H737" i="7" l="1"/>
  <c r="F737" i="7" s="1"/>
  <c r="I738" i="7"/>
  <c r="I739" i="7" l="1"/>
  <c r="H738" i="7"/>
  <c r="F738" i="7" s="1"/>
  <c r="I740" i="7" l="1"/>
  <c r="H739" i="7"/>
  <c r="F739" i="7" s="1"/>
  <c r="H740" i="7" l="1"/>
  <c r="F740" i="7" s="1"/>
  <c r="I741" i="7"/>
  <c r="H741" i="7" l="1"/>
  <c r="F741" i="7" s="1"/>
  <c r="I742" i="7"/>
  <c r="H742" i="7" l="1"/>
  <c r="F742" i="7" s="1"/>
  <c r="I743" i="7"/>
  <c r="I744" i="7" l="1"/>
  <c r="H743" i="7"/>
  <c r="F743" i="7" s="1"/>
  <c r="I745" i="7" l="1"/>
  <c r="H744" i="7"/>
  <c r="F744" i="7" s="1"/>
  <c r="I746" i="7" l="1"/>
  <c r="H745" i="7"/>
  <c r="F745" i="7" s="1"/>
  <c r="H746" i="7" l="1"/>
  <c r="F746" i="7" s="1"/>
  <c r="I747" i="7"/>
  <c r="I748" i="7" l="1"/>
  <c r="H747" i="7"/>
  <c r="F747" i="7" s="1"/>
  <c r="I749" i="7" l="1"/>
  <c r="H748" i="7"/>
  <c r="F748" i="7" s="1"/>
  <c r="I750" i="7" l="1"/>
  <c r="H749" i="7"/>
  <c r="F749" i="7" s="1"/>
  <c r="I751" i="7" l="1"/>
  <c r="H750" i="7"/>
  <c r="F750" i="7" s="1"/>
  <c r="H751" i="7" l="1"/>
  <c r="F751" i="7" s="1"/>
  <c r="I752" i="7"/>
  <c r="I753" i="7" l="1"/>
  <c r="H752" i="7"/>
  <c r="F752" i="7" s="1"/>
  <c r="H753" i="7" l="1"/>
  <c r="F753" i="7" s="1"/>
  <c r="I754" i="7"/>
  <c r="H754" i="7" l="1"/>
  <c r="F754" i="7" s="1"/>
  <c r="I755" i="7"/>
  <c r="H755" i="7" l="1"/>
  <c r="F755" i="7" s="1"/>
  <c r="I756" i="7"/>
  <c r="H756" i="7" l="1"/>
  <c r="F756" i="7" s="1"/>
  <c r="I757" i="7"/>
  <c r="I758" i="7" l="1"/>
  <c r="H757" i="7"/>
  <c r="F757" i="7" s="1"/>
  <c r="I759" i="7" l="1"/>
  <c r="H758" i="7"/>
  <c r="F758" i="7" s="1"/>
  <c r="I760" i="7" l="1"/>
  <c r="H759" i="7"/>
  <c r="F759" i="7" s="1"/>
  <c r="H760" i="7" l="1"/>
  <c r="F760" i="7" s="1"/>
  <c r="I761" i="7"/>
  <c r="H761" i="7" l="1"/>
  <c r="F761" i="7" s="1"/>
  <c r="I762" i="7"/>
  <c r="H762" i="7" l="1"/>
  <c r="F762" i="7" s="1"/>
  <c r="I763" i="7"/>
  <c r="I764" i="7" l="1"/>
  <c r="H763" i="7"/>
  <c r="F763" i="7" s="1"/>
  <c r="I765" i="7" l="1"/>
  <c r="H764" i="7"/>
  <c r="F764" i="7" s="1"/>
  <c r="I766" i="7" l="1"/>
  <c r="H765" i="7"/>
  <c r="F765" i="7" s="1"/>
  <c r="I767" i="7" l="1"/>
  <c r="H766" i="7"/>
  <c r="F766" i="7" s="1"/>
  <c r="H767" i="7" l="1"/>
  <c r="F767" i="7" s="1"/>
  <c r="I768" i="7"/>
  <c r="I769" i="7" l="1"/>
  <c r="H768" i="7"/>
  <c r="F768" i="7" s="1"/>
  <c r="H769" i="7" l="1"/>
  <c r="F769" i="7" s="1"/>
  <c r="I770" i="7"/>
  <c r="I771" i="7" l="1"/>
  <c r="H770" i="7"/>
  <c r="F770" i="7" s="1"/>
  <c r="H771" i="7" l="1"/>
  <c r="F771" i="7" s="1"/>
  <c r="I772" i="7"/>
  <c r="I773" i="7" l="1"/>
  <c r="H772" i="7"/>
  <c r="F772" i="7" s="1"/>
  <c r="I774" i="7" l="1"/>
  <c r="H773" i="7"/>
  <c r="F773" i="7" s="1"/>
  <c r="H774" i="7" l="1"/>
  <c r="F774" i="7" s="1"/>
  <c r="I775" i="7"/>
  <c r="I776" i="7" l="1"/>
  <c r="H775" i="7"/>
  <c r="F775" i="7" s="1"/>
  <c r="H776" i="7" l="1"/>
  <c r="F776" i="7" s="1"/>
  <c r="I777" i="7"/>
  <c r="H777" i="7" l="1"/>
  <c r="F777" i="7" s="1"/>
  <c r="I778" i="7"/>
  <c r="H778" i="7" l="1"/>
  <c r="F778" i="7" s="1"/>
  <c r="I779" i="7"/>
  <c r="I780" i="7" l="1"/>
  <c r="H779" i="7"/>
  <c r="F779" i="7" s="1"/>
  <c r="I781" i="7" l="1"/>
  <c r="H780" i="7"/>
  <c r="F780" i="7" s="1"/>
  <c r="I782" i="7" l="1"/>
  <c r="H781" i="7"/>
  <c r="F781" i="7" s="1"/>
  <c r="I783" i="7" l="1"/>
  <c r="H782" i="7"/>
  <c r="F782" i="7" s="1"/>
  <c r="I784" i="7" l="1"/>
  <c r="H783" i="7"/>
  <c r="F783" i="7" s="1"/>
  <c r="I785" i="7" l="1"/>
  <c r="H784" i="7"/>
  <c r="F784" i="7" s="1"/>
  <c r="H785" i="7" l="1"/>
  <c r="F785" i="7" s="1"/>
  <c r="I786" i="7"/>
  <c r="H786" i="7" l="1"/>
  <c r="F786" i="7" s="1"/>
  <c r="I787" i="7"/>
  <c r="I788" i="7" l="1"/>
  <c r="H787" i="7"/>
  <c r="F787" i="7" s="1"/>
  <c r="H788" i="7" l="1"/>
  <c r="F788" i="7" s="1"/>
  <c r="I789" i="7"/>
  <c r="I790" i="7" l="1"/>
  <c r="H789" i="7"/>
  <c r="F789" i="7" s="1"/>
  <c r="I791" i="7" l="1"/>
  <c r="H790" i="7"/>
  <c r="F790" i="7" s="1"/>
  <c r="I792" i="7" l="1"/>
  <c r="H791" i="7"/>
  <c r="F791" i="7" s="1"/>
  <c r="I793" i="7" l="1"/>
  <c r="H792" i="7"/>
  <c r="F792" i="7" s="1"/>
  <c r="I794" i="7" l="1"/>
  <c r="H793" i="7"/>
  <c r="F793" i="7" s="1"/>
  <c r="H794" i="7" l="1"/>
  <c r="F794" i="7" s="1"/>
  <c r="I795" i="7"/>
  <c r="H795" i="7" l="1"/>
  <c r="F795" i="7" s="1"/>
  <c r="I796" i="7"/>
  <c r="I797" i="7" l="1"/>
  <c r="H796" i="7"/>
  <c r="F796" i="7" s="1"/>
  <c r="H797" i="7" l="1"/>
  <c r="F797" i="7" s="1"/>
  <c r="I798" i="7"/>
  <c r="I799" i="7" l="1"/>
  <c r="H798" i="7"/>
  <c r="F798" i="7" s="1"/>
  <c r="I800" i="7" l="1"/>
  <c r="H799" i="7"/>
  <c r="F799" i="7" s="1"/>
  <c r="I801" i="7" l="1"/>
  <c r="H800" i="7"/>
  <c r="F800" i="7" s="1"/>
  <c r="I802" i="7" l="1"/>
  <c r="H801" i="7"/>
  <c r="F801" i="7" s="1"/>
  <c r="H802" i="7" l="1"/>
  <c r="F802" i="7" s="1"/>
  <c r="I803" i="7"/>
  <c r="H803" i="7" l="1"/>
  <c r="F803" i="7" s="1"/>
  <c r="I804" i="7"/>
  <c r="I805" i="7" l="1"/>
  <c r="H804" i="7"/>
  <c r="F804" i="7" s="1"/>
  <c r="I806" i="7" l="1"/>
  <c r="H805" i="7"/>
  <c r="F805" i="7" s="1"/>
  <c r="I807" i="7" l="1"/>
  <c r="H806" i="7"/>
  <c r="F806" i="7" s="1"/>
  <c r="I808" i="7" l="1"/>
  <c r="H807" i="7"/>
  <c r="F807" i="7" s="1"/>
  <c r="I809" i="7" l="1"/>
  <c r="H808" i="7"/>
  <c r="F808" i="7" s="1"/>
  <c r="H809" i="7" l="1"/>
  <c r="F809" i="7" s="1"/>
  <c r="I810" i="7"/>
  <c r="H810" i="7" l="1"/>
  <c r="F810" i="7" s="1"/>
  <c r="I811" i="7"/>
  <c r="H811" i="7" l="1"/>
  <c r="F811" i="7" s="1"/>
  <c r="I812" i="7"/>
  <c r="I813" i="7" l="1"/>
  <c r="H812" i="7"/>
  <c r="F812" i="7" s="1"/>
  <c r="H813" i="7" l="1"/>
  <c r="F813" i="7" s="1"/>
  <c r="I814" i="7"/>
  <c r="H814" i="7" l="1"/>
  <c r="F814" i="7" s="1"/>
  <c r="I815" i="7"/>
  <c r="H815" i="7" s="1"/>
  <c r="F815" i="7" s="1"/>
</calcChain>
</file>

<file path=xl/sharedStrings.xml><?xml version="1.0" encoding="utf-8"?>
<sst xmlns="http://schemas.openxmlformats.org/spreadsheetml/2006/main" count="479" uniqueCount="178">
  <si>
    <t>Pooling</t>
  </si>
  <si>
    <t>Sum Product</t>
  </si>
  <si>
    <t>Increase in FSN pool per row</t>
  </si>
  <si>
    <t>FSN pool  Size</t>
  </si>
  <si>
    <t>ENTRY</t>
  </si>
  <si>
    <t>FSN To Pool</t>
  </si>
  <si>
    <t>FSN Price</t>
  </si>
  <si>
    <t>* EXCLUDING USDT REWARDS AND TRANSACTION FEES</t>
  </si>
  <si>
    <t>USDT Pool Size</t>
  </si>
  <si>
    <t>Price FSN</t>
  </si>
  <si>
    <t>Holding (converted to USD)</t>
  </si>
  <si>
    <t>50/50 HODL</t>
  </si>
  <si>
    <t>Hodling Vs Pooling</t>
  </si>
  <si>
    <t>FSN</t>
  </si>
  <si>
    <t>USDT</t>
  </si>
  <si>
    <t>Equivaent FSN</t>
  </si>
  <si>
    <t>EquivaentUSD</t>
  </si>
  <si>
    <t>FSN Vs Stable Coin (aUSDT)</t>
  </si>
  <si>
    <t>Drops</t>
  </si>
  <si>
    <t>If You Held Fusion</t>
  </si>
  <si>
    <t>If You Held USDT</t>
  </si>
  <si>
    <t>Notes</t>
  </si>
  <si>
    <t>FSN Balance Change</t>
  </si>
  <si>
    <t>USDT Balance Change</t>
  </si>
  <si>
    <t>USDT Value Change</t>
  </si>
  <si>
    <t>FSN Equivalent Change</t>
  </si>
  <si>
    <t>Equivalent USD Balance</t>
  </si>
  <si>
    <t>Holding FSN</t>
  </si>
  <si>
    <t>Holding USD</t>
  </si>
  <si>
    <t>Equivalent FSN Balance</t>
  </si>
  <si>
    <t>FSN Rises In Price</t>
  </si>
  <si>
    <t>Rises</t>
  </si>
  <si>
    <t>Constant</t>
  </si>
  <si>
    <t>FSN Drops In Price</t>
  </si>
  <si>
    <t>*Best option would have been to hold FSN  if Fusion rises excluding rewards from pooling</t>
  </si>
  <si>
    <t>*Best option would have been to hold USD  if Fusion drops excluding rewards from pooling</t>
  </si>
  <si>
    <t>* Exiting the pool at a lower FSN price and converting to Fusion would increase your fusion stack from the equivalent fusion stack at the start</t>
  </si>
  <si>
    <t>Loss in USD but gain in FSN if all converted to Fusion</t>
  </si>
  <si>
    <t>Best Option (excluding Rewards)</t>
  </si>
  <si>
    <t>Hold FSN</t>
  </si>
  <si>
    <t>Hold USDT</t>
  </si>
  <si>
    <t>Held Fusion</t>
  </si>
  <si>
    <t>Held USDT</t>
  </si>
  <si>
    <t>held USDT</t>
  </si>
  <si>
    <t>* Profit is still made from pooling compared to initial balance</t>
  </si>
  <si>
    <t>Profit</t>
  </si>
  <si>
    <t>Profit/ Loss in USD</t>
  </si>
  <si>
    <t>Most Profit</t>
  </si>
  <si>
    <t>Loss</t>
  </si>
  <si>
    <t>Highest Loss</t>
  </si>
  <si>
    <t>Loss In FSN equivalent but Gain in USD</t>
  </si>
  <si>
    <t>Check FSN Price</t>
  </si>
  <si>
    <t>USDT Total Equivalent</t>
  </si>
  <si>
    <t>Fusion Total Equivalent</t>
  </si>
  <si>
    <t>Pooling Rewards</t>
  </si>
  <si>
    <t>Additional</t>
  </si>
  <si>
    <t>Pooling Provides a balanced risk against holding FSN, potentially less profit than holding fusion if it rises but less of a loss if fusion drops</t>
  </si>
  <si>
    <t>ANY</t>
  </si>
  <si>
    <t>ANY Balance Change</t>
  </si>
  <si>
    <t>ANY Total Equivalent</t>
  </si>
  <si>
    <t>ANY to FSN</t>
  </si>
  <si>
    <t>Loss in ANY but gain in FSN if all converted to Fusion</t>
  </si>
  <si>
    <t>Loss In FSN equivalent but Gain in ANY equivalent</t>
  </si>
  <si>
    <t>Check ANY:FSN Price</t>
  </si>
  <si>
    <t>Equivaent ANY</t>
  </si>
  <si>
    <t>FSN  Equivalent</t>
  </si>
  <si>
    <t>ANY  Equivalent</t>
  </si>
  <si>
    <t>HELD FSN convert to ANY</t>
  </si>
  <si>
    <t>If You Held ANY</t>
  </si>
  <si>
    <t>Held ANY</t>
  </si>
  <si>
    <t>HELD ANY (Convert to FSN)</t>
  </si>
  <si>
    <t>ANY: FSN Ratio goes up</t>
  </si>
  <si>
    <t>Equivalent ANY Balance</t>
  </si>
  <si>
    <t>Holding ANY</t>
  </si>
  <si>
    <t>ANY: FSN Ratio goes down</t>
  </si>
  <si>
    <t>Most Loss</t>
  </si>
  <si>
    <t>*Best option would have been to hold ANY  if ANY:FSN rises excluding rewards from pooling</t>
  </si>
  <si>
    <t>*Best option would have been to hold FSN if ANY:FSN ratio drops excluding rewards from pooling</t>
  </si>
  <si>
    <t>* Exiting the pool at a lower ANY:FSN ratio and converting to ANY would increase your ANY stack from the equivalent ANY stack at the start</t>
  </si>
  <si>
    <t>Assume a fixed FSN price in USD</t>
  </si>
  <si>
    <t>Equivalent Fusion chart can be taken as profit assuming a constant fusion price</t>
  </si>
  <si>
    <t>aUSDT</t>
  </si>
  <si>
    <t>Coin 1</t>
  </si>
  <si>
    <t>Coin 2</t>
  </si>
  <si>
    <t>Coin 1 Pool Size</t>
  </si>
  <si>
    <t>Coin 2 Pool Size</t>
  </si>
  <si>
    <t>Weighting</t>
  </si>
  <si>
    <t>aETH</t>
  </si>
  <si>
    <t>Product</t>
  </si>
  <si>
    <t>Trading Volume in FSN</t>
  </si>
  <si>
    <t>Pool</t>
  </si>
  <si>
    <t>Other</t>
  </si>
  <si>
    <t>XXX:FSN Ratio</t>
  </si>
  <si>
    <t>Your Pool Share</t>
  </si>
  <si>
    <t>ANY Rewards</t>
  </si>
  <si>
    <t>Trafing fee rewards</t>
  </si>
  <si>
    <t>ANY to FSN Price Ratio</t>
  </si>
  <si>
    <t>Daily Rewards</t>
  </si>
  <si>
    <t>Daily % Return</t>
  </si>
  <si>
    <t>APY</t>
  </si>
  <si>
    <t>Daily ANY to LP</t>
  </si>
  <si>
    <t>Pool Coins</t>
  </si>
  <si>
    <t>Total Equivalent FSN Pooling</t>
  </si>
  <si>
    <t>Daily % Returns</t>
  </si>
  <si>
    <t>Your XXX Pooled</t>
  </si>
  <si>
    <t>ANY Reward % to pool</t>
  </si>
  <si>
    <t>Your Daily ANY Rewards</t>
  </si>
  <si>
    <t>Your % of pool</t>
  </si>
  <si>
    <t>Holding (converted to USD at current FSN price)</t>
  </si>
  <si>
    <t>Current FSN Price</t>
  </si>
  <si>
    <t>* Based on FSN/aUSDT Pool</t>
  </si>
  <si>
    <t>To be updated by user</t>
  </si>
  <si>
    <t>Total Rewards (In FSN equivalent)</t>
  </si>
  <si>
    <t>* until awn</t>
  </si>
  <si>
    <t>Basic Data</t>
  </si>
  <si>
    <t>Total Pool Size (FSN half)</t>
  </si>
  <si>
    <t>Any per fsn rewards</t>
  </si>
  <si>
    <t>Any Rewards per 100 FSN (non ANY pool)</t>
  </si>
  <si>
    <t>Any Rewards per 100 FSN (Any Pool)</t>
  </si>
  <si>
    <t>Basic Stats (24 hours)</t>
  </si>
  <si>
    <t>DAILY ANY Per Pool</t>
  </si>
  <si>
    <t>$ daily per pool</t>
  </si>
  <si>
    <t>Total Pool Rewards</t>
  </si>
  <si>
    <t>Total Trading Volume</t>
  </si>
  <si>
    <t>Daily Rewards total (In FSN equivalent)</t>
  </si>
  <si>
    <t>Daily USD at Current Fusion Price</t>
  </si>
  <si>
    <t>$ rewards at current FSN Price</t>
  </si>
  <si>
    <t>Daily %</t>
  </si>
  <si>
    <t>Total</t>
  </si>
  <si>
    <t>Already In Pool?</t>
  </si>
  <si>
    <t>Y</t>
  </si>
  <si>
    <t>N</t>
  </si>
  <si>
    <t>Your FSN Pooled</t>
  </si>
  <si>
    <t>FSN from Exchange</t>
  </si>
  <si>
    <t>Coin 2 From Exchange</t>
  </si>
  <si>
    <t>* This adds your pooled tokens to pool size if not pooled already</t>
  </si>
  <si>
    <t>Y if already in pool, N if you plan to add</t>
  </si>
  <si>
    <t>To update</t>
  </si>
  <si>
    <t>FSN-aUSDT</t>
  </si>
  <si>
    <t>FSN-aETH</t>
  </si>
  <si>
    <t>FSN-ANY</t>
  </si>
  <si>
    <t>Your Pooling</t>
  </si>
  <si>
    <t>Best over all pool Currently</t>
  </si>
  <si>
    <t>*For rewards (not potential impermanent loss)</t>
  </si>
  <si>
    <t>POOL (Dropdown)</t>
  </si>
  <si>
    <t>XXX</t>
  </si>
  <si>
    <t>Current Ratio</t>
  </si>
  <si>
    <t>Entry Ratio</t>
  </si>
  <si>
    <t>Entry Tokens</t>
  </si>
  <si>
    <t>Cross Product Entry</t>
  </si>
  <si>
    <t>Cross Product Now</t>
  </si>
  <si>
    <t>Equivalent Fusion Now</t>
  </si>
  <si>
    <t>Equivalent Starting Fusion</t>
  </si>
  <si>
    <t>Current Fusion Price</t>
  </si>
  <si>
    <t>USD Gain/ Loss</t>
  </si>
  <si>
    <t>Gain/Loss</t>
  </si>
  <si>
    <t>Pairing Token</t>
  </si>
  <si>
    <t>Token Gain/Loss</t>
  </si>
  <si>
    <t>USD Entry</t>
  </si>
  <si>
    <t>USD Current</t>
  </si>
  <si>
    <t>Estimated Current Tokens</t>
  </si>
  <si>
    <t>FSN Gain/Loss</t>
  </si>
  <si>
    <t>XXX Gain/Loss</t>
  </si>
  <si>
    <t>USD Gain/Loss</t>
  </si>
  <si>
    <t>Pool Summary</t>
  </si>
  <si>
    <t>FSN Entered</t>
  </si>
  <si>
    <t>XXX Entered</t>
  </si>
  <si>
    <t>FSN Current</t>
  </si>
  <si>
    <t>XXX Current</t>
  </si>
  <si>
    <t>-</t>
  </si>
  <si>
    <t>FSN Price Entry (manual entry, or calculated if FSN USDT)</t>
  </si>
  <si>
    <t>* Click to copy data from Impermanent loss tab if required</t>
  </si>
  <si>
    <t>ENTER your current Pool Data</t>
  </si>
  <si>
    <t>* daily rewards not included</t>
  </si>
  <si>
    <t>Your LP Volume Rewards (FSN)</t>
  </si>
  <si>
    <t>Daily volume rewards per pool (FSN)</t>
  </si>
  <si>
    <t>&lt;dropdown menu for selecting Pool</t>
  </si>
  <si>
    <t>Volume Rewards in LP (In FSN)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</si>
</sst>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7" formatCode="&quot;$&quot;#,##0.00_);\(&quot;$&quot;#,##0.00\)"/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[$$-409]#,##0.00"/>
    <numFmt numFmtId="168" formatCode="[$$-409]#,##0"/>
    <numFmt numFmtId="169" formatCode="0.000000"/>
    <numFmt numFmtId="170" formatCode="0.0"/>
    <numFmt numFmtId="171" formatCode="0.00000"/>
    <numFmt numFmtId="172" formatCode="0.000"/>
    <numFmt numFmtId="173" formatCode="0.00000000"/>
    <numFmt numFmtId="174" formatCode="&quot;$&quot;#,##0.00"/>
    <numFmt numFmtId="175" formatCode="&quot;$&quot;#,##0"/>
    <numFmt numFmtId="176" formatCode="_(* #,##0_);_(* \(#,##0\);_(* &quot;-&quot;??_);_(@_)"/>
    <numFmt numFmtId="177" formatCode="0.0E+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sz val="36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9" fontId="11" fillId="0" borderId="0" applyBorder="0" applyProtection="0"/>
  </cellStyleXfs>
  <cellXfs count="151">
    <xf numFmtId="0" fontId="0" fillId="0" borderId="0" xfId="0"/>
    <xf numFmtId="9" fontId="0" fillId="0" borderId="0" xfId="1" applyFont="1"/>
    <xf numFmtId="9" fontId="0" fillId="0" borderId="0" xfId="0" applyNumberFormat="1"/>
    <xf numFmtId="1" fontId="0" fillId="0" borderId="0" xfId="0" applyNumberFormat="1"/>
    <xf numFmtId="165" fontId="0" fillId="0" borderId="0" xfId="2" applyNumberFormat="1" applyFont="1"/>
    <xf numFmtId="2" fontId="0" fillId="0" borderId="0" xfId="0" applyNumberFormat="1"/>
    <xf numFmtId="165" fontId="0" fillId="0" borderId="0" xfId="0" applyNumberFormat="1"/>
    <xf numFmtId="1" fontId="0" fillId="0" borderId="0" xfId="1" applyNumberFormat="1" applyFont="1"/>
    <xf numFmtId="165" fontId="0" fillId="0" borderId="1" xfId="0" applyNumberFormat="1" applyBorder="1"/>
    <xf numFmtId="165" fontId="0" fillId="0" borderId="0" xfId="0" applyNumberFormat="1" applyBorder="1"/>
    <xf numFmtId="165" fontId="2" fillId="0" borderId="1" xfId="0" applyNumberFormat="1" applyFont="1" applyBorder="1"/>
    <xf numFmtId="165" fontId="2" fillId="2" borderId="1" xfId="0" applyNumberFormat="1" applyFont="1" applyFill="1" applyBorder="1"/>
    <xf numFmtId="165" fontId="3" fillId="0" borderId="0" xfId="0" applyNumberFormat="1" applyFont="1"/>
    <xf numFmtId="165" fontId="0" fillId="4" borderId="1" xfId="0" applyNumberFormat="1" applyFill="1" applyBorder="1"/>
    <xf numFmtId="165" fontId="2" fillId="4" borderId="1" xfId="0" applyNumberFormat="1" applyFont="1" applyFill="1" applyBorder="1"/>
    <xf numFmtId="0" fontId="0" fillId="4" borderId="0" xfId="0" applyFill="1"/>
    <xf numFmtId="1" fontId="0" fillId="4" borderId="0" xfId="0" applyNumberFormat="1" applyFill="1"/>
    <xf numFmtId="0" fontId="6" fillId="0" borderId="1" xfId="0" applyFont="1" applyBorder="1"/>
    <xf numFmtId="1" fontId="7" fillId="0" borderId="1" xfId="0" applyNumberFormat="1" applyFont="1" applyBorder="1"/>
    <xf numFmtId="165" fontId="2" fillId="2" borderId="0" xfId="2" applyNumberFormat="1" applyFont="1" applyFill="1"/>
    <xf numFmtId="1" fontId="2" fillId="2" borderId="0" xfId="0" applyNumberFormat="1" applyFont="1" applyFill="1"/>
    <xf numFmtId="165" fontId="2" fillId="2" borderId="0" xfId="0" applyNumberFormat="1" applyFont="1" applyFill="1"/>
    <xf numFmtId="165" fontId="5" fillId="2" borderId="0" xfId="0" applyNumberFormat="1" applyFont="1" applyFill="1"/>
    <xf numFmtId="165" fontId="2" fillId="2" borderId="0" xfId="0" applyNumberFormat="1" applyFont="1" applyFill="1" applyBorder="1"/>
    <xf numFmtId="0" fontId="4" fillId="2" borderId="0" xfId="0" applyFont="1" applyFill="1"/>
    <xf numFmtId="0" fontId="4" fillId="5" borderId="0" xfId="0" applyFont="1" applyFill="1"/>
    <xf numFmtId="166" fontId="5" fillId="5" borderId="1" xfId="1" applyNumberFormat="1" applyFont="1" applyFill="1" applyBorder="1"/>
    <xf numFmtId="0" fontId="2" fillId="0" borderId="1" xfId="0" applyFont="1" applyBorder="1"/>
    <xf numFmtId="165" fontId="0" fillId="0" borderId="1" xfId="0" applyNumberFormat="1" applyFill="1" applyBorder="1"/>
    <xf numFmtId="165" fontId="2" fillId="0" borderId="1" xfId="0" applyNumberFormat="1" applyFont="1" applyFill="1" applyBorder="1"/>
    <xf numFmtId="167" fontId="2" fillId="0" borderId="1" xfId="0" applyNumberFormat="1" applyFont="1" applyBorder="1"/>
    <xf numFmtId="167" fontId="2" fillId="2" borderId="1" xfId="0" applyNumberFormat="1" applyFont="1" applyFill="1" applyBorder="1"/>
    <xf numFmtId="167" fontId="2" fillId="0" borderId="1" xfId="0" applyNumberFormat="1" applyFont="1" applyFill="1" applyBorder="1"/>
    <xf numFmtId="164" fontId="0" fillId="0" borderId="0" xfId="0" applyNumberFormat="1"/>
    <xf numFmtId="165" fontId="8" fillId="0" borderId="0" xfId="0" applyNumberFormat="1" applyFont="1"/>
    <xf numFmtId="168" fontId="2" fillId="0" borderId="1" xfId="0" applyNumberFormat="1" applyFont="1" applyBorder="1"/>
    <xf numFmtId="168" fontId="2" fillId="2" borderId="1" xfId="0" applyNumberFormat="1" applyFont="1" applyFill="1" applyBorder="1"/>
    <xf numFmtId="168" fontId="2" fillId="0" borderId="1" xfId="0" applyNumberFormat="1" applyFont="1" applyFill="1" applyBorder="1"/>
    <xf numFmtId="168" fontId="0" fillId="0" borderId="1" xfId="0" applyNumberFormat="1" applyBorder="1"/>
    <xf numFmtId="9" fontId="0" fillId="2" borderId="0" xfId="1" applyFont="1" applyFill="1"/>
    <xf numFmtId="0" fontId="0" fillId="0" borderId="1" xfId="0" applyBorder="1"/>
    <xf numFmtId="169" fontId="0" fillId="0" borderId="0" xfId="0" applyNumberFormat="1"/>
    <xf numFmtId="9" fontId="0" fillId="0" borderId="1" xfId="1" applyFont="1" applyBorder="1"/>
    <xf numFmtId="9" fontId="0" fillId="0" borderId="1" xfId="0" applyNumberFormat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6" fillId="0" borderId="0" xfId="0" applyFont="1"/>
    <xf numFmtId="0" fontId="0" fillId="3" borderId="1" xfId="0" applyFill="1" applyBorder="1" applyAlignment="1">
      <alignment horizontal="center"/>
    </xf>
    <xf numFmtId="0" fontId="6" fillId="0" borderId="0" xfId="0" applyFont="1" applyFill="1" applyBorder="1"/>
    <xf numFmtId="0" fontId="0" fillId="3" borderId="6" xfId="0" applyFill="1" applyBorder="1" applyAlignment="1">
      <alignment horizontal="center"/>
    </xf>
    <xf numFmtId="0" fontId="0" fillId="9" borderId="1" xfId="0" applyFill="1" applyBorder="1"/>
    <xf numFmtId="0" fontId="0" fillId="0" borderId="7" xfId="0" applyFill="1" applyBorder="1"/>
    <xf numFmtId="0" fontId="0" fillId="2" borderId="0" xfId="0" applyFill="1"/>
    <xf numFmtId="0" fontId="3" fillId="0" borderId="0" xfId="0" applyFont="1"/>
    <xf numFmtId="0" fontId="0" fillId="0" borderId="0" xfId="0" applyFill="1"/>
    <xf numFmtId="10" fontId="0" fillId="0" borderId="1" xfId="0" applyNumberFormat="1" applyBorder="1"/>
    <xf numFmtId="1" fontId="0" fillId="0" borderId="1" xfId="0" applyNumberFormat="1" applyBorder="1"/>
    <xf numFmtId="10" fontId="0" fillId="0" borderId="1" xfId="1" applyNumberFormat="1" applyFont="1" applyBorder="1"/>
    <xf numFmtId="173" fontId="0" fillId="0" borderId="0" xfId="0" applyNumberFormat="1"/>
    <xf numFmtId="171" fontId="0" fillId="0" borderId="0" xfId="0" applyNumberFormat="1"/>
    <xf numFmtId="0" fontId="0" fillId="0" borderId="0" xfId="0" applyBorder="1"/>
    <xf numFmtId="2" fontId="0" fillId="0" borderId="1" xfId="0" applyNumberFormat="1" applyBorder="1"/>
    <xf numFmtId="170" fontId="0" fillId="0" borderId="1" xfId="0" applyNumberFormat="1" applyBorder="1"/>
    <xf numFmtId="0" fontId="9" fillId="12" borderId="1" xfId="0" applyFont="1" applyFill="1" applyBorder="1"/>
    <xf numFmtId="0" fontId="9" fillId="0" borderId="0" xfId="0" applyFont="1"/>
    <xf numFmtId="0" fontId="9" fillId="12" borderId="0" xfId="0" applyFont="1" applyFill="1"/>
    <xf numFmtId="4" fontId="2" fillId="0" borderId="1" xfId="0" applyNumberFormat="1" applyFont="1" applyBorder="1"/>
    <xf numFmtId="4" fontId="2" fillId="2" borderId="1" xfId="0" applyNumberFormat="1" applyFont="1" applyFill="1" applyBorder="1"/>
    <xf numFmtId="4" fontId="2" fillId="0" borderId="1" xfId="0" applyNumberFormat="1" applyFont="1" applyFill="1" applyBorder="1"/>
    <xf numFmtId="3" fontId="0" fillId="0" borderId="1" xfId="0" applyNumberFormat="1" applyBorder="1"/>
    <xf numFmtId="0" fontId="0" fillId="0" borderId="1" xfId="0" applyFill="1" applyBorder="1"/>
    <xf numFmtId="174" fontId="0" fillId="0" borderId="0" xfId="0" applyNumberFormat="1"/>
    <xf numFmtId="174" fontId="0" fillId="0" borderId="1" xfId="0" applyNumberFormat="1" applyBorder="1"/>
    <xf numFmtId="175" fontId="0" fillId="0" borderId="1" xfId="0" applyNumberFormat="1" applyBorder="1"/>
    <xf numFmtId="0" fontId="0" fillId="2" borderId="1" xfId="0" applyFill="1" applyBorder="1"/>
    <xf numFmtId="3" fontId="11" fillId="10" borderId="1" xfId="3" applyNumberFormat="1" applyFill="1" applyBorder="1"/>
    <xf numFmtId="3" fontId="0" fillId="10" borderId="1" xfId="0" applyNumberFormat="1" applyFill="1" applyBorder="1"/>
    <xf numFmtId="2" fontId="0" fillId="2" borderId="0" xfId="0" applyNumberFormat="1" applyFill="1"/>
    <xf numFmtId="175" fontId="0" fillId="2" borderId="1" xfId="0" applyNumberFormat="1" applyFill="1" applyBorder="1"/>
    <xf numFmtId="165" fontId="0" fillId="2" borderId="0" xfId="0" applyNumberFormat="1" applyFill="1"/>
    <xf numFmtId="9" fontId="0" fillId="2" borderId="0" xfId="0" applyNumberFormat="1" applyFill="1"/>
    <xf numFmtId="0" fontId="0" fillId="0" borderId="3" xfId="0" applyFill="1" applyBorder="1"/>
    <xf numFmtId="0" fontId="0" fillId="11" borderId="1" xfId="0" applyFill="1" applyBorder="1"/>
    <xf numFmtId="7" fontId="0" fillId="0" borderId="1" xfId="0" applyNumberFormat="1" applyBorder="1"/>
    <xf numFmtId="43" fontId="0" fillId="0" borderId="0" xfId="0" applyNumberFormat="1"/>
    <xf numFmtId="176" fontId="0" fillId="0" borderId="0" xfId="0" applyNumberFormat="1"/>
    <xf numFmtId="0" fontId="9" fillId="12" borderId="0" xfId="0" applyFont="1" applyFill="1" applyBorder="1"/>
    <xf numFmtId="0" fontId="0" fillId="0" borderId="0" xfId="0" applyFill="1" applyBorder="1"/>
    <xf numFmtId="177" fontId="0" fillId="0" borderId="1" xfId="0" applyNumberFormat="1" applyBorder="1"/>
    <xf numFmtId="172" fontId="2" fillId="0" borderId="1" xfId="0" applyNumberFormat="1" applyFont="1" applyBorder="1"/>
    <xf numFmtId="0" fontId="0" fillId="4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9" fontId="0" fillId="0" borderId="0" xfId="1" applyFont="1" applyFill="1" applyBorder="1"/>
    <xf numFmtId="0" fontId="0" fillId="13" borderId="1" xfId="0" applyFill="1" applyBorder="1"/>
    <xf numFmtId="174" fontId="2" fillId="0" borderId="1" xfId="1" applyNumberFormat="1" applyFont="1" applyBorder="1"/>
    <xf numFmtId="0" fontId="9" fillId="12" borderId="2" xfId="0" applyFont="1" applyFill="1" applyBorder="1"/>
    <xf numFmtId="174" fontId="2" fillId="0" borderId="1" xfId="0" applyNumberFormat="1" applyFont="1" applyBorder="1"/>
    <xf numFmtId="0" fontId="4" fillId="0" borderId="0" xfId="0" applyFont="1" applyFill="1"/>
    <xf numFmtId="1" fontId="0" fillId="14" borderId="1" xfId="0" applyNumberFormat="1" applyFill="1" applyBorder="1" applyAlignment="1">
      <alignment horizontal="center"/>
    </xf>
    <xf numFmtId="175" fontId="2" fillId="14" borderId="1" xfId="0" applyNumberFormat="1" applyFont="1" applyFill="1" applyBorder="1" applyAlignment="1">
      <alignment horizontal="center"/>
    </xf>
    <xf numFmtId="0" fontId="2" fillId="13" borderId="1" xfId="0" applyFont="1" applyFill="1" applyBorder="1"/>
    <xf numFmtId="175" fontId="2" fillId="0" borderId="1" xfId="0" applyNumberFormat="1" applyFont="1" applyBorder="1"/>
    <xf numFmtId="0" fontId="2" fillId="0" borderId="0" xfId="0" applyFont="1"/>
    <xf numFmtId="172" fontId="2" fillId="0" borderId="0" xfId="0" applyNumberFormat="1" applyFont="1" applyBorder="1"/>
    <xf numFmtId="0" fontId="0" fillId="14" borderId="1" xfId="0" applyFill="1" applyBorder="1" applyAlignment="1"/>
    <xf numFmtId="3" fontId="11" fillId="15" borderId="1" xfId="3" applyNumberFormat="1" applyFill="1" applyBorder="1"/>
    <xf numFmtId="0" fontId="0" fillId="3" borderId="1" xfId="0" applyFill="1" applyBorder="1" applyAlignment="1">
      <alignment horizontal="center" vertical="center" wrapText="1"/>
    </xf>
    <xf numFmtId="9" fontId="0" fillId="0" borderId="1" xfId="1" applyFont="1" applyFill="1" applyBorder="1"/>
    <xf numFmtId="0" fontId="3" fillId="0" borderId="0" xfId="0" applyFont="1" applyFill="1"/>
    <xf numFmtId="0" fontId="0" fillId="4" borderId="1" xfId="0" applyFill="1" applyBorder="1" applyAlignment="1">
      <alignment horizontal="center" vertical="center" wrapText="1"/>
    </xf>
    <xf numFmtId="164" fontId="3" fillId="0" borderId="0" xfId="0" applyNumberFormat="1" applyFont="1"/>
    <xf numFmtId="0" fontId="12" fillId="7" borderId="0" xfId="0" applyFont="1" applyFill="1"/>
    <xf numFmtId="0" fontId="9" fillId="0" borderId="0" xfId="0" applyFont="1" applyFill="1"/>
    <xf numFmtId="0" fontId="0" fillId="0" borderId="0" xfId="0" applyAlignment="1"/>
    <xf numFmtId="0" fontId="0" fillId="16" borderId="1" xfId="0" applyFill="1" applyBorder="1"/>
    <xf numFmtId="0" fontId="2" fillId="17" borderId="1" xfId="0" applyFont="1" applyFill="1" applyBorder="1"/>
    <xf numFmtId="174" fontId="0" fillId="3" borderId="1" xfId="0" applyNumberFormat="1" applyFill="1" applyBorder="1"/>
    <xf numFmtId="170" fontId="0" fillId="17" borderId="1" xfId="0" applyNumberFormat="1" applyFill="1" applyBorder="1"/>
    <xf numFmtId="174" fontId="0" fillId="2" borderId="1" xfId="0" applyNumberFormat="1" applyFill="1" applyBorder="1"/>
    <xf numFmtId="174" fontId="0" fillId="3" borderId="3" xfId="0" applyNumberFormat="1" applyFill="1" applyBorder="1"/>
    <xf numFmtId="174" fontId="0" fillId="2" borderId="3" xfId="0" applyNumberFormat="1" applyFill="1" applyBorder="1"/>
    <xf numFmtId="0" fontId="0" fillId="0" borderId="5" xfId="0" applyBorder="1"/>
    <xf numFmtId="0" fontId="9" fillId="12" borderId="1" xfId="0" applyFont="1" applyFill="1" applyBorder="1" applyAlignment="1">
      <alignment horizontal="center"/>
    </xf>
    <xf numFmtId="0" fontId="9" fillId="12" borderId="1" xfId="0" applyFont="1" applyFill="1" applyBorder="1" applyAlignment="1"/>
    <xf numFmtId="0" fontId="0" fillId="16" borderId="3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2" borderId="1" xfId="0" applyNumberFormat="1" applyFill="1" applyBorder="1"/>
    <xf numFmtId="0" fontId="15" fillId="0" borderId="0" xfId="0" applyFont="1"/>
    <xf numFmtId="0" fontId="13" fillId="5" borderId="0" xfId="0" applyFont="1" applyFill="1" applyAlignment="1">
      <alignment wrapText="1"/>
    </xf>
    <xf numFmtId="164" fontId="0" fillId="0" borderId="1" xfId="0" applyNumberFormat="1" applyBorder="1"/>
    <xf numFmtId="164" fontId="2" fillId="2" borderId="1" xfId="0" applyNumberFormat="1" applyFont="1" applyFill="1" applyBorder="1"/>
    <xf numFmtId="164" fontId="0" fillId="0" borderId="1" xfId="0" applyNumberFormat="1" applyFill="1" applyBorder="1"/>
    <xf numFmtId="0" fontId="14" fillId="7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0" fontId="0" fillId="2" borderId="1" xfId="0" applyNumberFormat="1" applyFill="1" applyBorder="1"/>
  </cellXfs>
  <cellStyles count="5">
    <cellStyle name="Comma" xfId="2" builtinId="3"/>
    <cellStyle name="Normal" xfId="0" builtinId="0"/>
    <cellStyle name="Normal 2" xfId="3" xr:uid="{D8C04E7A-0AF8-4FE7-B0BD-5A6A53E3F850}"/>
    <cellStyle name="Percent" xfId="1" builtinId="5"/>
    <cellStyle name="Percent 2" xfId="4" xr:uid="{5AD92A85-9345-4440-B419-0622B7940680}"/>
  </cellStyles>
  <dxfs count="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'FSN_XXX Graph'!$N$4</c:f>
          <c:strCache>
            <c:ptCount val="1"/>
            <c:pt idx="0">
              <c:v> Starting Balance is 1000 FSN and 437.416 ANY - equivalent of 2000 FSN or 874.832 ANY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'FSN_XXX Graph'!$Q$7</c:f>
              <c:strCache>
                <c:ptCount val="1"/>
                <c:pt idx="0">
                  <c:v> Equivalent USD Pooling at current FSN Price </c:v>
                </c:pt>
              </c:strCache>
            </c:strRef>
          </c:tx>
          <c:spPr>
            <a:ln w="698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11.146001633201751</c:v>
                </c:pt>
                <c:pt idx="1">
                  <c:v>10.713188805461119</c:v>
                </c:pt>
                <c:pt idx="2">
                  <c:v>10.297182627317492</c:v>
                </c:pt>
                <c:pt idx="3">
                  <c:v>9.8973304760837095</c:v>
                </c:pt>
                <c:pt idx="4">
                  <c:v>9.5130050712069476</c:v>
                </c:pt>
                <c:pt idx="5">
                  <c:v>9.1436034902027572</c:v>
                </c:pt>
                <c:pt idx="6">
                  <c:v>8.7885462228015747</c:v>
                </c:pt>
                <c:pt idx="7">
                  <c:v>8.4472762618238875</c:v>
                </c:pt>
                <c:pt idx="8">
                  <c:v>8.1192582293578326</c:v>
                </c:pt>
                <c:pt idx="9">
                  <c:v>7.8039775368683522</c:v>
                </c:pt>
                <c:pt idx="10">
                  <c:v>7.5009395779203674</c:v>
                </c:pt>
                <c:pt idx="11">
                  <c:v>7.2096689522494861</c:v>
                </c:pt>
                <c:pt idx="12">
                  <c:v>6.9297087199629832</c:v>
                </c:pt>
                <c:pt idx="13">
                  <c:v>6.660619684701059</c:v>
                </c:pt>
                <c:pt idx="14">
                  <c:v>6.4019797046338507</c:v>
                </c:pt>
                <c:pt idx="15">
                  <c:v>6.1533830302132353</c:v>
                </c:pt>
                <c:pt idx="16">
                  <c:v>5.9144396676405568</c:v>
                </c:pt>
                <c:pt idx="17">
                  <c:v>5.6847747670516693</c:v>
                </c:pt>
                <c:pt idx="18">
                  <c:v>5.4640280344595054</c:v>
                </c:pt>
                <c:pt idx="19">
                  <c:v>5.2518531665316281</c:v>
                </c:pt>
                <c:pt idx="20">
                  <c:v>5.0479173073160579</c:v>
                </c:pt>
                <c:pt idx="21">
                  <c:v>4.8519005260631083</c:v>
                </c:pt>
                <c:pt idx="22">
                  <c:v>4.6634953153240177</c:v>
                </c:pt>
                <c:pt idx="23">
                  <c:v>4.4824061085390401</c:v>
                </c:pt>
                <c:pt idx="24">
                  <c:v>4.3083488163581691</c:v>
                </c:pt>
                <c:pt idx="25">
                  <c:v>4.1410503809670978</c:v>
                </c:pt>
                <c:pt idx="26">
                  <c:v>3.9802483477192405</c:v>
                </c:pt>
                <c:pt idx="27">
                  <c:v>3.825690453401807</c:v>
                </c:pt>
                <c:pt idx="28">
                  <c:v>3.6771342304900112</c:v>
                </c:pt>
                <c:pt idx="29">
                  <c:v>3.5343466267685608</c:v>
                </c:pt>
                <c:pt idx="30">
                  <c:v>3.3971036397237229</c:v>
                </c:pt>
                <c:pt idx="31">
                  <c:v>3.2651899651323744</c:v>
                </c:pt>
                <c:pt idx="32">
                  <c:v>3.1383986592967839</c:v>
                </c:pt>
                <c:pt idx="33">
                  <c:v>3.016530814395217</c:v>
                </c:pt>
                <c:pt idx="34">
                  <c:v>2.8993952464390778</c:v>
                </c:pt>
                <c:pt idx="35">
                  <c:v>2.7868081953470569</c:v>
                </c:pt>
                <c:pt idx="36">
                  <c:v>2.67859303666576</c:v>
                </c:pt>
                <c:pt idx="37">
                  <c:v>2.574580004484583</c:v>
                </c:pt>
                <c:pt idx="38">
                  <c:v>2.4746059251101338</c:v>
                </c:pt>
                <c:pt idx="39">
                  <c:v>2.3785139610824042</c:v>
                </c:pt>
                <c:pt idx="40">
                  <c:v>2.2861533651311072</c:v>
                </c:pt>
                <c:pt idx="41">
                  <c:v>2.1956216918719149</c:v>
                </c:pt>
                <c:pt idx="42">
                  <c:v>2.1086750728737864</c:v>
                </c:pt>
                <c:pt idx="43">
                  <c:v>2.0251715399879839</c:v>
                </c:pt>
                <c:pt idx="44">
                  <c:v>1.9449747470044605</c:v>
                </c:pt>
                <c:pt idx="45">
                  <c:v>1.8679537470230836</c:v>
                </c:pt>
                <c:pt idx="46">
                  <c:v>1.7939827786409692</c:v>
                </c:pt>
                <c:pt idx="47">
                  <c:v>1.7229410606067868</c:v>
                </c:pt>
                <c:pt idx="48">
                  <c:v>1.6547125946067576</c:v>
                </c:pt>
                <c:pt idx="49">
                  <c:v>1.5891859758603302</c:v>
                </c:pt>
                <c:pt idx="50">
                  <c:v>1.5262542112162611</c:v>
                </c:pt>
                <c:pt idx="51">
                  <c:v>1.4658145444520971</c:v>
                </c:pt>
                <c:pt idx="52">
                  <c:v>1.4077682884917939</c:v>
                </c:pt>
                <c:pt idx="53">
                  <c:v>1.3520206642675188</c:v>
                </c:pt>
                <c:pt idx="54">
                  <c:v>1.2984806459625251</c:v>
                </c:pt>
                <c:pt idx="55">
                  <c:v>1.2470608123824092</c:v>
                </c:pt>
                <c:pt idx="56">
                  <c:v>1.1976772042120658</c:v>
                </c:pt>
                <c:pt idx="57">
                  <c:v>1.1502491869252678</c:v>
                </c:pt>
                <c:pt idx="58">
                  <c:v>1.1046993191230272</c:v>
                </c:pt>
                <c:pt idx="59">
                  <c:v>1.0609532260857555</c:v>
                </c:pt>
                <c:pt idx="60">
                  <c:v>1.0189394783327594</c:v>
                </c:pt>
                <c:pt idx="61">
                  <c:v>0.97858947499078219</c:v>
                </c:pt>
                <c:pt idx="62">
                  <c:v>0.93983733178114715</c:v>
                </c:pt>
                <c:pt idx="63">
                  <c:v>0.90261977344261357</c:v>
                </c:pt>
                <c:pt idx="64">
                  <c:v>0.86687603041428596</c:v>
                </c:pt>
                <c:pt idx="65">
                  <c:v>0.83254773960988027</c:v>
                </c:pt>
                <c:pt idx="66">
                  <c:v>0.79957884912132915</c:v>
                </c:pt>
                <c:pt idx="67">
                  <c:v>0.76791552669612451</c:v>
                </c:pt>
                <c:pt idx="68">
                  <c:v>0.73750607183895811</c:v>
                </c:pt>
                <c:pt idx="69">
                  <c:v>0.70830083139413536</c:v>
                </c:pt>
                <c:pt idx="70">
                  <c:v>0.68025211847092759</c:v>
                </c:pt>
                <c:pt idx="71">
                  <c:v>0.65331413457947873</c:v>
                </c:pt>
                <c:pt idx="72">
                  <c:v>0.62744289485013127</c:v>
                </c:pt>
                <c:pt idx="73">
                  <c:v>0.60259615621406604</c:v>
                </c:pt>
                <c:pt idx="74">
                  <c:v>0.57873334842798907</c:v>
                </c:pt>
                <c:pt idx="75">
                  <c:v>0.55581550783024058</c:v>
                </c:pt>
                <c:pt idx="76">
                  <c:v>0.5338052137201631</c:v>
                </c:pt>
                <c:pt idx="77">
                  <c:v>0.51266652725684458</c:v>
                </c:pt>
                <c:pt idx="78">
                  <c:v>0.49236493277747345</c:v>
                </c:pt>
                <c:pt idx="79">
                  <c:v>0.47286728143948548</c:v>
                </c:pt>
                <c:pt idx="80">
                  <c:v>0.45414173709448191</c:v>
                </c:pt>
                <c:pt idx="81">
                  <c:v>0.43615772430554034</c:v>
                </c:pt>
                <c:pt idx="82">
                  <c:v>0.41888587842304098</c:v>
                </c:pt>
                <c:pt idx="83">
                  <c:v>0.40229799763748852</c:v>
                </c:pt>
                <c:pt idx="84">
                  <c:v>0.38636699693104398</c:v>
                </c:pt>
                <c:pt idx="85">
                  <c:v>0.37106686385257459</c:v>
                </c:pt>
                <c:pt idx="86">
                  <c:v>0.3563726160440126</c:v>
                </c:pt>
                <c:pt idx="87">
                  <c:v>0.34226026044866964</c:v>
                </c:pt>
                <c:pt idx="88">
                  <c:v>0.3287067541349023</c:v>
                </c:pt>
                <c:pt idx="89">
                  <c:v>0.31568996667116012</c:v>
                </c:pt>
                <c:pt idx="90">
                  <c:v>0.30318864399098217</c:v>
                </c:pt>
                <c:pt idx="91">
                  <c:v>0.29118237368893923</c:v>
                </c:pt>
                <c:pt idx="92">
                  <c:v>0.27965155169085726</c:v>
                </c:pt>
              </c:numCache>
            </c:numRef>
          </c:cat>
          <c:val>
            <c:numRef>
              <c:f>'FSN_XXX Graph'!$Q$8:$Q$100</c:f>
              <c:numCache>
                <c:formatCode>_-* #,##0_-;\-* #,##0_-;_-* "-"??_-;_-@_-</c:formatCode>
                <c:ptCount val="93"/>
                <c:pt idx="0">
                  <c:v>2043.5517719723612</c:v>
                </c:pt>
                <c:pt idx="1">
                  <c:v>2003.4821293846678</c:v>
                </c:pt>
                <c:pt idx="2">
                  <c:v>1964.1981660633996</c:v>
                </c:pt>
                <c:pt idx="3">
                  <c:v>1925.6844765327446</c:v>
                </c:pt>
                <c:pt idx="4">
                  <c:v>1887.9259573850438</c:v>
                </c:pt>
                <c:pt idx="5">
                  <c:v>1850.907801357886</c:v>
                </c:pt>
                <c:pt idx="6">
                  <c:v>1814.6154915273394</c:v>
                </c:pt>
                <c:pt idx="7">
                  <c:v>1779.0347956150385</c:v>
                </c:pt>
                <c:pt idx="8">
                  <c:v>1744.1517604069004</c:v>
                </c:pt>
                <c:pt idx="9">
                  <c:v>1709.9527062812751</c:v>
                </c:pt>
                <c:pt idx="10">
                  <c:v>1676.4242218443874</c:v>
                </c:pt>
                <c:pt idx="11">
                  <c:v>1643.5531586709678</c:v>
                </c:pt>
                <c:pt idx="12">
                  <c:v>1611.3266261480078</c:v>
                </c:pt>
                <c:pt idx="13">
                  <c:v>1579.7319864196152</c:v>
                </c:pt>
                <c:pt idx="14">
                  <c:v>1548.7568494309953</c:v>
                </c:pt>
                <c:pt idx="15">
                  <c:v>1518.3890680696034</c:v>
                </c:pt>
                <c:pt idx="16">
                  <c:v>1488.6167334015718</c:v>
                </c:pt>
                <c:pt idx="17">
                  <c:v>1459.4281700015408</c:v>
                </c:pt>
                <c:pt idx="18">
                  <c:v>1430.8119313740597</c:v>
                </c:pt>
                <c:pt idx="19">
                  <c:v>1402.7567954647641</c:v>
                </c:pt>
                <c:pt idx="20">
                  <c:v>1375.2517602595728</c:v>
                </c:pt>
                <c:pt idx="21">
                  <c:v>1348.2860394701695</c:v>
                </c:pt>
                <c:pt idx="22">
                  <c:v>1321.8490583040875</c:v>
                </c:pt>
                <c:pt idx="23">
                  <c:v>1295.9304493177328</c:v>
                </c:pt>
                <c:pt idx="24">
                  <c:v>1270.5200483507185</c:v>
                </c:pt>
                <c:pt idx="25">
                  <c:v>1245.6078905399199</c:v>
                </c:pt>
                <c:pt idx="26">
                  <c:v>1221.1842064116861</c:v>
                </c:pt>
                <c:pt idx="27">
                  <c:v>1197.2394180506728</c:v>
                </c:pt>
                <c:pt idx="28">
                  <c:v>1173.7641353437969</c:v>
                </c:pt>
                <c:pt idx="29">
                  <c:v>1150.7491522978401</c:v>
                </c:pt>
                <c:pt idx="30">
                  <c:v>1128.1854434292547</c:v>
                </c:pt>
                <c:pt idx="31">
                  <c:v>1106.0641602247597</c:v>
                </c:pt>
                <c:pt idx="32">
                  <c:v>1084.3766276713329</c:v>
                </c:pt>
                <c:pt idx="33">
                  <c:v>1063.114340854248</c:v>
                </c:pt>
                <c:pt idx="34">
                  <c:v>1042.2689616218117</c:v>
                </c:pt>
                <c:pt idx="35">
                  <c:v>1021.8323153155017</c:v>
                </c:pt>
                <c:pt idx="36">
                  <c:v>1001.7963875642172</c:v>
                </c:pt>
                <c:pt idx="37">
                  <c:v>982.15332114138948</c:v>
                </c:pt>
                <c:pt idx="38">
                  <c:v>962.89541288371515</c:v>
                </c:pt>
                <c:pt idx="39">
                  <c:v>944.01511067030901</c:v>
                </c:pt>
                <c:pt idx="40">
                  <c:v>925.50501046108718</c:v>
                </c:pt>
                <c:pt idx="41">
                  <c:v>906.99491025186524</c:v>
                </c:pt>
                <c:pt idx="42">
                  <c:v>888.85501204682782</c:v>
                </c:pt>
                <c:pt idx="43">
                  <c:v>871.07791180589129</c:v>
                </c:pt>
                <c:pt idx="44">
                  <c:v>853.6563535697735</c:v>
                </c:pt>
                <c:pt idx="45">
                  <c:v>836.58322649837805</c:v>
                </c:pt>
                <c:pt idx="46">
                  <c:v>819.85156196841035</c:v>
                </c:pt>
                <c:pt idx="47">
                  <c:v>803.45453072904218</c:v>
                </c:pt>
                <c:pt idx="48">
                  <c:v>787.38544011446118</c:v>
                </c:pt>
                <c:pt idx="49">
                  <c:v>771.63773131217204</c:v>
                </c:pt>
                <c:pt idx="50">
                  <c:v>756.20497668592861</c:v>
                </c:pt>
                <c:pt idx="51">
                  <c:v>741.08087715221006</c:v>
                </c:pt>
                <c:pt idx="52">
                  <c:v>726.25925960916572</c:v>
                </c:pt>
                <c:pt idx="53">
                  <c:v>711.73407441698248</c:v>
                </c:pt>
                <c:pt idx="54">
                  <c:v>697.49939292864281</c:v>
                </c:pt>
                <c:pt idx="55">
                  <c:v>683.54940507006995</c:v>
                </c:pt>
                <c:pt idx="56">
                  <c:v>669.87841696866849</c:v>
                </c:pt>
                <c:pt idx="57">
                  <c:v>656.48084862929522</c:v>
                </c:pt>
                <c:pt idx="58">
                  <c:v>643.35123165670939</c:v>
                </c:pt>
                <c:pt idx="59">
                  <c:v>630.48420702357498</c:v>
                </c:pt>
                <c:pt idx="60">
                  <c:v>617.87452288310351</c:v>
                </c:pt>
                <c:pt idx="61">
                  <c:v>605.51703242544147</c:v>
                </c:pt>
                <c:pt idx="62">
                  <c:v>593.40669177693258</c:v>
                </c:pt>
                <c:pt idx="63">
                  <c:v>581.53855794139395</c:v>
                </c:pt>
                <c:pt idx="64">
                  <c:v>569.90778678256606</c:v>
                </c:pt>
                <c:pt idx="65">
                  <c:v>558.50963104691471</c:v>
                </c:pt>
                <c:pt idx="66">
                  <c:v>547.33943842597648</c:v>
                </c:pt>
                <c:pt idx="67">
                  <c:v>536.39264965745701</c:v>
                </c:pt>
                <c:pt idx="68">
                  <c:v>525.6647966643078</c:v>
                </c:pt>
                <c:pt idx="69">
                  <c:v>515.15150073102166</c:v>
                </c:pt>
                <c:pt idx="70">
                  <c:v>504.84847071640121</c:v>
                </c:pt>
                <c:pt idx="71">
                  <c:v>494.75150130207317</c:v>
                </c:pt>
                <c:pt idx="72">
                  <c:v>484.8564712760317</c:v>
                </c:pt>
                <c:pt idx="73">
                  <c:v>475.159341850511</c:v>
                </c:pt>
                <c:pt idx="74">
                  <c:v>465.65615501350084</c:v>
                </c:pt>
                <c:pt idx="75">
                  <c:v>456.34303191323085</c:v>
                </c:pt>
                <c:pt idx="76">
                  <c:v>447.21617127496614</c:v>
                </c:pt>
                <c:pt idx="77">
                  <c:v>438.27184784946678</c:v>
                </c:pt>
                <c:pt idx="78">
                  <c:v>429.5064108924775</c:v>
                </c:pt>
                <c:pt idx="79">
                  <c:v>420.91628267462789</c:v>
                </c:pt>
                <c:pt idx="80">
                  <c:v>412.49795702113533</c:v>
                </c:pt>
                <c:pt idx="81">
                  <c:v>404.2479978807126</c:v>
                </c:pt>
                <c:pt idx="82">
                  <c:v>396.16303792309839</c:v>
                </c:pt>
                <c:pt idx="83">
                  <c:v>388.23977716463639</c:v>
                </c:pt>
                <c:pt idx="84">
                  <c:v>380.47498162134366</c:v>
                </c:pt>
                <c:pt idx="85">
                  <c:v>372.86548198891683</c:v>
                </c:pt>
                <c:pt idx="86">
                  <c:v>365.40817234913834</c:v>
                </c:pt>
                <c:pt idx="87">
                  <c:v>358.10000890215565</c:v>
                </c:pt>
                <c:pt idx="88">
                  <c:v>350.93800872411248</c:v>
                </c:pt>
                <c:pt idx="89">
                  <c:v>343.9192485496302</c:v>
                </c:pt>
                <c:pt idx="90">
                  <c:v>337.04086357863758</c:v>
                </c:pt>
                <c:pt idx="91">
                  <c:v>330.30004630706475</c:v>
                </c:pt>
                <c:pt idx="92">
                  <c:v>323.69404538092351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7-46C0-BCD5-DA2D70D73064}"/>
            </c:ext>
          </c:extLst>
        </c:ser>
        <c:ser>
          <c:idx val="1"/>
          <c:order val="1"/>
          <c:tx>
            <c:strRef>
              <c:f>'FSN_XXX Graph'!$S$7</c:f>
              <c:strCache>
                <c:ptCount val="1"/>
                <c:pt idx="0">
                  <c:v> HODL 2000 FSN (at current fsn price) 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11.146001633201751</c:v>
                </c:pt>
                <c:pt idx="1">
                  <c:v>10.713188805461119</c:v>
                </c:pt>
                <c:pt idx="2">
                  <c:v>10.297182627317492</c:v>
                </c:pt>
                <c:pt idx="3">
                  <c:v>9.8973304760837095</c:v>
                </c:pt>
                <c:pt idx="4">
                  <c:v>9.5130050712069476</c:v>
                </c:pt>
                <c:pt idx="5">
                  <c:v>9.1436034902027572</c:v>
                </c:pt>
                <c:pt idx="6">
                  <c:v>8.7885462228015747</c:v>
                </c:pt>
                <c:pt idx="7">
                  <c:v>8.4472762618238875</c:v>
                </c:pt>
                <c:pt idx="8">
                  <c:v>8.1192582293578326</c:v>
                </c:pt>
                <c:pt idx="9">
                  <c:v>7.8039775368683522</c:v>
                </c:pt>
                <c:pt idx="10">
                  <c:v>7.5009395779203674</c:v>
                </c:pt>
                <c:pt idx="11">
                  <c:v>7.2096689522494861</c:v>
                </c:pt>
                <c:pt idx="12">
                  <c:v>6.9297087199629832</c:v>
                </c:pt>
                <c:pt idx="13">
                  <c:v>6.660619684701059</c:v>
                </c:pt>
                <c:pt idx="14">
                  <c:v>6.4019797046338507</c:v>
                </c:pt>
                <c:pt idx="15">
                  <c:v>6.1533830302132353</c:v>
                </c:pt>
                <c:pt idx="16">
                  <c:v>5.9144396676405568</c:v>
                </c:pt>
                <c:pt idx="17">
                  <c:v>5.6847747670516693</c:v>
                </c:pt>
                <c:pt idx="18">
                  <c:v>5.4640280344595054</c:v>
                </c:pt>
                <c:pt idx="19">
                  <c:v>5.2518531665316281</c:v>
                </c:pt>
                <c:pt idx="20">
                  <c:v>5.0479173073160579</c:v>
                </c:pt>
                <c:pt idx="21">
                  <c:v>4.8519005260631083</c:v>
                </c:pt>
                <c:pt idx="22">
                  <c:v>4.6634953153240177</c:v>
                </c:pt>
                <c:pt idx="23">
                  <c:v>4.4824061085390401</c:v>
                </c:pt>
                <c:pt idx="24">
                  <c:v>4.3083488163581691</c:v>
                </c:pt>
                <c:pt idx="25">
                  <c:v>4.1410503809670978</c:v>
                </c:pt>
                <c:pt idx="26">
                  <c:v>3.9802483477192405</c:v>
                </c:pt>
                <c:pt idx="27">
                  <c:v>3.825690453401807</c:v>
                </c:pt>
                <c:pt idx="28">
                  <c:v>3.6771342304900112</c:v>
                </c:pt>
                <c:pt idx="29">
                  <c:v>3.5343466267685608</c:v>
                </c:pt>
                <c:pt idx="30">
                  <c:v>3.3971036397237229</c:v>
                </c:pt>
                <c:pt idx="31">
                  <c:v>3.2651899651323744</c:v>
                </c:pt>
                <c:pt idx="32">
                  <c:v>3.1383986592967839</c:v>
                </c:pt>
                <c:pt idx="33">
                  <c:v>3.016530814395217</c:v>
                </c:pt>
                <c:pt idx="34">
                  <c:v>2.8993952464390778</c:v>
                </c:pt>
                <c:pt idx="35">
                  <c:v>2.7868081953470569</c:v>
                </c:pt>
                <c:pt idx="36">
                  <c:v>2.67859303666576</c:v>
                </c:pt>
                <c:pt idx="37">
                  <c:v>2.574580004484583</c:v>
                </c:pt>
                <c:pt idx="38">
                  <c:v>2.4746059251101338</c:v>
                </c:pt>
                <c:pt idx="39">
                  <c:v>2.3785139610824042</c:v>
                </c:pt>
                <c:pt idx="40">
                  <c:v>2.2861533651311072</c:v>
                </c:pt>
                <c:pt idx="41">
                  <c:v>2.1956216918719149</c:v>
                </c:pt>
                <c:pt idx="42">
                  <c:v>2.1086750728737864</c:v>
                </c:pt>
                <c:pt idx="43">
                  <c:v>2.0251715399879839</c:v>
                </c:pt>
                <c:pt idx="44">
                  <c:v>1.9449747470044605</c:v>
                </c:pt>
                <c:pt idx="45">
                  <c:v>1.8679537470230836</c:v>
                </c:pt>
                <c:pt idx="46">
                  <c:v>1.7939827786409692</c:v>
                </c:pt>
                <c:pt idx="47">
                  <c:v>1.7229410606067868</c:v>
                </c:pt>
                <c:pt idx="48">
                  <c:v>1.6547125946067576</c:v>
                </c:pt>
                <c:pt idx="49">
                  <c:v>1.5891859758603302</c:v>
                </c:pt>
                <c:pt idx="50">
                  <c:v>1.5262542112162611</c:v>
                </c:pt>
                <c:pt idx="51">
                  <c:v>1.4658145444520971</c:v>
                </c:pt>
                <c:pt idx="52">
                  <c:v>1.4077682884917939</c:v>
                </c:pt>
                <c:pt idx="53">
                  <c:v>1.3520206642675188</c:v>
                </c:pt>
                <c:pt idx="54">
                  <c:v>1.2984806459625251</c:v>
                </c:pt>
                <c:pt idx="55">
                  <c:v>1.2470608123824092</c:v>
                </c:pt>
                <c:pt idx="56">
                  <c:v>1.1976772042120658</c:v>
                </c:pt>
                <c:pt idx="57">
                  <c:v>1.1502491869252678</c:v>
                </c:pt>
                <c:pt idx="58">
                  <c:v>1.1046993191230272</c:v>
                </c:pt>
                <c:pt idx="59">
                  <c:v>1.0609532260857555</c:v>
                </c:pt>
                <c:pt idx="60">
                  <c:v>1.0189394783327594</c:v>
                </c:pt>
                <c:pt idx="61">
                  <c:v>0.97858947499078219</c:v>
                </c:pt>
                <c:pt idx="62">
                  <c:v>0.93983733178114715</c:v>
                </c:pt>
                <c:pt idx="63">
                  <c:v>0.90261977344261357</c:v>
                </c:pt>
                <c:pt idx="64">
                  <c:v>0.86687603041428596</c:v>
                </c:pt>
                <c:pt idx="65">
                  <c:v>0.83254773960988027</c:v>
                </c:pt>
                <c:pt idx="66">
                  <c:v>0.79957884912132915</c:v>
                </c:pt>
                <c:pt idx="67">
                  <c:v>0.76791552669612451</c:v>
                </c:pt>
                <c:pt idx="68">
                  <c:v>0.73750607183895811</c:v>
                </c:pt>
                <c:pt idx="69">
                  <c:v>0.70830083139413536</c:v>
                </c:pt>
                <c:pt idx="70">
                  <c:v>0.68025211847092759</c:v>
                </c:pt>
                <c:pt idx="71">
                  <c:v>0.65331413457947873</c:v>
                </c:pt>
                <c:pt idx="72">
                  <c:v>0.62744289485013127</c:v>
                </c:pt>
                <c:pt idx="73">
                  <c:v>0.60259615621406604</c:v>
                </c:pt>
                <c:pt idx="74">
                  <c:v>0.57873334842798907</c:v>
                </c:pt>
                <c:pt idx="75">
                  <c:v>0.55581550783024058</c:v>
                </c:pt>
                <c:pt idx="76">
                  <c:v>0.5338052137201631</c:v>
                </c:pt>
                <c:pt idx="77">
                  <c:v>0.51266652725684458</c:v>
                </c:pt>
                <c:pt idx="78">
                  <c:v>0.49236493277747345</c:v>
                </c:pt>
                <c:pt idx="79">
                  <c:v>0.47286728143948548</c:v>
                </c:pt>
                <c:pt idx="80">
                  <c:v>0.45414173709448191</c:v>
                </c:pt>
                <c:pt idx="81">
                  <c:v>0.43615772430554034</c:v>
                </c:pt>
                <c:pt idx="82">
                  <c:v>0.41888587842304098</c:v>
                </c:pt>
                <c:pt idx="83">
                  <c:v>0.40229799763748852</c:v>
                </c:pt>
                <c:pt idx="84">
                  <c:v>0.38636699693104398</c:v>
                </c:pt>
                <c:pt idx="85">
                  <c:v>0.37106686385257459</c:v>
                </c:pt>
                <c:pt idx="86">
                  <c:v>0.3563726160440126</c:v>
                </c:pt>
                <c:pt idx="87">
                  <c:v>0.34226026044866964</c:v>
                </c:pt>
                <c:pt idx="88">
                  <c:v>0.3287067541349023</c:v>
                </c:pt>
                <c:pt idx="89">
                  <c:v>0.31568996667116012</c:v>
                </c:pt>
                <c:pt idx="90">
                  <c:v>0.30318864399098217</c:v>
                </c:pt>
                <c:pt idx="91">
                  <c:v>0.29118237368893923</c:v>
                </c:pt>
                <c:pt idx="92">
                  <c:v>0.27965155169085726</c:v>
                </c:pt>
              </c:numCache>
            </c:numRef>
          </c:cat>
          <c:val>
            <c:numRef>
              <c:f>'FSN_XXX Graph'!$S$8:$S$100</c:f>
              <c:numCache>
                <c:formatCode>"$"#,##0</c:formatCode>
                <c:ptCount val="93"/>
                <c:pt idx="0">
                  <c:v>925.50501046108718</c:v>
                </c:pt>
                <c:pt idx="1">
                  <c:v>925.50501046108718</c:v>
                </c:pt>
                <c:pt idx="2">
                  <c:v>925.50501046108718</c:v>
                </c:pt>
                <c:pt idx="3">
                  <c:v>925.50501046108718</c:v>
                </c:pt>
                <c:pt idx="4">
                  <c:v>925.50501046108718</c:v>
                </c:pt>
                <c:pt idx="5">
                  <c:v>925.50501046108718</c:v>
                </c:pt>
                <c:pt idx="6">
                  <c:v>925.50501046108718</c:v>
                </c:pt>
                <c:pt idx="7">
                  <c:v>925.50501046108718</c:v>
                </c:pt>
                <c:pt idx="8">
                  <c:v>925.50501046108718</c:v>
                </c:pt>
                <c:pt idx="9">
                  <c:v>925.50501046108718</c:v>
                </c:pt>
                <c:pt idx="10">
                  <c:v>925.50501046108718</c:v>
                </c:pt>
                <c:pt idx="11">
                  <c:v>925.50501046108718</c:v>
                </c:pt>
                <c:pt idx="12">
                  <c:v>925.50501046108718</c:v>
                </c:pt>
                <c:pt idx="13">
                  <c:v>925.50501046108718</c:v>
                </c:pt>
                <c:pt idx="14">
                  <c:v>925.50501046108718</c:v>
                </c:pt>
                <c:pt idx="15">
                  <c:v>925.50501046108718</c:v>
                </c:pt>
                <c:pt idx="16">
                  <c:v>925.50501046108718</c:v>
                </c:pt>
                <c:pt idx="17">
                  <c:v>925.50501046108718</c:v>
                </c:pt>
                <c:pt idx="18">
                  <c:v>925.50501046108718</c:v>
                </c:pt>
                <c:pt idx="19">
                  <c:v>925.50501046108718</c:v>
                </c:pt>
                <c:pt idx="20">
                  <c:v>925.50501046108718</c:v>
                </c:pt>
                <c:pt idx="21">
                  <c:v>925.50501046108718</c:v>
                </c:pt>
                <c:pt idx="22">
                  <c:v>925.50501046108718</c:v>
                </c:pt>
                <c:pt idx="23">
                  <c:v>925.50501046108718</c:v>
                </c:pt>
                <c:pt idx="24">
                  <c:v>925.50501046108718</c:v>
                </c:pt>
                <c:pt idx="25">
                  <c:v>925.50501046108718</c:v>
                </c:pt>
                <c:pt idx="26">
                  <c:v>925.50501046108718</c:v>
                </c:pt>
                <c:pt idx="27">
                  <c:v>925.50501046108718</c:v>
                </c:pt>
                <c:pt idx="28">
                  <c:v>925.50501046108718</c:v>
                </c:pt>
                <c:pt idx="29">
                  <c:v>925.50501046108718</c:v>
                </c:pt>
                <c:pt idx="30">
                  <c:v>925.50501046108718</c:v>
                </c:pt>
                <c:pt idx="31">
                  <c:v>925.50501046108718</c:v>
                </c:pt>
                <c:pt idx="32">
                  <c:v>925.50501046108718</c:v>
                </c:pt>
                <c:pt idx="33">
                  <c:v>925.50501046108718</c:v>
                </c:pt>
                <c:pt idx="34">
                  <c:v>925.50501046108718</c:v>
                </c:pt>
                <c:pt idx="35">
                  <c:v>925.50501046108718</c:v>
                </c:pt>
                <c:pt idx="36">
                  <c:v>925.50501046108718</c:v>
                </c:pt>
                <c:pt idx="37">
                  <c:v>925.50501046108718</c:v>
                </c:pt>
                <c:pt idx="38">
                  <c:v>925.50501046108718</c:v>
                </c:pt>
                <c:pt idx="39">
                  <c:v>925.50501046108718</c:v>
                </c:pt>
                <c:pt idx="40">
                  <c:v>925.50501046108718</c:v>
                </c:pt>
                <c:pt idx="41">
                  <c:v>925.50501046108718</c:v>
                </c:pt>
                <c:pt idx="42">
                  <c:v>925.50501046108718</c:v>
                </c:pt>
                <c:pt idx="43">
                  <c:v>925.50501046108718</c:v>
                </c:pt>
                <c:pt idx="44">
                  <c:v>925.50501046108718</c:v>
                </c:pt>
                <c:pt idx="45">
                  <c:v>925.50501046108718</c:v>
                </c:pt>
                <c:pt idx="46">
                  <c:v>925.50501046108718</c:v>
                </c:pt>
                <c:pt idx="47">
                  <c:v>925.50501046108718</c:v>
                </c:pt>
                <c:pt idx="48">
                  <c:v>925.50501046108718</c:v>
                </c:pt>
                <c:pt idx="49">
                  <c:v>925.50501046108718</c:v>
                </c:pt>
                <c:pt idx="50">
                  <c:v>925.50501046108718</c:v>
                </c:pt>
                <c:pt idx="51">
                  <c:v>925.50501046108718</c:v>
                </c:pt>
                <c:pt idx="52">
                  <c:v>925.50501046108718</c:v>
                </c:pt>
                <c:pt idx="53">
                  <c:v>925.50501046108718</c:v>
                </c:pt>
                <c:pt idx="54">
                  <c:v>925.50501046108718</c:v>
                </c:pt>
                <c:pt idx="55">
                  <c:v>925.50501046108718</c:v>
                </c:pt>
                <c:pt idx="56">
                  <c:v>925.50501046108718</c:v>
                </c:pt>
                <c:pt idx="57">
                  <c:v>925.50501046108718</c:v>
                </c:pt>
                <c:pt idx="58">
                  <c:v>925.50501046108718</c:v>
                </c:pt>
                <c:pt idx="59">
                  <c:v>925.50501046108718</c:v>
                </c:pt>
                <c:pt idx="60">
                  <c:v>925.50501046108718</c:v>
                </c:pt>
                <c:pt idx="61">
                  <c:v>925.50501046108718</c:v>
                </c:pt>
                <c:pt idx="62">
                  <c:v>925.50501046108718</c:v>
                </c:pt>
                <c:pt idx="63">
                  <c:v>925.50501046108718</c:v>
                </c:pt>
                <c:pt idx="64">
                  <c:v>925.50501046108718</c:v>
                </c:pt>
                <c:pt idx="65">
                  <c:v>925.50501046108718</c:v>
                </c:pt>
                <c:pt idx="66">
                  <c:v>925.50501046108718</c:v>
                </c:pt>
                <c:pt idx="67">
                  <c:v>925.50501046108718</c:v>
                </c:pt>
                <c:pt idx="68">
                  <c:v>925.50501046108718</c:v>
                </c:pt>
                <c:pt idx="69">
                  <c:v>925.50501046108718</c:v>
                </c:pt>
                <c:pt idx="70">
                  <c:v>925.50501046108718</c:v>
                </c:pt>
                <c:pt idx="71">
                  <c:v>925.50501046108718</c:v>
                </c:pt>
                <c:pt idx="72">
                  <c:v>925.50501046108718</c:v>
                </c:pt>
                <c:pt idx="73">
                  <c:v>925.50501046108718</c:v>
                </c:pt>
                <c:pt idx="74">
                  <c:v>925.50501046108718</c:v>
                </c:pt>
                <c:pt idx="75">
                  <c:v>925.50501046108718</c:v>
                </c:pt>
                <c:pt idx="76">
                  <c:v>925.50501046108718</c:v>
                </c:pt>
                <c:pt idx="77">
                  <c:v>925.50501046108718</c:v>
                </c:pt>
                <c:pt idx="78">
                  <c:v>925.50501046108718</c:v>
                </c:pt>
                <c:pt idx="79">
                  <c:v>925.50501046108718</c:v>
                </c:pt>
                <c:pt idx="80">
                  <c:v>925.50501046108718</c:v>
                </c:pt>
                <c:pt idx="81">
                  <c:v>925.50501046108718</c:v>
                </c:pt>
                <c:pt idx="82">
                  <c:v>925.50501046108718</c:v>
                </c:pt>
                <c:pt idx="83">
                  <c:v>925.50501046108718</c:v>
                </c:pt>
                <c:pt idx="84">
                  <c:v>925.50501046108718</c:v>
                </c:pt>
                <c:pt idx="85">
                  <c:v>925.50501046108718</c:v>
                </c:pt>
                <c:pt idx="86">
                  <c:v>925.50501046108718</c:v>
                </c:pt>
                <c:pt idx="87">
                  <c:v>925.50501046108718</c:v>
                </c:pt>
                <c:pt idx="88">
                  <c:v>925.50501046108718</c:v>
                </c:pt>
                <c:pt idx="89">
                  <c:v>925.50501046108718</c:v>
                </c:pt>
                <c:pt idx="90">
                  <c:v>925.50501046108718</c:v>
                </c:pt>
                <c:pt idx="91">
                  <c:v>925.50501046108718</c:v>
                </c:pt>
                <c:pt idx="92">
                  <c:v>925.50501046108718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7-46C0-BCD5-DA2D70D73064}"/>
            </c:ext>
          </c:extLst>
        </c:ser>
        <c:ser>
          <c:idx val="2"/>
          <c:order val="2"/>
          <c:tx>
            <c:strRef>
              <c:f>'FSN_XXX Graph'!$T$7</c:f>
              <c:strCache>
                <c:ptCount val="1"/>
                <c:pt idx="0">
                  <c:v> HODL 874.832 ANY (at current fsn price)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11.146001633201751</c:v>
                </c:pt>
                <c:pt idx="1">
                  <c:v>10.713188805461119</c:v>
                </c:pt>
                <c:pt idx="2">
                  <c:v>10.297182627317492</c:v>
                </c:pt>
                <c:pt idx="3">
                  <c:v>9.8973304760837095</c:v>
                </c:pt>
                <c:pt idx="4">
                  <c:v>9.5130050712069476</c:v>
                </c:pt>
                <c:pt idx="5">
                  <c:v>9.1436034902027572</c:v>
                </c:pt>
                <c:pt idx="6">
                  <c:v>8.7885462228015747</c:v>
                </c:pt>
                <c:pt idx="7">
                  <c:v>8.4472762618238875</c:v>
                </c:pt>
                <c:pt idx="8">
                  <c:v>8.1192582293578326</c:v>
                </c:pt>
                <c:pt idx="9">
                  <c:v>7.8039775368683522</c:v>
                </c:pt>
                <c:pt idx="10">
                  <c:v>7.5009395779203674</c:v>
                </c:pt>
                <c:pt idx="11">
                  <c:v>7.2096689522494861</c:v>
                </c:pt>
                <c:pt idx="12">
                  <c:v>6.9297087199629832</c:v>
                </c:pt>
                <c:pt idx="13">
                  <c:v>6.660619684701059</c:v>
                </c:pt>
                <c:pt idx="14">
                  <c:v>6.4019797046338507</c:v>
                </c:pt>
                <c:pt idx="15">
                  <c:v>6.1533830302132353</c:v>
                </c:pt>
                <c:pt idx="16">
                  <c:v>5.9144396676405568</c:v>
                </c:pt>
                <c:pt idx="17">
                  <c:v>5.6847747670516693</c:v>
                </c:pt>
                <c:pt idx="18">
                  <c:v>5.4640280344595054</c:v>
                </c:pt>
                <c:pt idx="19">
                  <c:v>5.2518531665316281</c:v>
                </c:pt>
                <c:pt idx="20">
                  <c:v>5.0479173073160579</c:v>
                </c:pt>
                <c:pt idx="21">
                  <c:v>4.8519005260631083</c:v>
                </c:pt>
                <c:pt idx="22">
                  <c:v>4.6634953153240177</c:v>
                </c:pt>
                <c:pt idx="23">
                  <c:v>4.4824061085390401</c:v>
                </c:pt>
                <c:pt idx="24">
                  <c:v>4.3083488163581691</c:v>
                </c:pt>
                <c:pt idx="25">
                  <c:v>4.1410503809670978</c:v>
                </c:pt>
                <c:pt idx="26">
                  <c:v>3.9802483477192405</c:v>
                </c:pt>
                <c:pt idx="27">
                  <c:v>3.825690453401807</c:v>
                </c:pt>
                <c:pt idx="28">
                  <c:v>3.6771342304900112</c:v>
                </c:pt>
                <c:pt idx="29">
                  <c:v>3.5343466267685608</c:v>
                </c:pt>
                <c:pt idx="30">
                  <c:v>3.3971036397237229</c:v>
                </c:pt>
                <c:pt idx="31">
                  <c:v>3.2651899651323744</c:v>
                </c:pt>
                <c:pt idx="32">
                  <c:v>3.1383986592967839</c:v>
                </c:pt>
                <c:pt idx="33">
                  <c:v>3.016530814395217</c:v>
                </c:pt>
                <c:pt idx="34">
                  <c:v>2.8993952464390778</c:v>
                </c:pt>
                <c:pt idx="35">
                  <c:v>2.7868081953470569</c:v>
                </c:pt>
                <c:pt idx="36">
                  <c:v>2.67859303666576</c:v>
                </c:pt>
                <c:pt idx="37">
                  <c:v>2.574580004484583</c:v>
                </c:pt>
                <c:pt idx="38">
                  <c:v>2.4746059251101338</c:v>
                </c:pt>
                <c:pt idx="39">
                  <c:v>2.3785139610824042</c:v>
                </c:pt>
                <c:pt idx="40">
                  <c:v>2.2861533651311072</c:v>
                </c:pt>
                <c:pt idx="41">
                  <c:v>2.1956216918719149</c:v>
                </c:pt>
                <c:pt idx="42">
                  <c:v>2.1086750728737864</c:v>
                </c:pt>
                <c:pt idx="43">
                  <c:v>2.0251715399879839</c:v>
                </c:pt>
                <c:pt idx="44">
                  <c:v>1.9449747470044605</c:v>
                </c:pt>
                <c:pt idx="45">
                  <c:v>1.8679537470230836</c:v>
                </c:pt>
                <c:pt idx="46">
                  <c:v>1.7939827786409692</c:v>
                </c:pt>
                <c:pt idx="47">
                  <c:v>1.7229410606067868</c:v>
                </c:pt>
                <c:pt idx="48">
                  <c:v>1.6547125946067576</c:v>
                </c:pt>
                <c:pt idx="49">
                  <c:v>1.5891859758603302</c:v>
                </c:pt>
                <c:pt idx="50">
                  <c:v>1.5262542112162611</c:v>
                </c:pt>
                <c:pt idx="51">
                  <c:v>1.4658145444520971</c:v>
                </c:pt>
                <c:pt idx="52">
                  <c:v>1.4077682884917939</c:v>
                </c:pt>
                <c:pt idx="53">
                  <c:v>1.3520206642675188</c:v>
                </c:pt>
                <c:pt idx="54">
                  <c:v>1.2984806459625251</c:v>
                </c:pt>
                <c:pt idx="55">
                  <c:v>1.2470608123824092</c:v>
                </c:pt>
                <c:pt idx="56">
                  <c:v>1.1976772042120658</c:v>
                </c:pt>
                <c:pt idx="57">
                  <c:v>1.1502491869252678</c:v>
                </c:pt>
                <c:pt idx="58">
                  <c:v>1.1046993191230272</c:v>
                </c:pt>
                <c:pt idx="59">
                  <c:v>1.0609532260857555</c:v>
                </c:pt>
                <c:pt idx="60">
                  <c:v>1.0189394783327594</c:v>
                </c:pt>
                <c:pt idx="61">
                  <c:v>0.97858947499078219</c:v>
                </c:pt>
                <c:pt idx="62">
                  <c:v>0.93983733178114715</c:v>
                </c:pt>
                <c:pt idx="63">
                  <c:v>0.90261977344261357</c:v>
                </c:pt>
                <c:pt idx="64">
                  <c:v>0.86687603041428596</c:v>
                </c:pt>
                <c:pt idx="65">
                  <c:v>0.83254773960988027</c:v>
                </c:pt>
                <c:pt idx="66">
                  <c:v>0.79957884912132915</c:v>
                </c:pt>
                <c:pt idx="67">
                  <c:v>0.76791552669612451</c:v>
                </c:pt>
                <c:pt idx="68">
                  <c:v>0.73750607183895811</c:v>
                </c:pt>
                <c:pt idx="69">
                  <c:v>0.70830083139413536</c:v>
                </c:pt>
                <c:pt idx="70">
                  <c:v>0.68025211847092759</c:v>
                </c:pt>
                <c:pt idx="71">
                  <c:v>0.65331413457947873</c:v>
                </c:pt>
                <c:pt idx="72">
                  <c:v>0.62744289485013127</c:v>
                </c:pt>
                <c:pt idx="73">
                  <c:v>0.60259615621406604</c:v>
                </c:pt>
                <c:pt idx="74">
                  <c:v>0.57873334842798907</c:v>
                </c:pt>
                <c:pt idx="75">
                  <c:v>0.55581550783024058</c:v>
                </c:pt>
                <c:pt idx="76">
                  <c:v>0.5338052137201631</c:v>
                </c:pt>
                <c:pt idx="77">
                  <c:v>0.51266652725684458</c:v>
                </c:pt>
                <c:pt idx="78">
                  <c:v>0.49236493277747345</c:v>
                </c:pt>
                <c:pt idx="79">
                  <c:v>0.47286728143948548</c:v>
                </c:pt>
                <c:pt idx="80">
                  <c:v>0.45414173709448191</c:v>
                </c:pt>
                <c:pt idx="81">
                  <c:v>0.43615772430554034</c:v>
                </c:pt>
                <c:pt idx="82">
                  <c:v>0.41888587842304098</c:v>
                </c:pt>
                <c:pt idx="83">
                  <c:v>0.40229799763748852</c:v>
                </c:pt>
                <c:pt idx="84">
                  <c:v>0.38636699693104398</c:v>
                </c:pt>
                <c:pt idx="85">
                  <c:v>0.37106686385257459</c:v>
                </c:pt>
                <c:pt idx="86">
                  <c:v>0.3563726160440126</c:v>
                </c:pt>
                <c:pt idx="87">
                  <c:v>0.34226026044866964</c:v>
                </c:pt>
                <c:pt idx="88">
                  <c:v>0.3287067541349023</c:v>
                </c:pt>
                <c:pt idx="89">
                  <c:v>0.31568996667116012</c:v>
                </c:pt>
                <c:pt idx="90">
                  <c:v>0.30318864399098217</c:v>
                </c:pt>
                <c:pt idx="91">
                  <c:v>0.29118237368893923</c:v>
                </c:pt>
                <c:pt idx="92">
                  <c:v>0.27965155169085726</c:v>
                </c:pt>
              </c:numCache>
            </c:numRef>
          </c:cat>
          <c:val>
            <c:numRef>
              <c:f>'FSN_XXX Graph'!$T$8:$T$100</c:f>
              <c:numCache>
                <c:formatCode>"$"#,##0</c:formatCode>
                <c:ptCount val="93"/>
                <c:pt idx="0">
                  <c:v>4512.2433671653926</c:v>
                </c:pt>
                <c:pt idx="1">
                  <c:v>4337.0274578675426</c:v>
                </c:pt>
                <c:pt idx="2">
                  <c:v>4168.6153958742243</c:v>
                </c:pt>
                <c:pt idx="3">
                  <c:v>4006.7429795023299</c:v>
                </c:pt>
                <c:pt idx="4">
                  <c:v>3851.1562663421082</c:v>
                </c:pt>
                <c:pt idx="5">
                  <c:v>3701.6111748770745</c:v>
                </c:pt>
                <c:pt idx="6">
                  <c:v>3557.8731015735057</c:v>
                </c:pt>
                <c:pt idx="7">
                  <c:v>3419.7165528388168</c:v>
                </c:pt>
                <c:pt idx="8">
                  <c:v>3286.9247912714504</c:v>
                </c:pt>
                <c:pt idx="9">
                  <c:v>3159.2894956473001</c:v>
                </c:pt>
                <c:pt idx="10">
                  <c:v>3036.6104341092841</c:v>
                </c:pt>
                <c:pt idx="11">
                  <c:v>2918.6951500473697</c:v>
                </c:pt>
                <c:pt idx="12">
                  <c:v>2805.3586601762499</c:v>
                </c:pt>
                <c:pt idx="13">
                  <c:v>2696.4231643370331</c:v>
                </c:pt>
                <c:pt idx="14">
                  <c:v>2591.7177665676977</c:v>
                </c:pt>
                <c:pt idx="15">
                  <c:v>2491.0782070047076</c:v>
                </c:pt>
                <c:pt idx="16">
                  <c:v>2394.3466041952202</c:v>
                </c:pt>
                <c:pt idx="17">
                  <c:v>2301.3712074156292</c:v>
                </c:pt>
                <c:pt idx="18">
                  <c:v>2212.0061586078709</c:v>
                </c:pt>
                <c:pt idx="19">
                  <c:v>2126.1112635600452</c:v>
                </c:pt>
                <c:pt idx="20">
                  <c:v>2043.5517719723616</c:v>
                </c:pt>
                <c:pt idx="21">
                  <c:v>1964.1981660634001</c:v>
                </c:pt>
                <c:pt idx="22">
                  <c:v>1887.9259573850443</c:v>
                </c:pt>
                <c:pt idx="23">
                  <c:v>1814.6154915273394</c:v>
                </c:pt>
                <c:pt idx="24">
                  <c:v>1744.1517604069002</c:v>
                </c:pt>
                <c:pt idx="25">
                  <c:v>1676.4242218443869</c:v>
                </c:pt>
                <c:pt idx="26">
                  <c:v>1611.3266261480073</c:v>
                </c:pt>
                <c:pt idx="27">
                  <c:v>1548.7568494309951</c:v>
                </c:pt>
                <c:pt idx="28">
                  <c:v>1488.6167334015718</c:v>
                </c:pt>
                <c:pt idx="29">
                  <c:v>1430.8119313740597</c:v>
                </c:pt>
                <c:pt idx="30">
                  <c:v>1375.2517602595731</c:v>
                </c:pt>
                <c:pt idx="31">
                  <c:v>1321.8490583040875</c:v>
                </c:pt>
                <c:pt idx="32">
                  <c:v>1270.5200483507185</c:v>
                </c:pt>
                <c:pt idx="33">
                  <c:v>1221.1842064116861</c:v>
                </c:pt>
                <c:pt idx="34">
                  <c:v>1173.7641353437966</c:v>
                </c:pt>
                <c:pt idx="35">
                  <c:v>1128.1854434292547</c:v>
                </c:pt>
                <c:pt idx="36">
                  <c:v>1084.3766276713327</c:v>
                </c:pt>
                <c:pt idx="37">
                  <c:v>1042.268961621812</c:v>
                </c:pt>
                <c:pt idx="38">
                  <c:v>1001.7963875642174</c:v>
                </c:pt>
                <c:pt idx="39">
                  <c:v>962.89541288371515</c:v>
                </c:pt>
                <c:pt idx="40">
                  <c:v>925.50501046108718</c:v>
                </c:pt>
                <c:pt idx="41">
                  <c:v>888.85501204682794</c:v>
                </c:pt>
                <c:pt idx="42">
                  <c:v>853.65635356977327</c:v>
                </c:pt>
                <c:pt idx="43">
                  <c:v>819.85156196841001</c:v>
                </c:pt>
                <c:pt idx="44">
                  <c:v>787.38544011446118</c:v>
                </c:pt>
                <c:pt idx="45">
                  <c:v>756.2049766859285</c:v>
                </c:pt>
                <c:pt idx="46">
                  <c:v>726.25925960916561</c:v>
                </c:pt>
                <c:pt idx="47">
                  <c:v>697.49939292864258</c:v>
                </c:pt>
                <c:pt idx="48">
                  <c:v>669.87841696866826</c:v>
                </c:pt>
                <c:pt idx="49">
                  <c:v>643.35123165670905</c:v>
                </c:pt>
                <c:pt idx="50">
                  <c:v>617.8745228831034</c:v>
                </c:pt>
                <c:pt idx="51">
                  <c:v>593.40669177693246</c:v>
                </c:pt>
                <c:pt idx="52">
                  <c:v>569.90778678256584</c:v>
                </c:pt>
                <c:pt idx="53">
                  <c:v>547.33943842597625</c:v>
                </c:pt>
                <c:pt idx="54">
                  <c:v>525.66479666430757</c:v>
                </c:pt>
                <c:pt idx="55">
                  <c:v>504.84847071640104</c:v>
                </c:pt>
                <c:pt idx="56">
                  <c:v>484.85647127603158</c:v>
                </c:pt>
                <c:pt idx="57">
                  <c:v>465.65615501350061</c:v>
                </c:pt>
                <c:pt idx="58">
                  <c:v>447.21617127496603</c:v>
                </c:pt>
                <c:pt idx="59">
                  <c:v>429.50641089247745</c:v>
                </c:pt>
                <c:pt idx="60">
                  <c:v>412.49795702113522</c:v>
                </c:pt>
                <c:pt idx="61">
                  <c:v>396.16303792309833</c:v>
                </c:pt>
                <c:pt idx="62">
                  <c:v>380.4749816213436</c:v>
                </c:pt>
                <c:pt idx="63">
                  <c:v>365.40817234913834</c:v>
                </c:pt>
                <c:pt idx="64">
                  <c:v>350.93800872411242</c:v>
                </c:pt>
                <c:pt idx="65">
                  <c:v>337.04086357863753</c:v>
                </c:pt>
                <c:pt idx="66">
                  <c:v>323.69404538092357</c:v>
                </c:pt>
                <c:pt idx="67">
                  <c:v>310.87576118383896</c:v>
                </c:pt>
                <c:pt idx="68">
                  <c:v>298.56508104095906</c:v>
                </c:pt>
                <c:pt idx="69">
                  <c:v>286.74190383173703</c:v>
                </c:pt>
                <c:pt idx="70">
                  <c:v>275.38692444000026</c:v>
                </c:pt>
                <c:pt idx="71">
                  <c:v>264.48160223217621</c:v>
                </c:pt>
                <c:pt idx="72">
                  <c:v>254.00813078378201</c:v>
                </c:pt>
                <c:pt idx="73">
                  <c:v>243.94940880474417</c:v>
                </c:pt>
                <c:pt idx="74">
                  <c:v>234.28901221607634</c:v>
                </c:pt>
                <c:pt idx="75">
                  <c:v>225.01116733231967</c:v>
                </c:pt>
                <c:pt idx="76">
                  <c:v>216.10072510595984</c:v>
                </c:pt>
                <c:pt idx="77">
                  <c:v>207.5431363917638</c:v>
                </c:pt>
                <c:pt idx="78">
                  <c:v>199.32442819064994</c:v>
                </c:pt>
                <c:pt idx="79">
                  <c:v>191.43118083430016</c:v>
                </c:pt>
                <c:pt idx="80">
                  <c:v>183.8505060732619</c:v>
                </c:pt>
                <c:pt idx="81">
                  <c:v>176.57002603276069</c:v>
                </c:pt>
                <c:pt idx="82">
                  <c:v>169.57785300186339</c:v>
                </c:pt>
                <c:pt idx="83">
                  <c:v>162.86257002298959</c:v>
                </c:pt>
                <c:pt idx="84">
                  <c:v>156.41321225007923</c:v>
                </c:pt>
                <c:pt idx="85">
                  <c:v>150.21924904497604</c:v>
                </c:pt>
                <c:pt idx="86">
                  <c:v>144.27056678279499</c:v>
                </c:pt>
                <c:pt idx="87">
                  <c:v>138.55745233819627</c:v>
                </c:pt>
                <c:pt idx="88">
                  <c:v>133.0705772256037</c:v>
                </c:pt>
                <c:pt idx="89">
                  <c:v>127.80098236746977</c:v>
                </c:pt>
                <c:pt idx="90">
                  <c:v>122.74006346571795</c:v>
                </c:pt>
                <c:pt idx="91">
                  <c:v>117.87955695247551</c:v>
                </c:pt>
                <c:pt idx="92">
                  <c:v>113.21152649715748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17-46C0-BCD5-DA2D70D73064}"/>
            </c:ext>
          </c:extLst>
        </c:ser>
        <c:ser>
          <c:idx val="3"/>
          <c:order val="3"/>
          <c:tx>
            <c:strRef>
              <c:f>'FSN_XXX Graph'!$U$7</c:f>
              <c:strCache>
                <c:ptCount val="1"/>
                <c:pt idx="0">
                  <c:v> HODL 1000 FSN&amp; 437.416 ANY (at current fsn price)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11.146001633201751</c:v>
                </c:pt>
                <c:pt idx="1">
                  <c:v>10.713188805461119</c:v>
                </c:pt>
                <c:pt idx="2">
                  <c:v>10.297182627317492</c:v>
                </c:pt>
                <c:pt idx="3">
                  <c:v>9.8973304760837095</c:v>
                </c:pt>
                <c:pt idx="4">
                  <c:v>9.5130050712069476</c:v>
                </c:pt>
                <c:pt idx="5">
                  <c:v>9.1436034902027572</c:v>
                </c:pt>
                <c:pt idx="6">
                  <c:v>8.7885462228015747</c:v>
                </c:pt>
                <c:pt idx="7">
                  <c:v>8.4472762618238875</c:v>
                </c:pt>
                <c:pt idx="8">
                  <c:v>8.1192582293578326</c:v>
                </c:pt>
                <c:pt idx="9">
                  <c:v>7.8039775368683522</c:v>
                </c:pt>
                <c:pt idx="10">
                  <c:v>7.5009395779203674</c:v>
                </c:pt>
                <c:pt idx="11">
                  <c:v>7.2096689522494861</c:v>
                </c:pt>
                <c:pt idx="12">
                  <c:v>6.9297087199629832</c:v>
                </c:pt>
                <c:pt idx="13">
                  <c:v>6.660619684701059</c:v>
                </c:pt>
                <c:pt idx="14">
                  <c:v>6.4019797046338507</c:v>
                </c:pt>
                <c:pt idx="15">
                  <c:v>6.1533830302132353</c:v>
                </c:pt>
                <c:pt idx="16">
                  <c:v>5.9144396676405568</c:v>
                </c:pt>
                <c:pt idx="17">
                  <c:v>5.6847747670516693</c:v>
                </c:pt>
                <c:pt idx="18">
                  <c:v>5.4640280344595054</c:v>
                </c:pt>
                <c:pt idx="19">
                  <c:v>5.2518531665316281</c:v>
                </c:pt>
                <c:pt idx="20">
                  <c:v>5.0479173073160579</c:v>
                </c:pt>
                <c:pt idx="21">
                  <c:v>4.8519005260631083</c:v>
                </c:pt>
                <c:pt idx="22">
                  <c:v>4.6634953153240177</c:v>
                </c:pt>
                <c:pt idx="23">
                  <c:v>4.4824061085390401</c:v>
                </c:pt>
                <c:pt idx="24">
                  <c:v>4.3083488163581691</c:v>
                </c:pt>
                <c:pt idx="25">
                  <c:v>4.1410503809670978</c:v>
                </c:pt>
                <c:pt idx="26">
                  <c:v>3.9802483477192405</c:v>
                </c:pt>
                <c:pt idx="27">
                  <c:v>3.825690453401807</c:v>
                </c:pt>
                <c:pt idx="28">
                  <c:v>3.6771342304900112</c:v>
                </c:pt>
                <c:pt idx="29">
                  <c:v>3.5343466267685608</c:v>
                </c:pt>
                <c:pt idx="30">
                  <c:v>3.3971036397237229</c:v>
                </c:pt>
                <c:pt idx="31">
                  <c:v>3.2651899651323744</c:v>
                </c:pt>
                <c:pt idx="32">
                  <c:v>3.1383986592967839</c:v>
                </c:pt>
                <c:pt idx="33">
                  <c:v>3.016530814395217</c:v>
                </c:pt>
                <c:pt idx="34">
                  <c:v>2.8993952464390778</c:v>
                </c:pt>
                <c:pt idx="35">
                  <c:v>2.7868081953470569</c:v>
                </c:pt>
                <c:pt idx="36">
                  <c:v>2.67859303666576</c:v>
                </c:pt>
                <c:pt idx="37">
                  <c:v>2.574580004484583</c:v>
                </c:pt>
                <c:pt idx="38">
                  <c:v>2.4746059251101338</c:v>
                </c:pt>
                <c:pt idx="39">
                  <c:v>2.3785139610824042</c:v>
                </c:pt>
                <c:pt idx="40">
                  <c:v>2.2861533651311072</c:v>
                </c:pt>
                <c:pt idx="41">
                  <c:v>2.1956216918719149</c:v>
                </c:pt>
                <c:pt idx="42">
                  <c:v>2.1086750728737864</c:v>
                </c:pt>
                <c:pt idx="43">
                  <c:v>2.0251715399879839</c:v>
                </c:pt>
                <c:pt idx="44">
                  <c:v>1.9449747470044605</c:v>
                </c:pt>
                <c:pt idx="45">
                  <c:v>1.8679537470230836</c:v>
                </c:pt>
                <c:pt idx="46">
                  <c:v>1.7939827786409692</c:v>
                </c:pt>
                <c:pt idx="47">
                  <c:v>1.7229410606067868</c:v>
                </c:pt>
                <c:pt idx="48">
                  <c:v>1.6547125946067576</c:v>
                </c:pt>
                <c:pt idx="49">
                  <c:v>1.5891859758603302</c:v>
                </c:pt>
                <c:pt idx="50">
                  <c:v>1.5262542112162611</c:v>
                </c:pt>
                <c:pt idx="51">
                  <c:v>1.4658145444520971</c:v>
                </c:pt>
                <c:pt idx="52">
                  <c:v>1.4077682884917939</c:v>
                </c:pt>
                <c:pt idx="53">
                  <c:v>1.3520206642675188</c:v>
                </c:pt>
                <c:pt idx="54">
                  <c:v>1.2984806459625251</c:v>
                </c:pt>
                <c:pt idx="55">
                  <c:v>1.2470608123824092</c:v>
                </c:pt>
                <c:pt idx="56">
                  <c:v>1.1976772042120658</c:v>
                </c:pt>
                <c:pt idx="57">
                  <c:v>1.1502491869252678</c:v>
                </c:pt>
                <c:pt idx="58">
                  <c:v>1.1046993191230272</c:v>
                </c:pt>
                <c:pt idx="59">
                  <c:v>1.0609532260857555</c:v>
                </c:pt>
                <c:pt idx="60">
                  <c:v>1.0189394783327594</c:v>
                </c:pt>
                <c:pt idx="61">
                  <c:v>0.97858947499078219</c:v>
                </c:pt>
                <c:pt idx="62">
                  <c:v>0.93983733178114715</c:v>
                </c:pt>
                <c:pt idx="63">
                  <c:v>0.90261977344261357</c:v>
                </c:pt>
                <c:pt idx="64">
                  <c:v>0.86687603041428596</c:v>
                </c:pt>
                <c:pt idx="65">
                  <c:v>0.83254773960988027</c:v>
                </c:pt>
                <c:pt idx="66">
                  <c:v>0.79957884912132915</c:v>
                </c:pt>
                <c:pt idx="67">
                  <c:v>0.76791552669612451</c:v>
                </c:pt>
                <c:pt idx="68">
                  <c:v>0.73750607183895811</c:v>
                </c:pt>
                <c:pt idx="69">
                  <c:v>0.70830083139413536</c:v>
                </c:pt>
                <c:pt idx="70">
                  <c:v>0.68025211847092759</c:v>
                </c:pt>
                <c:pt idx="71">
                  <c:v>0.65331413457947873</c:v>
                </c:pt>
                <c:pt idx="72">
                  <c:v>0.62744289485013127</c:v>
                </c:pt>
                <c:pt idx="73">
                  <c:v>0.60259615621406604</c:v>
                </c:pt>
                <c:pt idx="74">
                  <c:v>0.57873334842798907</c:v>
                </c:pt>
                <c:pt idx="75">
                  <c:v>0.55581550783024058</c:v>
                </c:pt>
                <c:pt idx="76">
                  <c:v>0.5338052137201631</c:v>
                </c:pt>
                <c:pt idx="77">
                  <c:v>0.51266652725684458</c:v>
                </c:pt>
                <c:pt idx="78">
                  <c:v>0.49236493277747345</c:v>
                </c:pt>
                <c:pt idx="79">
                  <c:v>0.47286728143948548</c:v>
                </c:pt>
                <c:pt idx="80">
                  <c:v>0.45414173709448191</c:v>
                </c:pt>
                <c:pt idx="81">
                  <c:v>0.43615772430554034</c:v>
                </c:pt>
                <c:pt idx="82">
                  <c:v>0.41888587842304098</c:v>
                </c:pt>
                <c:pt idx="83">
                  <c:v>0.40229799763748852</c:v>
                </c:pt>
                <c:pt idx="84">
                  <c:v>0.38636699693104398</c:v>
                </c:pt>
                <c:pt idx="85">
                  <c:v>0.37106686385257459</c:v>
                </c:pt>
                <c:pt idx="86">
                  <c:v>0.3563726160440126</c:v>
                </c:pt>
                <c:pt idx="87">
                  <c:v>0.34226026044866964</c:v>
                </c:pt>
                <c:pt idx="88">
                  <c:v>0.3287067541349023</c:v>
                </c:pt>
                <c:pt idx="89">
                  <c:v>0.31568996667116012</c:v>
                </c:pt>
                <c:pt idx="90">
                  <c:v>0.30318864399098217</c:v>
                </c:pt>
                <c:pt idx="91">
                  <c:v>0.29118237368893923</c:v>
                </c:pt>
                <c:pt idx="92">
                  <c:v>0.27965155169085726</c:v>
                </c:pt>
              </c:numCache>
            </c:numRef>
          </c:cat>
          <c:val>
            <c:numRef>
              <c:f>'FSN_XXX Graph'!$U$8:$U$100</c:f>
              <c:numCache>
                <c:formatCode>"$"#,##0</c:formatCode>
                <c:ptCount val="93"/>
                <c:pt idx="0">
                  <c:v>2718.8741888132399</c:v>
                </c:pt>
                <c:pt idx="1">
                  <c:v>2631.2662341643149</c:v>
                </c:pt>
                <c:pt idx="2">
                  <c:v>2547.0602031676558</c:v>
                </c:pt>
                <c:pt idx="3">
                  <c:v>2466.1239949817086</c:v>
                </c:pt>
                <c:pt idx="4">
                  <c:v>2388.3306384015978</c:v>
                </c:pt>
                <c:pt idx="5">
                  <c:v>2313.5580926690805</c:v>
                </c:pt>
                <c:pt idx="6">
                  <c:v>2241.6890560172965</c:v>
                </c:pt>
                <c:pt idx="7">
                  <c:v>2172.6107816499516</c:v>
                </c:pt>
                <c:pt idx="8">
                  <c:v>2106.2149008662691</c:v>
                </c:pt>
                <c:pt idx="9">
                  <c:v>2042.3972530541937</c:v>
                </c:pt>
                <c:pt idx="10">
                  <c:v>1981.0577222851855</c:v>
                </c:pt>
                <c:pt idx="11">
                  <c:v>1922.1000802542287</c:v>
                </c:pt>
                <c:pt idx="12">
                  <c:v>1865.4318353186684</c:v>
                </c:pt>
                <c:pt idx="13">
                  <c:v>1810.9640873990602</c:v>
                </c:pt>
                <c:pt idx="14">
                  <c:v>1758.6113885143925</c:v>
                </c:pt>
                <c:pt idx="15">
                  <c:v>1708.2916087328972</c:v>
                </c:pt>
                <c:pt idx="16">
                  <c:v>1659.9258073281537</c:v>
                </c:pt>
                <c:pt idx="17">
                  <c:v>1613.438108938358</c:v>
                </c:pt>
                <c:pt idx="18">
                  <c:v>1568.7555845344791</c:v>
                </c:pt>
                <c:pt idx="19">
                  <c:v>1525.8081370105663</c:v>
                </c:pt>
                <c:pt idx="20">
                  <c:v>1484.5283912167242</c:v>
                </c:pt>
                <c:pt idx="21">
                  <c:v>1444.8515882622437</c:v>
                </c:pt>
                <c:pt idx="22">
                  <c:v>1406.7154839230654</c:v>
                </c:pt>
                <c:pt idx="23">
                  <c:v>1370.0602509942132</c:v>
                </c:pt>
                <c:pt idx="24">
                  <c:v>1334.8283854339936</c:v>
                </c:pt>
                <c:pt idx="25">
                  <c:v>1300.9646161527371</c:v>
                </c:pt>
                <c:pt idx="26">
                  <c:v>1268.4158183045472</c:v>
                </c:pt>
                <c:pt idx="27">
                  <c:v>1237.1309299460411</c:v>
                </c:pt>
                <c:pt idx="28">
                  <c:v>1207.0608719313295</c:v>
                </c:pt>
                <c:pt idx="29">
                  <c:v>1178.1584709175731</c:v>
                </c:pt>
                <c:pt idx="30">
                  <c:v>1150.37838536033</c:v>
                </c:pt>
                <c:pt idx="31">
                  <c:v>1123.6770343825874</c:v>
                </c:pt>
                <c:pt idx="32">
                  <c:v>1098.0125294059028</c:v>
                </c:pt>
                <c:pt idx="33">
                  <c:v>1073.3446084363866</c:v>
                </c:pt>
                <c:pt idx="34">
                  <c:v>1049.634572902442</c:v>
                </c:pt>
                <c:pt idx="35">
                  <c:v>1026.8452269451711</c:v>
                </c:pt>
                <c:pt idx="36">
                  <c:v>1004.9408190662101</c:v>
                </c:pt>
                <c:pt idx="37">
                  <c:v>983.8869860414494</c:v>
                </c:pt>
                <c:pt idx="38">
                  <c:v>963.65069901265224</c:v>
                </c:pt>
                <c:pt idx="39">
                  <c:v>944.20021167240111</c:v>
                </c:pt>
                <c:pt idx="40">
                  <c:v>925.50501046108718</c:v>
                </c:pt>
                <c:pt idx="41">
                  <c:v>907.18001125395756</c:v>
                </c:pt>
                <c:pt idx="42">
                  <c:v>889.58068201543017</c:v>
                </c:pt>
                <c:pt idx="43">
                  <c:v>872.6782862147486</c:v>
                </c:pt>
                <c:pt idx="44">
                  <c:v>856.44522528777418</c:v>
                </c:pt>
                <c:pt idx="45">
                  <c:v>840.85499357350784</c:v>
                </c:pt>
                <c:pt idx="46">
                  <c:v>825.88213503512634</c:v>
                </c:pt>
                <c:pt idx="47">
                  <c:v>811.50220169486488</c:v>
                </c:pt>
                <c:pt idx="48">
                  <c:v>797.69171371487766</c:v>
                </c:pt>
                <c:pt idx="49">
                  <c:v>784.42812105889811</c:v>
                </c:pt>
                <c:pt idx="50">
                  <c:v>771.68976667209517</c:v>
                </c:pt>
                <c:pt idx="51">
                  <c:v>759.45585111900982</c:v>
                </c:pt>
                <c:pt idx="52">
                  <c:v>747.70639862182645</c:v>
                </c:pt>
                <c:pt idx="53">
                  <c:v>736.42222444353172</c:v>
                </c:pt>
                <c:pt idx="54">
                  <c:v>725.58490356269726</c:v>
                </c:pt>
                <c:pt idx="55">
                  <c:v>715.17674058874411</c:v>
                </c:pt>
                <c:pt idx="56">
                  <c:v>705.18074086855938</c:v>
                </c:pt>
                <c:pt idx="57">
                  <c:v>695.58058273729387</c:v>
                </c:pt>
                <c:pt idx="58">
                  <c:v>686.36059086802652</c:v>
                </c:pt>
                <c:pt idx="59">
                  <c:v>677.5057106767822</c:v>
                </c:pt>
                <c:pt idx="60">
                  <c:v>669.0014837411112</c:v>
                </c:pt>
                <c:pt idx="61">
                  <c:v>660.83402419209267</c:v>
                </c:pt>
                <c:pt idx="62">
                  <c:v>652.98999604121536</c:v>
                </c:pt>
                <c:pt idx="63">
                  <c:v>645.4565914051127</c:v>
                </c:pt>
                <c:pt idx="64">
                  <c:v>638.22150959259977</c:v>
                </c:pt>
                <c:pt idx="65">
                  <c:v>631.27293701986241</c:v>
                </c:pt>
                <c:pt idx="66">
                  <c:v>624.59952792100535</c:v>
                </c:pt>
                <c:pt idx="67">
                  <c:v>618.1903858224631</c:v>
                </c:pt>
                <c:pt idx="68">
                  <c:v>612.03504575102306</c:v>
                </c:pt>
                <c:pt idx="69">
                  <c:v>606.12345714641219</c:v>
                </c:pt>
                <c:pt idx="70">
                  <c:v>600.44596745054366</c:v>
                </c:pt>
                <c:pt idx="71">
                  <c:v>594.99330634663158</c:v>
                </c:pt>
                <c:pt idx="72">
                  <c:v>589.75657062243454</c:v>
                </c:pt>
                <c:pt idx="73">
                  <c:v>584.72720963291567</c:v>
                </c:pt>
                <c:pt idx="74">
                  <c:v>579.89701133858171</c:v>
                </c:pt>
                <c:pt idx="75">
                  <c:v>575.25808889670338</c:v>
                </c:pt>
                <c:pt idx="76">
                  <c:v>570.80286778352354</c:v>
                </c:pt>
                <c:pt idx="77">
                  <c:v>566.5240734264255</c:v>
                </c:pt>
                <c:pt idx="78">
                  <c:v>562.41471932586853</c:v>
                </c:pt>
                <c:pt idx="79">
                  <c:v>558.46809564769364</c:v>
                </c:pt>
                <c:pt idx="80">
                  <c:v>554.67775826717445</c:v>
                </c:pt>
                <c:pt idx="81">
                  <c:v>551.03751824692392</c:v>
                </c:pt>
                <c:pt idx="82">
                  <c:v>547.5414317314752</c:v>
                </c:pt>
                <c:pt idx="83">
                  <c:v>544.1837902420383</c:v>
                </c:pt>
                <c:pt idx="84">
                  <c:v>540.9591113555831</c:v>
                </c:pt>
                <c:pt idx="85">
                  <c:v>537.86212975303158</c:v>
                </c:pt>
                <c:pt idx="86">
                  <c:v>534.88778862194101</c:v>
                </c:pt>
                <c:pt idx="87">
                  <c:v>532.03123139964168</c:v>
                </c:pt>
                <c:pt idx="88">
                  <c:v>529.28779384334541</c:v>
                </c:pt>
                <c:pt idx="89">
                  <c:v>526.65299641427839</c:v>
                </c:pt>
                <c:pt idx="90">
                  <c:v>524.12253696340258</c:v>
                </c:pt>
                <c:pt idx="91">
                  <c:v>521.69228370678127</c:v>
                </c:pt>
                <c:pt idx="92">
                  <c:v>519.35826847912233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17-46C0-BCD5-DA2D70D73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126960"/>
        <c:axId val="328124992"/>
      </c:lineChart>
      <c:catAx>
        <c:axId val="328126960"/>
        <c:scaling>
          <c:orientation val="maxMin"/>
        </c:scaling>
        <c:delete val="0"/>
        <c:axPos val="b"/>
        <c:title>
          <c:tx>
            <c:strRef>
              <c:f>'FSN_XXX Graph'!$F$7</c:f>
              <c:strCache>
                <c:ptCount val="1"/>
                <c:pt idx="0">
                  <c:v>ANY:FSN Ratio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4992"/>
        <c:crosses val="autoZero"/>
        <c:auto val="1"/>
        <c:lblAlgn val="ctr"/>
        <c:lblOffset val="100"/>
        <c:noMultiLvlLbl val="0"/>
      </c:catAx>
      <c:valAx>
        <c:axId val="328124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Holdings Value (Based on current FSN Price)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FSN_aUSDT!$N$4</c:f>
          <c:strCache>
            <c:ptCount val="1"/>
            <c:pt idx="0">
              <c:v> Starting Balance is 1000 FSN and 462.8 aUSDT - equivalent of 2000 FSN or 925.5 aUSDT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FSN_aUSDT!$R$7</c:f>
              <c:strCache>
                <c:ptCount val="1"/>
                <c:pt idx="0">
                  <c:v> Equivalent USDT Pooling1000 FSN &amp; 463 aUSDT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3.5073533614837622</c:v>
                </c:pt>
                <c:pt idx="1">
                  <c:v>3.3341777892605005</c:v>
                </c:pt>
                <c:pt idx="2">
                  <c:v>3.1695527609157637</c:v>
                </c:pt>
                <c:pt idx="3">
                  <c:v>3.0130560933455479</c:v>
                </c:pt>
                <c:pt idx="4">
                  <c:v>2.8642864487366109</c:v>
                </c:pt>
                <c:pt idx="5">
                  <c:v>2.7228623053302408</c:v>
                </c:pt>
                <c:pt idx="6">
                  <c:v>2.5884209790045598</c:v>
                </c:pt>
                <c:pt idx="7">
                  <c:v>2.4606176931662103</c:v>
                </c:pt>
                <c:pt idx="8">
                  <c:v>2.3391246945661286</c:v>
                </c:pt>
                <c:pt idx="9">
                  <c:v>2.2236304127719255</c:v>
                </c:pt>
                <c:pt idx="10">
                  <c:v>2.1138386611413118</c:v>
                </c:pt>
                <c:pt idx="11">
                  <c:v>2.009467877247459</c:v>
                </c:pt>
                <c:pt idx="12">
                  <c:v>1.9102504008083658</c:v>
                </c:pt>
                <c:pt idx="13">
                  <c:v>1.8159317872684526</c:v>
                </c:pt>
                <c:pt idx="14">
                  <c:v>1.7262701552720725</c:v>
                </c:pt>
                <c:pt idx="15">
                  <c:v>1.6410355663555143</c:v>
                </c:pt>
                <c:pt idx="16">
                  <c:v>1.5600094352667107</c:v>
                </c:pt>
                <c:pt idx="17">
                  <c:v>1.4829839694004168</c:v>
                </c:pt>
                <c:pt idx="18">
                  <c:v>1.4097616359112712</c:v>
                </c:pt>
                <c:pt idx="19">
                  <c:v>1.3401546551381518</c:v>
                </c:pt>
                <c:pt idx="20">
                  <c:v>1.273984519040706</c:v>
                </c:pt>
                <c:pt idx="21">
                  <c:v>1.2110815334130709</c:v>
                </c:pt>
                <c:pt idx="22">
                  <c:v>1.1512843827008008</c:v>
                </c:pt>
                <c:pt idx="23">
                  <c:v>1.0944397163049486</c:v>
                </c:pt>
                <c:pt idx="24">
                  <c:v>1.0404017553123919</c:v>
                </c:pt>
                <c:pt idx="25">
                  <c:v>0.98903191864384266</c:v>
                </c:pt>
                <c:pt idx="26">
                  <c:v>0.94019846766080284</c:v>
                </c:pt>
                <c:pt idx="27">
                  <c:v>0.8937761683200508</c:v>
                </c:pt>
                <c:pt idx="28">
                  <c:v>0.84964597000924813</c:v>
                </c:pt>
                <c:pt idx="29">
                  <c:v>0.80769470024004153</c:v>
                </c:pt>
                <c:pt idx="30">
                  <c:v>0.76781477441568946</c:v>
                </c:pt>
                <c:pt idx="31">
                  <c:v>0.72990391992891468</c:v>
                </c:pt>
                <c:pt idx="32">
                  <c:v>0.69386491388242455</c:v>
                </c:pt>
                <c:pt idx="33">
                  <c:v>0.65960533375947972</c:v>
                </c:pt>
                <c:pt idx="34">
                  <c:v>0.62703732040510551</c:v>
                </c:pt>
                <c:pt idx="35">
                  <c:v>0.59607735271010331</c:v>
                </c:pt>
                <c:pt idx="36">
                  <c:v>0.56664603342004194</c:v>
                </c:pt>
                <c:pt idx="37">
                  <c:v>0.53866788551992739</c:v>
                </c:pt>
                <c:pt idx="38">
                  <c:v>0.51207115867238095</c:v>
                </c:pt>
                <c:pt idx="39">
                  <c:v>0.48678764521293211</c:v>
                </c:pt>
                <c:pt idx="40">
                  <c:v>0.46275250523054356</c:v>
                </c:pt>
                <c:pt idx="41">
                  <c:v>0.44045449635268874</c:v>
                </c:pt>
                <c:pt idx="42">
                  <c:v>0.41923093049631294</c:v>
                </c:pt>
                <c:pt idx="43">
                  <c:v>0.39903003497566975</c:v>
                </c:pt>
                <c:pt idx="44">
                  <c:v>0.37980253180313606</c:v>
                </c:pt>
                <c:pt idx="45">
                  <c:v>0.36150151748067683</c:v>
                </c:pt>
                <c:pt idx="46">
                  <c:v>0.34408234858363057</c:v>
                </c:pt>
                <c:pt idx="47">
                  <c:v>0.32750253285770903</c:v>
                </c:pt>
                <c:pt idx="48">
                  <c:v>0.31172162556355421</c:v>
                </c:pt>
                <c:pt idx="49">
                  <c:v>0.29670113081599453</c:v>
                </c:pt>
                <c:pt idx="50">
                  <c:v>0.28240440767732972</c:v>
                </c:pt>
                <c:pt idx="51">
                  <c:v>0.26879658077556667</c:v>
                </c:pt>
                <c:pt idx="52">
                  <c:v>0.25584445522956978</c:v>
                </c:pt>
                <c:pt idx="53">
                  <c:v>0.24351643567359413</c:v>
                </c:pt>
                <c:pt idx="54">
                  <c:v>0.23178244918367089</c:v>
                </c:pt>
                <c:pt idx="55">
                  <c:v>0.22061387191783072</c:v>
                </c:pt>
                <c:pt idx="56">
                  <c:v>0.20998345929121309</c:v>
                </c:pt>
                <c:pt idx="57">
                  <c:v>0.19986527951572935</c:v>
                </c:pt>
                <c:pt idx="58">
                  <c:v>0.19023465034215761</c:v>
                </c:pt>
                <c:pt idx="59">
                  <c:v>0.18106807885035825</c:v>
                </c:pt>
                <c:pt idx="60">
                  <c:v>0.17234320414073365</c:v>
                </c:pt>
                <c:pt idx="61">
                  <c:v>0.16403874278713498</c:v>
                </c:pt>
                <c:pt idx="62">
                  <c:v>0.15613443691815351</c:v>
                </c:pt>
                <c:pt idx="63">
                  <c:v>0.14861100480014613</c:v>
                </c:pt>
                <c:pt idx="64">
                  <c:v>0.14145009380144782</c:v>
                </c:pt>
                <c:pt idx="65">
                  <c:v>0.13463423562303187</c:v>
                </c:pt>
                <c:pt idx="66">
                  <c:v>0.12814680368640752</c:v>
                </c:pt>
                <c:pt idx="67">
                  <c:v>0.12197197257480789</c:v>
                </c:pt>
                <c:pt idx="68">
                  <c:v>0.11609467942872853</c:v>
                </c:pt>
                <c:pt idx="69">
                  <c:v>0.11050058720164524</c:v>
                </c:pt>
                <c:pt idx="70">
                  <c:v>0.10517604968627747</c:v>
                </c:pt>
                <c:pt idx="71">
                  <c:v>0.1001080782260821</c:v>
                </c:pt>
                <c:pt idx="72">
                  <c:v>9.5284310030774172E-2</c:v>
                </c:pt>
                <c:pt idx="73">
                  <c:v>9.0692978018583406E-2</c:v>
                </c:pt>
                <c:pt idx="74">
                  <c:v>8.6322882111679641E-2</c:v>
                </c:pt>
                <c:pt idx="75">
                  <c:v>8.2163361914745645E-2</c:v>
                </c:pt>
                <c:pt idx="76">
                  <c:v>7.8204270710049414E-2</c:v>
                </c:pt>
                <c:pt idx="77">
                  <c:v>7.4435950705579471E-2</c:v>
                </c:pt>
                <c:pt idx="78">
                  <c:v>7.0849209475863886E-2</c:v>
                </c:pt>
                <c:pt idx="79">
                  <c:v>6.7435297538002523E-2</c:v>
                </c:pt>
                <c:pt idx="80">
                  <c:v>6.4185887008211817E-2</c:v>
                </c:pt>
                <c:pt idx="81">
                  <c:v>6.1093051286816726E-2</c:v>
                </c:pt>
                <c:pt idx="82">
                  <c:v>5.8149245722133723E-2</c:v>
                </c:pt>
                <c:pt idx="83">
                  <c:v>5.5347289206076122E-2</c:v>
                </c:pt>
                <c:pt idx="84">
                  <c:v>5.2680346656586441E-2</c:v>
                </c:pt>
                <c:pt idx="85">
                  <c:v>5.0141912344163195E-2</c:v>
                </c:pt>
                <c:pt idx="86">
                  <c:v>4.7725794021809126E-2</c:v>
                </c:pt>
                <c:pt idx="87">
                  <c:v>4.5426097819687455E-2</c:v>
                </c:pt>
                <c:pt idx="88">
                  <c:v>4.3237213867638277E-2</c:v>
                </c:pt>
                <c:pt idx="89">
                  <c:v>4.1153802610482612E-2</c:v>
                </c:pt>
                <c:pt idx="90">
                  <c:v>3.9170781782731819E-2</c:v>
                </c:pt>
                <c:pt idx="91">
                  <c:v>3.7283314010928569E-2</c:v>
                </c:pt>
                <c:pt idx="92">
                  <c:v>3.5486795013376392E-2</c:v>
                </c:pt>
              </c:numCache>
            </c:numRef>
          </c:cat>
          <c:val>
            <c:numRef>
              <c:f>FSN_aUSDT!$R$8:$R$100</c:f>
              <c:numCache>
                <c:formatCode>[$$-409]#,##0</c:formatCode>
                <c:ptCount val="93"/>
                <c:pt idx="0">
                  <c:v>2547.9690380814127</c:v>
                </c:pt>
                <c:pt idx="1">
                  <c:v>2484.2698121293765</c:v>
                </c:pt>
                <c:pt idx="2">
                  <c:v>2422.1630668261428</c:v>
                </c:pt>
                <c:pt idx="3">
                  <c:v>2361.6089901554892</c:v>
                </c:pt>
                <c:pt idx="4">
                  <c:v>2302.5687654016015</c:v>
                </c:pt>
                <c:pt idx="5">
                  <c:v>2245.0045462665612</c:v>
                </c:pt>
                <c:pt idx="6">
                  <c:v>2188.8794326098973</c:v>
                </c:pt>
                <c:pt idx="7">
                  <c:v>2134.1574467946502</c:v>
                </c:pt>
                <c:pt idx="8">
                  <c:v>2080.8035106247839</c:v>
                </c:pt>
                <c:pt idx="9">
                  <c:v>2028.7834228591641</c:v>
                </c:pt>
                <c:pt idx="10">
                  <c:v>1978.0638372876849</c:v>
                </c:pt>
                <c:pt idx="11">
                  <c:v>1928.6122413554924</c:v>
                </c:pt>
                <c:pt idx="12">
                  <c:v>1880.3969353216055</c:v>
                </c:pt>
                <c:pt idx="13">
                  <c:v>1833.3870119385651</c:v>
                </c:pt>
                <c:pt idx="14">
                  <c:v>1787.5523366401007</c:v>
                </c:pt>
                <c:pt idx="15">
                  <c:v>1742.8635282240984</c:v>
                </c:pt>
                <c:pt idx="16">
                  <c:v>1699.2919400184958</c:v>
                </c:pt>
                <c:pt idx="17">
                  <c:v>1656.8096415180335</c:v>
                </c:pt>
                <c:pt idx="18">
                  <c:v>1615.3894004800827</c:v>
                </c:pt>
                <c:pt idx="19">
                  <c:v>1575.0046654680802</c:v>
                </c:pt>
                <c:pt idx="20">
                  <c:v>1535.6295488313788</c:v>
                </c:pt>
                <c:pt idx="21">
                  <c:v>1497.2388101105942</c:v>
                </c:pt>
                <c:pt idx="22">
                  <c:v>1459.8078398578295</c:v>
                </c:pt>
                <c:pt idx="23">
                  <c:v>1423.3126438613835</c:v>
                </c:pt>
                <c:pt idx="24">
                  <c:v>1387.729827764849</c:v>
                </c:pt>
                <c:pt idx="25">
                  <c:v>1353.0365820707277</c:v>
                </c:pt>
                <c:pt idx="26">
                  <c:v>1319.2106675189596</c:v>
                </c:pt>
                <c:pt idx="27">
                  <c:v>1286.2304008309857</c:v>
                </c:pt>
                <c:pt idx="28">
                  <c:v>1254.0746408102111</c:v>
                </c:pt>
                <c:pt idx="29">
                  <c:v>1222.7227747899558</c:v>
                </c:pt>
                <c:pt idx="30">
                  <c:v>1192.1547054202067</c:v>
                </c:pt>
                <c:pt idx="31">
                  <c:v>1162.3508377847015</c:v>
                </c:pt>
                <c:pt idx="32">
                  <c:v>1133.2920668400841</c:v>
                </c:pt>
                <c:pt idx="33">
                  <c:v>1104.9597651690817</c:v>
                </c:pt>
                <c:pt idx="34">
                  <c:v>1077.335771039855</c:v>
                </c:pt>
                <c:pt idx="35">
                  <c:v>1050.4023767638585</c:v>
                </c:pt>
                <c:pt idx="36">
                  <c:v>1024.142317344762</c:v>
                </c:pt>
                <c:pt idx="37">
                  <c:v>998.53875941114291</c:v>
                </c:pt>
                <c:pt idx="38">
                  <c:v>973.5752904258643</c:v>
                </c:pt>
                <c:pt idx="39">
                  <c:v>949.23590816521767</c:v>
                </c:pt>
                <c:pt idx="40">
                  <c:v>925.50501046108718</c:v>
                </c:pt>
                <c:pt idx="41">
                  <c:v>902.93171752301191</c:v>
                </c:pt>
                <c:pt idx="42">
                  <c:v>880.90899270537761</c:v>
                </c:pt>
                <c:pt idx="43">
                  <c:v>859.42340751744166</c:v>
                </c:pt>
                <c:pt idx="44">
                  <c:v>838.46186099262593</c:v>
                </c:pt>
                <c:pt idx="45">
                  <c:v>818.011571700123</c:v>
                </c:pt>
                <c:pt idx="46">
                  <c:v>798.06006995133953</c:v>
                </c:pt>
                <c:pt idx="47">
                  <c:v>778.5951901964288</c:v>
                </c:pt>
                <c:pt idx="48">
                  <c:v>759.6050636062721</c:v>
                </c:pt>
                <c:pt idx="49">
                  <c:v>741.07811083538752</c:v>
                </c:pt>
                <c:pt idx="50">
                  <c:v>723.00303496135359</c:v>
                </c:pt>
                <c:pt idx="51">
                  <c:v>705.36881459644258</c:v>
                </c:pt>
                <c:pt idx="52">
                  <c:v>688.16469716726112</c:v>
                </c:pt>
                <c:pt idx="53">
                  <c:v>671.38019235830359</c:v>
                </c:pt>
                <c:pt idx="54">
                  <c:v>655.00506571541837</c:v>
                </c:pt>
                <c:pt idx="55">
                  <c:v>639.02933240528625</c:v>
                </c:pt>
                <c:pt idx="56">
                  <c:v>623.44325112710851</c:v>
                </c:pt>
                <c:pt idx="57">
                  <c:v>608.23731817278895</c:v>
                </c:pt>
                <c:pt idx="58">
                  <c:v>593.40226163198906</c:v>
                </c:pt>
                <c:pt idx="59">
                  <c:v>578.92903573852607</c:v>
                </c:pt>
                <c:pt idx="60">
                  <c:v>564.8088153546596</c:v>
                </c:pt>
                <c:pt idx="61">
                  <c:v>551.03299058991195</c:v>
                </c:pt>
                <c:pt idx="62">
                  <c:v>537.59316155113368</c:v>
                </c:pt>
                <c:pt idx="63">
                  <c:v>524.48113322061829</c:v>
                </c:pt>
                <c:pt idx="64">
                  <c:v>511.68891045913966</c:v>
                </c:pt>
                <c:pt idx="65">
                  <c:v>499.20869313086803</c:v>
                </c:pt>
                <c:pt idx="66">
                  <c:v>487.0328713471884</c:v>
                </c:pt>
                <c:pt idx="67">
                  <c:v>475.15402082652531</c:v>
                </c:pt>
                <c:pt idx="68">
                  <c:v>463.56489836734181</c:v>
                </c:pt>
                <c:pt idx="69">
                  <c:v>452.25843743155298</c:v>
                </c:pt>
                <c:pt idx="70">
                  <c:v>441.2277438356615</c:v>
                </c:pt>
                <c:pt idx="71">
                  <c:v>430.46609154698689</c:v>
                </c:pt>
                <c:pt idx="72">
                  <c:v>419.96691858242633</c:v>
                </c:pt>
                <c:pt idx="73">
                  <c:v>409.72382300724513</c:v>
                </c:pt>
                <c:pt idx="74">
                  <c:v>399.73055903145877</c:v>
                </c:pt>
                <c:pt idx="75">
                  <c:v>389.9810332014232</c:v>
                </c:pt>
                <c:pt idx="76">
                  <c:v>380.46930068431539</c:v>
                </c:pt>
                <c:pt idx="77">
                  <c:v>371.18956164323453</c:v>
                </c:pt>
                <c:pt idx="78">
                  <c:v>362.13615770071664</c:v>
                </c:pt>
                <c:pt idx="79">
                  <c:v>353.30356848850408</c:v>
                </c:pt>
                <c:pt idx="80">
                  <c:v>344.68640828146744</c:v>
                </c:pt>
                <c:pt idx="81">
                  <c:v>336.27942271362679</c:v>
                </c:pt>
                <c:pt idx="82">
                  <c:v>328.0774855742701</c:v>
                </c:pt>
                <c:pt idx="83">
                  <c:v>320.07559568221473</c:v>
                </c:pt>
                <c:pt idx="84">
                  <c:v>312.26887383630708</c:v>
                </c:pt>
                <c:pt idx="85">
                  <c:v>304.6525598402996</c:v>
                </c:pt>
                <c:pt idx="86">
                  <c:v>297.22200960029244</c:v>
                </c:pt>
                <c:pt idx="87">
                  <c:v>289.97269229296819</c:v>
                </c:pt>
                <c:pt idx="88">
                  <c:v>282.90018760289581</c:v>
                </c:pt>
                <c:pt idx="89">
                  <c:v>276.00018302721548</c:v>
                </c:pt>
                <c:pt idx="90">
                  <c:v>269.26847124606394</c:v>
                </c:pt>
                <c:pt idx="91">
                  <c:v>262.70094755713558</c:v>
                </c:pt>
                <c:pt idx="92">
                  <c:v>256.29360737281519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9-4E72-B68A-343CEED1F16A}"/>
            </c:ext>
          </c:extLst>
        </c:ser>
        <c:ser>
          <c:idx val="1"/>
          <c:order val="1"/>
          <c:tx>
            <c:strRef>
              <c:f>FSN_aUSDT!$T$7</c:f>
              <c:strCache>
                <c:ptCount val="1"/>
                <c:pt idx="0">
                  <c:v> HODL 2000 FSN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3.5073533614837622</c:v>
                </c:pt>
                <c:pt idx="1">
                  <c:v>3.3341777892605005</c:v>
                </c:pt>
                <c:pt idx="2">
                  <c:v>3.1695527609157637</c:v>
                </c:pt>
                <c:pt idx="3">
                  <c:v>3.0130560933455479</c:v>
                </c:pt>
                <c:pt idx="4">
                  <c:v>2.8642864487366109</c:v>
                </c:pt>
                <c:pt idx="5">
                  <c:v>2.7228623053302408</c:v>
                </c:pt>
                <c:pt idx="6">
                  <c:v>2.5884209790045598</c:v>
                </c:pt>
                <c:pt idx="7">
                  <c:v>2.4606176931662103</c:v>
                </c:pt>
                <c:pt idx="8">
                  <c:v>2.3391246945661286</c:v>
                </c:pt>
                <c:pt idx="9">
                  <c:v>2.2236304127719255</c:v>
                </c:pt>
                <c:pt idx="10">
                  <c:v>2.1138386611413118</c:v>
                </c:pt>
                <c:pt idx="11">
                  <c:v>2.009467877247459</c:v>
                </c:pt>
                <c:pt idx="12">
                  <c:v>1.9102504008083658</c:v>
                </c:pt>
                <c:pt idx="13">
                  <c:v>1.8159317872684526</c:v>
                </c:pt>
                <c:pt idx="14">
                  <c:v>1.7262701552720725</c:v>
                </c:pt>
                <c:pt idx="15">
                  <c:v>1.6410355663555143</c:v>
                </c:pt>
                <c:pt idx="16">
                  <c:v>1.5600094352667107</c:v>
                </c:pt>
                <c:pt idx="17">
                  <c:v>1.4829839694004168</c:v>
                </c:pt>
                <c:pt idx="18">
                  <c:v>1.4097616359112712</c:v>
                </c:pt>
                <c:pt idx="19">
                  <c:v>1.3401546551381518</c:v>
                </c:pt>
                <c:pt idx="20">
                  <c:v>1.273984519040706</c:v>
                </c:pt>
                <c:pt idx="21">
                  <c:v>1.2110815334130709</c:v>
                </c:pt>
                <c:pt idx="22">
                  <c:v>1.1512843827008008</c:v>
                </c:pt>
                <c:pt idx="23">
                  <c:v>1.0944397163049486</c:v>
                </c:pt>
                <c:pt idx="24">
                  <c:v>1.0404017553123919</c:v>
                </c:pt>
                <c:pt idx="25">
                  <c:v>0.98903191864384266</c:v>
                </c:pt>
                <c:pt idx="26">
                  <c:v>0.94019846766080284</c:v>
                </c:pt>
                <c:pt idx="27">
                  <c:v>0.8937761683200508</c:v>
                </c:pt>
                <c:pt idx="28">
                  <c:v>0.84964597000924813</c:v>
                </c:pt>
                <c:pt idx="29">
                  <c:v>0.80769470024004153</c:v>
                </c:pt>
                <c:pt idx="30">
                  <c:v>0.76781477441568946</c:v>
                </c:pt>
                <c:pt idx="31">
                  <c:v>0.72990391992891468</c:v>
                </c:pt>
                <c:pt idx="32">
                  <c:v>0.69386491388242455</c:v>
                </c:pt>
                <c:pt idx="33">
                  <c:v>0.65960533375947972</c:v>
                </c:pt>
                <c:pt idx="34">
                  <c:v>0.62703732040510551</c:v>
                </c:pt>
                <c:pt idx="35">
                  <c:v>0.59607735271010331</c:v>
                </c:pt>
                <c:pt idx="36">
                  <c:v>0.56664603342004194</c:v>
                </c:pt>
                <c:pt idx="37">
                  <c:v>0.53866788551992739</c:v>
                </c:pt>
                <c:pt idx="38">
                  <c:v>0.51207115867238095</c:v>
                </c:pt>
                <c:pt idx="39">
                  <c:v>0.48678764521293211</c:v>
                </c:pt>
                <c:pt idx="40">
                  <c:v>0.46275250523054356</c:v>
                </c:pt>
                <c:pt idx="41">
                  <c:v>0.44045449635268874</c:v>
                </c:pt>
                <c:pt idx="42">
                  <c:v>0.41923093049631294</c:v>
                </c:pt>
                <c:pt idx="43">
                  <c:v>0.39903003497566975</c:v>
                </c:pt>
                <c:pt idx="44">
                  <c:v>0.37980253180313606</c:v>
                </c:pt>
                <c:pt idx="45">
                  <c:v>0.36150151748067683</c:v>
                </c:pt>
                <c:pt idx="46">
                  <c:v>0.34408234858363057</c:v>
                </c:pt>
                <c:pt idx="47">
                  <c:v>0.32750253285770903</c:v>
                </c:pt>
                <c:pt idx="48">
                  <c:v>0.31172162556355421</c:v>
                </c:pt>
                <c:pt idx="49">
                  <c:v>0.29670113081599453</c:v>
                </c:pt>
                <c:pt idx="50">
                  <c:v>0.28240440767732972</c:v>
                </c:pt>
                <c:pt idx="51">
                  <c:v>0.26879658077556667</c:v>
                </c:pt>
                <c:pt idx="52">
                  <c:v>0.25584445522956978</c:v>
                </c:pt>
                <c:pt idx="53">
                  <c:v>0.24351643567359413</c:v>
                </c:pt>
                <c:pt idx="54">
                  <c:v>0.23178244918367089</c:v>
                </c:pt>
                <c:pt idx="55">
                  <c:v>0.22061387191783072</c:v>
                </c:pt>
                <c:pt idx="56">
                  <c:v>0.20998345929121309</c:v>
                </c:pt>
                <c:pt idx="57">
                  <c:v>0.19986527951572935</c:v>
                </c:pt>
                <c:pt idx="58">
                  <c:v>0.19023465034215761</c:v>
                </c:pt>
                <c:pt idx="59">
                  <c:v>0.18106807885035825</c:v>
                </c:pt>
                <c:pt idx="60">
                  <c:v>0.17234320414073365</c:v>
                </c:pt>
                <c:pt idx="61">
                  <c:v>0.16403874278713498</c:v>
                </c:pt>
                <c:pt idx="62">
                  <c:v>0.15613443691815351</c:v>
                </c:pt>
                <c:pt idx="63">
                  <c:v>0.14861100480014613</c:v>
                </c:pt>
                <c:pt idx="64">
                  <c:v>0.14145009380144782</c:v>
                </c:pt>
                <c:pt idx="65">
                  <c:v>0.13463423562303187</c:v>
                </c:pt>
                <c:pt idx="66">
                  <c:v>0.12814680368640752</c:v>
                </c:pt>
                <c:pt idx="67">
                  <c:v>0.12197197257480789</c:v>
                </c:pt>
                <c:pt idx="68">
                  <c:v>0.11609467942872853</c:v>
                </c:pt>
                <c:pt idx="69">
                  <c:v>0.11050058720164524</c:v>
                </c:pt>
                <c:pt idx="70">
                  <c:v>0.10517604968627747</c:v>
                </c:pt>
                <c:pt idx="71">
                  <c:v>0.1001080782260821</c:v>
                </c:pt>
                <c:pt idx="72">
                  <c:v>9.5284310030774172E-2</c:v>
                </c:pt>
                <c:pt idx="73">
                  <c:v>9.0692978018583406E-2</c:v>
                </c:pt>
                <c:pt idx="74">
                  <c:v>8.6322882111679641E-2</c:v>
                </c:pt>
                <c:pt idx="75">
                  <c:v>8.2163361914745645E-2</c:v>
                </c:pt>
                <c:pt idx="76">
                  <c:v>7.8204270710049414E-2</c:v>
                </c:pt>
                <c:pt idx="77">
                  <c:v>7.4435950705579471E-2</c:v>
                </c:pt>
                <c:pt idx="78">
                  <c:v>7.0849209475863886E-2</c:v>
                </c:pt>
                <c:pt idx="79">
                  <c:v>6.7435297538002523E-2</c:v>
                </c:pt>
                <c:pt idx="80">
                  <c:v>6.4185887008211817E-2</c:v>
                </c:pt>
                <c:pt idx="81">
                  <c:v>6.1093051286816726E-2</c:v>
                </c:pt>
                <c:pt idx="82">
                  <c:v>5.8149245722133723E-2</c:v>
                </c:pt>
                <c:pt idx="83">
                  <c:v>5.5347289206076122E-2</c:v>
                </c:pt>
                <c:pt idx="84">
                  <c:v>5.2680346656586441E-2</c:v>
                </c:pt>
                <c:pt idx="85">
                  <c:v>5.0141912344163195E-2</c:v>
                </c:pt>
                <c:pt idx="86">
                  <c:v>4.7725794021809126E-2</c:v>
                </c:pt>
                <c:pt idx="87">
                  <c:v>4.5426097819687455E-2</c:v>
                </c:pt>
                <c:pt idx="88">
                  <c:v>4.3237213867638277E-2</c:v>
                </c:pt>
                <c:pt idx="89">
                  <c:v>4.1153802610482612E-2</c:v>
                </c:pt>
                <c:pt idx="90">
                  <c:v>3.9170781782731819E-2</c:v>
                </c:pt>
                <c:pt idx="91">
                  <c:v>3.7283314010928569E-2</c:v>
                </c:pt>
                <c:pt idx="92">
                  <c:v>3.5486795013376392E-2</c:v>
                </c:pt>
              </c:numCache>
            </c:numRef>
          </c:cat>
          <c:val>
            <c:numRef>
              <c:f>FSN_aUSDT!$T$8:$T$100</c:f>
              <c:numCache>
                <c:formatCode>[$$-409]#,##0</c:formatCode>
                <c:ptCount val="93"/>
                <c:pt idx="0">
                  <c:v>7014.706722967524</c:v>
                </c:pt>
                <c:pt idx="1">
                  <c:v>6668.355578521001</c:v>
                </c:pt>
                <c:pt idx="2">
                  <c:v>6339.1055218315269</c:v>
                </c:pt>
                <c:pt idx="3">
                  <c:v>6026.1121866910962</c:v>
                </c:pt>
                <c:pt idx="4">
                  <c:v>5728.5728974732219</c:v>
                </c:pt>
                <c:pt idx="5">
                  <c:v>5445.7246106604816</c:v>
                </c:pt>
                <c:pt idx="6">
                  <c:v>5176.8419580091195</c:v>
                </c:pt>
                <c:pt idx="7">
                  <c:v>4921.2353863324206</c:v>
                </c:pt>
                <c:pt idx="8">
                  <c:v>4678.2493891322574</c:v>
                </c:pt>
                <c:pt idx="9">
                  <c:v>4447.2608255438508</c:v>
                </c:pt>
                <c:pt idx="10">
                  <c:v>4227.6773222826232</c:v>
                </c:pt>
                <c:pt idx="11">
                  <c:v>4018.935754494918</c:v>
                </c:pt>
                <c:pt idx="12">
                  <c:v>3820.5008016167317</c:v>
                </c:pt>
                <c:pt idx="13">
                  <c:v>3631.8635745369052</c:v>
                </c:pt>
                <c:pt idx="14">
                  <c:v>3452.5403105441451</c:v>
                </c:pt>
                <c:pt idx="15">
                  <c:v>3282.0711327110284</c:v>
                </c:pt>
                <c:pt idx="16">
                  <c:v>3120.0188705334213</c:v>
                </c:pt>
                <c:pt idx="17">
                  <c:v>2965.9679388008335</c:v>
                </c:pt>
                <c:pt idx="18">
                  <c:v>2819.5232718225425</c:v>
                </c:pt>
                <c:pt idx="19">
                  <c:v>2680.3093102763037</c:v>
                </c:pt>
                <c:pt idx="20">
                  <c:v>2547.9690380814118</c:v>
                </c:pt>
                <c:pt idx="21">
                  <c:v>2422.1630668261419</c:v>
                </c:pt>
                <c:pt idx="22">
                  <c:v>2302.5687654016015</c:v>
                </c:pt>
                <c:pt idx="23">
                  <c:v>2188.8794326098973</c:v>
                </c:pt>
                <c:pt idx="24">
                  <c:v>2080.8035106247839</c:v>
                </c:pt>
                <c:pt idx="25">
                  <c:v>1978.0638372876854</c:v>
                </c:pt>
                <c:pt idx="26">
                  <c:v>1880.3969353216057</c:v>
                </c:pt>
                <c:pt idx="27">
                  <c:v>1787.5523366401017</c:v>
                </c:pt>
                <c:pt idx="28">
                  <c:v>1699.2919400184962</c:v>
                </c:pt>
                <c:pt idx="29">
                  <c:v>1615.3894004800832</c:v>
                </c:pt>
                <c:pt idx="30">
                  <c:v>1535.629548831379</c:v>
                </c:pt>
                <c:pt idx="31">
                  <c:v>1459.8078398578293</c:v>
                </c:pt>
                <c:pt idx="32">
                  <c:v>1387.729827764849</c:v>
                </c:pt>
                <c:pt idx="33">
                  <c:v>1319.2106675189593</c:v>
                </c:pt>
                <c:pt idx="34">
                  <c:v>1254.0746408102111</c:v>
                </c:pt>
                <c:pt idx="35">
                  <c:v>1192.1547054202067</c:v>
                </c:pt>
                <c:pt idx="36">
                  <c:v>1133.2920668400839</c:v>
                </c:pt>
                <c:pt idx="37">
                  <c:v>1077.3357710398548</c:v>
                </c:pt>
                <c:pt idx="38">
                  <c:v>1024.142317344762</c:v>
                </c:pt>
                <c:pt idx="39">
                  <c:v>973.57529042586418</c:v>
                </c:pt>
                <c:pt idx="40">
                  <c:v>925.50501046108718</c:v>
                </c:pt>
                <c:pt idx="41">
                  <c:v>880.9089927053775</c:v>
                </c:pt>
                <c:pt idx="42">
                  <c:v>838.46186099262593</c:v>
                </c:pt>
                <c:pt idx="43">
                  <c:v>798.06006995133953</c:v>
                </c:pt>
                <c:pt idx="44">
                  <c:v>759.6050636062721</c:v>
                </c:pt>
                <c:pt idx="45">
                  <c:v>723.00303496135371</c:v>
                </c:pt>
                <c:pt idx="46">
                  <c:v>688.16469716726112</c:v>
                </c:pt>
                <c:pt idx="47">
                  <c:v>655.00506571541803</c:v>
                </c:pt>
                <c:pt idx="48">
                  <c:v>623.4432511271084</c:v>
                </c:pt>
                <c:pt idx="49">
                  <c:v>593.40226163198906</c:v>
                </c:pt>
                <c:pt idx="50">
                  <c:v>564.80881535465949</c:v>
                </c:pt>
                <c:pt idx="51">
                  <c:v>537.59316155113333</c:v>
                </c:pt>
                <c:pt idx="52">
                  <c:v>511.68891045913955</c:v>
                </c:pt>
                <c:pt idx="53">
                  <c:v>487.03287134718823</c:v>
                </c:pt>
                <c:pt idx="54">
                  <c:v>463.56489836734175</c:v>
                </c:pt>
                <c:pt idx="55">
                  <c:v>441.22774383566144</c:v>
                </c:pt>
                <c:pt idx="56">
                  <c:v>419.96691858242616</c:v>
                </c:pt>
                <c:pt idx="57">
                  <c:v>399.73055903145871</c:v>
                </c:pt>
                <c:pt idx="58">
                  <c:v>380.46930068431521</c:v>
                </c:pt>
                <c:pt idx="59">
                  <c:v>362.13615770071652</c:v>
                </c:pt>
                <c:pt idx="60">
                  <c:v>344.68640828146727</c:v>
                </c:pt>
                <c:pt idx="61">
                  <c:v>328.07748557426999</c:v>
                </c:pt>
                <c:pt idx="62">
                  <c:v>312.26887383630702</c:v>
                </c:pt>
                <c:pt idx="63">
                  <c:v>297.22200960029227</c:v>
                </c:pt>
                <c:pt idx="64">
                  <c:v>282.90018760289564</c:v>
                </c:pt>
                <c:pt idx="65">
                  <c:v>269.26847124606371</c:v>
                </c:pt>
                <c:pt idx="66">
                  <c:v>256.29360737281502</c:v>
                </c:pt>
                <c:pt idx="67">
                  <c:v>243.94394514961579</c:v>
                </c:pt>
                <c:pt idx="68">
                  <c:v>232.18935885745705</c:v>
                </c:pt>
                <c:pt idx="69">
                  <c:v>221.00117440329049</c:v>
                </c:pt>
                <c:pt idx="70">
                  <c:v>210.35209937255496</c:v>
                </c:pt>
                <c:pt idx="71">
                  <c:v>200.2161564521642</c:v>
                </c:pt>
                <c:pt idx="72">
                  <c:v>190.56862006154833</c:v>
                </c:pt>
                <c:pt idx="73">
                  <c:v>181.38595603716681</c:v>
                </c:pt>
                <c:pt idx="74">
                  <c:v>172.64576422335929</c:v>
                </c:pt>
                <c:pt idx="75">
                  <c:v>164.3267238294913</c:v>
                </c:pt>
                <c:pt idx="76">
                  <c:v>156.40854142009883</c:v>
                </c:pt>
                <c:pt idx="77">
                  <c:v>148.87190141115894</c:v>
                </c:pt>
                <c:pt idx="78">
                  <c:v>141.69841895172777</c:v>
                </c:pt>
                <c:pt idx="79">
                  <c:v>134.87059507600503</c:v>
                </c:pt>
                <c:pt idx="80">
                  <c:v>128.37177401642364</c:v>
                </c:pt>
                <c:pt idx="81">
                  <c:v>122.18610257363345</c:v>
                </c:pt>
                <c:pt idx="82">
                  <c:v>116.29849144426744</c:v>
                </c:pt>
                <c:pt idx="83">
                  <c:v>110.69457841215224</c:v>
                </c:pt>
                <c:pt idx="84">
                  <c:v>105.36069331317289</c:v>
                </c:pt>
                <c:pt idx="85">
                  <c:v>100.28382468832639</c:v>
                </c:pt>
                <c:pt idx="86">
                  <c:v>95.451588043618258</c:v>
                </c:pt>
                <c:pt idx="87">
                  <c:v>90.852195639374912</c:v>
                </c:pt>
                <c:pt idx="88">
                  <c:v>86.474427735276549</c:v>
                </c:pt>
                <c:pt idx="89">
                  <c:v>82.307605220965229</c:v>
                </c:pt>
                <c:pt idx="90">
                  <c:v>78.34156356546363</c:v>
                </c:pt>
                <c:pt idx="91">
                  <c:v>74.566628021857142</c:v>
                </c:pt>
                <c:pt idx="92">
                  <c:v>70.973590026752788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9-4E72-B68A-343CEED1F16A}"/>
            </c:ext>
          </c:extLst>
        </c:ser>
        <c:ser>
          <c:idx val="2"/>
          <c:order val="2"/>
          <c:tx>
            <c:strRef>
              <c:f>FSN_aUSDT!$U$7</c:f>
              <c:strCache>
                <c:ptCount val="1"/>
                <c:pt idx="0">
                  <c:v> HODL 926 aUSDT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3.5073533614837622</c:v>
                </c:pt>
                <c:pt idx="1">
                  <c:v>3.3341777892605005</c:v>
                </c:pt>
                <c:pt idx="2">
                  <c:v>3.1695527609157637</c:v>
                </c:pt>
                <c:pt idx="3">
                  <c:v>3.0130560933455479</c:v>
                </c:pt>
                <c:pt idx="4">
                  <c:v>2.8642864487366109</c:v>
                </c:pt>
                <c:pt idx="5">
                  <c:v>2.7228623053302408</c:v>
                </c:pt>
                <c:pt idx="6">
                  <c:v>2.5884209790045598</c:v>
                </c:pt>
                <c:pt idx="7">
                  <c:v>2.4606176931662103</c:v>
                </c:pt>
                <c:pt idx="8">
                  <c:v>2.3391246945661286</c:v>
                </c:pt>
                <c:pt idx="9">
                  <c:v>2.2236304127719255</c:v>
                </c:pt>
                <c:pt idx="10">
                  <c:v>2.1138386611413118</c:v>
                </c:pt>
                <c:pt idx="11">
                  <c:v>2.009467877247459</c:v>
                </c:pt>
                <c:pt idx="12">
                  <c:v>1.9102504008083658</c:v>
                </c:pt>
                <c:pt idx="13">
                  <c:v>1.8159317872684526</c:v>
                </c:pt>
                <c:pt idx="14">
                  <c:v>1.7262701552720725</c:v>
                </c:pt>
                <c:pt idx="15">
                  <c:v>1.6410355663555143</c:v>
                </c:pt>
                <c:pt idx="16">
                  <c:v>1.5600094352667107</c:v>
                </c:pt>
                <c:pt idx="17">
                  <c:v>1.4829839694004168</c:v>
                </c:pt>
                <c:pt idx="18">
                  <c:v>1.4097616359112712</c:v>
                </c:pt>
                <c:pt idx="19">
                  <c:v>1.3401546551381518</c:v>
                </c:pt>
                <c:pt idx="20">
                  <c:v>1.273984519040706</c:v>
                </c:pt>
                <c:pt idx="21">
                  <c:v>1.2110815334130709</c:v>
                </c:pt>
                <c:pt idx="22">
                  <c:v>1.1512843827008008</c:v>
                </c:pt>
                <c:pt idx="23">
                  <c:v>1.0944397163049486</c:v>
                </c:pt>
                <c:pt idx="24">
                  <c:v>1.0404017553123919</c:v>
                </c:pt>
                <c:pt idx="25">
                  <c:v>0.98903191864384266</c:v>
                </c:pt>
                <c:pt idx="26">
                  <c:v>0.94019846766080284</c:v>
                </c:pt>
                <c:pt idx="27">
                  <c:v>0.8937761683200508</c:v>
                </c:pt>
                <c:pt idx="28">
                  <c:v>0.84964597000924813</c:v>
                </c:pt>
                <c:pt idx="29">
                  <c:v>0.80769470024004153</c:v>
                </c:pt>
                <c:pt idx="30">
                  <c:v>0.76781477441568946</c:v>
                </c:pt>
                <c:pt idx="31">
                  <c:v>0.72990391992891468</c:v>
                </c:pt>
                <c:pt idx="32">
                  <c:v>0.69386491388242455</c:v>
                </c:pt>
                <c:pt idx="33">
                  <c:v>0.65960533375947972</c:v>
                </c:pt>
                <c:pt idx="34">
                  <c:v>0.62703732040510551</c:v>
                </c:pt>
                <c:pt idx="35">
                  <c:v>0.59607735271010331</c:v>
                </c:pt>
                <c:pt idx="36">
                  <c:v>0.56664603342004194</c:v>
                </c:pt>
                <c:pt idx="37">
                  <c:v>0.53866788551992739</c:v>
                </c:pt>
                <c:pt idx="38">
                  <c:v>0.51207115867238095</c:v>
                </c:pt>
                <c:pt idx="39">
                  <c:v>0.48678764521293211</c:v>
                </c:pt>
                <c:pt idx="40">
                  <c:v>0.46275250523054356</c:v>
                </c:pt>
                <c:pt idx="41">
                  <c:v>0.44045449635268874</c:v>
                </c:pt>
                <c:pt idx="42">
                  <c:v>0.41923093049631294</c:v>
                </c:pt>
                <c:pt idx="43">
                  <c:v>0.39903003497566975</c:v>
                </c:pt>
                <c:pt idx="44">
                  <c:v>0.37980253180313606</c:v>
                </c:pt>
                <c:pt idx="45">
                  <c:v>0.36150151748067683</c:v>
                </c:pt>
                <c:pt idx="46">
                  <c:v>0.34408234858363057</c:v>
                </c:pt>
                <c:pt idx="47">
                  <c:v>0.32750253285770903</c:v>
                </c:pt>
                <c:pt idx="48">
                  <c:v>0.31172162556355421</c:v>
                </c:pt>
                <c:pt idx="49">
                  <c:v>0.29670113081599453</c:v>
                </c:pt>
                <c:pt idx="50">
                  <c:v>0.28240440767732972</c:v>
                </c:pt>
                <c:pt idx="51">
                  <c:v>0.26879658077556667</c:v>
                </c:pt>
                <c:pt idx="52">
                  <c:v>0.25584445522956978</c:v>
                </c:pt>
                <c:pt idx="53">
                  <c:v>0.24351643567359413</c:v>
                </c:pt>
                <c:pt idx="54">
                  <c:v>0.23178244918367089</c:v>
                </c:pt>
                <c:pt idx="55">
                  <c:v>0.22061387191783072</c:v>
                </c:pt>
                <c:pt idx="56">
                  <c:v>0.20998345929121309</c:v>
                </c:pt>
                <c:pt idx="57">
                  <c:v>0.19986527951572935</c:v>
                </c:pt>
                <c:pt idx="58">
                  <c:v>0.19023465034215761</c:v>
                </c:pt>
                <c:pt idx="59">
                  <c:v>0.18106807885035825</c:v>
                </c:pt>
                <c:pt idx="60">
                  <c:v>0.17234320414073365</c:v>
                </c:pt>
                <c:pt idx="61">
                  <c:v>0.16403874278713498</c:v>
                </c:pt>
                <c:pt idx="62">
                  <c:v>0.15613443691815351</c:v>
                </c:pt>
                <c:pt idx="63">
                  <c:v>0.14861100480014613</c:v>
                </c:pt>
                <c:pt idx="64">
                  <c:v>0.14145009380144782</c:v>
                </c:pt>
                <c:pt idx="65">
                  <c:v>0.13463423562303187</c:v>
                </c:pt>
                <c:pt idx="66">
                  <c:v>0.12814680368640752</c:v>
                </c:pt>
                <c:pt idx="67">
                  <c:v>0.12197197257480789</c:v>
                </c:pt>
                <c:pt idx="68">
                  <c:v>0.11609467942872853</c:v>
                </c:pt>
                <c:pt idx="69">
                  <c:v>0.11050058720164524</c:v>
                </c:pt>
                <c:pt idx="70">
                  <c:v>0.10517604968627747</c:v>
                </c:pt>
                <c:pt idx="71">
                  <c:v>0.1001080782260821</c:v>
                </c:pt>
                <c:pt idx="72">
                  <c:v>9.5284310030774172E-2</c:v>
                </c:pt>
                <c:pt idx="73">
                  <c:v>9.0692978018583406E-2</c:v>
                </c:pt>
                <c:pt idx="74">
                  <c:v>8.6322882111679641E-2</c:v>
                </c:pt>
                <c:pt idx="75">
                  <c:v>8.2163361914745645E-2</c:v>
                </c:pt>
                <c:pt idx="76">
                  <c:v>7.8204270710049414E-2</c:v>
                </c:pt>
                <c:pt idx="77">
                  <c:v>7.4435950705579471E-2</c:v>
                </c:pt>
                <c:pt idx="78">
                  <c:v>7.0849209475863886E-2</c:v>
                </c:pt>
                <c:pt idx="79">
                  <c:v>6.7435297538002523E-2</c:v>
                </c:pt>
                <c:pt idx="80">
                  <c:v>6.4185887008211817E-2</c:v>
                </c:pt>
                <c:pt idx="81">
                  <c:v>6.1093051286816726E-2</c:v>
                </c:pt>
                <c:pt idx="82">
                  <c:v>5.8149245722133723E-2</c:v>
                </c:pt>
                <c:pt idx="83">
                  <c:v>5.5347289206076122E-2</c:v>
                </c:pt>
                <c:pt idx="84">
                  <c:v>5.2680346656586441E-2</c:v>
                </c:pt>
                <c:pt idx="85">
                  <c:v>5.0141912344163195E-2</c:v>
                </c:pt>
                <c:pt idx="86">
                  <c:v>4.7725794021809126E-2</c:v>
                </c:pt>
                <c:pt idx="87">
                  <c:v>4.5426097819687455E-2</c:v>
                </c:pt>
                <c:pt idx="88">
                  <c:v>4.3237213867638277E-2</c:v>
                </c:pt>
                <c:pt idx="89">
                  <c:v>4.1153802610482612E-2</c:v>
                </c:pt>
                <c:pt idx="90">
                  <c:v>3.9170781782731819E-2</c:v>
                </c:pt>
                <c:pt idx="91">
                  <c:v>3.7283314010928569E-2</c:v>
                </c:pt>
                <c:pt idx="92">
                  <c:v>3.5486795013376392E-2</c:v>
                </c:pt>
              </c:numCache>
            </c:numRef>
          </c:cat>
          <c:val>
            <c:numRef>
              <c:f>FSN_aUSDT!$U$8:$U$100</c:f>
              <c:numCache>
                <c:formatCode>[$$-409]#,##0</c:formatCode>
                <c:ptCount val="93"/>
                <c:pt idx="0">
                  <c:v>925.50501046108718</c:v>
                </c:pt>
                <c:pt idx="1">
                  <c:v>925.50501046108718</c:v>
                </c:pt>
                <c:pt idx="2">
                  <c:v>925.50501046108718</c:v>
                </c:pt>
                <c:pt idx="3">
                  <c:v>925.50501046108718</c:v>
                </c:pt>
                <c:pt idx="4">
                  <c:v>925.50501046108718</c:v>
                </c:pt>
                <c:pt idx="5">
                  <c:v>925.50501046108718</c:v>
                </c:pt>
                <c:pt idx="6">
                  <c:v>925.50501046108718</c:v>
                </c:pt>
                <c:pt idx="7">
                  <c:v>925.50501046108718</c:v>
                </c:pt>
                <c:pt idx="8">
                  <c:v>925.50501046108718</c:v>
                </c:pt>
                <c:pt idx="9">
                  <c:v>925.50501046108718</c:v>
                </c:pt>
                <c:pt idx="10">
                  <c:v>925.50501046108718</c:v>
                </c:pt>
                <c:pt idx="11">
                  <c:v>925.50501046108718</c:v>
                </c:pt>
                <c:pt idx="12">
                  <c:v>925.50501046108718</c:v>
                </c:pt>
                <c:pt idx="13">
                  <c:v>925.50501046108718</c:v>
                </c:pt>
                <c:pt idx="14">
                  <c:v>925.50501046108718</c:v>
                </c:pt>
                <c:pt idx="15">
                  <c:v>925.50501046108718</c:v>
                </c:pt>
                <c:pt idx="16">
                  <c:v>925.50501046108718</c:v>
                </c:pt>
                <c:pt idx="17">
                  <c:v>925.50501046108718</c:v>
                </c:pt>
                <c:pt idx="18">
                  <c:v>925.50501046108718</c:v>
                </c:pt>
                <c:pt idx="19">
                  <c:v>925.50501046108718</c:v>
                </c:pt>
                <c:pt idx="20">
                  <c:v>925.50501046108718</c:v>
                </c:pt>
                <c:pt idx="21">
                  <c:v>925.50501046108718</c:v>
                </c:pt>
                <c:pt idx="22">
                  <c:v>925.50501046108718</c:v>
                </c:pt>
                <c:pt idx="23">
                  <c:v>925.50501046108718</c:v>
                </c:pt>
                <c:pt idx="24">
                  <c:v>925.50501046108718</c:v>
                </c:pt>
                <c:pt idx="25">
                  <c:v>925.50501046108718</c:v>
                </c:pt>
                <c:pt idx="26">
                  <c:v>925.50501046108718</c:v>
                </c:pt>
                <c:pt idx="27">
                  <c:v>925.50501046108718</c:v>
                </c:pt>
                <c:pt idx="28">
                  <c:v>925.50501046108718</c:v>
                </c:pt>
                <c:pt idx="29">
                  <c:v>925.50501046108718</c:v>
                </c:pt>
                <c:pt idx="30">
                  <c:v>925.50501046108718</c:v>
                </c:pt>
                <c:pt idx="31">
                  <c:v>925.50501046108718</c:v>
                </c:pt>
                <c:pt idx="32">
                  <c:v>925.50501046108718</c:v>
                </c:pt>
                <c:pt idx="33">
                  <c:v>925.50501046108718</c:v>
                </c:pt>
                <c:pt idx="34">
                  <c:v>925.50501046108718</c:v>
                </c:pt>
                <c:pt idx="35">
                  <c:v>925.50501046108718</c:v>
                </c:pt>
                <c:pt idx="36">
                  <c:v>925.50501046108718</c:v>
                </c:pt>
                <c:pt idx="37">
                  <c:v>925.50501046108718</c:v>
                </c:pt>
                <c:pt idx="38">
                  <c:v>925.50501046108718</c:v>
                </c:pt>
                <c:pt idx="39">
                  <c:v>925.50501046108718</c:v>
                </c:pt>
                <c:pt idx="40">
                  <c:v>925.50501046108718</c:v>
                </c:pt>
                <c:pt idx="41">
                  <c:v>925.50501046108718</c:v>
                </c:pt>
                <c:pt idx="42">
                  <c:v>925.50501046108718</c:v>
                </c:pt>
                <c:pt idx="43">
                  <c:v>925.50501046108718</c:v>
                </c:pt>
                <c:pt idx="44">
                  <c:v>925.50501046108718</c:v>
                </c:pt>
                <c:pt idx="45">
                  <c:v>925.50501046108718</c:v>
                </c:pt>
                <c:pt idx="46">
                  <c:v>925.50501046108718</c:v>
                </c:pt>
                <c:pt idx="47">
                  <c:v>925.50501046108718</c:v>
                </c:pt>
                <c:pt idx="48">
                  <c:v>925.50501046108718</c:v>
                </c:pt>
                <c:pt idx="49">
                  <c:v>925.50501046108718</c:v>
                </c:pt>
                <c:pt idx="50">
                  <c:v>925.50501046108718</c:v>
                </c:pt>
                <c:pt idx="51">
                  <c:v>925.50501046108718</c:v>
                </c:pt>
                <c:pt idx="52">
                  <c:v>925.50501046108718</c:v>
                </c:pt>
                <c:pt idx="53">
                  <c:v>925.50501046108718</c:v>
                </c:pt>
                <c:pt idx="54">
                  <c:v>925.50501046108718</c:v>
                </c:pt>
                <c:pt idx="55">
                  <c:v>925.50501046108718</c:v>
                </c:pt>
                <c:pt idx="56">
                  <c:v>925.50501046108718</c:v>
                </c:pt>
                <c:pt idx="57">
                  <c:v>925.50501046108718</c:v>
                </c:pt>
                <c:pt idx="58">
                  <c:v>925.50501046108718</c:v>
                </c:pt>
                <c:pt idx="59">
                  <c:v>925.50501046108718</c:v>
                </c:pt>
                <c:pt idx="60">
                  <c:v>925.50501046108718</c:v>
                </c:pt>
                <c:pt idx="61">
                  <c:v>925.50501046108718</c:v>
                </c:pt>
                <c:pt idx="62">
                  <c:v>925.50501046108718</c:v>
                </c:pt>
                <c:pt idx="63">
                  <c:v>925.50501046108718</c:v>
                </c:pt>
                <c:pt idx="64">
                  <c:v>925.50501046108718</c:v>
                </c:pt>
                <c:pt idx="65">
                  <c:v>925.50501046108718</c:v>
                </c:pt>
                <c:pt idx="66">
                  <c:v>925.50501046108718</c:v>
                </c:pt>
                <c:pt idx="67">
                  <c:v>925.50501046108718</c:v>
                </c:pt>
                <c:pt idx="68">
                  <c:v>925.50501046108718</c:v>
                </c:pt>
                <c:pt idx="69">
                  <c:v>925.50501046108718</c:v>
                </c:pt>
                <c:pt idx="70">
                  <c:v>925.50501046108718</c:v>
                </c:pt>
                <c:pt idx="71">
                  <c:v>925.50501046108718</c:v>
                </c:pt>
                <c:pt idx="72">
                  <c:v>925.50501046108718</c:v>
                </c:pt>
                <c:pt idx="73">
                  <c:v>925.50501046108718</c:v>
                </c:pt>
                <c:pt idx="74">
                  <c:v>925.50501046108718</c:v>
                </c:pt>
                <c:pt idx="75">
                  <c:v>925.50501046108718</c:v>
                </c:pt>
                <c:pt idx="76">
                  <c:v>925.50501046108718</c:v>
                </c:pt>
                <c:pt idx="77">
                  <c:v>925.50501046108718</c:v>
                </c:pt>
                <c:pt idx="78">
                  <c:v>925.50501046108718</c:v>
                </c:pt>
                <c:pt idx="79">
                  <c:v>925.50501046108718</c:v>
                </c:pt>
                <c:pt idx="80">
                  <c:v>925.50501046108718</c:v>
                </c:pt>
                <c:pt idx="81">
                  <c:v>925.50501046108718</c:v>
                </c:pt>
                <c:pt idx="82">
                  <c:v>925.50501046108718</c:v>
                </c:pt>
                <c:pt idx="83">
                  <c:v>925.50501046108718</c:v>
                </c:pt>
                <c:pt idx="84">
                  <c:v>925.50501046108718</c:v>
                </c:pt>
                <c:pt idx="85">
                  <c:v>925.50501046108718</c:v>
                </c:pt>
                <c:pt idx="86">
                  <c:v>925.50501046108718</c:v>
                </c:pt>
                <c:pt idx="87">
                  <c:v>925.50501046108718</c:v>
                </c:pt>
                <c:pt idx="88">
                  <c:v>925.50501046108718</c:v>
                </c:pt>
                <c:pt idx="89">
                  <c:v>925.50501046108718</c:v>
                </c:pt>
                <c:pt idx="90">
                  <c:v>925.50501046108718</c:v>
                </c:pt>
                <c:pt idx="91">
                  <c:v>925.50501046108718</c:v>
                </c:pt>
                <c:pt idx="92">
                  <c:v>925.50501046108718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9-4E72-B68A-343CEED1F16A}"/>
            </c:ext>
          </c:extLst>
        </c:ser>
        <c:ser>
          <c:idx val="3"/>
          <c:order val="3"/>
          <c:tx>
            <c:strRef>
              <c:f>FSN_aUSDT!$V$7</c:f>
              <c:strCache>
                <c:ptCount val="1"/>
                <c:pt idx="0">
                  <c:v> HODL 1000 FSN&amp; 463 aUSDT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3.5073533614837622</c:v>
                </c:pt>
                <c:pt idx="1">
                  <c:v>3.3341777892605005</c:v>
                </c:pt>
                <c:pt idx="2">
                  <c:v>3.1695527609157637</c:v>
                </c:pt>
                <c:pt idx="3">
                  <c:v>3.0130560933455479</c:v>
                </c:pt>
                <c:pt idx="4">
                  <c:v>2.8642864487366109</c:v>
                </c:pt>
                <c:pt idx="5">
                  <c:v>2.7228623053302408</c:v>
                </c:pt>
                <c:pt idx="6">
                  <c:v>2.5884209790045598</c:v>
                </c:pt>
                <c:pt idx="7">
                  <c:v>2.4606176931662103</c:v>
                </c:pt>
                <c:pt idx="8">
                  <c:v>2.3391246945661286</c:v>
                </c:pt>
                <c:pt idx="9">
                  <c:v>2.2236304127719255</c:v>
                </c:pt>
                <c:pt idx="10">
                  <c:v>2.1138386611413118</c:v>
                </c:pt>
                <c:pt idx="11">
                  <c:v>2.009467877247459</c:v>
                </c:pt>
                <c:pt idx="12">
                  <c:v>1.9102504008083658</c:v>
                </c:pt>
                <c:pt idx="13">
                  <c:v>1.8159317872684526</c:v>
                </c:pt>
                <c:pt idx="14">
                  <c:v>1.7262701552720725</c:v>
                </c:pt>
                <c:pt idx="15">
                  <c:v>1.6410355663555143</c:v>
                </c:pt>
                <c:pt idx="16">
                  <c:v>1.5600094352667107</c:v>
                </c:pt>
                <c:pt idx="17">
                  <c:v>1.4829839694004168</c:v>
                </c:pt>
                <c:pt idx="18">
                  <c:v>1.4097616359112712</c:v>
                </c:pt>
                <c:pt idx="19">
                  <c:v>1.3401546551381518</c:v>
                </c:pt>
                <c:pt idx="20">
                  <c:v>1.273984519040706</c:v>
                </c:pt>
                <c:pt idx="21">
                  <c:v>1.2110815334130709</c:v>
                </c:pt>
                <c:pt idx="22">
                  <c:v>1.1512843827008008</c:v>
                </c:pt>
                <c:pt idx="23">
                  <c:v>1.0944397163049486</c:v>
                </c:pt>
                <c:pt idx="24">
                  <c:v>1.0404017553123919</c:v>
                </c:pt>
                <c:pt idx="25">
                  <c:v>0.98903191864384266</c:v>
                </c:pt>
                <c:pt idx="26">
                  <c:v>0.94019846766080284</c:v>
                </c:pt>
                <c:pt idx="27">
                  <c:v>0.8937761683200508</c:v>
                </c:pt>
                <c:pt idx="28">
                  <c:v>0.84964597000924813</c:v>
                </c:pt>
                <c:pt idx="29">
                  <c:v>0.80769470024004153</c:v>
                </c:pt>
                <c:pt idx="30">
                  <c:v>0.76781477441568946</c:v>
                </c:pt>
                <c:pt idx="31">
                  <c:v>0.72990391992891468</c:v>
                </c:pt>
                <c:pt idx="32">
                  <c:v>0.69386491388242455</c:v>
                </c:pt>
                <c:pt idx="33">
                  <c:v>0.65960533375947972</c:v>
                </c:pt>
                <c:pt idx="34">
                  <c:v>0.62703732040510551</c:v>
                </c:pt>
                <c:pt idx="35">
                  <c:v>0.59607735271010331</c:v>
                </c:pt>
                <c:pt idx="36">
                  <c:v>0.56664603342004194</c:v>
                </c:pt>
                <c:pt idx="37">
                  <c:v>0.53866788551992739</c:v>
                </c:pt>
                <c:pt idx="38">
                  <c:v>0.51207115867238095</c:v>
                </c:pt>
                <c:pt idx="39">
                  <c:v>0.48678764521293211</c:v>
                </c:pt>
                <c:pt idx="40">
                  <c:v>0.46275250523054356</c:v>
                </c:pt>
                <c:pt idx="41">
                  <c:v>0.44045449635268874</c:v>
                </c:pt>
                <c:pt idx="42">
                  <c:v>0.41923093049631294</c:v>
                </c:pt>
                <c:pt idx="43">
                  <c:v>0.39903003497566975</c:v>
                </c:pt>
                <c:pt idx="44">
                  <c:v>0.37980253180313606</c:v>
                </c:pt>
                <c:pt idx="45">
                  <c:v>0.36150151748067683</c:v>
                </c:pt>
                <c:pt idx="46">
                  <c:v>0.34408234858363057</c:v>
                </c:pt>
                <c:pt idx="47">
                  <c:v>0.32750253285770903</c:v>
                </c:pt>
                <c:pt idx="48">
                  <c:v>0.31172162556355421</c:v>
                </c:pt>
                <c:pt idx="49">
                  <c:v>0.29670113081599453</c:v>
                </c:pt>
                <c:pt idx="50">
                  <c:v>0.28240440767732972</c:v>
                </c:pt>
                <c:pt idx="51">
                  <c:v>0.26879658077556667</c:v>
                </c:pt>
                <c:pt idx="52">
                  <c:v>0.25584445522956978</c:v>
                </c:pt>
                <c:pt idx="53">
                  <c:v>0.24351643567359413</c:v>
                </c:pt>
                <c:pt idx="54">
                  <c:v>0.23178244918367089</c:v>
                </c:pt>
                <c:pt idx="55">
                  <c:v>0.22061387191783072</c:v>
                </c:pt>
                <c:pt idx="56">
                  <c:v>0.20998345929121309</c:v>
                </c:pt>
                <c:pt idx="57">
                  <c:v>0.19986527951572935</c:v>
                </c:pt>
                <c:pt idx="58">
                  <c:v>0.19023465034215761</c:v>
                </c:pt>
                <c:pt idx="59">
                  <c:v>0.18106807885035825</c:v>
                </c:pt>
                <c:pt idx="60">
                  <c:v>0.17234320414073365</c:v>
                </c:pt>
                <c:pt idx="61">
                  <c:v>0.16403874278713498</c:v>
                </c:pt>
                <c:pt idx="62">
                  <c:v>0.15613443691815351</c:v>
                </c:pt>
                <c:pt idx="63">
                  <c:v>0.14861100480014613</c:v>
                </c:pt>
                <c:pt idx="64">
                  <c:v>0.14145009380144782</c:v>
                </c:pt>
                <c:pt idx="65">
                  <c:v>0.13463423562303187</c:v>
                </c:pt>
                <c:pt idx="66">
                  <c:v>0.12814680368640752</c:v>
                </c:pt>
                <c:pt idx="67">
                  <c:v>0.12197197257480789</c:v>
                </c:pt>
                <c:pt idx="68">
                  <c:v>0.11609467942872853</c:v>
                </c:pt>
                <c:pt idx="69">
                  <c:v>0.11050058720164524</c:v>
                </c:pt>
                <c:pt idx="70">
                  <c:v>0.10517604968627747</c:v>
                </c:pt>
                <c:pt idx="71">
                  <c:v>0.1001080782260821</c:v>
                </c:pt>
                <c:pt idx="72">
                  <c:v>9.5284310030774172E-2</c:v>
                </c:pt>
                <c:pt idx="73">
                  <c:v>9.0692978018583406E-2</c:v>
                </c:pt>
                <c:pt idx="74">
                  <c:v>8.6322882111679641E-2</c:v>
                </c:pt>
                <c:pt idx="75">
                  <c:v>8.2163361914745645E-2</c:v>
                </c:pt>
                <c:pt idx="76">
                  <c:v>7.8204270710049414E-2</c:v>
                </c:pt>
                <c:pt idx="77">
                  <c:v>7.4435950705579471E-2</c:v>
                </c:pt>
                <c:pt idx="78">
                  <c:v>7.0849209475863886E-2</c:v>
                </c:pt>
                <c:pt idx="79">
                  <c:v>6.7435297538002523E-2</c:v>
                </c:pt>
                <c:pt idx="80">
                  <c:v>6.4185887008211817E-2</c:v>
                </c:pt>
                <c:pt idx="81">
                  <c:v>6.1093051286816726E-2</c:v>
                </c:pt>
                <c:pt idx="82">
                  <c:v>5.8149245722133723E-2</c:v>
                </c:pt>
                <c:pt idx="83">
                  <c:v>5.5347289206076122E-2</c:v>
                </c:pt>
                <c:pt idx="84">
                  <c:v>5.2680346656586441E-2</c:v>
                </c:pt>
                <c:pt idx="85">
                  <c:v>5.0141912344163195E-2</c:v>
                </c:pt>
                <c:pt idx="86">
                  <c:v>4.7725794021809126E-2</c:v>
                </c:pt>
                <c:pt idx="87">
                  <c:v>4.5426097819687455E-2</c:v>
                </c:pt>
                <c:pt idx="88">
                  <c:v>4.3237213867638277E-2</c:v>
                </c:pt>
                <c:pt idx="89">
                  <c:v>4.1153802610482612E-2</c:v>
                </c:pt>
                <c:pt idx="90">
                  <c:v>3.9170781782731819E-2</c:v>
                </c:pt>
                <c:pt idx="91">
                  <c:v>3.7283314010928569E-2</c:v>
                </c:pt>
                <c:pt idx="92">
                  <c:v>3.5486795013376392E-2</c:v>
                </c:pt>
              </c:numCache>
            </c:numRef>
          </c:cat>
          <c:val>
            <c:numRef>
              <c:f>FSN_aUSDT!$V$8:$V$100</c:f>
              <c:numCache>
                <c:formatCode>[$$-409]#,##0</c:formatCode>
                <c:ptCount val="93"/>
                <c:pt idx="0">
                  <c:v>3970.1058667143056</c:v>
                </c:pt>
                <c:pt idx="1">
                  <c:v>3796.9302944910442</c:v>
                </c:pt>
                <c:pt idx="2">
                  <c:v>3632.3052661463071</c:v>
                </c:pt>
                <c:pt idx="3">
                  <c:v>3475.8085985760918</c:v>
                </c:pt>
                <c:pt idx="4">
                  <c:v>3327.0389539671546</c:v>
                </c:pt>
                <c:pt idx="5">
                  <c:v>3185.6148105607845</c:v>
                </c:pt>
                <c:pt idx="6">
                  <c:v>3051.1734842351034</c:v>
                </c:pt>
                <c:pt idx="7">
                  <c:v>2923.3701983967539</c:v>
                </c:pt>
                <c:pt idx="8">
                  <c:v>2801.8771997966724</c:v>
                </c:pt>
                <c:pt idx="9">
                  <c:v>2686.3829180024691</c:v>
                </c:pt>
                <c:pt idx="10">
                  <c:v>2576.5911663718553</c:v>
                </c:pt>
                <c:pt idx="11">
                  <c:v>2472.2203824780026</c:v>
                </c:pt>
                <c:pt idx="12">
                  <c:v>2373.0029060389093</c:v>
                </c:pt>
                <c:pt idx="13">
                  <c:v>2278.684292498996</c:v>
                </c:pt>
                <c:pt idx="14">
                  <c:v>2189.022660502616</c:v>
                </c:pt>
                <c:pt idx="15">
                  <c:v>2103.7880715860579</c:v>
                </c:pt>
                <c:pt idx="16">
                  <c:v>2022.7619404972543</c:v>
                </c:pt>
                <c:pt idx="17">
                  <c:v>1945.7364746309604</c:v>
                </c:pt>
                <c:pt idx="18">
                  <c:v>1872.5141411418149</c:v>
                </c:pt>
                <c:pt idx="19">
                  <c:v>1802.9071603686955</c:v>
                </c:pt>
                <c:pt idx="20">
                  <c:v>1736.7370242712495</c:v>
                </c:pt>
                <c:pt idx="21">
                  <c:v>1673.8340386436146</c:v>
                </c:pt>
                <c:pt idx="22">
                  <c:v>1614.0368879313444</c:v>
                </c:pt>
                <c:pt idx="23">
                  <c:v>1557.1922215354923</c:v>
                </c:pt>
                <c:pt idx="24">
                  <c:v>1503.1542605429356</c:v>
                </c:pt>
                <c:pt idx="25">
                  <c:v>1451.7844238743862</c:v>
                </c:pt>
                <c:pt idx="26">
                  <c:v>1402.9509728913465</c:v>
                </c:pt>
                <c:pt idx="27">
                  <c:v>1356.5286735505945</c:v>
                </c:pt>
                <c:pt idx="28">
                  <c:v>1312.3984752397917</c:v>
                </c:pt>
                <c:pt idx="29">
                  <c:v>1270.4472054705852</c:v>
                </c:pt>
                <c:pt idx="30">
                  <c:v>1230.5672796462331</c:v>
                </c:pt>
                <c:pt idx="31">
                  <c:v>1192.6564251594582</c:v>
                </c:pt>
                <c:pt idx="32">
                  <c:v>1156.617419112968</c:v>
                </c:pt>
                <c:pt idx="33">
                  <c:v>1122.3578389900233</c:v>
                </c:pt>
                <c:pt idx="34">
                  <c:v>1089.7898256356491</c:v>
                </c:pt>
                <c:pt idx="35">
                  <c:v>1058.8298579406469</c:v>
                </c:pt>
                <c:pt idx="36">
                  <c:v>1029.3985386505856</c:v>
                </c:pt>
                <c:pt idx="37">
                  <c:v>1001.4203907504709</c:v>
                </c:pt>
                <c:pt idx="38">
                  <c:v>974.82366390292464</c:v>
                </c:pt>
                <c:pt idx="39">
                  <c:v>949.54015044347568</c:v>
                </c:pt>
                <c:pt idx="40">
                  <c:v>925.50501046108718</c:v>
                </c:pt>
                <c:pt idx="41">
                  <c:v>903.20700158323234</c:v>
                </c:pt>
                <c:pt idx="42">
                  <c:v>881.98343572685656</c:v>
                </c:pt>
                <c:pt idx="43">
                  <c:v>861.7825402062133</c:v>
                </c:pt>
                <c:pt idx="44">
                  <c:v>842.55503703367958</c:v>
                </c:pt>
                <c:pt idx="45">
                  <c:v>824.25402271122039</c:v>
                </c:pt>
                <c:pt idx="46">
                  <c:v>806.83485381417415</c:v>
                </c:pt>
                <c:pt idx="47">
                  <c:v>790.2550380882526</c:v>
                </c:pt>
                <c:pt idx="48">
                  <c:v>774.47413079409785</c:v>
                </c:pt>
                <c:pt idx="49">
                  <c:v>759.45363604653812</c:v>
                </c:pt>
                <c:pt idx="50">
                  <c:v>745.15691290787333</c:v>
                </c:pt>
                <c:pt idx="51">
                  <c:v>731.5490860061102</c:v>
                </c:pt>
                <c:pt idx="52">
                  <c:v>718.59696046011334</c:v>
                </c:pt>
                <c:pt idx="53">
                  <c:v>706.26894090413771</c:v>
                </c:pt>
                <c:pt idx="54">
                  <c:v>694.53495441421444</c:v>
                </c:pt>
                <c:pt idx="55">
                  <c:v>683.36637714837434</c:v>
                </c:pt>
                <c:pt idx="56">
                  <c:v>672.73596452175661</c:v>
                </c:pt>
                <c:pt idx="57">
                  <c:v>662.61778474627295</c:v>
                </c:pt>
                <c:pt idx="58">
                  <c:v>652.98715557270123</c:v>
                </c:pt>
                <c:pt idx="59">
                  <c:v>643.82058408090188</c:v>
                </c:pt>
                <c:pt idx="60">
                  <c:v>635.09570937127728</c:v>
                </c:pt>
                <c:pt idx="61">
                  <c:v>626.79124801767853</c:v>
                </c:pt>
                <c:pt idx="62">
                  <c:v>618.88694214869713</c:v>
                </c:pt>
                <c:pt idx="63">
                  <c:v>611.36351003068967</c:v>
                </c:pt>
                <c:pt idx="64">
                  <c:v>604.20259903199144</c:v>
                </c:pt>
                <c:pt idx="65">
                  <c:v>597.38674085357547</c:v>
                </c:pt>
                <c:pt idx="66">
                  <c:v>590.8993089169511</c:v>
                </c:pt>
                <c:pt idx="67">
                  <c:v>584.72447780535151</c:v>
                </c:pt>
                <c:pt idx="68">
                  <c:v>578.8471846592721</c:v>
                </c:pt>
                <c:pt idx="69">
                  <c:v>573.25309243218885</c:v>
                </c:pt>
                <c:pt idx="70">
                  <c:v>567.9285549168211</c:v>
                </c:pt>
                <c:pt idx="71">
                  <c:v>562.8605834566257</c:v>
                </c:pt>
                <c:pt idx="72">
                  <c:v>558.03681526131777</c:v>
                </c:pt>
                <c:pt idx="73">
                  <c:v>553.44548324912694</c:v>
                </c:pt>
                <c:pt idx="74">
                  <c:v>549.07538734222328</c:v>
                </c:pt>
                <c:pt idx="75">
                  <c:v>544.91586714528921</c:v>
                </c:pt>
                <c:pt idx="76">
                  <c:v>540.95677594059305</c:v>
                </c:pt>
                <c:pt idx="77">
                  <c:v>537.18845593612309</c:v>
                </c:pt>
                <c:pt idx="78">
                  <c:v>533.60171470640751</c:v>
                </c:pt>
                <c:pt idx="79">
                  <c:v>530.18780276854613</c:v>
                </c:pt>
                <c:pt idx="80">
                  <c:v>526.93839223875545</c:v>
                </c:pt>
                <c:pt idx="81">
                  <c:v>523.84555651736036</c:v>
                </c:pt>
                <c:pt idx="82">
                  <c:v>520.90175095267728</c:v>
                </c:pt>
                <c:pt idx="83">
                  <c:v>518.09979443661973</c:v>
                </c:pt>
                <c:pt idx="84">
                  <c:v>515.43285188713003</c:v>
                </c:pt>
                <c:pt idx="85">
                  <c:v>512.89441757470684</c:v>
                </c:pt>
                <c:pt idx="86">
                  <c:v>510.47829925235271</c:v>
                </c:pt>
                <c:pt idx="87">
                  <c:v>508.17860305023106</c:v>
                </c:pt>
                <c:pt idx="88">
                  <c:v>505.98971909818187</c:v>
                </c:pt>
                <c:pt idx="89">
                  <c:v>503.90630784102621</c:v>
                </c:pt>
                <c:pt idx="90">
                  <c:v>501.9232870132754</c:v>
                </c:pt>
                <c:pt idx="91">
                  <c:v>500.03581924147215</c:v>
                </c:pt>
                <c:pt idx="92">
                  <c:v>498.23930024391996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9-4E72-B68A-343CEED1F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126960"/>
        <c:axId val="328124992"/>
      </c:lineChart>
      <c:catAx>
        <c:axId val="328126960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FSN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4992"/>
        <c:crosses val="autoZero"/>
        <c:auto val="1"/>
        <c:lblAlgn val="ctr"/>
        <c:lblOffset val="100"/>
        <c:noMultiLvlLbl val="0"/>
      </c:catAx>
      <c:valAx>
        <c:axId val="328124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Holdings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USDT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Basic_Fusion_aUSDT!$E$17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Basic_Fusion_aUSDT!$E$18:$E$22</c:f>
              <c:numCache>
                <c:formatCode>0%</c:formatCode>
                <c:ptCount val="5"/>
                <c:pt idx="0">
                  <c:v>0.22474487139158897</c:v>
                </c:pt>
                <c:pt idx="1">
                  <c:v>0.11803398874989489</c:v>
                </c:pt>
                <c:pt idx="2">
                  <c:v>0</c:v>
                </c:pt>
                <c:pt idx="3">
                  <c:v>-0.1339745962155614</c:v>
                </c:pt>
                <c:pt idx="4">
                  <c:v>-0.29289321881345243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9-4C88-9A65-2DD5EA41C34D}"/>
            </c:ext>
          </c:extLst>
        </c:ser>
        <c:ser>
          <c:idx val="1"/>
          <c:order val="1"/>
          <c:tx>
            <c:strRef>
              <c:f>Basic_Fusion_aUSDT!$J$17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Basic_Fusion_aUSDT!$J$18:$J$22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E49-4C88-9A65-2DD5EA41C34D}"/>
            </c:ext>
          </c:extLst>
        </c:ser>
        <c:ser>
          <c:idx val="2"/>
          <c:order val="2"/>
          <c:tx>
            <c:strRef>
              <c:f>Basic_Fusion_aUSDT!$M$17</c:f>
              <c:strCache>
                <c:ptCount val="1"/>
                <c:pt idx="0">
                  <c:v>Held USDT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Basic_Fusion_aUSDT!$M$18:$M$22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E49-4C88-9A65-2DD5EA41C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FSN Pice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66354265091863518"/>
          <c:h val="0.21875328083989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Fusion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Basic_Fusion_aUSDT!$F$17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Basic_Fusion_aUSDT!$F$18:$F$22</c:f>
              <c:numCache>
                <c:formatCode>0%</c:formatCode>
                <c:ptCount val="5"/>
                <c:pt idx="0">
                  <c:v>-0.18350341907227397</c:v>
                </c:pt>
                <c:pt idx="1">
                  <c:v>-0.10557280900008413</c:v>
                </c:pt>
                <c:pt idx="2">
                  <c:v>0</c:v>
                </c:pt>
                <c:pt idx="3">
                  <c:v>0.1547005383792516</c:v>
                </c:pt>
                <c:pt idx="4">
                  <c:v>0.41421356237309503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7-4B51-B4C2-6A4223F29FC3}"/>
            </c:ext>
          </c:extLst>
        </c:ser>
        <c:ser>
          <c:idx val="1"/>
          <c:order val="1"/>
          <c:tx>
            <c:strRef>
              <c:f>Basic_Fusion_aUSDT!$I$17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Basic_Fusion_aUSDT!$I$18:$I$22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57-4B51-B4C2-6A4223F29FC3}"/>
            </c:ext>
          </c:extLst>
        </c:ser>
        <c:ser>
          <c:idx val="2"/>
          <c:order val="2"/>
          <c:tx>
            <c:strRef>
              <c:f>Basic_Fusion_aUSDT!$L$17</c:f>
              <c:strCache>
                <c:ptCount val="1"/>
                <c:pt idx="0">
                  <c:v>Held USDT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Basic_Fusion_aUSDT!$L$18:$L$22</c:f>
              <c:numCache>
                <c:formatCode>0%</c:formatCode>
                <c:ptCount val="5"/>
                <c:pt idx="0">
                  <c:v>-0.33333333333333326</c:v>
                </c:pt>
                <c:pt idx="1">
                  <c:v>-0.20000000000000009</c:v>
                </c:pt>
                <c:pt idx="2">
                  <c:v>0</c:v>
                </c:pt>
                <c:pt idx="3">
                  <c:v>0.33333333333333354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57-4B51-B4C2-6A4223F29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FSN Pice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1689048955837042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'Basic_Fusion_ANY(orXXX)'!$E$17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'Basic_Fusion_ANY(orXXX)'!$E$18:$E$22</c:f>
              <c:numCache>
                <c:formatCode>0%</c:formatCode>
                <c:ptCount val="5"/>
                <c:pt idx="0">
                  <c:v>-0.18350341907227402</c:v>
                </c:pt>
                <c:pt idx="1">
                  <c:v>-0.10557280900008413</c:v>
                </c:pt>
                <c:pt idx="2">
                  <c:v>0</c:v>
                </c:pt>
                <c:pt idx="3">
                  <c:v>0.15470053837925138</c:v>
                </c:pt>
                <c:pt idx="4">
                  <c:v>0.41421356237309509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B-43E5-8E1E-7FF55A035E15}"/>
            </c:ext>
          </c:extLst>
        </c:ser>
        <c:ser>
          <c:idx val="1"/>
          <c:order val="1"/>
          <c:tx>
            <c:strRef>
              <c:f>'Basic_Fusion_ANY(orXXX)'!$J$17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'Basic_Fusion_ANY(orXXX)'!$J$18:$J$22</c:f>
              <c:numCache>
                <c:formatCode>0%</c:formatCode>
                <c:ptCount val="5"/>
                <c:pt idx="0">
                  <c:v>-0.33333333333333337</c:v>
                </c:pt>
                <c:pt idx="1">
                  <c:v>-0.2</c:v>
                </c:pt>
                <c:pt idx="2">
                  <c:v>0</c:v>
                </c:pt>
                <c:pt idx="3">
                  <c:v>0.33333333333333326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B-43E5-8E1E-7FF55A035E15}"/>
            </c:ext>
          </c:extLst>
        </c:ser>
        <c:ser>
          <c:idx val="2"/>
          <c:order val="2"/>
          <c:tx>
            <c:strRef>
              <c:f>'Basic_Fusion_ANY(orXXX)'!$M$17</c:f>
              <c:strCache>
                <c:ptCount val="1"/>
                <c:pt idx="0">
                  <c:v>Held 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'Basic_Fusion_ANY(orXXX)'!$M$18:$M$22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B-43E5-8E1E-7FF55A035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ANY:FSN Ratio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66354265091863518"/>
          <c:h val="0.21875328083989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Fusion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'Basic_Fusion_ANY(orXXX)'!$F$17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'Basic_Fusion_ANY(orXXX)'!$F$18:$F$22</c:f>
              <c:numCache>
                <c:formatCode>0%</c:formatCode>
                <c:ptCount val="5"/>
                <c:pt idx="0">
                  <c:v>0.22474487139158897</c:v>
                </c:pt>
                <c:pt idx="1">
                  <c:v>0.11803398874989489</c:v>
                </c:pt>
                <c:pt idx="2">
                  <c:v>0</c:v>
                </c:pt>
                <c:pt idx="3">
                  <c:v>-0.1339745962155614</c:v>
                </c:pt>
                <c:pt idx="4">
                  <c:v>-0.29289321881345243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4-4EE2-9DBE-617F850288A2}"/>
            </c:ext>
          </c:extLst>
        </c:ser>
        <c:ser>
          <c:idx val="1"/>
          <c:order val="1"/>
          <c:tx>
            <c:strRef>
              <c:f>'Basic_Fusion_ANY(orXXX)'!$I$17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'Basic_Fusion_ANY(orXXX)'!$I$18:$I$22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4-4EE2-9DBE-617F850288A2}"/>
            </c:ext>
          </c:extLst>
        </c:ser>
        <c:ser>
          <c:idx val="2"/>
          <c:order val="2"/>
          <c:tx>
            <c:strRef>
              <c:f>'Basic_Fusion_ANY(orXXX)'!$L$17</c:f>
              <c:strCache>
                <c:ptCount val="1"/>
                <c:pt idx="0">
                  <c:v>Held 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'Basic_Fusion_ANY(orXXX)'!$L$18:$L$22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04-4EE2-9DBE-617F85028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ANY:FSN Ratio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1689048955837042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1768929</xdr:colOff>
      <xdr:row>1</xdr:row>
      <xdr:rowOff>54429</xdr:rowOff>
    </xdr:from>
    <xdr:to>
      <xdr:col>10</xdr:col>
      <xdr:colOff>993322</xdr:colOff>
      <xdr:row>6</xdr:row>
      <xdr:rowOff>176893</xdr:rowOff>
    </xdr:to>
    <xdr:sp macro="[0]!_xludf.Copy" textlink="">
      <xdr:nvSpPr>
        <xdr:cNvPr id="2" name="Oval 1">
          <a:extLst>
            <a:ext uri="{FF2B5EF4-FFF2-40B4-BE49-F238E27FC236}">
              <a16:creationId xmlns:a16="http://schemas.microsoft.com/office/drawing/2014/main" id="{C0163486-7C51-410F-87E4-5C8119EBE3FB}"/>
            </a:ext>
          </a:extLst>
        </xdr:cNvPr>
        <xdr:cNvSpPr/>
      </xdr:nvSpPr>
      <xdr:spPr>
        <a:xfrm>
          <a:off x="12573000" y="244929"/>
          <a:ext cx="4068536" cy="1074964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800"/>
            <a:t>Copy Data From Impermanent Loss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964312</xdr:colOff>
      <xdr:row>5</xdr:row>
      <xdr:rowOff>36800</xdr:rowOff>
    </xdr:from>
    <xdr:to>
      <xdr:col>48</xdr:col>
      <xdr:colOff>408832</xdr:colOff>
      <xdr:row>55</xdr:row>
      <xdr:rowOff>138546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2E850E-4726-478C-9484-2BE56135F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66240</xdr:colOff>
      <xdr:row>8</xdr:row>
      <xdr:rowOff>132050</xdr:rowOff>
    </xdr:from>
    <xdr:to>
      <xdr:col>51</xdr:col>
      <xdr:colOff>82260</xdr:colOff>
      <xdr:row>59</xdr:row>
      <xdr:rowOff>43296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D733EDF-2505-42D3-AF96-C51E33EB6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38</xdr:row>
      <xdr:rowOff>90487</xdr:rowOff>
    </xdr:from>
    <xdr:to>
      <xdr:col>3</xdr:col>
      <xdr:colOff>666750</xdr:colOff>
      <xdr:row>52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2E506A-4212-47E8-A656-332DF35EE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1209675</xdr:colOff>
      <xdr:row>38</xdr:row>
      <xdr:rowOff>85725</xdr:rowOff>
    </xdr:from>
    <xdr:to>
      <xdr:col>6</xdr:col>
      <xdr:colOff>1924050</xdr:colOff>
      <xdr:row>52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B45EC4-63C5-4783-AC1E-4CE1089C4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265018</xdr:colOff>
      <xdr:row>40</xdr:row>
      <xdr:rowOff>34457</xdr:rowOff>
    </xdr:from>
    <xdr:to>
      <xdr:col>3</xdr:col>
      <xdr:colOff>846043</xdr:colOff>
      <xdr:row>54</xdr:row>
      <xdr:rowOff>110657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C1AE4-37BD-45D9-96CF-D44FBEC9E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1176057</xdr:colOff>
      <xdr:row>39</xdr:row>
      <xdr:rowOff>186578</xdr:rowOff>
    </xdr:from>
    <xdr:to>
      <xdr:col>6</xdr:col>
      <xdr:colOff>1890432</xdr:colOff>
      <xdr:row>54</xdr:row>
      <xdr:rowOff>72278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C487C0-54A2-4469-A46F-821490DC5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946F-403A-4C91-9373-1B96539670F5}">
  <sheetPr codeName="Sheet3"/>
  <dimension ref="A1:S100"/>
  <sheetViews>
    <sheetView tabSelected="1" zoomScaleNormal="100" workbookViewId="0">
      <selection activeCell="M18" sqref="M18"/>
    </sheetView>
  </sheetViews>
  <sheetFormatPr defaultRowHeight="15" x14ac:dyDescent="0.25"/>
  <cols>
    <col min="1" max="1" width="21.42578125" customWidth="1"/>
    <col min="2" max="2" width="10.7109375" hidden="1" customWidth="1"/>
    <col min="3" max="3" width="23.42578125" hidden="1" customWidth="1"/>
    <col min="4" max="4" width="10.85546875" hidden="1" customWidth="1"/>
    <col min="5" max="5" width="27" hidden="1" customWidth="1"/>
    <col min="6" max="6" width="15.7109375" hidden="1" customWidth="1"/>
    <col min="7" max="7" width="16.28515625" hidden="1" customWidth="1"/>
    <col min="8" max="8" width="16.7109375" hidden="1" customWidth="1"/>
    <col min="9" max="9" width="26.140625" hidden="1" customWidth="1"/>
    <col min="10" max="11" width="26.140625" customWidth="1"/>
    <col min="12" max="12" width="23" bestFit="1" customWidth="1"/>
    <col min="13" max="13" width="26.140625" customWidth="1"/>
    <col min="14" max="14" width="0" hidden="1" customWidth="1"/>
    <col min="15" max="15" width="18.42578125" hidden="1" customWidth="1"/>
    <col min="16" max="16" width="35.28515625" hidden="1" customWidth="1"/>
    <col min="17" max="17" width="15.5703125" hidden="1" customWidth="1"/>
    <col min="18" max="18" width="11.28515625" hidden="1" customWidth="1"/>
    <col min="19" max="19" width="0" hidden="1" customWidth="1"/>
  </cols>
  <sheetData>
    <row r="1" spans="1:19" x14ac:dyDescent="0.25">
      <c r="D1" s="40" t="s">
        <v>114</v>
      </c>
      <c r="J1" s="53" t="s">
        <v>137</v>
      </c>
    </row>
    <row r="2" spans="1:19" x14ac:dyDescent="0.25">
      <c r="C2" s="46" t="s">
        <v>95</v>
      </c>
      <c r="D2" s="56">
        <v>3.0000000000000001E-3</v>
      </c>
    </row>
    <row r="3" spans="1:19" x14ac:dyDescent="0.25">
      <c r="C3" s="46" t="s">
        <v>100</v>
      </c>
      <c r="D3" s="40">
        <v>16500</v>
      </c>
      <c r="E3" s="54" t="s">
        <v>113</v>
      </c>
    </row>
    <row r="4" spans="1:19" x14ac:dyDescent="0.25">
      <c r="C4" s="46" t="s">
        <v>96</v>
      </c>
      <c r="D4" s="62">
        <f>G13/H13</f>
        <v>2.2861533651311072</v>
      </c>
    </row>
    <row r="5" spans="1:19" x14ac:dyDescent="0.25">
      <c r="C5" s="82" t="s">
        <v>109</v>
      </c>
      <c r="D5" s="73">
        <f>H11/G11</f>
        <v>0.46275250523054356</v>
      </c>
      <c r="E5" s="54" t="s">
        <v>110</v>
      </c>
    </row>
    <row r="6" spans="1:19" x14ac:dyDescent="0.25">
      <c r="C6" s="71" t="s">
        <v>115</v>
      </c>
      <c r="D6" s="70">
        <f>SUM($G$11:$G$100)</f>
        <v>5729265.4186709998</v>
      </c>
      <c r="F6" s="59"/>
    </row>
    <row r="7" spans="1:19" x14ac:dyDescent="0.25">
      <c r="C7" s="71" t="s">
        <v>116</v>
      </c>
      <c r="D7" s="89">
        <f>1/SUMPRODUCT($G$11:$G$100,$B$11:$B$100)*DAILYANY</f>
        <v>1.5684653461936397E-3</v>
      </c>
      <c r="E7" s="60"/>
      <c r="O7" s="3"/>
      <c r="P7" s="3"/>
      <c r="Q7" s="3"/>
    </row>
    <row r="8" spans="1:19" x14ac:dyDescent="0.25">
      <c r="C8" s="71" t="s">
        <v>123</v>
      </c>
      <c r="D8" s="57">
        <f>SUM($L$11:$L$100)</f>
        <v>9890000</v>
      </c>
      <c r="E8" s="60"/>
      <c r="G8" s="54" t="s">
        <v>135</v>
      </c>
      <c r="O8" s="3"/>
      <c r="P8" s="3"/>
      <c r="Q8" s="3"/>
    </row>
    <row r="9" spans="1:19" x14ac:dyDescent="0.25">
      <c r="G9" s="40" t="s">
        <v>13</v>
      </c>
      <c r="H9" s="40" t="s">
        <v>91</v>
      </c>
      <c r="J9" s="40" t="s">
        <v>13</v>
      </c>
      <c r="K9" s="40" t="s">
        <v>91</v>
      </c>
    </row>
    <row r="10" spans="1:19" x14ac:dyDescent="0.25">
      <c r="B10" s="40" t="s">
        <v>86</v>
      </c>
      <c r="C10" s="40" t="s">
        <v>82</v>
      </c>
      <c r="D10" s="40" t="s">
        <v>83</v>
      </c>
      <c r="E10" s="40" t="s">
        <v>105</v>
      </c>
      <c r="F10" s="40" t="s">
        <v>92</v>
      </c>
      <c r="G10" s="40" t="s">
        <v>84</v>
      </c>
      <c r="H10" s="40" t="s">
        <v>85</v>
      </c>
      <c r="I10" s="40" t="s">
        <v>88</v>
      </c>
      <c r="J10" s="40" t="s">
        <v>133</v>
      </c>
      <c r="K10" s="40" t="s">
        <v>134</v>
      </c>
      <c r="L10" s="40" t="s">
        <v>89</v>
      </c>
      <c r="O10" s="40" t="s">
        <v>120</v>
      </c>
      <c r="P10" s="40" t="s">
        <v>175</v>
      </c>
      <c r="Q10" s="40" t="s">
        <v>121</v>
      </c>
      <c r="R10" s="71" t="s">
        <v>127</v>
      </c>
      <c r="S10" s="40" t="s">
        <v>99</v>
      </c>
    </row>
    <row r="11" spans="1:19" x14ac:dyDescent="0.25">
      <c r="A11" t="str">
        <f>C11&amp;"-"&amp;D11</f>
        <v>FSN-aUSDT</v>
      </c>
      <c r="B11" s="40">
        <f>IF(OR(C11="ANY",D11="ANY"),2,1)</f>
        <v>1</v>
      </c>
      <c r="C11" s="40" t="s">
        <v>13</v>
      </c>
      <c r="D11" s="40" t="s">
        <v>81</v>
      </c>
      <c r="E11" s="42">
        <f t="shared" ref="E11:E42" si="0">B11*G11/SUMPRODUCT($G$11:$G$100,$B$11:$B$100)</f>
        <v>4.7105593555299079E-2</v>
      </c>
      <c r="F11" s="63">
        <f>IFERROR(J11/K11,0)</f>
        <v>2.1609823581652994</v>
      </c>
      <c r="G11" s="106">
        <f>IFERROR(IF(VLOOKUP($A11,'Your Pooling'!$A$12:$K$30,MATCH("Already In Pool?",'Your Pooling'!$A$12:$K$12,0),0)="Y",0,VLOOKUP($A11,'Your Pooling'!$A$12:$K$30,MATCH("Your FSN Pooled",'Your Pooling'!$A$12:$K$12,0),))+J11,J11)</f>
        <v>495543.17253400001</v>
      </c>
      <c r="H11" s="106">
        <f>IFERROR(IF(VLOOKUP($A11,'Your Pooling'!$A$12:$K$30,MATCH("Already In Pool?",'Your Pooling'!$A$12:$K$12,0),0)="Y",0,VLOOKUP($A11,'Your Pooling'!$A$12:$K$30,MATCH("Your XXX Pooled",'Your Pooling'!$A$12:$K$12,0),))+K11,K11)</f>
        <v>229313.84453999999</v>
      </c>
      <c r="I11" s="70">
        <f>G11*H11</f>
        <v>113634910029.32007</v>
      </c>
      <c r="J11" s="76">
        <v>495543.17253400001</v>
      </c>
      <c r="K11" s="76">
        <v>229313.84453999999</v>
      </c>
      <c r="L11" s="77">
        <v>2340000</v>
      </c>
      <c r="O11" s="57">
        <f t="shared" ref="O11:O32" si="1">E11*DAILYANY</f>
        <v>777.2422936624348</v>
      </c>
      <c r="P11" s="40">
        <f t="shared" ref="P11:P32" si="2">L11*FEEREWARDS</f>
        <v>7020</v>
      </c>
      <c r="Q11" s="57">
        <f t="shared" ref="Q11:Q32" si="3">P11*FSNPRICE+O11*ANYFSN*FSNPRICE</f>
        <v>4070.785238916651</v>
      </c>
      <c r="R11" s="58">
        <f t="shared" ref="R11:R32" si="4">IFERROR((Q11/FSNPRICE)/(2*G11),0)</f>
        <v>8.8760128004538568E-3</v>
      </c>
      <c r="S11" s="42">
        <f>R11*365</f>
        <v>3.2397446721656578</v>
      </c>
    </row>
    <row r="12" spans="1:19" x14ac:dyDescent="0.25">
      <c r="A12" t="str">
        <f>C12&amp;"-"&amp;D12</f>
        <v>FSN-aETH</v>
      </c>
      <c r="B12" s="40">
        <f>IF(OR(C12="ANY",D12="ANY"),2,1)</f>
        <v>1</v>
      </c>
      <c r="C12" s="40" t="s">
        <v>13</v>
      </c>
      <c r="D12" s="40" t="s">
        <v>87</v>
      </c>
      <c r="E12" s="42">
        <f t="shared" si="0"/>
        <v>4.2125226848465362E-2</v>
      </c>
      <c r="F12" s="63">
        <f t="shared" ref="F12:F32" si="5">IFERROR(J12/K12,0)</f>
        <v>770.96415702030117</v>
      </c>
      <c r="G12" s="106">
        <f>IFERROR(IF(VLOOKUP($A12,'Your Pooling'!$A$12:$K$30,MATCH("Already In Pool?",'Your Pooling'!$A$12:$K$12,0),0)="Y",0,VLOOKUP($A12,'Your Pooling'!$A$12:$K$30,MATCH("Your FSN Pooled",'Your Pooling'!$A$12:$K$12,0),))+J12,J12)</f>
        <v>443150.52588600002</v>
      </c>
      <c r="H12" s="106">
        <f>IFERROR(IF(VLOOKUP($A12,'Your Pooling'!$A$12:$K$30,MATCH("Already In Pool?",'Your Pooling'!$A$12:$K$12,0),0)="Y",0,VLOOKUP($A12,'Your Pooling'!$A$12:$K$30,MATCH("Your XXX Pooled",'Your Pooling'!$A$12:$K$12,0),))+K12,K12)</f>
        <v>574.80042600000002</v>
      </c>
      <c r="I12" s="70">
        <f>G12*H12</f>
        <v>254723111.06139684</v>
      </c>
      <c r="J12" s="76">
        <v>443150.52588600002</v>
      </c>
      <c r="K12" s="76">
        <v>574.80042600000002</v>
      </c>
      <c r="L12" s="77">
        <v>2320000</v>
      </c>
      <c r="O12" s="57">
        <f t="shared" si="1"/>
        <v>695.06624299967848</v>
      </c>
      <c r="P12" s="40">
        <f t="shared" si="2"/>
        <v>6960</v>
      </c>
      <c r="Q12" s="57">
        <f t="shared" si="3"/>
        <v>3956.0841383642673</v>
      </c>
      <c r="R12" s="58">
        <f t="shared" si="4"/>
        <v>9.6457383338657918E-3</v>
      </c>
      <c r="S12" s="42">
        <f t="shared" ref="S12:S32" si="6">R12*365</f>
        <v>3.5206944918610139</v>
      </c>
    </row>
    <row r="13" spans="1:19" x14ac:dyDescent="0.25">
      <c r="A13" t="str">
        <f>C13&amp;"-"&amp;D13</f>
        <v>FSN-ANY</v>
      </c>
      <c r="B13" s="40">
        <f>IF(OR(C13="ANY",D13="ANY"),2,1)</f>
        <v>2</v>
      </c>
      <c r="C13" s="40" t="s">
        <v>13</v>
      </c>
      <c r="D13" s="40" t="s">
        <v>57</v>
      </c>
      <c r="E13" s="42">
        <f t="shared" si="0"/>
        <v>0.9107691795962356</v>
      </c>
      <c r="F13" s="63">
        <f t="shared" si="5"/>
        <v>2.2861533651311072</v>
      </c>
      <c r="G13" s="106">
        <f>IFERROR(IF(VLOOKUP($A13,'Your Pooling'!$A$12:$K$30,MATCH("Already In Pool?",'Your Pooling'!$A$12:$K$12,0),0)="Y",0,VLOOKUP($A13,'Your Pooling'!$A$12:$K$30,MATCH("Your FSN Pooled",'Your Pooling'!$A$12:$K$12,0),))+J13,J13)</f>
        <v>4790571.7202509996</v>
      </c>
      <c r="H13" s="106">
        <f>IFERROR(IF(VLOOKUP($A13,'Your Pooling'!$A$12:$K$30,MATCH("Already In Pool?",'Your Pooling'!$A$12:$K$12,0),0)="Y",0,VLOOKUP($A13,'Your Pooling'!$A$12:$K$30,MATCH("Your XXX Pooled",'Your Pooling'!$A$12:$K$12,0),))+K13,K13)</f>
        <v>2095472.5930979999</v>
      </c>
      <c r="I13" s="70">
        <f>G13*H13</f>
        <v>10038511745056.309</v>
      </c>
      <c r="J13" s="76">
        <v>4790571.7202509996</v>
      </c>
      <c r="K13" s="76">
        <v>2095472.5930979999</v>
      </c>
      <c r="L13" s="77">
        <v>5230000</v>
      </c>
      <c r="O13" s="57">
        <f t="shared" si="1"/>
        <v>15027.691463337887</v>
      </c>
      <c r="P13" s="40">
        <f t="shared" si="2"/>
        <v>15690</v>
      </c>
      <c r="Q13" s="57">
        <f t="shared" si="3"/>
        <v>23158.730204327658</v>
      </c>
      <c r="R13" s="58">
        <f t="shared" si="4"/>
        <v>5.2233439275635989E-3</v>
      </c>
      <c r="S13" s="42">
        <f t="shared" si="6"/>
        <v>1.9065205335607136</v>
      </c>
    </row>
    <row r="14" spans="1:19" x14ac:dyDescent="0.25">
      <c r="A14" t="str">
        <f t="shared" ref="A14:A77" si="7">C14&amp;"-"&amp;D14</f>
        <v>-</v>
      </c>
      <c r="B14" s="40">
        <f t="shared" ref="B14:B32" si="8">IF(OR(C14="ANY",D14="ANY"),2,1)</f>
        <v>1</v>
      </c>
      <c r="C14" s="40"/>
      <c r="D14" s="40"/>
      <c r="E14" s="42">
        <f t="shared" si="0"/>
        <v>0</v>
      </c>
      <c r="F14" s="63">
        <f t="shared" si="5"/>
        <v>0</v>
      </c>
      <c r="G14" s="106">
        <f>IFERROR(IF(VLOOKUP($A14,'Your Pooling'!$A$12:$K$30,MATCH("Already In Pool?",'Your Pooling'!$A$12:$K$12,0),0)="Y",0,VLOOKUP($A14,'Your Pooling'!$A$12:$K$30,MATCH("Your FSN Pooled",'Your Pooling'!$A$12:$K$12,0),))+J14,J14)</f>
        <v>0</v>
      </c>
      <c r="H14" s="106">
        <f>IFERROR(IF(VLOOKUP($A14,'Your Pooling'!$A$12:$K$30,MATCH("Already In Pool?",'Your Pooling'!$A$12:$K$12,0),0)="Y",0,VLOOKUP($A14,'Your Pooling'!$A$12:$K$30,MATCH("Your XXX Pooled",'Your Pooling'!$A$12:$K$12,0),))+K14,K14)</f>
        <v>0</v>
      </c>
      <c r="I14" s="70">
        <f t="shared" ref="I14:I32" si="9">G14*H14</f>
        <v>0</v>
      </c>
      <c r="J14" s="70"/>
      <c r="K14" s="70"/>
      <c r="L14" s="77"/>
      <c r="O14" s="57">
        <f t="shared" si="1"/>
        <v>0</v>
      </c>
      <c r="P14" s="40">
        <f t="shared" si="2"/>
        <v>0</v>
      </c>
      <c r="Q14" s="57">
        <f t="shared" si="3"/>
        <v>0</v>
      </c>
      <c r="R14" s="58">
        <f t="shared" si="4"/>
        <v>0</v>
      </c>
      <c r="S14" s="42">
        <f t="shared" si="6"/>
        <v>0</v>
      </c>
    </row>
    <row r="15" spans="1:19" x14ac:dyDescent="0.25">
      <c r="A15" t="str">
        <f t="shared" si="7"/>
        <v>-</v>
      </c>
      <c r="B15" s="40">
        <f t="shared" si="8"/>
        <v>1</v>
      </c>
      <c r="C15" s="40"/>
      <c r="D15" s="40"/>
      <c r="E15" s="42">
        <f t="shared" si="0"/>
        <v>0</v>
      </c>
      <c r="F15" s="63">
        <f t="shared" si="5"/>
        <v>0</v>
      </c>
      <c r="G15" s="106">
        <f>IFERROR(IF(VLOOKUP($A15,'Your Pooling'!$A$12:$K$30,MATCH("Already In Pool?",'Your Pooling'!$A$12:$K$12,0),0)="Y",0,VLOOKUP($A15,'Your Pooling'!$A$12:$K$30,MATCH("Your FSN Pooled",'Your Pooling'!$A$12:$K$12,0),))+J15,J15)</f>
        <v>0</v>
      </c>
      <c r="H15" s="106">
        <f>IFERROR(IF(VLOOKUP($A15,'Your Pooling'!$A$12:$K$30,MATCH("Already In Pool?",'Your Pooling'!$A$12:$K$12,0),0)="Y",0,VLOOKUP($A15,'Your Pooling'!$A$12:$K$30,MATCH("Your XXX Pooled",'Your Pooling'!$A$12:$K$12,0),))+K15,K15)</f>
        <v>0</v>
      </c>
      <c r="I15" s="70">
        <f t="shared" si="9"/>
        <v>0</v>
      </c>
      <c r="J15" s="70"/>
      <c r="K15" s="70"/>
      <c r="L15" s="77"/>
      <c r="O15" s="57">
        <f t="shared" si="1"/>
        <v>0</v>
      </c>
      <c r="P15" s="40">
        <f t="shared" si="2"/>
        <v>0</v>
      </c>
      <c r="Q15" s="57">
        <f t="shared" si="3"/>
        <v>0</v>
      </c>
      <c r="R15" s="58">
        <f t="shared" si="4"/>
        <v>0</v>
      </c>
      <c r="S15" s="42">
        <f t="shared" si="6"/>
        <v>0</v>
      </c>
    </row>
    <row r="16" spans="1:19" x14ac:dyDescent="0.25">
      <c r="A16" t="str">
        <f t="shared" si="7"/>
        <v>-</v>
      </c>
      <c r="B16" s="40">
        <f t="shared" si="8"/>
        <v>1</v>
      </c>
      <c r="C16" s="40"/>
      <c r="D16" s="40"/>
      <c r="E16" s="42">
        <f t="shared" si="0"/>
        <v>0</v>
      </c>
      <c r="F16" s="63">
        <f t="shared" si="5"/>
        <v>0</v>
      </c>
      <c r="G16" s="106">
        <f>IFERROR(IF(VLOOKUP($A16,'Your Pooling'!$A$12:$K$30,MATCH("Already In Pool?",'Your Pooling'!$A$12:$K$12,0),0)="Y",0,VLOOKUP($A16,'Your Pooling'!$A$12:$K$30,MATCH("Your FSN Pooled",'Your Pooling'!$A$12:$K$12,0),))+J16,J16)</f>
        <v>0</v>
      </c>
      <c r="H16" s="106">
        <f>IFERROR(IF(VLOOKUP($A16,'Your Pooling'!$A$12:$K$30,MATCH("Already In Pool?",'Your Pooling'!$A$12:$K$12,0),0)="Y",0,VLOOKUP($A16,'Your Pooling'!$A$12:$K$30,MATCH("Your XXX Pooled",'Your Pooling'!$A$12:$K$12,0),))+K16,K16)</f>
        <v>0</v>
      </c>
      <c r="I16" s="70">
        <f t="shared" si="9"/>
        <v>0</v>
      </c>
      <c r="J16" s="70"/>
      <c r="K16" s="70"/>
      <c r="L16" s="77"/>
      <c r="O16" s="57">
        <f t="shared" si="1"/>
        <v>0</v>
      </c>
      <c r="P16" s="40">
        <f t="shared" si="2"/>
        <v>0</v>
      </c>
      <c r="Q16" s="57">
        <f t="shared" si="3"/>
        <v>0</v>
      </c>
      <c r="R16" s="58">
        <f t="shared" si="4"/>
        <v>0</v>
      </c>
      <c r="S16" s="42">
        <f t="shared" si="6"/>
        <v>0</v>
      </c>
    </row>
    <row r="17" spans="1:19" x14ac:dyDescent="0.25">
      <c r="A17" t="str">
        <f t="shared" si="7"/>
        <v>-</v>
      </c>
      <c r="B17" s="40">
        <f t="shared" si="8"/>
        <v>1</v>
      </c>
      <c r="C17" s="40"/>
      <c r="D17" s="40"/>
      <c r="E17" s="42">
        <f t="shared" si="0"/>
        <v>0</v>
      </c>
      <c r="F17" s="63">
        <f t="shared" si="5"/>
        <v>0</v>
      </c>
      <c r="G17" s="106">
        <f>IFERROR(IF(VLOOKUP($A17,'Your Pooling'!$A$12:$K$30,MATCH("Already In Pool?",'Your Pooling'!$A$12:$K$12,0),0)="Y",0,VLOOKUP($A17,'Your Pooling'!$A$12:$K$30,MATCH("Your FSN Pooled",'Your Pooling'!$A$12:$K$12,0),))+J17,J17)</f>
        <v>0</v>
      </c>
      <c r="H17" s="106">
        <f>IFERROR(IF(VLOOKUP($A17,'Your Pooling'!$A$12:$K$30,MATCH("Already In Pool?",'Your Pooling'!$A$12:$K$12,0),0)="Y",0,VLOOKUP($A17,'Your Pooling'!$A$12:$K$30,MATCH("Your XXX Pooled",'Your Pooling'!$A$12:$K$12,0),))+K17,K17)</f>
        <v>0</v>
      </c>
      <c r="I17" s="70">
        <f t="shared" si="9"/>
        <v>0</v>
      </c>
      <c r="J17" s="70"/>
      <c r="K17" s="70"/>
      <c r="L17" s="77"/>
      <c r="O17" s="57">
        <f t="shared" si="1"/>
        <v>0</v>
      </c>
      <c r="P17" s="40">
        <f t="shared" si="2"/>
        <v>0</v>
      </c>
      <c r="Q17" s="57">
        <f t="shared" si="3"/>
        <v>0</v>
      </c>
      <c r="R17" s="58">
        <f t="shared" si="4"/>
        <v>0</v>
      </c>
      <c r="S17" s="42">
        <f t="shared" si="6"/>
        <v>0</v>
      </c>
    </row>
    <row r="18" spans="1:19" x14ac:dyDescent="0.25">
      <c r="A18" t="str">
        <f t="shared" si="7"/>
        <v>-</v>
      </c>
      <c r="B18" s="40">
        <f t="shared" si="8"/>
        <v>1</v>
      </c>
      <c r="C18" s="40"/>
      <c r="D18" s="40"/>
      <c r="E18" s="42">
        <f t="shared" si="0"/>
        <v>0</v>
      </c>
      <c r="F18" s="63">
        <f t="shared" si="5"/>
        <v>0</v>
      </c>
      <c r="G18" s="106">
        <f>IFERROR(IF(VLOOKUP($A18,'Your Pooling'!$A$12:$K$30,MATCH("Already In Pool?",'Your Pooling'!$A$12:$K$12,0),0)="Y",0,VLOOKUP($A18,'Your Pooling'!$A$12:$K$30,MATCH("Your FSN Pooled",'Your Pooling'!$A$12:$K$12,0),))+J18,J18)</f>
        <v>0</v>
      </c>
      <c r="H18" s="106">
        <f>IFERROR(IF(VLOOKUP($A18,'Your Pooling'!$A$12:$K$30,MATCH("Already In Pool?",'Your Pooling'!$A$12:$K$12,0),0)="Y",0,VLOOKUP($A18,'Your Pooling'!$A$12:$K$30,MATCH("Your XXX Pooled",'Your Pooling'!$A$12:$K$12,0),))+K18,K18)</f>
        <v>0</v>
      </c>
      <c r="I18" s="70">
        <f t="shared" si="9"/>
        <v>0</v>
      </c>
      <c r="J18" s="70"/>
      <c r="K18" s="70"/>
      <c r="L18" s="77"/>
      <c r="O18" s="57">
        <f t="shared" si="1"/>
        <v>0</v>
      </c>
      <c r="P18" s="40">
        <f t="shared" si="2"/>
        <v>0</v>
      </c>
      <c r="Q18" s="57">
        <f t="shared" si="3"/>
        <v>0</v>
      </c>
      <c r="R18" s="58">
        <f t="shared" si="4"/>
        <v>0</v>
      </c>
      <c r="S18" s="42">
        <f t="shared" si="6"/>
        <v>0</v>
      </c>
    </row>
    <row r="19" spans="1:19" x14ac:dyDescent="0.25">
      <c r="A19" t="str">
        <f t="shared" si="7"/>
        <v>-</v>
      </c>
      <c r="B19" s="40">
        <f t="shared" si="8"/>
        <v>1</v>
      </c>
      <c r="C19" s="40"/>
      <c r="D19" s="40"/>
      <c r="E19" s="42">
        <f t="shared" si="0"/>
        <v>0</v>
      </c>
      <c r="F19" s="63">
        <f t="shared" si="5"/>
        <v>0</v>
      </c>
      <c r="G19" s="106">
        <f>IFERROR(IF(VLOOKUP($A19,'Your Pooling'!$A$12:$K$30,MATCH("Already In Pool?",'Your Pooling'!$A$12:$K$12,0),0)="Y",0,VLOOKUP($A19,'Your Pooling'!$A$12:$K$30,MATCH("Your FSN Pooled",'Your Pooling'!$A$12:$K$12,0),))+J19,J19)</f>
        <v>0</v>
      </c>
      <c r="H19" s="106">
        <f>IFERROR(IF(VLOOKUP($A19,'Your Pooling'!$A$12:$K$30,MATCH("Already In Pool?",'Your Pooling'!$A$12:$K$12,0),0)="Y",0,VLOOKUP($A19,'Your Pooling'!$A$12:$K$30,MATCH("Your XXX Pooled",'Your Pooling'!$A$12:$K$12,0),))+K19,K19)</f>
        <v>0</v>
      </c>
      <c r="I19" s="70">
        <f t="shared" si="9"/>
        <v>0</v>
      </c>
      <c r="J19" s="70"/>
      <c r="K19" s="70"/>
      <c r="L19" s="77"/>
      <c r="O19" s="57">
        <f t="shared" si="1"/>
        <v>0</v>
      </c>
      <c r="P19" s="40">
        <f t="shared" si="2"/>
        <v>0</v>
      </c>
      <c r="Q19" s="57">
        <f t="shared" si="3"/>
        <v>0</v>
      </c>
      <c r="R19" s="58">
        <f t="shared" si="4"/>
        <v>0</v>
      </c>
      <c r="S19" s="42">
        <f t="shared" si="6"/>
        <v>0</v>
      </c>
    </row>
    <row r="20" spans="1:19" x14ac:dyDescent="0.25">
      <c r="A20" t="str">
        <f t="shared" si="7"/>
        <v>-</v>
      </c>
      <c r="B20" s="40">
        <f t="shared" si="8"/>
        <v>1</v>
      </c>
      <c r="C20" s="40"/>
      <c r="D20" s="40"/>
      <c r="E20" s="42">
        <f t="shared" si="0"/>
        <v>0</v>
      </c>
      <c r="F20" s="63">
        <f t="shared" si="5"/>
        <v>0</v>
      </c>
      <c r="G20" s="106">
        <f>IFERROR(IF(VLOOKUP($A20,'Your Pooling'!$A$12:$K$30,MATCH("Already In Pool?",'Your Pooling'!$A$12:$K$12,0),0)="Y",0,VLOOKUP($A20,'Your Pooling'!$A$12:$K$30,MATCH("Your FSN Pooled",'Your Pooling'!$A$12:$K$12,0),))+J20,J20)</f>
        <v>0</v>
      </c>
      <c r="H20" s="106">
        <f>IFERROR(IF(VLOOKUP($A20,'Your Pooling'!$A$12:$K$30,MATCH("Already In Pool?",'Your Pooling'!$A$12:$K$12,0),0)="Y",0,VLOOKUP($A20,'Your Pooling'!$A$12:$K$30,MATCH("Your XXX Pooled",'Your Pooling'!$A$12:$K$12,0),))+K20,K20)</f>
        <v>0</v>
      </c>
      <c r="I20" s="70">
        <f t="shared" si="9"/>
        <v>0</v>
      </c>
      <c r="J20" s="70"/>
      <c r="K20" s="70"/>
      <c r="L20" s="77"/>
      <c r="O20" s="57">
        <f t="shared" si="1"/>
        <v>0</v>
      </c>
      <c r="P20" s="40">
        <f t="shared" si="2"/>
        <v>0</v>
      </c>
      <c r="Q20" s="57">
        <f t="shared" si="3"/>
        <v>0</v>
      </c>
      <c r="R20" s="58">
        <f t="shared" si="4"/>
        <v>0</v>
      </c>
      <c r="S20" s="42">
        <f t="shared" si="6"/>
        <v>0</v>
      </c>
    </row>
    <row r="21" spans="1:19" x14ac:dyDescent="0.25">
      <c r="A21" t="str">
        <f t="shared" si="7"/>
        <v>-</v>
      </c>
      <c r="B21" s="40">
        <f t="shared" si="8"/>
        <v>1</v>
      </c>
      <c r="C21" s="40"/>
      <c r="D21" s="40"/>
      <c r="E21" s="42">
        <f t="shared" si="0"/>
        <v>0</v>
      </c>
      <c r="F21" s="63">
        <f t="shared" si="5"/>
        <v>0</v>
      </c>
      <c r="G21" s="106">
        <f>IFERROR(IF(VLOOKUP($A21,'Your Pooling'!$A$12:$K$30,MATCH("Already In Pool?",'Your Pooling'!$A$12:$K$12,0),0)="Y",0,VLOOKUP($A21,'Your Pooling'!$A$12:$K$30,MATCH("Your FSN Pooled",'Your Pooling'!$A$12:$K$12,0),))+J21,J21)</f>
        <v>0</v>
      </c>
      <c r="H21" s="106">
        <f>IFERROR(IF(VLOOKUP($A21,'Your Pooling'!$A$12:$K$30,MATCH("Already In Pool?",'Your Pooling'!$A$12:$K$12,0),0)="Y",0,VLOOKUP($A21,'Your Pooling'!$A$12:$K$30,MATCH("Your XXX Pooled",'Your Pooling'!$A$12:$K$12,0),))+K21,K21)</f>
        <v>0</v>
      </c>
      <c r="I21" s="70">
        <f t="shared" si="9"/>
        <v>0</v>
      </c>
      <c r="J21" s="70"/>
      <c r="K21" s="70"/>
      <c r="L21" s="77"/>
      <c r="O21" s="57">
        <f t="shared" si="1"/>
        <v>0</v>
      </c>
      <c r="P21" s="40">
        <f t="shared" si="2"/>
        <v>0</v>
      </c>
      <c r="Q21" s="57">
        <f t="shared" si="3"/>
        <v>0</v>
      </c>
      <c r="R21" s="58">
        <f t="shared" si="4"/>
        <v>0</v>
      </c>
      <c r="S21" s="42">
        <f t="shared" si="6"/>
        <v>0</v>
      </c>
    </row>
    <row r="22" spans="1:19" x14ac:dyDescent="0.25">
      <c r="A22" t="str">
        <f t="shared" si="7"/>
        <v>-</v>
      </c>
      <c r="B22" s="40">
        <f t="shared" si="8"/>
        <v>1</v>
      </c>
      <c r="C22" s="40"/>
      <c r="D22" s="40"/>
      <c r="E22" s="42">
        <f t="shared" si="0"/>
        <v>0</v>
      </c>
      <c r="F22" s="63">
        <f t="shared" si="5"/>
        <v>0</v>
      </c>
      <c r="G22" s="106">
        <f>IFERROR(IF(VLOOKUP($A22,'Your Pooling'!$A$12:$K$30,MATCH("Already In Pool?",'Your Pooling'!$A$12:$K$12,0),0)="Y",0,VLOOKUP($A22,'Your Pooling'!$A$12:$K$30,MATCH("Your FSN Pooled",'Your Pooling'!$A$12:$K$12,0),))+J22,J22)</f>
        <v>0</v>
      </c>
      <c r="H22" s="106">
        <f>IFERROR(IF(VLOOKUP($A22,'Your Pooling'!$A$12:$K$30,MATCH("Already In Pool?",'Your Pooling'!$A$12:$K$12,0),0)="Y",0,VLOOKUP($A22,'Your Pooling'!$A$12:$K$30,MATCH("Your XXX Pooled",'Your Pooling'!$A$12:$K$12,0),))+K22,K22)</f>
        <v>0</v>
      </c>
      <c r="I22" s="70">
        <f t="shared" si="9"/>
        <v>0</v>
      </c>
      <c r="J22" s="70"/>
      <c r="K22" s="70"/>
      <c r="L22" s="77"/>
      <c r="O22" s="57">
        <f t="shared" si="1"/>
        <v>0</v>
      </c>
      <c r="P22" s="40">
        <f t="shared" si="2"/>
        <v>0</v>
      </c>
      <c r="Q22" s="57">
        <f t="shared" si="3"/>
        <v>0</v>
      </c>
      <c r="R22" s="58">
        <f t="shared" si="4"/>
        <v>0</v>
      </c>
      <c r="S22" s="42">
        <f t="shared" si="6"/>
        <v>0</v>
      </c>
    </row>
    <row r="23" spans="1:19" x14ac:dyDescent="0.25">
      <c r="A23" t="str">
        <f t="shared" si="7"/>
        <v>-</v>
      </c>
      <c r="B23" s="40">
        <f t="shared" si="8"/>
        <v>1</v>
      </c>
      <c r="C23" s="40"/>
      <c r="D23" s="40"/>
      <c r="E23" s="42">
        <f t="shared" si="0"/>
        <v>0</v>
      </c>
      <c r="F23" s="63">
        <f t="shared" si="5"/>
        <v>0</v>
      </c>
      <c r="G23" s="106">
        <f>IFERROR(IF(VLOOKUP($A23,'Your Pooling'!$A$12:$K$30,MATCH("Already In Pool?",'Your Pooling'!$A$12:$K$12,0),0)="Y",0,VLOOKUP($A23,'Your Pooling'!$A$12:$K$30,MATCH("Your FSN Pooled",'Your Pooling'!$A$12:$K$12,0),))+J23,J23)</f>
        <v>0</v>
      </c>
      <c r="H23" s="106">
        <f>IFERROR(IF(VLOOKUP($A23,'Your Pooling'!$A$12:$K$30,MATCH("Already In Pool?",'Your Pooling'!$A$12:$K$12,0),0)="Y",0,VLOOKUP($A23,'Your Pooling'!$A$12:$K$30,MATCH("Your XXX Pooled",'Your Pooling'!$A$12:$K$12,0),))+K23,K23)</f>
        <v>0</v>
      </c>
      <c r="I23" s="70">
        <f t="shared" si="9"/>
        <v>0</v>
      </c>
      <c r="J23" s="70"/>
      <c r="K23" s="70"/>
      <c r="L23" s="77"/>
      <c r="O23" s="57">
        <f t="shared" si="1"/>
        <v>0</v>
      </c>
      <c r="P23" s="40">
        <f t="shared" si="2"/>
        <v>0</v>
      </c>
      <c r="Q23" s="57">
        <f t="shared" si="3"/>
        <v>0</v>
      </c>
      <c r="R23" s="58">
        <f t="shared" si="4"/>
        <v>0</v>
      </c>
      <c r="S23" s="42">
        <f t="shared" si="6"/>
        <v>0</v>
      </c>
    </row>
    <row r="24" spans="1:19" x14ac:dyDescent="0.25">
      <c r="A24" t="str">
        <f t="shared" si="7"/>
        <v>-</v>
      </c>
      <c r="B24" s="40">
        <f t="shared" si="8"/>
        <v>1</v>
      </c>
      <c r="C24" s="40"/>
      <c r="D24" s="40"/>
      <c r="E24" s="42">
        <f t="shared" si="0"/>
        <v>0</v>
      </c>
      <c r="F24" s="63">
        <f t="shared" si="5"/>
        <v>0</v>
      </c>
      <c r="G24" s="106">
        <f>IFERROR(IF(VLOOKUP($A24,'Your Pooling'!$A$12:$K$30,MATCH("Already In Pool?",'Your Pooling'!$A$12:$K$12,0),0)="Y",0,VLOOKUP($A24,'Your Pooling'!$A$12:$K$30,MATCH("Your FSN Pooled",'Your Pooling'!$A$12:$K$12,0),))+J24,J24)</f>
        <v>0</v>
      </c>
      <c r="H24" s="106">
        <f>IFERROR(IF(VLOOKUP($A24,'Your Pooling'!$A$12:$K$30,MATCH("Already In Pool?",'Your Pooling'!$A$12:$K$12,0),0)="Y",0,VLOOKUP($A24,'Your Pooling'!$A$12:$K$30,MATCH("Your XXX Pooled",'Your Pooling'!$A$12:$K$12,0),))+K24,K24)</f>
        <v>0</v>
      </c>
      <c r="I24" s="70">
        <f t="shared" si="9"/>
        <v>0</v>
      </c>
      <c r="J24" s="70"/>
      <c r="K24" s="70"/>
      <c r="L24" s="77"/>
      <c r="O24" s="57">
        <f t="shared" si="1"/>
        <v>0</v>
      </c>
      <c r="P24" s="40">
        <f t="shared" si="2"/>
        <v>0</v>
      </c>
      <c r="Q24" s="57">
        <f t="shared" si="3"/>
        <v>0</v>
      </c>
      <c r="R24" s="58">
        <f t="shared" si="4"/>
        <v>0</v>
      </c>
      <c r="S24" s="42">
        <f t="shared" si="6"/>
        <v>0</v>
      </c>
    </row>
    <row r="25" spans="1:19" x14ac:dyDescent="0.25">
      <c r="A25" t="str">
        <f t="shared" si="7"/>
        <v>-</v>
      </c>
      <c r="B25" s="40">
        <f t="shared" si="8"/>
        <v>1</v>
      </c>
      <c r="C25" s="40"/>
      <c r="D25" s="40"/>
      <c r="E25" s="42">
        <f t="shared" si="0"/>
        <v>0</v>
      </c>
      <c r="F25" s="63">
        <f t="shared" si="5"/>
        <v>0</v>
      </c>
      <c r="G25" s="106">
        <f>IFERROR(IF(VLOOKUP($A25,'Your Pooling'!$A$12:$K$30,MATCH("Already In Pool?",'Your Pooling'!$A$12:$K$12,0),0)="Y",0,VLOOKUP($A25,'Your Pooling'!$A$12:$K$30,MATCH("Your FSN Pooled",'Your Pooling'!$A$12:$K$12,0),))+J25,J25)</f>
        <v>0</v>
      </c>
      <c r="H25" s="106">
        <f>IFERROR(IF(VLOOKUP($A25,'Your Pooling'!$A$12:$K$30,MATCH("Already In Pool?",'Your Pooling'!$A$12:$K$12,0),0)="Y",0,VLOOKUP($A25,'Your Pooling'!$A$12:$K$30,MATCH("Your XXX Pooled",'Your Pooling'!$A$12:$K$12,0),))+K25,K25)</f>
        <v>0</v>
      </c>
      <c r="I25" s="70">
        <f t="shared" si="9"/>
        <v>0</v>
      </c>
      <c r="J25" s="70"/>
      <c r="K25" s="70"/>
      <c r="L25" s="77"/>
      <c r="O25" s="57">
        <f t="shared" si="1"/>
        <v>0</v>
      </c>
      <c r="P25" s="40">
        <f t="shared" si="2"/>
        <v>0</v>
      </c>
      <c r="Q25" s="57">
        <f t="shared" si="3"/>
        <v>0</v>
      </c>
      <c r="R25" s="58">
        <f t="shared" si="4"/>
        <v>0</v>
      </c>
      <c r="S25" s="42">
        <f t="shared" si="6"/>
        <v>0</v>
      </c>
    </row>
    <row r="26" spans="1:19" x14ac:dyDescent="0.25">
      <c r="A26" t="str">
        <f t="shared" si="7"/>
        <v>-</v>
      </c>
      <c r="B26" s="40">
        <f t="shared" si="8"/>
        <v>1</v>
      </c>
      <c r="C26" s="40"/>
      <c r="D26" s="40"/>
      <c r="E26" s="42">
        <f t="shared" si="0"/>
        <v>0</v>
      </c>
      <c r="F26" s="63">
        <f t="shared" si="5"/>
        <v>0</v>
      </c>
      <c r="G26" s="106">
        <f>IFERROR(IF(VLOOKUP($A26,'Your Pooling'!$A$12:$K$30,MATCH("Already In Pool?",'Your Pooling'!$A$12:$K$12,0),0)="Y",0,VLOOKUP($A26,'Your Pooling'!$A$12:$K$30,MATCH("Your FSN Pooled",'Your Pooling'!$A$12:$K$12,0),))+J26,J26)</f>
        <v>0</v>
      </c>
      <c r="H26" s="106">
        <f>IFERROR(IF(VLOOKUP($A26,'Your Pooling'!$A$12:$K$30,MATCH("Already In Pool?",'Your Pooling'!$A$12:$K$12,0),0)="Y",0,VLOOKUP($A26,'Your Pooling'!$A$12:$K$30,MATCH("Your XXX Pooled",'Your Pooling'!$A$12:$K$12,0),))+K26,K26)</f>
        <v>0</v>
      </c>
      <c r="I26" s="70">
        <f t="shared" si="9"/>
        <v>0</v>
      </c>
      <c r="J26" s="70"/>
      <c r="K26" s="70"/>
      <c r="L26" s="77"/>
      <c r="O26" s="57">
        <f t="shared" si="1"/>
        <v>0</v>
      </c>
      <c r="P26" s="40">
        <f t="shared" si="2"/>
        <v>0</v>
      </c>
      <c r="Q26" s="57">
        <f t="shared" si="3"/>
        <v>0</v>
      </c>
      <c r="R26" s="58">
        <f t="shared" si="4"/>
        <v>0</v>
      </c>
      <c r="S26" s="42">
        <f t="shared" si="6"/>
        <v>0</v>
      </c>
    </row>
    <row r="27" spans="1:19" x14ac:dyDescent="0.25">
      <c r="A27" t="str">
        <f t="shared" si="7"/>
        <v>-</v>
      </c>
      <c r="B27" s="40">
        <f t="shared" si="8"/>
        <v>1</v>
      </c>
      <c r="C27" s="40"/>
      <c r="D27" s="40"/>
      <c r="E27" s="42">
        <f t="shared" si="0"/>
        <v>0</v>
      </c>
      <c r="F27" s="63">
        <f t="shared" si="5"/>
        <v>0</v>
      </c>
      <c r="G27" s="106">
        <f>IFERROR(IF(VLOOKUP($A27,'Your Pooling'!$A$12:$K$30,MATCH("Already In Pool?",'Your Pooling'!$A$12:$K$12,0),0)="Y",0,VLOOKUP($A27,'Your Pooling'!$A$12:$K$30,MATCH("Your FSN Pooled",'Your Pooling'!$A$12:$K$12,0),))+J27,J27)</f>
        <v>0</v>
      </c>
      <c r="H27" s="106">
        <f>IFERROR(IF(VLOOKUP($A27,'Your Pooling'!$A$12:$K$30,MATCH("Already In Pool?",'Your Pooling'!$A$12:$K$12,0),0)="Y",0,VLOOKUP($A27,'Your Pooling'!$A$12:$K$30,MATCH("Your XXX Pooled",'Your Pooling'!$A$12:$K$12,0),))+K27,K27)</f>
        <v>0</v>
      </c>
      <c r="I27" s="70">
        <f t="shared" si="9"/>
        <v>0</v>
      </c>
      <c r="J27" s="70"/>
      <c r="K27" s="70"/>
      <c r="L27" s="77"/>
      <c r="O27" s="57">
        <f t="shared" si="1"/>
        <v>0</v>
      </c>
      <c r="P27" s="40">
        <f t="shared" si="2"/>
        <v>0</v>
      </c>
      <c r="Q27" s="57">
        <f t="shared" si="3"/>
        <v>0</v>
      </c>
      <c r="R27" s="58">
        <f t="shared" si="4"/>
        <v>0</v>
      </c>
      <c r="S27" s="42">
        <f t="shared" si="6"/>
        <v>0</v>
      </c>
    </row>
    <row r="28" spans="1:19" x14ac:dyDescent="0.25">
      <c r="A28" t="str">
        <f t="shared" si="7"/>
        <v>-</v>
      </c>
      <c r="B28" s="40">
        <f t="shared" si="8"/>
        <v>1</v>
      </c>
      <c r="C28" s="40"/>
      <c r="D28" s="40"/>
      <c r="E28" s="42">
        <f t="shared" si="0"/>
        <v>0</v>
      </c>
      <c r="F28" s="63">
        <f t="shared" si="5"/>
        <v>0</v>
      </c>
      <c r="G28" s="106">
        <f>IFERROR(IF(VLOOKUP($A28,'Your Pooling'!$A$12:$K$30,MATCH("Already In Pool?",'Your Pooling'!$A$12:$K$12,0),0)="Y",0,VLOOKUP($A28,'Your Pooling'!$A$12:$K$30,MATCH("Your FSN Pooled",'Your Pooling'!$A$12:$K$12,0),))+J28,J28)</f>
        <v>0</v>
      </c>
      <c r="H28" s="106">
        <f>IFERROR(IF(VLOOKUP($A28,'Your Pooling'!$A$12:$K$30,MATCH("Already In Pool?",'Your Pooling'!$A$12:$K$12,0),0)="Y",0,VLOOKUP($A28,'Your Pooling'!$A$12:$K$30,MATCH("Your XXX Pooled",'Your Pooling'!$A$12:$K$12,0),))+K28,K28)</f>
        <v>0</v>
      </c>
      <c r="I28" s="70">
        <f t="shared" si="9"/>
        <v>0</v>
      </c>
      <c r="J28" s="70"/>
      <c r="K28" s="70"/>
      <c r="L28" s="77"/>
      <c r="O28" s="57">
        <f t="shared" si="1"/>
        <v>0</v>
      </c>
      <c r="P28" s="40">
        <f t="shared" si="2"/>
        <v>0</v>
      </c>
      <c r="Q28" s="57">
        <f t="shared" si="3"/>
        <v>0</v>
      </c>
      <c r="R28" s="58">
        <f t="shared" si="4"/>
        <v>0</v>
      </c>
      <c r="S28" s="42">
        <f t="shared" si="6"/>
        <v>0</v>
      </c>
    </row>
    <row r="29" spans="1:19" x14ac:dyDescent="0.25">
      <c r="A29" t="str">
        <f t="shared" si="7"/>
        <v>-</v>
      </c>
      <c r="B29" s="40">
        <f t="shared" si="8"/>
        <v>1</v>
      </c>
      <c r="C29" s="40"/>
      <c r="D29" s="40"/>
      <c r="E29" s="42">
        <f t="shared" si="0"/>
        <v>0</v>
      </c>
      <c r="F29" s="63">
        <f t="shared" si="5"/>
        <v>0</v>
      </c>
      <c r="G29" s="106">
        <f>IFERROR(IF(VLOOKUP($A29,'Your Pooling'!$A$12:$K$30,MATCH("Already In Pool?",'Your Pooling'!$A$12:$K$12,0),0)="Y",0,VLOOKUP($A29,'Your Pooling'!$A$12:$K$30,MATCH("Your FSN Pooled",'Your Pooling'!$A$12:$K$12,0),))+J29,J29)</f>
        <v>0</v>
      </c>
      <c r="H29" s="106">
        <f>IFERROR(IF(VLOOKUP($A29,'Your Pooling'!$A$12:$K$30,MATCH("Already In Pool?",'Your Pooling'!$A$12:$K$12,0),0)="Y",0,VLOOKUP($A29,'Your Pooling'!$A$12:$K$30,MATCH("Your XXX Pooled",'Your Pooling'!$A$12:$K$12,0),))+K29,K29)</f>
        <v>0</v>
      </c>
      <c r="I29" s="70">
        <f t="shared" si="9"/>
        <v>0</v>
      </c>
      <c r="J29" s="70"/>
      <c r="K29" s="70"/>
      <c r="L29" s="77"/>
      <c r="O29" s="57">
        <f t="shared" si="1"/>
        <v>0</v>
      </c>
      <c r="P29" s="40">
        <f t="shared" si="2"/>
        <v>0</v>
      </c>
      <c r="Q29" s="57">
        <f t="shared" si="3"/>
        <v>0</v>
      </c>
      <c r="R29" s="58">
        <f t="shared" si="4"/>
        <v>0</v>
      </c>
      <c r="S29" s="42">
        <f t="shared" si="6"/>
        <v>0</v>
      </c>
    </row>
    <row r="30" spans="1:19" x14ac:dyDescent="0.25">
      <c r="A30" t="str">
        <f>C30&amp;"-"&amp;D30</f>
        <v>-</v>
      </c>
      <c r="B30" s="40">
        <f t="shared" si="8"/>
        <v>1</v>
      </c>
      <c r="C30" s="40"/>
      <c r="D30" s="40"/>
      <c r="E30" s="42">
        <f t="shared" si="0"/>
        <v>0</v>
      </c>
      <c r="F30" s="63">
        <f t="shared" si="5"/>
        <v>0</v>
      </c>
      <c r="G30" s="106">
        <f>IFERROR(IF(VLOOKUP($A30,'Your Pooling'!$A$12:$K$30,MATCH("Already In Pool?",'Your Pooling'!$A$12:$K$12,0),0)="Y",0,VLOOKUP($A30,'Your Pooling'!$A$12:$K$30,MATCH("Your FSN Pooled",'Your Pooling'!$A$12:$K$12,0),))+J30,J30)</f>
        <v>0</v>
      </c>
      <c r="H30" s="106">
        <f>IFERROR(IF(VLOOKUP($A30,'Your Pooling'!$A$12:$K$30,MATCH("Already In Pool?",'Your Pooling'!$A$12:$K$12,0),0)="Y",0,VLOOKUP($A30,'Your Pooling'!$A$12:$K$30,MATCH("Your XXX Pooled",'Your Pooling'!$A$12:$K$12,0),))+K30,K30)</f>
        <v>0</v>
      </c>
      <c r="I30" s="70">
        <f t="shared" si="9"/>
        <v>0</v>
      </c>
      <c r="J30" s="70"/>
      <c r="K30" s="70"/>
      <c r="L30" s="77"/>
      <c r="O30" s="57">
        <f t="shared" si="1"/>
        <v>0</v>
      </c>
      <c r="P30" s="40">
        <f t="shared" si="2"/>
        <v>0</v>
      </c>
      <c r="Q30" s="57">
        <f t="shared" si="3"/>
        <v>0</v>
      </c>
      <c r="R30" s="58">
        <f t="shared" si="4"/>
        <v>0</v>
      </c>
      <c r="S30" s="42">
        <f t="shared" si="6"/>
        <v>0</v>
      </c>
    </row>
    <row r="31" spans="1:19" x14ac:dyDescent="0.25">
      <c r="A31" t="str">
        <f t="shared" si="7"/>
        <v>-</v>
      </c>
      <c r="B31" s="40">
        <f t="shared" si="8"/>
        <v>1</v>
      </c>
      <c r="C31" s="40"/>
      <c r="D31" s="40"/>
      <c r="E31" s="42">
        <f t="shared" si="0"/>
        <v>0</v>
      </c>
      <c r="F31" s="63">
        <f t="shared" si="5"/>
        <v>0</v>
      </c>
      <c r="G31" s="106">
        <f>IFERROR(IF(VLOOKUP($A31,'Your Pooling'!$A$12:$K$30,MATCH("Already In Pool?",'Your Pooling'!$A$12:$K$12,0),0)="Y",0,VLOOKUP($A31,'Your Pooling'!$A$12:$K$30,MATCH("Your FSN Pooled",'Your Pooling'!$A$12:$K$12,0),))+J31,J31)</f>
        <v>0</v>
      </c>
      <c r="H31" s="106">
        <f>IFERROR(IF(VLOOKUP($A31,'Your Pooling'!$A$12:$K$30,MATCH("Already In Pool?",'Your Pooling'!$A$12:$K$12,0),0)="Y",0,VLOOKUP($A31,'Your Pooling'!$A$12:$K$30,MATCH("Your XXX Pooled",'Your Pooling'!$A$12:$K$12,0),))+K31,K31)</f>
        <v>0</v>
      </c>
      <c r="I31" s="70">
        <f t="shared" si="9"/>
        <v>0</v>
      </c>
      <c r="J31" s="70"/>
      <c r="K31" s="70"/>
      <c r="L31" s="77"/>
      <c r="O31" s="57">
        <f t="shared" si="1"/>
        <v>0</v>
      </c>
      <c r="P31" s="40">
        <f t="shared" si="2"/>
        <v>0</v>
      </c>
      <c r="Q31" s="57">
        <f t="shared" si="3"/>
        <v>0</v>
      </c>
      <c r="R31" s="58">
        <f t="shared" si="4"/>
        <v>0</v>
      </c>
      <c r="S31" s="42">
        <f t="shared" si="6"/>
        <v>0</v>
      </c>
    </row>
    <row r="32" spans="1:19" x14ac:dyDescent="0.25">
      <c r="A32" t="str">
        <f t="shared" si="7"/>
        <v>-</v>
      </c>
      <c r="B32" s="40">
        <f t="shared" si="8"/>
        <v>1</v>
      </c>
      <c r="C32" s="40"/>
      <c r="D32" s="40"/>
      <c r="E32" s="42">
        <f t="shared" si="0"/>
        <v>0</v>
      </c>
      <c r="F32" s="63">
        <f t="shared" si="5"/>
        <v>0</v>
      </c>
      <c r="G32" s="106">
        <f>IFERROR(IF(VLOOKUP($A32,'Your Pooling'!$A$12:$K$30,MATCH("Already In Pool?",'Your Pooling'!$A$12:$K$12,0),0)="Y",0,VLOOKUP($A32,'Your Pooling'!$A$12:$K$30,MATCH("Your FSN Pooled",'Your Pooling'!$A$12:$K$12,0),))+J32,J32)</f>
        <v>0</v>
      </c>
      <c r="H32" s="106">
        <f>IFERROR(IF(VLOOKUP($A32,'Your Pooling'!$A$12:$K$30,MATCH("Already In Pool?",'Your Pooling'!$A$12:$K$12,0),0)="Y",0,VLOOKUP($A32,'Your Pooling'!$A$12:$K$30,MATCH("Your XXX Pooled",'Your Pooling'!$A$12:$K$12,0),))+K32,K32)</f>
        <v>0</v>
      </c>
      <c r="I32" s="70">
        <f t="shared" si="9"/>
        <v>0</v>
      </c>
      <c r="J32" s="70"/>
      <c r="K32" s="70"/>
      <c r="L32" s="77"/>
      <c r="O32" s="57">
        <f t="shared" si="1"/>
        <v>0</v>
      </c>
      <c r="P32" s="40">
        <f t="shared" si="2"/>
        <v>0</v>
      </c>
      <c r="Q32" s="57">
        <f t="shared" si="3"/>
        <v>0</v>
      </c>
      <c r="R32" s="58">
        <f t="shared" si="4"/>
        <v>0</v>
      </c>
      <c r="S32" s="42">
        <f t="shared" si="6"/>
        <v>0</v>
      </c>
    </row>
    <row r="33" spans="1:19" x14ac:dyDescent="0.25">
      <c r="A33" t="str">
        <f t="shared" si="7"/>
        <v>-</v>
      </c>
      <c r="B33" s="40">
        <f t="shared" ref="B33:B96" si="10">IF(OR(C33="ANY",D33="ANY"),2,1)</f>
        <v>1</v>
      </c>
      <c r="C33" s="40"/>
      <c r="D33" s="40"/>
      <c r="E33" s="42">
        <f t="shared" si="0"/>
        <v>0</v>
      </c>
      <c r="F33" s="63">
        <f t="shared" ref="F33:F96" si="11">IFERROR(J33/K33,0)</f>
        <v>0</v>
      </c>
      <c r="G33" s="106">
        <f>IFERROR(IF(VLOOKUP($A33,'Your Pooling'!$A$12:$K$30,MATCH("Already In Pool?",'Your Pooling'!$A$12:$K$12,0),0)="Y",0,VLOOKUP($A33,'Your Pooling'!$A$12:$K$30,MATCH("Your FSN Pooled",'Your Pooling'!$A$12:$K$12,0),))+J33,J33)</f>
        <v>0</v>
      </c>
      <c r="H33" s="106">
        <f>IFERROR(IF(VLOOKUP($A33,'Your Pooling'!$A$12:$K$30,MATCH("Already In Pool?",'Your Pooling'!$A$12:$K$12,0),0)="Y",0,VLOOKUP($A33,'Your Pooling'!$A$12:$K$30,MATCH("Your XXX Pooled",'Your Pooling'!$A$12:$K$12,0),))+K33,K33)</f>
        <v>0</v>
      </c>
      <c r="I33" s="70">
        <f t="shared" ref="I33:I96" si="12">G33*H33</f>
        <v>0</v>
      </c>
      <c r="J33" s="70"/>
      <c r="K33" s="70"/>
      <c r="L33" s="77"/>
      <c r="O33" s="57">
        <f t="shared" ref="O33:O96" si="13">E33*DAILYANY</f>
        <v>0</v>
      </c>
      <c r="P33" s="40">
        <f t="shared" ref="P33:P96" si="14">L33*FEEREWARDS</f>
        <v>0</v>
      </c>
      <c r="Q33" s="57">
        <f t="shared" ref="Q33:Q96" si="15">P33*FSNPRICE+O33*ANYFSN*FSNPRICE</f>
        <v>0</v>
      </c>
      <c r="R33" s="58">
        <f t="shared" ref="R33:R96" si="16">IFERROR((Q33/FSNPRICE)/(2*G33),0)</f>
        <v>0</v>
      </c>
      <c r="S33" s="42">
        <f t="shared" ref="S33:S96" si="17">R33*365</f>
        <v>0</v>
      </c>
    </row>
    <row r="34" spans="1:19" x14ac:dyDescent="0.25">
      <c r="A34" t="str">
        <f t="shared" si="7"/>
        <v>-</v>
      </c>
      <c r="B34" s="40">
        <f t="shared" si="10"/>
        <v>1</v>
      </c>
      <c r="C34" s="40"/>
      <c r="D34" s="40"/>
      <c r="E34" s="42">
        <f t="shared" si="0"/>
        <v>0</v>
      </c>
      <c r="F34" s="63">
        <f t="shared" si="11"/>
        <v>0</v>
      </c>
      <c r="G34" s="106">
        <f>IFERROR(IF(VLOOKUP($A34,'Your Pooling'!$A$12:$K$30,MATCH("Already In Pool?",'Your Pooling'!$A$12:$K$12,0),0)="Y",0,VLOOKUP($A34,'Your Pooling'!$A$12:$K$30,MATCH("Your FSN Pooled",'Your Pooling'!$A$12:$K$12,0),))+J34,J34)</f>
        <v>0</v>
      </c>
      <c r="H34" s="106">
        <f>IFERROR(IF(VLOOKUP($A34,'Your Pooling'!$A$12:$K$30,MATCH("Already In Pool?",'Your Pooling'!$A$12:$K$12,0),0)="Y",0,VLOOKUP($A34,'Your Pooling'!$A$12:$K$30,MATCH("Your XXX Pooled",'Your Pooling'!$A$12:$K$12,0),))+K34,K34)</f>
        <v>0</v>
      </c>
      <c r="I34" s="70">
        <f t="shared" si="12"/>
        <v>0</v>
      </c>
      <c r="J34" s="70"/>
      <c r="K34" s="70"/>
      <c r="L34" s="77"/>
      <c r="O34" s="57">
        <f t="shared" si="13"/>
        <v>0</v>
      </c>
      <c r="P34" s="40">
        <f t="shared" si="14"/>
        <v>0</v>
      </c>
      <c r="Q34" s="57">
        <f t="shared" si="15"/>
        <v>0</v>
      </c>
      <c r="R34" s="58">
        <f t="shared" si="16"/>
        <v>0</v>
      </c>
      <c r="S34" s="42">
        <f t="shared" si="17"/>
        <v>0</v>
      </c>
    </row>
    <row r="35" spans="1:19" x14ac:dyDescent="0.25">
      <c r="A35" t="str">
        <f t="shared" si="7"/>
        <v>-</v>
      </c>
      <c r="B35" s="40">
        <f t="shared" si="10"/>
        <v>1</v>
      </c>
      <c r="C35" s="40"/>
      <c r="D35" s="40"/>
      <c r="E35" s="42">
        <f t="shared" si="0"/>
        <v>0</v>
      </c>
      <c r="F35" s="63">
        <f t="shared" si="11"/>
        <v>0</v>
      </c>
      <c r="G35" s="106">
        <f>IFERROR(IF(VLOOKUP($A35,'Your Pooling'!$A$12:$K$30,MATCH("Already In Pool?",'Your Pooling'!$A$12:$K$12,0),0)="Y",0,VLOOKUP($A35,'Your Pooling'!$A$12:$K$30,MATCH("Your FSN Pooled",'Your Pooling'!$A$12:$K$12,0),))+J35,J35)</f>
        <v>0</v>
      </c>
      <c r="H35" s="106">
        <f>IFERROR(IF(VLOOKUP($A35,'Your Pooling'!$A$12:$K$30,MATCH("Already In Pool?",'Your Pooling'!$A$12:$K$12,0),0)="Y",0,VLOOKUP($A35,'Your Pooling'!$A$12:$K$30,MATCH("Your XXX Pooled",'Your Pooling'!$A$12:$K$12,0),))+K35,K35)</f>
        <v>0</v>
      </c>
      <c r="I35" s="70">
        <f t="shared" si="12"/>
        <v>0</v>
      </c>
      <c r="J35" s="70"/>
      <c r="K35" s="70"/>
      <c r="L35" s="77"/>
      <c r="O35" s="57">
        <f t="shared" si="13"/>
        <v>0</v>
      </c>
      <c r="P35" s="40">
        <f t="shared" si="14"/>
        <v>0</v>
      </c>
      <c r="Q35" s="57">
        <f t="shared" si="15"/>
        <v>0</v>
      </c>
      <c r="R35" s="58">
        <f t="shared" si="16"/>
        <v>0</v>
      </c>
      <c r="S35" s="42">
        <f t="shared" si="17"/>
        <v>0</v>
      </c>
    </row>
    <row r="36" spans="1:19" x14ac:dyDescent="0.25">
      <c r="A36" t="str">
        <f t="shared" si="7"/>
        <v>-</v>
      </c>
      <c r="B36" s="40">
        <f t="shared" si="10"/>
        <v>1</v>
      </c>
      <c r="C36" s="40"/>
      <c r="D36" s="40"/>
      <c r="E36" s="42">
        <f t="shared" si="0"/>
        <v>0</v>
      </c>
      <c r="F36" s="63">
        <f t="shared" si="11"/>
        <v>0</v>
      </c>
      <c r="G36" s="106">
        <f>IFERROR(IF(VLOOKUP($A36,'Your Pooling'!$A$12:$K$30,MATCH("Already In Pool?",'Your Pooling'!$A$12:$K$12,0),0)="Y",0,VLOOKUP($A36,'Your Pooling'!$A$12:$K$30,MATCH("Your FSN Pooled",'Your Pooling'!$A$12:$K$12,0),))+J36,J36)</f>
        <v>0</v>
      </c>
      <c r="H36" s="106">
        <f>IFERROR(IF(VLOOKUP($A36,'Your Pooling'!$A$12:$K$30,MATCH("Already In Pool?",'Your Pooling'!$A$12:$K$12,0),0)="Y",0,VLOOKUP($A36,'Your Pooling'!$A$12:$K$30,MATCH("Your XXX Pooled",'Your Pooling'!$A$12:$K$12,0),))+K36,K36)</f>
        <v>0</v>
      </c>
      <c r="I36" s="70">
        <f t="shared" si="12"/>
        <v>0</v>
      </c>
      <c r="J36" s="70"/>
      <c r="K36" s="70"/>
      <c r="L36" s="77"/>
      <c r="O36" s="57">
        <f t="shared" si="13"/>
        <v>0</v>
      </c>
      <c r="P36" s="40">
        <f t="shared" si="14"/>
        <v>0</v>
      </c>
      <c r="Q36" s="57">
        <f t="shared" si="15"/>
        <v>0</v>
      </c>
      <c r="R36" s="58">
        <f t="shared" si="16"/>
        <v>0</v>
      </c>
      <c r="S36" s="42">
        <f t="shared" si="17"/>
        <v>0</v>
      </c>
    </row>
    <row r="37" spans="1:19" x14ac:dyDescent="0.25">
      <c r="A37" t="str">
        <f t="shared" si="7"/>
        <v>-</v>
      </c>
      <c r="B37" s="40">
        <f t="shared" si="10"/>
        <v>1</v>
      </c>
      <c r="C37" s="40"/>
      <c r="D37" s="40"/>
      <c r="E37" s="42">
        <f t="shared" si="0"/>
        <v>0</v>
      </c>
      <c r="F37" s="63">
        <f t="shared" si="11"/>
        <v>0</v>
      </c>
      <c r="G37" s="106">
        <f>IFERROR(IF(VLOOKUP($A37,'Your Pooling'!$A$12:$K$30,MATCH("Already In Pool?",'Your Pooling'!$A$12:$K$12,0),0)="Y",0,VLOOKUP($A37,'Your Pooling'!$A$12:$K$30,MATCH("Your FSN Pooled",'Your Pooling'!$A$12:$K$12,0),))+J37,J37)</f>
        <v>0</v>
      </c>
      <c r="H37" s="106">
        <f>IFERROR(IF(VLOOKUP($A37,'Your Pooling'!$A$12:$K$30,MATCH("Already In Pool?",'Your Pooling'!$A$12:$K$12,0),0)="Y",0,VLOOKUP($A37,'Your Pooling'!$A$12:$K$30,MATCH("Your XXX Pooled",'Your Pooling'!$A$12:$K$12,0),))+K37,K37)</f>
        <v>0</v>
      </c>
      <c r="I37" s="70">
        <f t="shared" si="12"/>
        <v>0</v>
      </c>
      <c r="J37" s="70"/>
      <c r="K37" s="70"/>
      <c r="L37" s="77"/>
      <c r="O37" s="57">
        <f t="shared" si="13"/>
        <v>0</v>
      </c>
      <c r="P37" s="40">
        <f t="shared" si="14"/>
        <v>0</v>
      </c>
      <c r="Q37" s="57">
        <f t="shared" si="15"/>
        <v>0</v>
      </c>
      <c r="R37" s="58">
        <f t="shared" si="16"/>
        <v>0</v>
      </c>
      <c r="S37" s="42">
        <f t="shared" si="17"/>
        <v>0</v>
      </c>
    </row>
    <row r="38" spans="1:19" x14ac:dyDescent="0.25">
      <c r="A38" t="str">
        <f t="shared" si="7"/>
        <v>-</v>
      </c>
      <c r="B38" s="40">
        <f t="shared" si="10"/>
        <v>1</v>
      </c>
      <c r="C38" s="40"/>
      <c r="D38" s="40"/>
      <c r="E38" s="42">
        <f t="shared" si="0"/>
        <v>0</v>
      </c>
      <c r="F38" s="63">
        <f t="shared" si="11"/>
        <v>0</v>
      </c>
      <c r="G38" s="106">
        <f>IFERROR(IF(VLOOKUP($A38,'Your Pooling'!$A$12:$K$30,MATCH("Already In Pool?",'Your Pooling'!$A$12:$K$12,0),0)="Y",0,VLOOKUP($A38,'Your Pooling'!$A$12:$K$30,MATCH("Your FSN Pooled",'Your Pooling'!$A$12:$K$12,0),))+J38,J38)</f>
        <v>0</v>
      </c>
      <c r="H38" s="106">
        <f>IFERROR(IF(VLOOKUP($A38,'Your Pooling'!$A$12:$K$30,MATCH("Already In Pool?",'Your Pooling'!$A$12:$K$12,0),0)="Y",0,VLOOKUP($A38,'Your Pooling'!$A$12:$K$30,MATCH("Your XXX Pooled",'Your Pooling'!$A$12:$K$12,0),))+K38,K38)</f>
        <v>0</v>
      </c>
      <c r="I38" s="70">
        <f t="shared" si="12"/>
        <v>0</v>
      </c>
      <c r="J38" s="70"/>
      <c r="K38" s="70"/>
      <c r="L38" s="77"/>
      <c r="O38" s="57">
        <f t="shared" si="13"/>
        <v>0</v>
      </c>
      <c r="P38" s="40">
        <f t="shared" si="14"/>
        <v>0</v>
      </c>
      <c r="Q38" s="57">
        <f t="shared" si="15"/>
        <v>0</v>
      </c>
      <c r="R38" s="58">
        <f t="shared" si="16"/>
        <v>0</v>
      </c>
      <c r="S38" s="42">
        <f t="shared" si="17"/>
        <v>0</v>
      </c>
    </row>
    <row r="39" spans="1:19" x14ac:dyDescent="0.25">
      <c r="A39" t="str">
        <f t="shared" si="7"/>
        <v>-</v>
      </c>
      <c r="B39" s="40">
        <f t="shared" si="10"/>
        <v>1</v>
      </c>
      <c r="C39" s="40"/>
      <c r="D39" s="40"/>
      <c r="E39" s="42">
        <f t="shared" si="0"/>
        <v>0</v>
      </c>
      <c r="F39" s="63">
        <f t="shared" si="11"/>
        <v>0</v>
      </c>
      <c r="G39" s="106">
        <f>IFERROR(IF(VLOOKUP($A39,'Your Pooling'!$A$12:$K$30,MATCH("Already In Pool?",'Your Pooling'!$A$12:$K$12,0),0)="Y",0,VLOOKUP($A39,'Your Pooling'!$A$12:$K$30,MATCH("Your FSN Pooled",'Your Pooling'!$A$12:$K$12,0),))+J39,J39)</f>
        <v>0</v>
      </c>
      <c r="H39" s="106">
        <f>IFERROR(IF(VLOOKUP($A39,'Your Pooling'!$A$12:$K$30,MATCH("Already In Pool?",'Your Pooling'!$A$12:$K$12,0),0)="Y",0,VLOOKUP($A39,'Your Pooling'!$A$12:$K$30,MATCH("Your XXX Pooled",'Your Pooling'!$A$12:$K$12,0),))+K39,K39)</f>
        <v>0</v>
      </c>
      <c r="I39" s="70">
        <f t="shared" si="12"/>
        <v>0</v>
      </c>
      <c r="J39" s="70"/>
      <c r="K39" s="70"/>
      <c r="L39" s="77"/>
      <c r="O39" s="57">
        <f t="shared" si="13"/>
        <v>0</v>
      </c>
      <c r="P39" s="40">
        <f t="shared" si="14"/>
        <v>0</v>
      </c>
      <c r="Q39" s="57">
        <f t="shared" si="15"/>
        <v>0</v>
      </c>
      <c r="R39" s="58">
        <f t="shared" si="16"/>
        <v>0</v>
      </c>
      <c r="S39" s="42">
        <f t="shared" si="17"/>
        <v>0</v>
      </c>
    </row>
    <row r="40" spans="1:19" x14ac:dyDescent="0.25">
      <c r="A40" t="str">
        <f t="shared" si="7"/>
        <v>-</v>
      </c>
      <c r="B40" s="40">
        <f t="shared" si="10"/>
        <v>1</v>
      </c>
      <c r="C40" s="40"/>
      <c r="D40" s="40"/>
      <c r="E40" s="42">
        <f t="shared" si="0"/>
        <v>0</v>
      </c>
      <c r="F40" s="63">
        <f t="shared" si="11"/>
        <v>0</v>
      </c>
      <c r="G40" s="106">
        <f>IFERROR(IF(VLOOKUP($A40,'Your Pooling'!$A$12:$K$30,MATCH("Already In Pool?",'Your Pooling'!$A$12:$K$12,0),0)="Y",0,VLOOKUP($A40,'Your Pooling'!$A$12:$K$30,MATCH("Your FSN Pooled",'Your Pooling'!$A$12:$K$12,0),))+J40,J40)</f>
        <v>0</v>
      </c>
      <c r="H40" s="106">
        <f>IFERROR(IF(VLOOKUP($A40,'Your Pooling'!$A$12:$K$30,MATCH("Already In Pool?",'Your Pooling'!$A$12:$K$12,0),0)="Y",0,VLOOKUP($A40,'Your Pooling'!$A$12:$K$30,MATCH("Your XXX Pooled",'Your Pooling'!$A$12:$K$12,0),))+K40,K40)</f>
        <v>0</v>
      </c>
      <c r="I40" s="70">
        <f t="shared" si="12"/>
        <v>0</v>
      </c>
      <c r="J40" s="70"/>
      <c r="K40" s="70"/>
      <c r="L40" s="77"/>
      <c r="O40" s="57">
        <f t="shared" si="13"/>
        <v>0</v>
      </c>
      <c r="P40" s="40">
        <f t="shared" si="14"/>
        <v>0</v>
      </c>
      <c r="Q40" s="57">
        <f t="shared" si="15"/>
        <v>0</v>
      </c>
      <c r="R40" s="58">
        <f t="shared" si="16"/>
        <v>0</v>
      </c>
      <c r="S40" s="42">
        <f t="shared" si="17"/>
        <v>0</v>
      </c>
    </row>
    <row r="41" spans="1:19" x14ac:dyDescent="0.25">
      <c r="A41" t="str">
        <f t="shared" si="7"/>
        <v>-</v>
      </c>
      <c r="B41" s="40">
        <f t="shared" si="10"/>
        <v>1</v>
      </c>
      <c r="C41" s="40"/>
      <c r="D41" s="40"/>
      <c r="E41" s="42">
        <f t="shared" si="0"/>
        <v>0</v>
      </c>
      <c r="F41" s="63">
        <f t="shared" si="11"/>
        <v>0</v>
      </c>
      <c r="G41" s="106">
        <f>IFERROR(IF(VLOOKUP($A41,'Your Pooling'!$A$12:$K$30,MATCH("Already In Pool?",'Your Pooling'!$A$12:$K$12,0),0)="Y",0,VLOOKUP($A41,'Your Pooling'!$A$12:$K$30,MATCH("Your FSN Pooled",'Your Pooling'!$A$12:$K$12,0),))+J41,J41)</f>
        <v>0</v>
      </c>
      <c r="H41" s="106">
        <f>IFERROR(IF(VLOOKUP($A41,'Your Pooling'!$A$12:$K$30,MATCH("Already In Pool?",'Your Pooling'!$A$12:$K$12,0),0)="Y",0,VLOOKUP($A41,'Your Pooling'!$A$12:$K$30,MATCH("Your XXX Pooled",'Your Pooling'!$A$12:$K$12,0),))+K41,K41)</f>
        <v>0</v>
      </c>
      <c r="I41" s="70">
        <f t="shared" si="12"/>
        <v>0</v>
      </c>
      <c r="J41" s="70"/>
      <c r="K41" s="70"/>
      <c r="L41" s="77"/>
      <c r="O41" s="57">
        <f t="shared" si="13"/>
        <v>0</v>
      </c>
      <c r="P41" s="40">
        <f t="shared" si="14"/>
        <v>0</v>
      </c>
      <c r="Q41" s="57">
        <f t="shared" si="15"/>
        <v>0</v>
      </c>
      <c r="R41" s="58">
        <f t="shared" si="16"/>
        <v>0</v>
      </c>
      <c r="S41" s="42">
        <f t="shared" si="17"/>
        <v>0</v>
      </c>
    </row>
    <row r="42" spans="1:19" x14ac:dyDescent="0.25">
      <c r="A42" t="str">
        <f t="shared" si="7"/>
        <v>-</v>
      </c>
      <c r="B42" s="40">
        <f t="shared" si="10"/>
        <v>1</v>
      </c>
      <c r="C42" s="40"/>
      <c r="D42" s="40"/>
      <c r="E42" s="42">
        <f t="shared" si="0"/>
        <v>0</v>
      </c>
      <c r="F42" s="63">
        <f t="shared" si="11"/>
        <v>0</v>
      </c>
      <c r="G42" s="106">
        <f>IFERROR(IF(VLOOKUP($A42,'Your Pooling'!$A$12:$K$30,MATCH("Already In Pool?",'Your Pooling'!$A$12:$K$12,0),0)="Y",0,VLOOKUP($A42,'Your Pooling'!$A$12:$K$30,MATCH("Your FSN Pooled",'Your Pooling'!$A$12:$K$12,0),))+J42,J42)</f>
        <v>0</v>
      </c>
      <c r="H42" s="106">
        <f>IFERROR(IF(VLOOKUP($A42,'Your Pooling'!$A$12:$K$30,MATCH("Already In Pool?",'Your Pooling'!$A$12:$K$12,0),0)="Y",0,VLOOKUP($A42,'Your Pooling'!$A$12:$K$30,MATCH("Your XXX Pooled",'Your Pooling'!$A$12:$K$12,0),))+K42,K42)</f>
        <v>0</v>
      </c>
      <c r="I42" s="70">
        <f t="shared" si="12"/>
        <v>0</v>
      </c>
      <c r="J42" s="70"/>
      <c r="K42" s="70"/>
      <c r="L42" s="77"/>
      <c r="O42" s="57">
        <f t="shared" si="13"/>
        <v>0</v>
      </c>
      <c r="P42" s="40">
        <f t="shared" si="14"/>
        <v>0</v>
      </c>
      <c r="Q42" s="57">
        <f t="shared" si="15"/>
        <v>0</v>
      </c>
      <c r="R42" s="58">
        <f t="shared" si="16"/>
        <v>0</v>
      </c>
      <c r="S42" s="42">
        <f t="shared" si="17"/>
        <v>0</v>
      </c>
    </row>
    <row r="43" spans="1:19" x14ac:dyDescent="0.25">
      <c r="A43" t="str">
        <f t="shared" si="7"/>
        <v>-</v>
      </c>
      <c r="B43" s="40">
        <f t="shared" si="10"/>
        <v>1</v>
      </c>
      <c r="C43" s="40"/>
      <c r="D43" s="40"/>
      <c r="E43" s="42">
        <f t="shared" ref="E43:E74" si="18">B43*G43/SUMPRODUCT($G$11:$G$100,$B$11:$B$100)</f>
        <v>0</v>
      </c>
      <c r="F43" s="63">
        <f t="shared" si="11"/>
        <v>0</v>
      </c>
      <c r="G43" s="106">
        <f>IFERROR(IF(VLOOKUP($A43,'Your Pooling'!$A$12:$K$30,MATCH("Already In Pool?",'Your Pooling'!$A$12:$K$12,0),0)="Y",0,VLOOKUP($A43,'Your Pooling'!$A$12:$K$30,MATCH("Your FSN Pooled",'Your Pooling'!$A$12:$K$12,0),))+J43,J43)</f>
        <v>0</v>
      </c>
      <c r="H43" s="106">
        <f>IFERROR(IF(VLOOKUP($A43,'Your Pooling'!$A$12:$K$30,MATCH("Already In Pool?",'Your Pooling'!$A$12:$K$12,0),0)="Y",0,VLOOKUP($A43,'Your Pooling'!$A$12:$K$30,MATCH("Your XXX Pooled",'Your Pooling'!$A$12:$K$12,0),))+K43,K43)</f>
        <v>0</v>
      </c>
      <c r="I43" s="70">
        <f t="shared" si="12"/>
        <v>0</v>
      </c>
      <c r="J43" s="70"/>
      <c r="K43" s="70"/>
      <c r="L43" s="77"/>
      <c r="O43" s="57">
        <f t="shared" si="13"/>
        <v>0</v>
      </c>
      <c r="P43" s="40">
        <f t="shared" si="14"/>
        <v>0</v>
      </c>
      <c r="Q43" s="57">
        <f t="shared" si="15"/>
        <v>0</v>
      </c>
      <c r="R43" s="58">
        <f t="shared" si="16"/>
        <v>0</v>
      </c>
      <c r="S43" s="42">
        <f t="shared" si="17"/>
        <v>0</v>
      </c>
    </row>
    <row r="44" spans="1:19" x14ac:dyDescent="0.25">
      <c r="A44" t="str">
        <f t="shared" si="7"/>
        <v>-</v>
      </c>
      <c r="B44" s="40">
        <f t="shared" si="10"/>
        <v>1</v>
      </c>
      <c r="C44" s="40"/>
      <c r="D44" s="40"/>
      <c r="E44" s="42">
        <f t="shared" si="18"/>
        <v>0</v>
      </c>
      <c r="F44" s="63">
        <f t="shared" si="11"/>
        <v>0</v>
      </c>
      <c r="G44" s="106">
        <f>IFERROR(IF(VLOOKUP($A44,'Your Pooling'!$A$12:$K$30,MATCH("Already In Pool?",'Your Pooling'!$A$12:$K$12,0),0)="Y",0,VLOOKUP($A44,'Your Pooling'!$A$12:$K$30,MATCH("Your FSN Pooled",'Your Pooling'!$A$12:$K$12,0),))+J44,J44)</f>
        <v>0</v>
      </c>
      <c r="H44" s="106">
        <f>IFERROR(IF(VLOOKUP($A44,'Your Pooling'!$A$12:$K$30,MATCH("Already In Pool?",'Your Pooling'!$A$12:$K$12,0),0)="Y",0,VLOOKUP($A44,'Your Pooling'!$A$12:$K$30,MATCH("Your XXX Pooled",'Your Pooling'!$A$12:$K$12,0),))+K44,K44)</f>
        <v>0</v>
      </c>
      <c r="I44" s="70">
        <f t="shared" si="12"/>
        <v>0</v>
      </c>
      <c r="J44" s="70"/>
      <c r="K44" s="70"/>
      <c r="L44" s="77"/>
      <c r="O44" s="57">
        <f t="shared" si="13"/>
        <v>0</v>
      </c>
      <c r="P44" s="40">
        <f t="shared" si="14"/>
        <v>0</v>
      </c>
      <c r="Q44" s="57">
        <f t="shared" si="15"/>
        <v>0</v>
      </c>
      <c r="R44" s="58">
        <f t="shared" si="16"/>
        <v>0</v>
      </c>
      <c r="S44" s="42">
        <f t="shared" si="17"/>
        <v>0</v>
      </c>
    </row>
    <row r="45" spans="1:19" x14ac:dyDescent="0.25">
      <c r="A45" t="str">
        <f t="shared" si="7"/>
        <v>-</v>
      </c>
      <c r="B45" s="40">
        <f t="shared" si="10"/>
        <v>1</v>
      </c>
      <c r="C45" s="40"/>
      <c r="D45" s="40"/>
      <c r="E45" s="42">
        <f t="shared" si="18"/>
        <v>0</v>
      </c>
      <c r="F45" s="63">
        <f t="shared" si="11"/>
        <v>0</v>
      </c>
      <c r="G45" s="106">
        <f>IFERROR(IF(VLOOKUP($A45,'Your Pooling'!$A$12:$K$30,MATCH("Already In Pool?",'Your Pooling'!$A$12:$K$12,0),0)="Y",0,VLOOKUP($A45,'Your Pooling'!$A$12:$K$30,MATCH("Your FSN Pooled",'Your Pooling'!$A$12:$K$12,0),))+J45,J45)</f>
        <v>0</v>
      </c>
      <c r="H45" s="106">
        <f>IFERROR(IF(VLOOKUP($A45,'Your Pooling'!$A$12:$K$30,MATCH("Already In Pool?",'Your Pooling'!$A$12:$K$12,0),0)="Y",0,VLOOKUP($A45,'Your Pooling'!$A$12:$K$30,MATCH("Your XXX Pooled",'Your Pooling'!$A$12:$K$12,0),))+K45,K45)</f>
        <v>0</v>
      </c>
      <c r="I45" s="70">
        <f t="shared" si="12"/>
        <v>0</v>
      </c>
      <c r="J45" s="70"/>
      <c r="K45" s="70"/>
      <c r="L45" s="77"/>
      <c r="O45" s="57">
        <f t="shared" si="13"/>
        <v>0</v>
      </c>
      <c r="P45" s="40">
        <f t="shared" si="14"/>
        <v>0</v>
      </c>
      <c r="Q45" s="57">
        <f t="shared" si="15"/>
        <v>0</v>
      </c>
      <c r="R45" s="58">
        <f t="shared" si="16"/>
        <v>0</v>
      </c>
      <c r="S45" s="42">
        <f t="shared" si="17"/>
        <v>0</v>
      </c>
    </row>
    <row r="46" spans="1:19" x14ac:dyDescent="0.25">
      <c r="A46" t="str">
        <f t="shared" si="7"/>
        <v>-</v>
      </c>
      <c r="B46" s="40">
        <f t="shared" si="10"/>
        <v>1</v>
      </c>
      <c r="C46" s="40"/>
      <c r="D46" s="40"/>
      <c r="E46" s="42">
        <f t="shared" si="18"/>
        <v>0</v>
      </c>
      <c r="F46" s="63">
        <f t="shared" si="11"/>
        <v>0</v>
      </c>
      <c r="G46" s="106">
        <f>IFERROR(IF(VLOOKUP($A46,'Your Pooling'!$A$12:$K$30,MATCH("Already In Pool?",'Your Pooling'!$A$12:$K$12,0),0)="Y",0,VLOOKUP($A46,'Your Pooling'!$A$12:$K$30,MATCH("Your FSN Pooled",'Your Pooling'!$A$12:$K$12,0),))+J46,J46)</f>
        <v>0</v>
      </c>
      <c r="H46" s="106">
        <f>IFERROR(IF(VLOOKUP($A46,'Your Pooling'!$A$12:$K$30,MATCH("Already In Pool?",'Your Pooling'!$A$12:$K$12,0),0)="Y",0,VLOOKUP($A46,'Your Pooling'!$A$12:$K$30,MATCH("Your XXX Pooled",'Your Pooling'!$A$12:$K$12,0),))+K46,K46)</f>
        <v>0</v>
      </c>
      <c r="I46" s="70">
        <f t="shared" si="12"/>
        <v>0</v>
      </c>
      <c r="J46" s="70"/>
      <c r="K46" s="70"/>
      <c r="L46" s="77"/>
      <c r="O46" s="57">
        <f t="shared" si="13"/>
        <v>0</v>
      </c>
      <c r="P46" s="40">
        <f t="shared" si="14"/>
        <v>0</v>
      </c>
      <c r="Q46" s="57">
        <f t="shared" si="15"/>
        <v>0</v>
      </c>
      <c r="R46" s="58">
        <f t="shared" si="16"/>
        <v>0</v>
      </c>
      <c r="S46" s="42">
        <f t="shared" si="17"/>
        <v>0</v>
      </c>
    </row>
    <row r="47" spans="1:19" x14ac:dyDescent="0.25">
      <c r="A47" t="str">
        <f t="shared" si="7"/>
        <v>-</v>
      </c>
      <c r="B47" s="40">
        <f t="shared" si="10"/>
        <v>1</v>
      </c>
      <c r="C47" s="40"/>
      <c r="D47" s="40"/>
      <c r="E47" s="42">
        <f t="shared" si="18"/>
        <v>0</v>
      </c>
      <c r="F47" s="63">
        <f t="shared" si="11"/>
        <v>0</v>
      </c>
      <c r="G47" s="106">
        <f>IFERROR(IF(VLOOKUP($A47,'Your Pooling'!$A$12:$K$30,MATCH("Already In Pool?",'Your Pooling'!$A$12:$K$12,0),0)="Y",0,VLOOKUP($A47,'Your Pooling'!$A$12:$K$30,MATCH("Your FSN Pooled",'Your Pooling'!$A$12:$K$12,0),))+J47,J47)</f>
        <v>0</v>
      </c>
      <c r="H47" s="106">
        <f>IFERROR(IF(VLOOKUP($A47,'Your Pooling'!$A$12:$K$30,MATCH("Already In Pool?",'Your Pooling'!$A$12:$K$12,0),0)="Y",0,VLOOKUP($A47,'Your Pooling'!$A$12:$K$30,MATCH("Your XXX Pooled",'Your Pooling'!$A$12:$K$12,0),))+K47,K47)</f>
        <v>0</v>
      </c>
      <c r="I47" s="70">
        <f t="shared" si="12"/>
        <v>0</v>
      </c>
      <c r="J47" s="70"/>
      <c r="K47" s="70"/>
      <c r="L47" s="77"/>
      <c r="O47" s="57">
        <f t="shared" si="13"/>
        <v>0</v>
      </c>
      <c r="P47" s="40">
        <f t="shared" si="14"/>
        <v>0</v>
      </c>
      <c r="Q47" s="57">
        <f t="shared" si="15"/>
        <v>0</v>
      </c>
      <c r="R47" s="58">
        <f t="shared" si="16"/>
        <v>0</v>
      </c>
      <c r="S47" s="42">
        <f t="shared" si="17"/>
        <v>0</v>
      </c>
    </row>
    <row r="48" spans="1:19" x14ac:dyDescent="0.25">
      <c r="A48" t="str">
        <f t="shared" si="7"/>
        <v>-</v>
      </c>
      <c r="B48" s="40">
        <f t="shared" si="10"/>
        <v>1</v>
      </c>
      <c r="C48" s="40"/>
      <c r="D48" s="40"/>
      <c r="E48" s="42">
        <f t="shared" si="18"/>
        <v>0</v>
      </c>
      <c r="F48" s="63">
        <f t="shared" si="11"/>
        <v>0</v>
      </c>
      <c r="G48" s="106">
        <f>IFERROR(IF(VLOOKUP($A48,'Your Pooling'!$A$12:$K$30,MATCH("Already In Pool?",'Your Pooling'!$A$12:$K$12,0),0)="Y",0,VLOOKUP($A48,'Your Pooling'!$A$12:$K$30,MATCH("Your FSN Pooled",'Your Pooling'!$A$12:$K$12,0),))+J48,J48)</f>
        <v>0</v>
      </c>
      <c r="H48" s="106">
        <f>IFERROR(IF(VLOOKUP($A48,'Your Pooling'!$A$12:$K$30,MATCH("Already In Pool?",'Your Pooling'!$A$12:$K$12,0),0)="Y",0,VLOOKUP($A48,'Your Pooling'!$A$12:$K$30,MATCH("Your XXX Pooled",'Your Pooling'!$A$12:$K$12,0),))+K48,K48)</f>
        <v>0</v>
      </c>
      <c r="I48" s="70">
        <f t="shared" si="12"/>
        <v>0</v>
      </c>
      <c r="J48" s="70"/>
      <c r="K48" s="70"/>
      <c r="L48" s="77"/>
      <c r="O48" s="57">
        <f t="shared" si="13"/>
        <v>0</v>
      </c>
      <c r="P48" s="40">
        <f t="shared" si="14"/>
        <v>0</v>
      </c>
      <c r="Q48" s="57">
        <f t="shared" si="15"/>
        <v>0</v>
      </c>
      <c r="R48" s="58">
        <f t="shared" si="16"/>
        <v>0</v>
      </c>
      <c r="S48" s="42">
        <f t="shared" si="17"/>
        <v>0</v>
      </c>
    </row>
    <row r="49" spans="1:19" x14ac:dyDescent="0.25">
      <c r="A49" t="str">
        <f t="shared" si="7"/>
        <v>-</v>
      </c>
      <c r="B49" s="40">
        <f t="shared" si="10"/>
        <v>1</v>
      </c>
      <c r="C49" s="40"/>
      <c r="D49" s="40"/>
      <c r="E49" s="42">
        <f t="shared" si="18"/>
        <v>0</v>
      </c>
      <c r="F49" s="63">
        <f t="shared" si="11"/>
        <v>0</v>
      </c>
      <c r="G49" s="106">
        <f>IFERROR(IF(VLOOKUP($A49,'Your Pooling'!$A$12:$K$30,MATCH("Already In Pool?",'Your Pooling'!$A$12:$K$12,0),0)="Y",0,VLOOKUP($A49,'Your Pooling'!$A$12:$K$30,MATCH("Your FSN Pooled",'Your Pooling'!$A$12:$K$12,0),))+J49,J49)</f>
        <v>0</v>
      </c>
      <c r="H49" s="106">
        <f>IFERROR(IF(VLOOKUP($A49,'Your Pooling'!$A$12:$K$30,MATCH("Already In Pool?",'Your Pooling'!$A$12:$K$12,0),0)="Y",0,VLOOKUP($A49,'Your Pooling'!$A$12:$K$30,MATCH("Your XXX Pooled",'Your Pooling'!$A$12:$K$12,0),))+K49,K49)</f>
        <v>0</v>
      </c>
      <c r="I49" s="70">
        <f t="shared" si="12"/>
        <v>0</v>
      </c>
      <c r="J49" s="70"/>
      <c r="K49" s="70"/>
      <c r="L49" s="77"/>
      <c r="O49" s="57">
        <f t="shared" si="13"/>
        <v>0</v>
      </c>
      <c r="P49" s="40">
        <f t="shared" si="14"/>
        <v>0</v>
      </c>
      <c r="Q49" s="57">
        <f t="shared" si="15"/>
        <v>0</v>
      </c>
      <c r="R49" s="58">
        <f t="shared" si="16"/>
        <v>0</v>
      </c>
      <c r="S49" s="42">
        <f t="shared" si="17"/>
        <v>0</v>
      </c>
    </row>
    <row r="50" spans="1:19" x14ac:dyDescent="0.25">
      <c r="A50" t="str">
        <f t="shared" si="7"/>
        <v>-</v>
      </c>
      <c r="B50" s="40">
        <f t="shared" si="10"/>
        <v>1</v>
      </c>
      <c r="C50" s="40"/>
      <c r="D50" s="40"/>
      <c r="E50" s="42">
        <f t="shared" si="18"/>
        <v>0</v>
      </c>
      <c r="F50" s="63">
        <f t="shared" si="11"/>
        <v>0</v>
      </c>
      <c r="G50" s="106">
        <f>IFERROR(IF(VLOOKUP($A50,'Your Pooling'!$A$12:$K$30,MATCH("Already In Pool?",'Your Pooling'!$A$12:$K$12,0),0)="Y",0,VLOOKUP($A50,'Your Pooling'!$A$12:$K$30,MATCH("Your FSN Pooled",'Your Pooling'!$A$12:$K$12,0),))+J50,J50)</f>
        <v>0</v>
      </c>
      <c r="H50" s="106">
        <f>IFERROR(IF(VLOOKUP($A50,'Your Pooling'!$A$12:$K$30,MATCH("Already In Pool?",'Your Pooling'!$A$12:$K$12,0),0)="Y",0,VLOOKUP($A50,'Your Pooling'!$A$12:$K$30,MATCH("Your XXX Pooled",'Your Pooling'!$A$12:$K$12,0),))+K50,K50)</f>
        <v>0</v>
      </c>
      <c r="I50" s="70">
        <f t="shared" si="12"/>
        <v>0</v>
      </c>
      <c r="J50" s="70"/>
      <c r="K50" s="70"/>
      <c r="L50" s="77"/>
      <c r="O50" s="57">
        <f t="shared" si="13"/>
        <v>0</v>
      </c>
      <c r="P50" s="40">
        <f t="shared" si="14"/>
        <v>0</v>
      </c>
      <c r="Q50" s="57">
        <f t="shared" si="15"/>
        <v>0</v>
      </c>
      <c r="R50" s="58">
        <f t="shared" si="16"/>
        <v>0</v>
      </c>
      <c r="S50" s="42">
        <f t="shared" si="17"/>
        <v>0</v>
      </c>
    </row>
    <row r="51" spans="1:19" x14ac:dyDescent="0.25">
      <c r="A51" t="str">
        <f t="shared" si="7"/>
        <v>-</v>
      </c>
      <c r="B51" s="40">
        <f t="shared" si="10"/>
        <v>1</v>
      </c>
      <c r="C51" s="40"/>
      <c r="D51" s="40"/>
      <c r="E51" s="42">
        <f t="shared" si="18"/>
        <v>0</v>
      </c>
      <c r="F51" s="63">
        <f t="shared" si="11"/>
        <v>0</v>
      </c>
      <c r="G51" s="106">
        <f>IFERROR(IF(VLOOKUP($A51,'Your Pooling'!$A$12:$K$30,MATCH("Already In Pool?",'Your Pooling'!$A$12:$K$12,0),0)="Y",0,VLOOKUP($A51,'Your Pooling'!$A$12:$K$30,MATCH("Your FSN Pooled",'Your Pooling'!$A$12:$K$12,0),))+J51,J51)</f>
        <v>0</v>
      </c>
      <c r="H51" s="106">
        <f>IFERROR(IF(VLOOKUP($A51,'Your Pooling'!$A$12:$K$30,MATCH("Already In Pool?",'Your Pooling'!$A$12:$K$12,0),0)="Y",0,VLOOKUP($A51,'Your Pooling'!$A$12:$K$30,MATCH("Your XXX Pooled",'Your Pooling'!$A$12:$K$12,0),))+K51,K51)</f>
        <v>0</v>
      </c>
      <c r="I51" s="70">
        <f t="shared" si="12"/>
        <v>0</v>
      </c>
      <c r="J51" s="70"/>
      <c r="K51" s="70"/>
      <c r="L51" s="77"/>
      <c r="O51" s="57">
        <f t="shared" si="13"/>
        <v>0</v>
      </c>
      <c r="P51" s="40">
        <f t="shared" si="14"/>
        <v>0</v>
      </c>
      <c r="Q51" s="57">
        <f t="shared" si="15"/>
        <v>0</v>
      </c>
      <c r="R51" s="58">
        <f t="shared" si="16"/>
        <v>0</v>
      </c>
      <c r="S51" s="42">
        <f t="shared" si="17"/>
        <v>0</v>
      </c>
    </row>
    <row r="52" spans="1:19" x14ac:dyDescent="0.25">
      <c r="A52" t="str">
        <f t="shared" si="7"/>
        <v>-</v>
      </c>
      <c r="B52" s="40">
        <f t="shared" si="10"/>
        <v>1</v>
      </c>
      <c r="C52" s="40"/>
      <c r="D52" s="40"/>
      <c r="E52" s="42">
        <f t="shared" si="18"/>
        <v>0</v>
      </c>
      <c r="F52" s="63">
        <f t="shared" si="11"/>
        <v>0</v>
      </c>
      <c r="G52" s="106">
        <f>IFERROR(IF(VLOOKUP($A52,'Your Pooling'!$A$12:$K$30,MATCH("Already In Pool?",'Your Pooling'!$A$12:$K$12,0),0)="Y",0,VLOOKUP($A52,'Your Pooling'!$A$12:$K$30,MATCH("Your FSN Pooled",'Your Pooling'!$A$12:$K$12,0),))+J52,J52)</f>
        <v>0</v>
      </c>
      <c r="H52" s="106">
        <f>IFERROR(IF(VLOOKUP($A52,'Your Pooling'!$A$12:$K$30,MATCH("Already In Pool?",'Your Pooling'!$A$12:$K$12,0),0)="Y",0,VLOOKUP($A52,'Your Pooling'!$A$12:$K$30,MATCH("Your XXX Pooled",'Your Pooling'!$A$12:$K$12,0),))+K52,K52)</f>
        <v>0</v>
      </c>
      <c r="I52" s="70">
        <f t="shared" si="12"/>
        <v>0</v>
      </c>
      <c r="J52" s="70"/>
      <c r="K52" s="70"/>
      <c r="L52" s="77"/>
      <c r="O52" s="57">
        <f t="shared" si="13"/>
        <v>0</v>
      </c>
      <c r="P52" s="40">
        <f t="shared" si="14"/>
        <v>0</v>
      </c>
      <c r="Q52" s="57">
        <f t="shared" si="15"/>
        <v>0</v>
      </c>
      <c r="R52" s="58">
        <f t="shared" si="16"/>
        <v>0</v>
      </c>
      <c r="S52" s="42">
        <f t="shared" si="17"/>
        <v>0</v>
      </c>
    </row>
    <row r="53" spans="1:19" x14ac:dyDescent="0.25">
      <c r="A53" t="str">
        <f t="shared" si="7"/>
        <v>-</v>
      </c>
      <c r="B53" s="40">
        <f t="shared" si="10"/>
        <v>1</v>
      </c>
      <c r="C53" s="40"/>
      <c r="D53" s="40"/>
      <c r="E53" s="42">
        <f t="shared" si="18"/>
        <v>0</v>
      </c>
      <c r="F53" s="63">
        <f t="shared" si="11"/>
        <v>0</v>
      </c>
      <c r="G53" s="106">
        <f>IFERROR(IF(VLOOKUP($A53,'Your Pooling'!$A$12:$K$30,MATCH("Already In Pool?",'Your Pooling'!$A$12:$K$12,0),0)="Y",0,VLOOKUP($A53,'Your Pooling'!$A$12:$K$30,MATCH("Your FSN Pooled",'Your Pooling'!$A$12:$K$12,0),))+J53,J53)</f>
        <v>0</v>
      </c>
      <c r="H53" s="106">
        <f>IFERROR(IF(VLOOKUP($A53,'Your Pooling'!$A$12:$K$30,MATCH("Already In Pool?",'Your Pooling'!$A$12:$K$12,0),0)="Y",0,VLOOKUP($A53,'Your Pooling'!$A$12:$K$30,MATCH("Your XXX Pooled",'Your Pooling'!$A$12:$K$12,0),))+K53,K53)</f>
        <v>0</v>
      </c>
      <c r="I53" s="70">
        <f t="shared" si="12"/>
        <v>0</v>
      </c>
      <c r="J53" s="70"/>
      <c r="K53" s="70"/>
      <c r="L53" s="77"/>
      <c r="O53" s="57">
        <f t="shared" si="13"/>
        <v>0</v>
      </c>
      <c r="P53" s="40">
        <f t="shared" si="14"/>
        <v>0</v>
      </c>
      <c r="Q53" s="57">
        <f t="shared" si="15"/>
        <v>0</v>
      </c>
      <c r="R53" s="58">
        <f t="shared" si="16"/>
        <v>0</v>
      </c>
      <c r="S53" s="42">
        <f t="shared" si="17"/>
        <v>0</v>
      </c>
    </row>
    <row r="54" spans="1:19" x14ac:dyDescent="0.25">
      <c r="A54" t="str">
        <f t="shared" si="7"/>
        <v>-</v>
      </c>
      <c r="B54" s="40">
        <f t="shared" si="10"/>
        <v>1</v>
      </c>
      <c r="C54" s="40"/>
      <c r="D54" s="40"/>
      <c r="E54" s="42">
        <f t="shared" si="18"/>
        <v>0</v>
      </c>
      <c r="F54" s="63">
        <f t="shared" si="11"/>
        <v>0</v>
      </c>
      <c r="G54" s="106">
        <f>IFERROR(IF(VLOOKUP($A54,'Your Pooling'!$A$12:$K$30,MATCH("Already In Pool?",'Your Pooling'!$A$12:$K$12,0),0)="Y",0,VLOOKUP($A54,'Your Pooling'!$A$12:$K$30,MATCH("Your FSN Pooled",'Your Pooling'!$A$12:$K$12,0),))+J54,J54)</f>
        <v>0</v>
      </c>
      <c r="H54" s="106">
        <f>IFERROR(IF(VLOOKUP($A54,'Your Pooling'!$A$12:$K$30,MATCH("Already In Pool?",'Your Pooling'!$A$12:$K$12,0),0)="Y",0,VLOOKUP($A54,'Your Pooling'!$A$12:$K$30,MATCH("Your XXX Pooled",'Your Pooling'!$A$12:$K$12,0),))+K54,K54)</f>
        <v>0</v>
      </c>
      <c r="I54" s="70">
        <f t="shared" si="12"/>
        <v>0</v>
      </c>
      <c r="J54" s="70"/>
      <c r="K54" s="70"/>
      <c r="L54" s="77"/>
      <c r="O54" s="57">
        <f t="shared" si="13"/>
        <v>0</v>
      </c>
      <c r="P54" s="40">
        <f t="shared" si="14"/>
        <v>0</v>
      </c>
      <c r="Q54" s="57">
        <f t="shared" si="15"/>
        <v>0</v>
      </c>
      <c r="R54" s="58">
        <f t="shared" si="16"/>
        <v>0</v>
      </c>
      <c r="S54" s="42">
        <f t="shared" si="17"/>
        <v>0</v>
      </c>
    </row>
    <row r="55" spans="1:19" x14ac:dyDescent="0.25">
      <c r="A55" t="str">
        <f t="shared" si="7"/>
        <v>-</v>
      </c>
      <c r="B55" s="40">
        <f t="shared" si="10"/>
        <v>1</v>
      </c>
      <c r="C55" s="40"/>
      <c r="D55" s="40"/>
      <c r="E55" s="42">
        <f t="shared" si="18"/>
        <v>0</v>
      </c>
      <c r="F55" s="63">
        <f t="shared" si="11"/>
        <v>0</v>
      </c>
      <c r="G55" s="106">
        <f>IFERROR(IF(VLOOKUP($A55,'Your Pooling'!$A$12:$K$30,MATCH("Already In Pool?",'Your Pooling'!$A$12:$K$12,0),0)="Y",0,VLOOKUP($A55,'Your Pooling'!$A$12:$K$30,MATCH("Your FSN Pooled",'Your Pooling'!$A$12:$K$12,0),))+J55,J55)</f>
        <v>0</v>
      </c>
      <c r="H55" s="106">
        <f>IFERROR(IF(VLOOKUP($A55,'Your Pooling'!$A$12:$K$30,MATCH("Already In Pool?",'Your Pooling'!$A$12:$K$12,0),0)="Y",0,VLOOKUP($A55,'Your Pooling'!$A$12:$K$30,MATCH("Your XXX Pooled",'Your Pooling'!$A$12:$K$12,0),))+K55,K55)</f>
        <v>0</v>
      </c>
      <c r="I55" s="70">
        <f t="shared" si="12"/>
        <v>0</v>
      </c>
      <c r="J55" s="70"/>
      <c r="K55" s="70"/>
      <c r="L55" s="77"/>
      <c r="O55" s="57">
        <f t="shared" si="13"/>
        <v>0</v>
      </c>
      <c r="P55" s="40">
        <f t="shared" si="14"/>
        <v>0</v>
      </c>
      <c r="Q55" s="57">
        <f t="shared" si="15"/>
        <v>0</v>
      </c>
      <c r="R55" s="58">
        <f t="shared" si="16"/>
        <v>0</v>
      </c>
      <c r="S55" s="42">
        <f t="shared" si="17"/>
        <v>0</v>
      </c>
    </row>
    <row r="56" spans="1:19" x14ac:dyDescent="0.25">
      <c r="A56" t="str">
        <f t="shared" si="7"/>
        <v>-</v>
      </c>
      <c r="B56" s="40">
        <f t="shared" si="10"/>
        <v>1</v>
      </c>
      <c r="C56" s="40"/>
      <c r="D56" s="40"/>
      <c r="E56" s="42">
        <f t="shared" si="18"/>
        <v>0</v>
      </c>
      <c r="F56" s="63">
        <f t="shared" si="11"/>
        <v>0</v>
      </c>
      <c r="G56" s="106">
        <f>IFERROR(IF(VLOOKUP($A56,'Your Pooling'!$A$12:$K$30,MATCH("Already In Pool?",'Your Pooling'!$A$12:$K$12,0),0)="Y",0,VLOOKUP($A56,'Your Pooling'!$A$12:$K$30,MATCH("Your FSN Pooled",'Your Pooling'!$A$12:$K$12,0),))+J56,J56)</f>
        <v>0</v>
      </c>
      <c r="H56" s="106">
        <f>IFERROR(IF(VLOOKUP($A56,'Your Pooling'!$A$12:$K$30,MATCH("Already In Pool?",'Your Pooling'!$A$12:$K$12,0),0)="Y",0,VLOOKUP($A56,'Your Pooling'!$A$12:$K$30,MATCH("Your XXX Pooled",'Your Pooling'!$A$12:$K$12,0),))+K56,K56)</f>
        <v>0</v>
      </c>
      <c r="I56" s="70">
        <f t="shared" si="12"/>
        <v>0</v>
      </c>
      <c r="J56" s="70"/>
      <c r="K56" s="70"/>
      <c r="L56" s="77"/>
      <c r="O56" s="57">
        <f t="shared" si="13"/>
        <v>0</v>
      </c>
      <c r="P56" s="40">
        <f t="shared" si="14"/>
        <v>0</v>
      </c>
      <c r="Q56" s="57">
        <f t="shared" si="15"/>
        <v>0</v>
      </c>
      <c r="R56" s="58">
        <f t="shared" si="16"/>
        <v>0</v>
      </c>
      <c r="S56" s="42">
        <f t="shared" si="17"/>
        <v>0</v>
      </c>
    </row>
    <row r="57" spans="1:19" x14ac:dyDescent="0.25">
      <c r="A57" t="str">
        <f t="shared" si="7"/>
        <v>-</v>
      </c>
      <c r="B57" s="40">
        <f t="shared" si="10"/>
        <v>1</v>
      </c>
      <c r="C57" s="40"/>
      <c r="D57" s="40"/>
      <c r="E57" s="42">
        <f t="shared" si="18"/>
        <v>0</v>
      </c>
      <c r="F57" s="63">
        <f t="shared" si="11"/>
        <v>0</v>
      </c>
      <c r="G57" s="106">
        <f>IFERROR(IF(VLOOKUP($A57,'Your Pooling'!$A$12:$K$30,MATCH("Already In Pool?",'Your Pooling'!$A$12:$K$12,0),0)="Y",0,VLOOKUP($A57,'Your Pooling'!$A$12:$K$30,MATCH("Your FSN Pooled",'Your Pooling'!$A$12:$K$12,0),))+J57,J57)</f>
        <v>0</v>
      </c>
      <c r="H57" s="106">
        <f>IFERROR(IF(VLOOKUP($A57,'Your Pooling'!$A$12:$K$30,MATCH("Already In Pool?",'Your Pooling'!$A$12:$K$12,0),0)="Y",0,VLOOKUP($A57,'Your Pooling'!$A$12:$K$30,MATCH("Your XXX Pooled",'Your Pooling'!$A$12:$K$12,0),))+K57,K57)</f>
        <v>0</v>
      </c>
      <c r="I57" s="70">
        <f t="shared" si="12"/>
        <v>0</v>
      </c>
      <c r="J57" s="70"/>
      <c r="K57" s="70"/>
      <c r="L57" s="77"/>
      <c r="O57" s="57">
        <f t="shared" si="13"/>
        <v>0</v>
      </c>
      <c r="P57" s="40">
        <f t="shared" si="14"/>
        <v>0</v>
      </c>
      <c r="Q57" s="57">
        <f t="shared" si="15"/>
        <v>0</v>
      </c>
      <c r="R57" s="58">
        <f t="shared" si="16"/>
        <v>0</v>
      </c>
      <c r="S57" s="42">
        <f t="shared" si="17"/>
        <v>0</v>
      </c>
    </row>
    <row r="58" spans="1:19" x14ac:dyDescent="0.25">
      <c r="A58" t="str">
        <f t="shared" si="7"/>
        <v>-</v>
      </c>
      <c r="B58" s="40">
        <f t="shared" si="10"/>
        <v>1</v>
      </c>
      <c r="C58" s="40"/>
      <c r="D58" s="40"/>
      <c r="E58" s="42">
        <f t="shared" si="18"/>
        <v>0</v>
      </c>
      <c r="F58" s="63">
        <f t="shared" si="11"/>
        <v>0</v>
      </c>
      <c r="G58" s="106">
        <f>IFERROR(IF(VLOOKUP($A58,'Your Pooling'!$A$12:$K$30,MATCH("Already In Pool?",'Your Pooling'!$A$12:$K$12,0),0)="Y",0,VLOOKUP($A58,'Your Pooling'!$A$12:$K$30,MATCH("Your FSN Pooled",'Your Pooling'!$A$12:$K$12,0),))+J58,J58)</f>
        <v>0</v>
      </c>
      <c r="H58" s="106">
        <f>IFERROR(IF(VLOOKUP($A58,'Your Pooling'!$A$12:$K$30,MATCH("Already In Pool?",'Your Pooling'!$A$12:$K$12,0),0)="Y",0,VLOOKUP($A58,'Your Pooling'!$A$12:$K$30,MATCH("Your XXX Pooled",'Your Pooling'!$A$12:$K$12,0),))+K58,K58)</f>
        <v>0</v>
      </c>
      <c r="I58" s="70">
        <f t="shared" si="12"/>
        <v>0</v>
      </c>
      <c r="J58" s="70"/>
      <c r="K58" s="70"/>
      <c r="L58" s="77"/>
      <c r="O58" s="57">
        <f t="shared" si="13"/>
        <v>0</v>
      </c>
      <c r="P58" s="40">
        <f t="shared" si="14"/>
        <v>0</v>
      </c>
      <c r="Q58" s="57">
        <f t="shared" si="15"/>
        <v>0</v>
      </c>
      <c r="R58" s="58">
        <f t="shared" si="16"/>
        <v>0</v>
      </c>
      <c r="S58" s="42">
        <f t="shared" si="17"/>
        <v>0</v>
      </c>
    </row>
    <row r="59" spans="1:19" x14ac:dyDescent="0.25">
      <c r="A59" t="str">
        <f t="shared" si="7"/>
        <v>-</v>
      </c>
      <c r="B59" s="40">
        <f t="shared" si="10"/>
        <v>1</v>
      </c>
      <c r="C59" s="40"/>
      <c r="D59" s="40"/>
      <c r="E59" s="42">
        <f t="shared" si="18"/>
        <v>0</v>
      </c>
      <c r="F59" s="63">
        <f t="shared" si="11"/>
        <v>0</v>
      </c>
      <c r="G59" s="106">
        <f>IFERROR(IF(VLOOKUP($A59,'Your Pooling'!$A$12:$K$30,MATCH("Already In Pool?",'Your Pooling'!$A$12:$K$12,0),0)="Y",0,VLOOKUP($A59,'Your Pooling'!$A$12:$K$30,MATCH("Your FSN Pooled",'Your Pooling'!$A$12:$K$12,0),))+J59,J59)</f>
        <v>0</v>
      </c>
      <c r="H59" s="106">
        <f>IFERROR(IF(VLOOKUP($A59,'Your Pooling'!$A$12:$K$30,MATCH("Already In Pool?",'Your Pooling'!$A$12:$K$12,0),0)="Y",0,VLOOKUP($A59,'Your Pooling'!$A$12:$K$30,MATCH("Your XXX Pooled",'Your Pooling'!$A$12:$K$12,0),))+K59,K59)</f>
        <v>0</v>
      </c>
      <c r="I59" s="70">
        <f t="shared" si="12"/>
        <v>0</v>
      </c>
      <c r="J59" s="70"/>
      <c r="K59" s="70"/>
      <c r="L59" s="77"/>
      <c r="O59" s="57">
        <f t="shared" si="13"/>
        <v>0</v>
      </c>
      <c r="P59" s="40">
        <f t="shared" si="14"/>
        <v>0</v>
      </c>
      <c r="Q59" s="57">
        <f t="shared" si="15"/>
        <v>0</v>
      </c>
      <c r="R59" s="58">
        <f t="shared" si="16"/>
        <v>0</v>
      </c>
      <c r="S59" s="42">
        <f t="shared" si="17"/>
        <v>0</v>
      </c>
    </row>
    <row r="60" spans="1:19" x14ac:dyDescent="0.25">
      <c r="A60" t="str">
        <f t="shared" si="7"/>
        <v>-</v>
      </c>
      <c r="B60" s="40">
        <f t="shared" si="10"/>
        <v>1</v>
      </c>
      <c r="C60" s="40"/>
      <c r="D60" s="40"/>
      <c r="E60" s="42">
        <f t="shared" si="18"/>
        <v>0</v>
      </c>
      <c r="F60" s="63">
        <f t="shared" si="11"/>
        <v>0</v>
      </c>
      <c r="G60" s="106">
        <f>IFERROR(IF(VLOOKUP($A60,'Your Pooling'!$A$12:$K$30,MATCH("Already In Pool?",'Your Pooling'!$A$12:$K$12,0),0)="Y",0,VLOOKUP($A60,'Your Pooling'!$A$12:$K$30,MATCH("Your FSN Pooled",'Your Pooling'!$A$12:$K$12,0),))+J60,J60)</f>
        <v>0</v>
      </c>
      <c r="H60" s="106">
        <f>IFERROR(IF(VLOOKUP($A60,'Your Pooling'!$A$12:$K$30,MATCH("Already In Pool?",'Your Pooling'!$A$12:$K$12,0),0)="Y",0,VLOOKUP($A60,'Your Pooling'!$A$12:$K$30,MATCH("Your XXX Pooled",'Your Pooling'!$A$12:$K$12,0),))+K60,K60)</f>
        <v>0</v>
      </c>
      <c r="I60" s="70">
        <f t="shared" si="12"/>
        <v>0</v>
      </c>
      <c r="J60" s="70"/>
      <c r="K60" s="70"/>
      <c r="L60" s="77"/>
      <c r="O60" s="57">
        <f t="shared" si="13"/>
        <v>0</v>
      </c>
      <c r="P60" s="40">
        <f t="shared" si="14"/>
        <v>0</v>
      </c>
      <c r="Q60" s="57">
        <f t="shared" si="15"/>
        <v>0</v>
      </c>
      <c r="R60" s="58">
        <f t="shared" si="16"/>
        <v>0</v>
      </c>
      <c r="S60" s="42">
        <f t="shared" si="17"/>
        <v>0</v>
      </c>
    </row>
    <row r="61" spans="1:19" x14ac:dyDescent="0.25">
      <c r="A61" t="str">
        <f t="shared" si="7"/>
        <v>-</v>
      </c>
      <c r="B61" s="40">
        <f t="shared" si="10"/>
        <v>1</v>
      </c>
      <c r="C61" s="40"/>
      <c r="D61" s="40"/>
      <c r="E61" s="42">
        <f t="shared" si="18"/>
        <v>0</v>
      </c>
      <c r="F61" s="63">
        <f t="shared" si="11"/>
        <v>0</v>
      </c>
      <c r="G61" s="106">
        <f>IFERROR(IF(VLOOKUP($A61,'Your Pooling'!$A$12:$K$30,MATCH("Already In Pool?",'Your Pooling'!$A$12:$K$12,0),0)="Y",0,VLOOKUP($A61,'Your Pooling'!$A$12:$K$30,MATCH("Your FSN Pooled",'Your Pooling'!$A$12:$K$12,0),))+J61,J61)</f>
        <v>0</v>
      </c>
      <c r="H61" s="106">
        <f>IFERROR(IF(VLOOKUP($A61,'Your Pooling'!$A$12:$K$30,MATCH("Already In Pool?",'Your Pooling'!$A$12:$K$12,0),0)="Y",0,VLOOKUP($A61,'Your Pooling'!$A$12:$K$30,MATCH("Your XXX Pooled",'Your Pooling'!$A$12:$K$12,0),))+K61,K61)</f>
        <v>0</v>
      </c>
      <c r="I61" s="70">
        <f t="shared" si="12"/>
        <v>0</v>
      </c>
      <c r="J61" s="70"/>
      <c r="K61" s="70"/>
      <c r="L61" s="77"/>
      <c r="O61" s="57">
        <f t="shared" si="13"/>
        <v>0</v>
      </c>
      <c r="P61" s="40">
        <f t="shared" si="14"/>
        <v>0</v>
      </c>
      <c r="Q61" s="57">
        <f t="shared" si="15"/>
        <v>0</v>
      </c>
      <c r="R61" s="58">
        <f t="shared" si="16"/>
        <v>0</v>
      </c>
      <c r="S61" s="42">
        <f t="shared" si="17"/>
        <v>0</v>
      </c>
    </row>
    <row r="62" spans="1:19" x14ac:dyDescent="0.25">
      <c r="A62" t="str">
        <f t="shared" si="7"/>
        <v>-</v>
      </c>
      <c r="B62" s="40">
        <f t="shared" si="10"/>
        <v>1</v>
      </c>
      <c r="C62" s="40"/>
      <c r="D62" s="40"/>
      <c r="E62" s="42">
        <f t="shared" si="18"/>
        <v>0</v>
      </c>
      <c r="F62" s="63">
        <f t="shared" si="11"/>
        <v>0</v>
      </c>
      <c r="G62" s="106">
        <f>IFERROR(IF(VLOOKUP($A62,'Your Pooling'!$A$12:$K$30,MATCH("Already In Pool?",'Your Pooling'!$A$12:$K$12,0),0)="Y",0,VLOOKUP($A62,'Your Pooling'!$A$12:$K$30,MATCH("Your FSN Pooled",'Your Pooling'!$A$12:$K$12,0),))+J62,J62)</f>
        <v>0</v>
      </c>
      <c r="H62" s="106">
        <f>IFERROR(IF(VLOOKUP($A62,'Your Pooling'!$A$12:$K$30,MATCH("Already In Pool?",'Your Pooling'!$A$12:$K$12,0),0)="Y",0,VLOOKUP($A62,'Your Pooling'!$A$12:$K$30,MATCH("Your XXX Pooled",'Your Pooling'!$A$12:$K$12,0),))+K62,K62)</f>
        <v>0</v>
      </c>
      <c r="I62" s="70">
        <f t="shared" si="12"/>
        <v>0</v>
      </c>
      <c r="J62" s="70"/>
      <c r="K62" s="70"/>
      <c r="L62" s="77"/>
      <c r="O62" s="57">
        <f t="shared" si="13"/>
        <v>0</v>
      </c>
      <c r="P62" s="40">
        <f t="shared" si="14"/>
        <v>0</v>
      </c>
      <c r="Q62" s="57">
        <f t="shared" si="15"/>
        <v>0</v>
      </c>
      <c r="R62" s="58">
        <f t="shared" si="16"/>
        <v>0</v>
      </c>
      <c r="S62" s="42">
        <f t="shared" si="17"/>
        <v>0</v>
      </c>
    </row>
    <row r="63" spans="1:19" x14ac:dyDescent="0.25">
      <c r="A63" t="str">
        <f t="shared" si="7"/>
        <v>-</v>
      </c>
      <c r="B63" s="40">
        <f t="shared" si="10"/>
        <v>1</v>
      </c>
      <c r="C63" s="40"/>
      <c r="D63" s="40"/>
      <c r="E63" s="42">
        <f t="shared" si="18"/>
        <v>0</v>
      </c>
      <c r="F63" s="63">
        <f t="shared" si="11"/>
        <v>0</v>
      </c>
      <c r="G63" s="106">
        <f>IFERROR(IF(VLOOKUP($A63,'Your Pooling'!$A$12:$K$30,MATCH("Already In Pool?",'Your Pooling'!$A$12:$K$12,0),0)="Y",0,VLOOKUP($A63,'Your Pooling'!$A$12:$K$30,MATCH("Your FSN Pooled",'Your Pooling'!$A$12:$K$12,0),))+J63,J63)</f>
        <v>0</v>
      </c>
      <c r="H63" s="106">
        <f>IFERROR(IF(VLOOKUP($A63,'Your Pooling'!$A$12:$K$30,MATCH("Already In Pool?",'Your Pooling'!$A$12:$K$12,0),0)="Y",0,VLOOKUP($A63,'Your Pooling'!$A$12:$K$30,MATCH("Your XXX Pooled",'Your Pooling'!$A$12:$K$12,0),))+K63,K63)</f>
        <v>0</v>
      </c>
      <c r="I63" s="70">
        <f t="shared" si="12"/>
        <v>0</v>
      </c>
      <c r="J63" s="70"/>
      <c r="K63" s="70"/>
      <c r="L63" s="77"/>
      <c r="O63" s="57">
        <f t="shared" si="13"/>
        <v>0</v>
      </c>
      <c r="P63" s="40">
        <f t="shared" si="14"/>
        <v>0</v>
      </c>
      <c r="Q63" s="57">
        <f t="shared" si="15"/>
        <v>0</v>
      </c>
      <c r="R63" s="58">
        <f t="shared" si="16"/>
        <v>0</v>
      </c>
      <c r="S63" s="42">
        <f t="shared" si="17"/>
        <v>0</v>
      </c>
    </row>
    <row r="64" spans="1:19" x14ac:dyDescent="0.25">
      <c r="A64" t="str">
        <f t="shared" si="7"/>
        <v>-</v>
      </c>
      <c r="B64" s="40">
        <f t="shared" si="10"/>
        <v>1</v>
      </c>
      <c r="C64" s="40"/>
      <c r="D64" s="40"/>
      <c r="E64" s="42">
        <f t="shared" si="18"/>
        <v>0</v>
      </c>
      <c r="F64" s="63">
        <f t="shared" si="11"/>
        <v>0</v>
      </c>
      <c r="G64" s="106">
        <f>IFERROR(IF(VLOOKUP($A64,'Your Pooling'!$A$12:$K$30,MATCH("Already In Pool?",'Your Pooling'!$A$12:$K$12,0),0)="Y",0,VLOOKUP($A64,'Your Pooling'!$A$12:$K$30,MATCH("Your FSN Pooled",'Your Pooling'!$A$12:$K$12,0),))+J64,J64)</f>
        <v>0</v>
      </c>
      <c r="H64" s="106">
        <f>IFERROR(IF(VLOOKUP($A64,'Your Pooling'!$A$12:$K$30,MATCH("Already In Pool?",'Your Pooling'!$A$12:$K$12,0),0)="Y",0,VLOOKUP($A64,'Your Pooling'!$A$12:$K$30,MATCH("Your XXX Pooled",'Your Pooling'!$A$12:$K$12,0),))+K64,K64)</f>
        <v>0</v>
      </c>
      <c r="I64" s="70">
        <f t="shared" si="12"/>
        <v>0</v>
      </c>
      <c r="J64" s="70"/>
      <c r="K64" s="70"/>
      <c r="L64" s="77"/>
      <c r="O64" s="57">
        <f t="shared" si="13"/>
        <v>0</v>
      </c>
      <c r="P64" s="40">
        <f t="shared" si="14"/>
        <v>0</v>
      </c>
      <c r="Q64" s="57">
        <f t="shared" si="15"/>
        <v>0</v>
      </c>
      <c r="R64" s="58">
        <f t="shared" si="16"/>
        <v>0</v>
      </c>
      <c r="S64" s="42">
        <f t="shared" si="17"/>
        <v>0</v>
      </c>
    </row>
    <row r="65" spans="1:19" x14ac:dyDescent="0.25">
      <c r="A65" t="str">
        <f t="shared" si="7"/>
        <v>-</v>
      </c>
      <c r="B65" s="40">
        <f t="shared" si="10"/>
        <v>1</v>
      </c>
      <c r="C65" s="40"/>
      <c r="D65" s="40"/>
      <c r="E65" s="42">
        <f t="shared" si="18"/>
        <v>0</v>
      </c>
      <c r="F65" s="63">
        <f t="shared" si="11"/>
        <v>0</v>
      </c>
      <c r="G65" s="106">
        <f>IFERROR(IF(VLOOKUP($A65,'Your Pooling'!$A$12:$K$30,MATCH("Already In Pool?",'Your Pooling'!$A$12:$K$12,0),0)="Y",0,VLOOKUP($A65,'Your Pooling'!$A$12:$K$30,MATCH("Your FSN Pooled",'Your Pooling'!$A$12:$K$12,0),))+J65,J65)</f>
        <v>0</v>
      </c>
      <c r="H65" s="106">
        <f>IFERROR(IF(VLOOKUP($A65,'Your Pooling'!$A$12:$K$30,MATCH("Already In Pool?",'Your Pooling'!$A$12:$K$12,0),0)="Y",0,VLOOKUP($A65,'Your Pooling'!$A$12:$K$30,MATCH("Your XXX Pooled",'Your Pooling'!$A$12:$K$12,0),))+K65,K65)</f>
        <v>0</v>
      </c>
      <c r="I65" s="70">
        <f t="shared" si="12"/>
        <v>0</v>
      </c>
      <c r="J65" s="70"/>
      <c r="K65" s="70"/>
      <c r="L65" s="77"/>
      <c r="O65" s="57">
        <f t="shared" si="13"/>
        <v>0</v>
      </c>
      <c r="P65" s="40">
        <f t="shared" si="14"/>
        <v>0</v>
      </c>
      <c r="Q65" s="57">
        <f t="shared" si="15"/>
        <v>0</v>
      </c>
      <c r="R65" s="58">
        <f t="shared" si="16"/>
        <v>0</v>
      </c>
      <c r="S65" s="42">
        <f t="shared" si="17"/>
        <v>0</v>
      </c>
    </row>
    <row r="66" spans="1:19" x14ac:dyDescent="0.25">
      <c r="A66" t="str">
        <f t="shared" si="7"/>
        <v>-</v>
      </c>
      <c r="B66" s="40">
        <f t="shared" si="10"/>
        <v>1</v>
      </c>
      <c r="C66" s="40"/>
      <c r="D66" s="40"/>
      <c r="E66" s="42">
        <f t="shared" si="18"/>
        <v>0</v>
      </c>
      <c r="F66" s="63">
        <f t="shared" si="11"/>
        <v>0</v>
      </c>
      <c r="G66" s="106">
        <f>IFERROR(IF(VLOOKUP($A66,'Your Pooling'!$A$12:$K$30,MATCH("Already In Pool?",'Your Pooling'!$A$12:$K$12,0),0)="Y",0,VLOOKUP($A66,'Your Pooling'!$A$12:$K$30,MATCH("Your FSN Pooled",'Your Pooling'!$A$12:$K$12,0),))+J66,J66)</f>
        <v>0</v>
      </c>
      <c r="H66" s="106">
        <f>IFERROR(IF(VLOOKUP($A66,'Your Pooling'!$A$12:$K$30,MATCH("Already In Pool?",'Your Pooling'!$A$12:$K$12,0),0)="Y",0,VLOOKUP($A66,'Your Pooling'!$A$12:$K$30,MATCH("Your XXX Pooled",'Your Pooling'!$A$12:$K$12,0),))+K66,K66)</f>
        <v>0</v>
      </c>
      <c r="I66" s="70">
        <f t="shared" si="12"/>
        <v>0</v>
      </c>
      <c r="J66" s="70"/>
      <c r="K66" s="70"/>
      <c r="L66" s="77"/>
      <c r="O66" s="57">
        <f t="shared" si="13"/>
        <v>0</v>
      </c>
      <c r="P66" s="40">
        <f t="shared" si="14"/>
        <v>0</v>
      </c>
      <c r="Q66" s="57">
        <f t="shared" si="15"/>
        <v>0</v>
      </c>
      <c r="R66" s="58">
        <f t="shared" si="16"/>
        <v>0</v>
      </c>
      <c r="S66" s="42">
        <f t="shared" si="17"/>
        <v>0</v>
      </c>
    </row>
    <row r="67" spans="1:19" x14ac:dyDescent="0.25">
      <c r="A67" t="str">
        <f t="shared" si="7"/>
        <v>-</v>
      </c>
      <c r="B67" s="40">
        <f t="shared" si="10"/>
        <v>1</v>
      </c>
      <c r="C67" s="40"/>
      <c r="D67" s="40"/>
      <c r="E67" s="42">
        <f t="shared" si="18"/>
        <v>0</v>
      </c>
      <c r="F67" s="63">
        <f t="shared" si="11"/>
        <v>0</v>
      </c>
      <c r="G67" s="106">
        <f>IFERROR(IF(VLOOKUP($A67,'Your Pooling'!$A$12:$K$30,MATCH("Already In Pool?",'Your Pooling'!$A$12:$K$12,0),0)="Y",0,VLOOKUP($A67,'Your Pooling'!$A$12:$K$30,MATCH("Your FSN Pooled",'Your Pooling'!$A$12:$K$12,0),))+J67,J67)</f>
        <v>0</v>
      </c>
      <c r="H67" s="106">
        <f>IFERROR(IF(VLOOKUP($A67,'Your Pooling'!$A$12:$K$30,MATCH("Already In Pool?",'Your Pooling'!$A$12:$K$12,0),0)="Y",0,VLOOKUP($A67,'Your Pooling'!$A$12:$K$30,MATCH("Your XXX Pooled",'Your Pooling'!$A$12:$K$12,0),))+K67,K67)</f>
        <v>0</v>
      </c>
      <c r="I67" s="70">
        <f t="shared" si="12"/>
        <v>0</v>
      </c>
      <c r="J67" s="70"/>
      <c r="K67" s="70"/>
      <c r="L67" s="77"/>
      <c r="O67" s="57">
        <f t="shared" si="13"/>
        <v>0</v>
      </c>
      <c r="P67" s="40">
        <f t="shared" si="14"/>
        <v>0</v>
      </c>
      <c r="Q67" s="57">
        <f t="shared" si="15"/>
        <v>0</v>
      </c>
      <c r="R67" s="58">
        <f t="shared" si="16"/>
        <v>0</v>
      </c>
      <c r="S67" s="42">
        <f t="shared" si="17"/>
        <v>0</v>
      </c>
    </row>
    <row r="68" spans="1:19" x14ac:dyDescent="0.25">
      <c r="A68" t="str">
        <f t="shared" si="7"/>
        <v>-</v>
      </c>
      <c r="B68" s="40">
        <f t="shared" si="10"/>
        <v>1</v>
      </c>
      <c r="C68" s="40"/>
      <c r="D68" s="40"/>
      <c r="E68" s="42">
        <f t="shared" si="18"/>
        <v>0</v>
      </c>
      <c r="F68" s="63">
        <f t="shared" si="11"/>
        <v>0</v>
      </c>
      <c r="G68" s="106">
        <f>IFERROR(IF(VLOOKUP($A68,'Your Pooling'!$A$12:$K$30,MATCH("Already In Pool?",'Your Pooling'!$A$12:$K$12,0),0)="Y",0,VLOOKUP($A68,'Your Pooling'!$A$12:$K$30,MATCH("Your FSN Pooled",'Your Pooling'!$A$12:$K$12,0),))+J68,J68)</f>
        <v>0</v>
      </c>
      <c r="H68" s="106">
        <f>IFERROR(IF(VLOOKUP($A68,'Your Pooling'!$A$12:$K$30,MATCH("Already In Pool?",'Your Pooling'!$A$12:$K$12,0),0)="Y",0,VLOOKUP($A68,'Your Pooling'!$A$12:$K$30,MATCH("Your XXX Pooled",'Your Pooling'!$A$12:$K$12,0),))+K68,K68)</f>
        <v>0</v>
      </c>
      <c r="I68" s="70">
        <f t="shared" si="12"/>
        <v>0</v>
      </c>
      <c r="J68" s="70"/>
      <c r="K68" s="70"/>
      <c r="L68" s="77"/>
      <c r="O68" s="57">
        <f t="shared" si="13"/>
        <v>0</v>
      </c>
      <c r="P68" s="40">
        <f t="shared" si="14"/>
        <v>0</v>
      </c>
      <c r="Q68" s="57">
        <f t="shared" si="15"/>
        <v>0</v>
      </c>
      <c r="R68" s="58">
        <f t="shared" si="16"/>
        <v>0</v>
      </c>
      <c r="S68" s="42">
        <f t="shared" si="17"/>
        <v>0</v>
      </c>
    </row>
    <row r="69" spans="1:19" x14ac:dyDescent="0.25">
      <c r="A69" t="str">
        <f t="shared" si="7"/>
        <v>-</v>
      </c>
      <c r="B69" s="40">
        <f t="shared" si="10"/>
        <v>1</v>
      </c>
      <c r="C69" s="40"/>
      <c r="D69" s="40"/>
      <c r="E69" s="42">
        <f t="shared" si="18"/>
        <v>0</v>
      </c>
      <c r="F69" s="63">
        <f t="shared" si="11"/>
        <v>0</v>
      </c>
      <c r="G69" s="106">
        <f>IFERROR(IF(VLOOKUP($A69,'Your Pooling'!$A$12:$K$30,MATCH("Already In Pool?",'Your Pooling'!$A$12:$K$12,0),0)="Y",0,VLOOKUP($A69,'Your Pooling'!$A$12:$K$30,MATCH("Your FSN Pooled",'Your Pooling'!$A$12:$K$12,0),))+J69,J69)</f>
        <v>0</v>
      </c>
      <c r="H69" s="106">
        <f>IFERROR(IF(VLOOKUP($A69,'Your Pooling'!$A$12:$K$30,MATCH("Already In Pool?",'Your Pooling'!$A$12:$K$12,0),0)="Y",0,VLOOKUP($A69,'Your Pooling'!$A$12:$K$30,MATCH("Your XXX Pooled",'Your Pooling'!$A$12:$K$12,0),))+K69,K69)</f>
        <v>0</v>
      </c>
      <c r="I69" s="70">
        <f t="shared" si="12"/>
        <v>0</v>
      </c>
      <c r="J69" s="70"/>
      <c r="K69" s="70"/>
      <c r="L69" s="77"/>
      <c r="O69" s="57">
        <f t="shared" si="13"/>
        <v>0</v>
      </c>
      <c r="P69" s="40">
        <f t="shared" si="14"/>
        <v>0</v>
      </c>
      <c r="Q69" s="57">
        <f t="shared" si="15"/>
        <v>0</v>
      </c>
      <c r="R69" s="58">
        <f t="shared" si="16"/>
        <v>0</v>
      </c>
      <c r="S69" s="42">
        <f t="shared" si="17"/>
        <v>0</v>
      </c>
    </row>
    <row r="70" spans="1:19" x14ac:dyDescent="0.25">
      <c r="A70" t="str">
        <f t="shared" si="7"/>
        <v>-</v>
      </c>
      <c r="B70" s="40">
        <f t="shared" si="10"/>
        <v>1</v>
      </c>
      <c r="C70" s="40"/>
      <c r="D70" s="40"/>
      <c r="E70" s="42">
        <f t="shared" si="18"/>
        <v>0</v>
      </c>
      <c r="F70" s="63">
        <f t="shared" si="11"/>
        <v>0</v>
      </c>
      <c r="G70" s="106">
        <f>IFERROR(IF(VLOOKUP($A70,'Your Pooling'!$A$12:$K$30,MATCH("Already In Pool?",'Your Pooling'!$A$12:$K$12,0),0)="Y",0,VLOOKUP($A70,'Your Pooling'!$A$12:$K$30,MATCH("Your FSN Pooled",'Your Pooling'!$A$12:$K$12,0),))+J70,J70)</f>
        <v>0</v>
      </c>
      <c r="H70" s="106">
        <f>IFERROR(IF(VLOOKUP($A70,'Your Pooling'!$A$12:$K$30,MATCH("Already In Pool?",'Your Pooling'!$A$12:$K$12,0),0)="Y",0,VLOOKUP($A70,'Your Pooling'!$A$12:$K$30,MATCH("Your XXX Pooled",'Your Pooling'!$A$12:$K$12,0),))+K70,K70)</f>
        <v>0</v>
      </c>
      <c r="I70" s="70">
        <f t="shared" si="12"/>
        <v>0</v>
      </c>
      <c r="J70" s="70"/>
      <c r="K70" s="70"/>
      <c r="L70" s="77"/>
      <c r="O70" s="57">
        <f t="shared" si="13"/>
        <v>0</v>
      </c>
      <c r="P70" s="40">
        <f t="shared" si="14"/>
        <v>0</v>
      </c>
      <c r="Q70" s="57">
        <f t="shared" si="15"/>
        <v>0</v>
      </c>
      <c r="R70" s="58">
        <f t="shared" si="16"/>
        <v>0</v>
      </c>
      <c r="S70" s="42">
        <f t="shared" si="17"/>
        <v>0</v>
      </c>
    </row>
    <row r="71" spans="1:19" x14ac:dyDescent="0.25">
      <c r="A71" t="str">
        <f t="shared" si="7"/>
        <v>-</v>
      </c>
      <c r="B71" s="40">
        <f t="shared" si="10"/>
        <v>1</v>
      </c>
      <c r="C71" s="40"/>
      <c r="D71" s="40"/>
      <c r="E71" s="42">
        <f t="shared" si="18"/>
        <v>0</v>
      </c>
      <c r="F71" s="63">
        <f t="shared" si="11"/>
        <v>0</v>
      </c>
      <c r="G71" s="106">
        <f>IFERROR(IF(VLOOKUP($A71,'Your Pooling'!$A$12:$K$30,MATCH("Already In Pool?",'Your Pooling'!$A$12:$K$12,0),0)="Y",0,VLOOKUP($A71,'Your Pooling'!$A$12:$K$30,MATCH("Your FSN Pooled",'Your Pooling'!$A$12:$K$12,0),))+J71,J71)</f>
        <v>0</v>
      </c>
      <c r="H71" s="106">
        <f>IFERROR(IF(VLOOKUP($A71,'Your Pooling'!$A$12:$K$30,MATCH("Already In Pool?",'Your Pooling'!$A$12:$K$12,0),0)="Y",0,VLOOKUP($A71,'Your Pooling'!$A$12:$K$30,MATCH("Your XXX Pooled",'Your Pooling'!$A$12:$K$12,0),))+K71,K71)</f>
        <v>0</v>
      </c>
      <c r="I71" s="70">
        <f t="shared" si="12"/>
        <v>0</v>
      </c>
      <c r="J71" s="70"/>
      <c r="K71" s="70"/>
      <c r="L71" s="77"/>
      <c r="O71" s="57">
        <f t="shared" si="13"/>
        <v>0</v>
      </c>
      <c r="P71" s="40">
        <f t="shared" si="14"/>
        <v>0</v>
      </c>
      <c r="Q71" s="57">
        <f t="shared" si="15"/>
        <v>0</v>
      </c>
      <c r="R71" s="58">
        <f t="shared" si="16"/>
        <v>0</v>
      </c>
      <c r="S71" s="42">
        <f t="shared" si="17"/>
        <v>0</v>
      </c>
    </row>
    <row r="72" spans="1:19" x14ac:dyDescent="0.25">
      <c r="A72" t="str">
        <f t="shared" si="7"/>
        <v>-</v>
      </c>
      <c r="B72" s="40">
        <f t="shared" si="10"/>
        <v>1</v>
      </c>
      <c r="C72" s="40"/>
      <c r="D72" s="40"/>
      <c r="E72" s="42">
        <f t="shared" si="18"/>
        <v>0</v>
      </c>
      <c r="F72" s="63">
        <f t="shared" si="11"/>
        <v>0</v>
      </c>
      <c r="G72" s="106">
        <f>IFERROR(IF(VLOOKUP($A72,'Your Pooling'!$A$12:$K$30,MATCH("Already In Pool?",'Your Pooling'!$A$12:$K$12,0),0)="Y",0,VLOOKUP($A72,'Your Pooling'!$A$12:$K$30,MATCH("Your FSN Pooled",'Your Pooling'!$A$12:$K$12,0),))+J72,J72)</f>
        <v>0</v>
      </c>
      <c r="H72" s="106">
        <f>IFERROR(IF(VLOOKUP($A72,'Your Pooling'!$A$12:$K$30,MATCH("Already In Pool?",'Your Pooling'!$A$12:$K$12,0),0)="Y",0,VLOOKUP($A72,'Your Pooling'!$A$12:$K$30,MATCH("Your XXX Pooled",'Your Pooling'!$A$12:$K$12,0),))+K72,K72)</f>
        <v>0</v>
      </c>
      <c r="I72" s="70">
        <f t="shared" si="12"/>
        <v>0</v>
      </c>
      <c r="J72" s="70"/>
      <c r="K72" s="70"/>
      <c r="L72" s="77"/>
      <c r="O72" s="57">
        <f t="shared" si="13"/>
        <v>0</v>
      </c>
      <c r="P72" s="40">
        <f t="shared" si="14"/>
        <v>0</v>
      </c>
      <c r="Q72" s="57">
        <f t="shared" si="15"/>
        <v>0</v>
      </c>
      <c r="R72" s="58">
        <f t="shared" si="16"/>
        <v>0</v>
      </c>
      <c r="S72" s="42">
        <f t="shared" si="17"/>
        <v>0</v>
      </c>
    </row>
    <row r="73" spans="1:19" x14ac:dyDescent="0.25">
      <c r="A73" t="str">
        <f t="shared" si="7"/>
        <v>-</v>
      </c>
      <c r="B73" s="40">
        <f t="shared" si="10"/>
        <v>1</v>
      </c>
      <c r="C73" s="40"/>
      <c r="D73" s="40"/>
      <c r="E73" s="42">
        <f t="shared" si="18"/>
        <v>0</v>
      </c>
      <c r="F73" s="63">
        <f t="shared" si="11"/>
        <v>0</v>
      </c>
      <c r="G73" s="106">
        <f>IFERROR(IF(VLOOKUP($A73,'Your Pooling'!$A$12:$K$30,MATCH("Already In Pool?",'Your Pooling'!$A$12:$K$12,0),0)="Y",0,VLOOKUP($A73,'Your Pooling'!$A$12:$K$30,MATCH("Your FSN Pooled",'Your Pooling'!$A$12:$K$12,0),))+J73,J73)</f>
        <v>0</v>
      </c>
      <c r="H73" s="106">
        <f>IFERROR(IF(VLOOKUP($A73,'Your Pooling'!$A$12:$K$30,MATCH("Already In Pool?",'Your Pooling'!$A$12:$K$12,0),0)="Y",0,VLOOKUP($A73,'Your Pooling'!$A$12:$K$30,MATCH("Your XXX Pooled",'Your Pooling'!$A$12:$K$12,0),))+K73,K73)</f>
        <v>0</v>
      </c>
      <c r="I73" s="70">
        <f t="shared" si="12"/>
        <v>0</v>
      </c>
      <c r="J73" s="70"/>
      <c r="K73" s="70"/>
      <c r="L73" s="77"/>
      <c r="O73" s="57">
        <f t="shared" si="13"/>
        <v>0</v>
      </c>
      <c r="P73" s="40">
        <f t="shared" si="14"/>
        <v>0</v>
      </c>
      <c r="Q73" s="57">
        <f t="shared" si="15"/>
        <v>0</v>
      </c>
      <c r="R73" s="58">
        <f t="shared" si="16"/>
        <v>0</v>
      </c>
      <c r="S73" s="42">
        <f t="shared" si="17"/>
        <v>0</v>
      </c>
    </row>
    <row r="74" spans="1:19" x14ac:dyDescent="0.25">
      <c r="A74" t="str">
        <f t="shared" si="7"/>
        <v>-</v>
      </c>
      <c r="B74" s="40">
        <f t="shared" si="10"/>
        <v>1</v>
      </c>
      <c r="C74" s="40"/>
      <c r="D74" s="40"/>
      <c r="E74" s="42">
        <f t="shared" si="18"/>
        <v>0</v>
      </c>
      <c r="F74" s="63">
        <f t="shared" si="11"/>
        <v>0</v>
      </c>
      <c r="G74" s="106">
        <f>IFERROR(IF(VLOOKUP($A74,'Your Pooling'!$A$12:$K$30,MATCH("Already In Pool?",'Your Pooling'!$A$12:$K$12,0),0)="Y",0,VLOOKUP($A74,'Your Pooling'!$A$12:$K$30,MATCH("Your FSN Pooled",'Your Pooling'!$A$12:$K$12,0),))+J74,J74)</f>
        <v>0</v>
      </c>
      <c r="H74" s="106">
        <f>IFERROR(IF(VLOOKUP($A74,'Your Pooling'!$A$12:$K$30,MATCH("Already In Pool?",'Your Pooling'!$A$12:$K$12,0),0)="Y",0,VLOOKUP($A74,'Your Pooling'!$A$12:$K$30,MATCH("Your XXX Pooled",'Your Pooling'!$A$12:$K$12,0),))+K74,K74)</f>
        <v>0</v>
      </c>
      <c r="I74" s="70">
        <f t="shared" si="12"/>
        <v>0</v>
      </c>
      <c r="J74" s="70"/>
      <c r="K74" s="70"/>
      <c r="L74" s="77"/>
      <c r="O74" s="57">
        <f t="shared" si="13"/>
        <v>0</v>
      </c>
      <c r="P74" s="40">
        <f t="shared" si="14"/>
        <v>0</v>
      </c>
      <c r="Q74" s="57">
        <f t="shared" si="15"/>
        <v>0</v>
      </c>
      <c r="R74" s="58">
        <f t="shared" si="16"/>
        <v>0</v>
      </c>
      <c r="S74" s="42">
        <f t="shared" si="17"/>
        <v>0</v>
      </c>
    </row>
    <row r="75" spans="1:19" x14ac:dyDescent="0.25">
      <c r="A75" t="str">
        <f t="shared" si="7"/>
        <v>-</v>
      </c>
      <c r="B75" s="40">
        <f t="shared" si="10"/>
        <v>1</v>
      </c>
      <c r="C75" s="40"/>
      <c r="D75" s="40"/>
      <c r="E75" s="42">
        <f t="shared" ref="E75:E100" si="19">B75*G75/SUMPRODUCT($G$11:$G$100,$B$11:$B$100)</f>
        <v>0</v>
      </c>
      <c r="F75" s="63">
        <f t="shared" si="11"/>
        <v>0</v>
      </c>
      <c r="G75" s="106">
        <f>IFERROR(IF(VLOOKUP($A75,'Your Pooling'!$A$12:$K$30,MATCH("Already In Pool?",'Your Pooling'!$A$12:$K$12,0),0)="Y",0,VLOOKUP($A75,'Your Pooling'!$A$12:$K$30,MATCH("Your FSN Pooled",'Your Pooling'!$A$12:$K$12,0),))+J75,J75)</f>
        <v>0</v>
      </c>
      <c r="H75" s="106">
        <f>IFERROR(IF(VLOOKUP($A75,'Your Pooling'!$A$12:$K$30,MATCH("Already In Pool?",'Your Pooling'!$A$12:$K$12,0),0)="Y",0,VLOOKUP($A75,'Your Pooling'!$A$12:$K$30,MATCH("Your XXX Pooled",'Your Pooling'!$A$12:$K$12,0),))+K75,K75)</f>
        <v>0</v>
      </c>
      <c r="I75" s="70">
        <f t="shared" si="12"/>
        <v>0</v>
      </c>
      <c r="J75" s="70"/>
      <c r="K75" s="70"/>
      <c r="L75" s="77"/>
      <c r="O75" s="57">
        <f t="shared" si="13"/>
        <v>0</v>
      </c>
      <c r="P75" s="40">
        <f t="shared" si="14"/>
        <v>0</v>
      </c>
      <c r="Q75" s="57">
        <f t="shared" si="15"/>
        <v>0</v>
      </c>
      <c r="R75" s="58">
        <f t="shared" si="16"/>
        <v>0</v>
      </c>
      <c r="S75" s="42">
        <f t="shared" si="17"/>
        <v>0</v>
      </c>
    </row>
    <row r="76" spans="1:19" x14ac:dyDescent="0.25">
      <c r="A76" t="str">
        <f t="shared" si="7"/>
        <v>-</v>
      </c>
      <c r="B76" s="40">
        <f t="shared" si="10"/>
        <v>1</v>
      </c>
      <c r="C76" s="40"/>
      <c r="D76" s="40"/>
      <c r="E76" s="42">
        <f t="shared" si="19"/>
        <v>0</v>
      </c>
      <c r="F76" s="63">
        <f t="shared" si="11"/>
        <v>0</v>
      </c>
      <c r="G76" s="106">
        <f>IFERROR(IF(VLOOKUP($A76,'Your Pooling'!$A$12:$K$30,MATCH("Already In Pool?",'Your Pooling'!$A$12:$K$12,0),0)="Y",0,VLOOKUP($A76,'Your Pooling'!$A$12:$K$30,MATCH("Your FSN Pooled",'Your Pooling'!$A$12:$K$12,0),))+J76,J76)</f>
        <v>0</v>
      </c>
      <c r="H76" s="106">
        <f>IFERROR(IF(VLOOKUP($A76,'Your Pooling'!$A$12:$K$30,MATCH("Already In Pool?",'Your Pooling'!$A$12:$K$12,0),0)="Y",0,VLOOKUP($A76,'Your Pooling'!$A$12:$K$30,MATCH("Your XXX Pooled",'Your Pooling'!$A$12:$K$12,0),))+K76,K76)</f>
        <v>0</v>
      </c>
      <c r="I76" s="70">
        <f t="shared" si="12"/>
        <v>0</v>
      </c>
      <c r="J76" s="70"/>
      <c r="K76" s="70"/>
      <c r="L76" s="77"/>
      <c r="O76" s="57">
        <f t="shared" si="13"/>
        <v>0</v>
      </c>
      <c r="P76" s="40">
        <f t="shared" si="14"/>
        <v>0</v>
      </c>
      <c r="Q76" s="57">
        <f t="shared" si="15"/>
        <v>0</v>
      </c>
      <c r="R76" s="58">
        <f t="shared" si="16"/>
        <v>0</v>
      </c>
      <c r="S76" s="42">
        <f t="shared" si="17"/>
        <v>0</v>
      </c>
    </row>
    <row r="77" spans="1:19" x14ac:dyDescent="0.25">
      <c r="A77" t="str">
        <f t="shared" si="7"/>
        <v>-</v>
      </c>
      <c r="B77" s="40">
        <f t="shared" si="10"/>
        <v>1</v>
      </c>
      <c r="C77" s="40"/>
      <c r="D77" s="40"/>
      <c r="E77" s="42">
        <f t="shared" si="19"/>
        <v>0</v>
      </c>
      <c r="F77" s="63">
        <f t="shared" si="11"/>
        <v>0</v>
      </c>
      <c r="G77" s="106">
        <f>IFERROR(IF(VLOOKUP($A77,'Your Pooling'!$A$12:$K$30,MATCH("Already In Pool?",'Your Pooling'!$A$12:$K$12,0),0)="Y",0,VLOOKUP($A77,'Your Pooling'!$A$12:$K$30,MATCH("Your FSN Pooled",'Your Pooling'!$A$12:$K$12,0),))+J77,J77)</f>
        <v>0</v>
      </c>
      <c r="H77" s="106">
        <f>IFERROR(IF(VLOOKUP($A77,'Your Pooling'!$A$12:$K$30,MATCH("Already In Pool?",'Your Pooling'!$A$12:$K$12,0),0)="Y",0,VLOOKUP($A77,'Your Pooling'!$A$12:$K$30,MATCH("Your XXX Pooled",'Your Pooling'!$A$12:$K$12,0),))+K77,K77)</f>
        <v>0</v>
      </c>
      <c r="I77" s="70">
        <f t="shared" si="12"/>
        <v>0</v>
      </c>
      <c r="J77" s="70"/>
      <c r="K77" s="70"/>
      <c r="L77" s="77"/>
      <c r="O77" s="57">
        <f t="shared" si="13"/>
        <v>0</v>
      </c>
      <c r="P77" s="40">
        <f t="shared" si="14"/>
        <v>0</v>
      </c>
      <c r="Q77" s="57">
        <f t="shared" si="15"/>
        <v>0</v>
      </c>
      <c r="R77" s="58">
        <f t="shared" si="16"/>
        <v>0</v>
      </c>
      <c r="S77" s="42">
        <f t="shared" si="17"/>
        <v>0</v>
      </c>
    </row>
    <row r="78" spans="1:19" x14ac:dyDescent="0.25">
      <c r="A78" t="str">
        <f t="shared" ref="A78:A100" si="20">C78&amp;"-"&amp;D78</f>
        <v>-</v>
      </c>
      <c r="B78" s="40">
        <f t="shared" si="10"/>
        <v>1</v>
      </c>
      <c r="C78" s="40"/>
      <c r="D78" s="40"/>
      <c r="E78" s="42">
        <f t="shared" si="19"/>
        <v>0</v>
      </c>
      <c r="F78" s="63">
        <f t="shared" si="11"/>
        <v>0</v>
      </c>
      <c r="G78" s="106">
        <f>IFERROR(IF(VLOOKUP($A78,'Your Pooling'!$A$12:$K$30,MATCH("Already In Pool?",'Your Pooling'!$A$12:$K$12,0),0)="Y",0,VLOOKUP($A78,'Your Pooling'!$A$12:$K$30,MATCH("Your FSN Pooled",'Your Pooling'!$A$12:$K$12,0),))+J78,J78)</f>
        <v>0</v>
      </c>
      <c r="H78" s="106">
        <f>IFERROR(IF(VLOOKUP($A78,'Your Pooling'!$A$12:$K$30,MATCH("Already In Pool?",'Your Pooling'!$A$12:$K$12,0),0)="Y",0,VLOOKUP($A78,'Your Pooling'!$A$12:$K$30,MATCH("Your XXX Pooled",'Your Pooling'!$A$12:$K$12,0),))+K78,K78)</f>
        <v>0</v>
      </c>
      <c r="I78" s="70">
        <f t="shared" si="12"/>
        <v>0</v>
      </c>
      <c r="J78" s="70"/>
      <c r="K78" s="70"/>
      <c r="L78" s="77"/>
      <c r="O78" s="57">
        <f t="shared" si="13"/>
        <v>0</v>
      </c>
      <c r="P78" s="40">
        <f t="shared" si="14"/>
        <v>0</v>
      </c>
      <c r="Q78" s="57">
        <f t="shared" si="15"/>
        <v>0</v>
      </c>
      <c r="R78" s="58">
        <f t="shared" si="16"/>
        <v>0</v>
      </c>
      <c r="S78" s="42">
        <f t="shared" si="17"/>
        <v>0</v>
      </c>
    </row>
    <row r="79" spans="1:19" x14ac:dyDescent="0.25">
      <c r="A79" t="str">
        <f t="shared" si="20"/>
        <v>-</v>
      </c>
      <c r="B79" s="40">
        <f t="shared" si="10"/>
        <v>1</v>
      </c>
      <c r="C79" s="40"/>
      <c r="D79" s="40"/>
      <c r="E79" s="42">
        <f t="shared" si="19"/>
        <v>0</v>
      </c>
      <c r="F79" s="63">
        <f t="shared" si="11"/>
        <v>0</v>
      </c>
      <c r="G79" s="106">
        <f>IFERROR(IF(VLOOKUP($A79,'Your Pooling'!$A$12:$K$30,MATCH("Already In Pool?",'Your Pooling'!$A$12:$K$12,0),0)="Y",0,VLOOKUP($A79,'Your Pooling'!$A$12:$K$30,MATCH("Your FSN Pooled",'Your Pooling'!$A$12:$K$12,0),))+J79,J79)</f>
        <v>0</v>
      </c>
      <c r="H79" s="106">
        <f>IFERROR(IF(VLOOKUP($A79,'Your Pooling'!$A$12:$K$30,MATCH("Already In Pool?",'Your Pooling'!$A$12:$K$12,0),0)="Y",0,VLOOKUP($A79,'Your Pooling'!$A$12:$K$30,MATCH("Your XXX Pooled",'Your Pooling'!$A$12:$K$12,0),))+K79,K79)</f>
        <v>0</v>
      </c>
      <c r="I79" s="70">
        <f t="shared" si="12"/>
        <v>0</v>
      </c>
      <c r="J79" s="70"/>
      <c r="K79" s="70"/>
      <c r="L79" s="77"/>
      <c r="O79" s="57">
        <f t="shared" si="13"/>
        <v>0</v>
      </c>
      <c r="P79" s="40">
        <f t="shared" si="14"/>
        <v>0</v>
      </c>
      <c r="Q79" s="57">
        <f t="shared" si="15"/>
        <v>0</v>
      </c>
      <c r="R79" s="58">
        <f t="shared" si="16"/>
        <v>0</v>
      </c>
      <c r="S79" s="42">
        <f t="shared" si="17"/>
        <v>0</v>
      </c>
    </row>
    <row r="80" spans="1:19" x14ac:dyDescent="0.25">
      <c r="A80" t="str">
        <f t="shared" si="20"/>
        <v>-</v>
      </c>
      <c r="B80" s="40">
        <f t="shared" si="10"/>
        <v>1</v>
      </c>
      <c r="C80" s="40"/>
      <c r="D80" s="40"/>
      <c r="E80" s="42">
        <f t="shared" si="19"/>
        <v>0</v>
      </c>
      <c r="F80" s="63">
        <f t="shared" si="11"/>
        <v>0</v>
      </c>
      <c r="G80" s="106">
        <f>IFERROR(IF(VLOOKUP($A80,'Your Pooling'!$A$12:$K$30,MATCH("Already In Pool?",'Your Pooling'!$A$12:$K$12,0),0)="Y",0,VLOOKUP($A80,'Your Pooling'!$A$12:$K$30,MATCH("Your FSN Pooled",'Your Pooling'!$A$12:$K$12,0),))+J80,J80)</f>
        <v>0</v>
      </c>
      <c r="H80" s="106">
        <f>IFERROR(IF(VLOOKUP($A80,'Your Pooling'!$A$12:$K$30,MATCH("Already In Pool?",'Your Pooling'!$A$12:$K$12,0),0)="Y",0,VLOOKUP($A80,'Your Pooling'!$A$12:$K$30,MATCH("Your XXX Pooled",'Your Pooling'!$A$12:$K$12,0),))+K80,K80)</f>
        <v>0</v>
      </c>
      <c r="I80" s="70">
        <f t="shared" si="12"/>
        <v>0</v>
      </c>
      <c r="J80" s="70"/>
      <c r="K80" s="70"/>
      <c r="L80" s="77"/>
      <c r="O80" s="57">
        <f t="shared" si="13"/>
        <v>0</v>
      </c>
      <c r="P80" s="40">
        <f t="shared" si="14"/>
        <v>0</v>
      </c>
      <c r="Q80" s="57">
        <f t="shared" si="15"/>
        <v>0</v>
      </c>
      <c r="R80" s="58">
        <f t="shared" si="16"/>
        <v>0</v>
      </c>
      <c r="S80" s="42">
        <f t="shared" si="17"/>
        <v>0</v>
      </c>
    </row>
    <row r="81" spans="1:19" x14ac:dyDescent="0.25">
      <c r="A81" t="str">
        <f t="shared" si="20"/>
        <v>-</v>
      </c>
      <c r="B81" s="40">
        <f t="shared" si="10"/>
        <v>1</v>
      </c>
      <c r="C81" s="40"/>
      <c r="D81" s="40"/>
      <c r="E81" s="42">
        <f t="shared" si="19"/>
        <v>0</v>
      </c>
      <c r="F81" s="63">
        <f t="shared" si="11"/>
        <v>0</v>
      </c>
      <c r="G81" s="106">
        <f>IFERROR(IF(VLOOKUP($A81,'Your Pooling'!$A$12:$K$30,MATCH("Already In Pool?",'Your Pooling'!$A$12:$K$12,0),0)="Y",0,VLOOKUP($A81,'Your Pooling'!$A$12:$K$30,MATCH("Your FSN Pooled",'Your Pooling'!$A$12:$K$12,0),))+J81,J81)</f>
        <v>0</v>
      </c>
      <c r="H81" s="106">
        <f>IFERROR(IF(VLOOKUP($A81,'Your Pooling'!$A$12:$K$30,MATCH("Already In Pool?",'Your Pooling'!$A$12:$K$12,0),0)="Y",0,VLOOKUP($A81,'Your Pooling'!$A$12:$K$30,MATCH("Your XXX Pooled",'Your Pooling'!$A$12:$K$12,0),))+K81,K81)</f>
        <v>0</v>
      </c>
      <c r="I81" s="70">
        <f t="shared" si="12"/>
        <v>0</v>
      </c>
      <c r="J81" s="70"/>
      <c r="K81" s="70"/>
      <c r="L81" s="77"/>
      <c r="O81" s="57">
        <f t="shared" si="13"/>
        <v>0</v>
      </c>
      <c r="P81" s="40">
        <f t="shared" si="14"/>
        <v>0</v>
      </c>
      <c r="Q81" s="57">
        <f t="shared" si="15"/>
        <v>0</v>
      </c>
      <c r="R81" s="58">
        <f t="shared" si="16"/>
        <v>0</v>
      </c>
      <c r="S81" s="42">
        <f t="shared" si="17"/>
        <v>0</v>
      </c>
    </row>
    <row r="82" spans="1:19" x14ac:dyDescent="0.25">
      <c r="A82" t="str">
        <f t="shared" si="20"/>
        <v>-</v>
      </c>
      <c r="B82" s="40">
        <f t="shared" si="10"/>
        <v>1</v>
      </c>
      <c r="C82" s="40"/>
      <c r="D82" s="40"/>
      <c r="E82" s="42">
        <f t="shared" si="19"/>
        <v>0</v>
      </c>
      <c r="F82" s="63">
        <f t="shared" si="11"/>
        <v>0</v>
      </c>
      <c r="G82" s="106">
        <f>IFERROR(IF(VLOOKUP($A82,'Your Pooling'!$A$12:$K$30,MATCH("Already In Pool?",'Your Pooling'!$A$12:$K$12,0),0)="Y",0,VLOOKUP($A82,'Your Pooling'!$A$12:$K$30,MATCH("Your FSN Pooled",'Your Pooling'!$A$12:$K$12,0),))+J82,J82)</f>
        <v>0</v>
      </c>
      <c r="H82" s="106">
        <f>IFERROR(IF(VLOOKUP($A82,'Your Pooling'!$A$12:$K$30,MATCH("Already In Pool?",'Your Pooling'!$A$12:$K$12,0),0)="Y",0,VLOOKUP($A82,'Your Pooling'!$A$12:$K$30,MATCH("Your XXX Pooled",'Your Pooling'!$A$12:$K$12,0),))+K82,K82)</f>
        <v>0</v>
      </c>
      <c r="I82" s="70">
        <f t="shared" si="12"/>
        <v>0</v>
      </c>
      <c r="J82" s="70"/>
      <c r="K82" s="70"/>
      <c r="L82" s="77"/>
      <c r="O82" s="57">
        <f t="shared" si="13"/>
        <v>0</v>
      </c>
      <c r="P82" s="40">
        <f t="shared" si="14"/>
        <v>0</v>
      </c>
      <c r="Q82" s="57">
        <f t="shared" si="15"/>
        <v>0</v>
      </c>
      <c r="R82" s="58">
        <f t="shared" si="16"/>
        <v>0</v>
      </c>
      <c r="S82" s="42">
        <f t="shared" si="17"/>
        <v>0</v>
      </c>
    </row>
    <row r="83" spans="1:19" x14ac:dyDescent="0.25">
      <c r="A83" t="str">
        <f t="shared" si="20"/>
        <v>-</v>
      </c>
      <c r="B83" s="40">
        <f t="shared" si="10"/>
        <v>1</v>
      </c>
      <c r="C83" s="40"/>
      <c r="D83" s="40"/>
      <c r="E83" s="42">
        <f t="shared" si="19"/>
        <v>0</v>
      </c>
      <c r="F83" s="63">
        <f t="shared" si="11"/>
        <v>0</v>
      </c>
      <c r="G83" s="106">
        <f>IFERROR(IF(VLOOKUP($A83,'Your Pooling'!$A$12:$K$30,MATCH("Already In Pool?",'Your Pooling'!$A$12:$K$12,0),0)="Y",0,VLOOKUP($A83,'Your Pooling'!$A$12:$K$30,MATCH("Your FSN Pooled",'Your Pooling'!$A$12:$K$12,0),))+J83,J83)</f>
        <v>0</v>
      </c>
      <c r="H83" s="106">
        <f>IFERROR(IF(VLOOKUP($A83,'Your Pooling'!$A$12:$K$30,MATCH("Already In Pool?",'Your Pooling'!$A$12:$K$12,0),0)="Y",0,VLOOKUP($A83,'Your Pooling'!$A$12:$K$30,MATCH("Your XXX Pooled",'Your Pooling'!$A$12:$K$12,0),))+K83,K83)</f>
        <v>0</v>
      </c>
      <c r="I83" s="70">
        <f t="shared" si="12"/>
        <v>0</v>
      </c>
      <c r="J83" s="70"/>
      <c r="K83" s="70"/>
      <c r="L83" s="77"/>
      <c r="O83" s="57">
        <f t="shared" si="13"/>
        <v>0</v>
      </c>
      <c r="P83" s="40">
        <f t="shared" si="14"/>
        <v>0</v>
      </c>
      <c r="Q83" s="57">
        <f t="shared" si="15"/>
        <v>0</v>
      </c>
      <c r="R83" s="58">
        <f t="shared" si="16"/>
        <v>0</v>
      </c>
      <c r="S83" s="42">
        <f t="shared" si="17"/>
        <v>0</v>
      </c>
    </row>
    <row r="84" spans="1:19" x14ac:dyDescent="0.25">
      <c r="A84" t="str">
        <f t="shared" si="20"/>
        <v>-</v>
      </c>
      <c r="B84" s="40">
        <f t="shared" si="10"/>
        <v>1</v>
      </c>
      <c r="C84" s="40"/>
      <c r="D84" s="40"/>
      <c r="E84" s="42">
        <f t="shared" si="19"/>
        <v>0</v>
      </c>
      <c r="F84" s="63">
        <f t="shared" si="11"/>
        <v>0</v>
      </c>
      <c r="G84" s="106">
        <f>IFERROR(IF(VLOOKUP($A84,'Your Pooling'!$A$12:$K$30,MATCH("Already In Pool?",'Your Pooling'!$A$12:$K$12,0),0)="Y",0,VLOOKUP($A84,'Your Pooling'!$A$12:$K$30,MATCH("Your FSN Pooled",'Your Pooling'!$A$12:$K$12,0),))+J84,J84)</f>
        <v>0</v>
      </c>
      <c r="H84" s="106">
        <f>IFERROR(IF(VLOOKUP($A84,'Your Pooling'!$A$12:$K$30,MATCH("Already In Pool?",'Your Pooling'!$A$12:$K$12,0),0)="Y",0,VLOOKUP($A84,'Your Pooling'!$A$12:$K$30,MATCH("Your XXX Pooled",'Your Pooling'!$A$12:$K$12,0),))+K84,K84)</f>
        <v>0</v>
      </c>
      <c r="I84" s="70">
        <f t="shared" si="12"/>
        <v>0</v>
      </c>
      <c r="J84" s="70"/>
      <c r="K84" s="70"/>
      <c r="L84" s="77"/>
      <c r="O84" s="57">
        <f t="shared" si="13"/>
        <v>0</v>
      </c>
      <c r="P84" s="40">
        <f t="shared" si="14"/>
        <v>0</v>
      </c>
      <c r="Q84" s="57">
        <f t="shared" si="15"/>
        <v>0</v>
      </c>
      <c r="R84" s="58">
        <f t="shared" si="16"/>
        <v>0</v>
      </c>
      <c r="S84" s="42">
        <f t="shared" si="17"/>
        <v>0</v>
      </c>
    </row>
    <row r="85" spans="1:19" x14ac:dyDescent="0.25">
      <c r="A85" t="str">
        <f t="shared" si="20"/>
        <v>-</v>
      </c>
      <c r="B85" s="40">
        <f t="shared" si="10"/>
        <v>1</v>
      </c>
      <c r="C85" s="40"/>
      <c r="D85" s="40"/>
      <c r="E85" s="42">
        <f t="shared" si="19"/>
        <v>0</v>
      </c>
      <c r="F85" s="63">
        <f t="shared" si="11"/>
        <v>0</v>
      </c>
      <c r="G85" s="106">
        <f>IFERROR(IF(VLOOKUP($A85,'Your Pooling'!$A$12:$K$30,MATCH("Already In Pool?",'Your Pooling'!$A$12:$K$12,0),0)="Y",0,VLOOKUP($A85,'Your Pooling'!$A$12:$K$30,MATCH("Your FSN Pooled",'Your Pooling'!$A$12:$K$12,0),))+J85,J85)</f>
        <v>0</v>
      </c>
      <c r="H85" s="106">
        <f>IFERROR(IF(VLOOKUP($A85,'Your Pooling'!$A$12:$K$30,MATCH("Already In Pool?",'Your Pooling'!$A$12:$K$12,0),0)="Y",0,VLOOKUP($A85,'Your Pooling'!$A$12:$K$30,MATCH("Your XXX Pooled",'Your Pooling'!$A$12:$K$12,0),))+K85,K85)</f>
        <v>0</v>
      </c>
      <c r="I85" s="70">
        <f t="shared" si="12"/>
        <v>0</v>
      </c>
      <c r="J85" s="70"/>
      <c r="K85" s="70"/>
      <c r="L85" s="77"/>
      <c r="O85" s="57">
        <f t="shared" si="13"/>
        <v>0</v>
      </c>
      <c r="P85" s="40">
        <f t="shared" si="14"/>
        <v>0</v>
      </c>
      <c r="Q85" s="57">
        <f t="shared" si="15"/>
        <v>0</v>
      </c>
      <c r="R85" s="58">
        <f t="shared" si="16"/>
        <v>0</v>
      </c>
      <c r="S85" s="42">
        <f t="shared" si="17"/>
        <v>0</v>
      </c>
    </row>
    <row r="86" spans="1:19" x14ac:dyDescent="0.25">
      <c r="A86" t="str">
        <f t="shared" si="20"/>
        <v>-</v>
      </c>
      <c r="B86" s="40">
        <f t="shared" si="10"/>
        <v>1</v>
      </c>
      <c r="C86" s="40"/>
      <c r="D86" s="40"/>
      <c r="E86" s="42">
        <f t="shared" si="19"/>
        <v>0</v>
      </c>
      <c r="F86" s="63">
        <f t="shared" si="11"/>
        <v>0</v>
      </c>
      <c r="G86" s="106">
        <f>IFERROR(IF(VLOOKUP($A86,'Your Pooling'!$A$12:$K$30,MATCH("Already In Pool?",'Your Pooling'!$A$12:$K$12,0),0)="Y",0,VLOOKUP($A86,'Your Pooling'!$A$12:$K$30,MATCH("Your FSN Pooled",'Your Pooling'!$A$12:$K$12,0),))+J86,J86)</f>
        <v>0</v>
      </c>
      <c r="H86" s="106">
        <f>IFERROR(IF(VLOOKUP($A86,'Your Pooling'!$A$12:$K$30,MATCH("Already In Pool?",'Your Pooling'!$A$12:$K$12,0),0)="Y",0,VLOOKUP($A86,'Your Pooling'!$A$12:$K$30,MATCH("Your XXX Pooled",'Your Pooling'!$A$12:$K$12,0),))+K86,K86)</f>
        <v>0</v>
      </c>
      <c r="I86" s="70">
        <f t="shared" si="12"/>
        <v>0</v>
      </c>
      <c r="J86" s="70"/>
      <c r="K86" s="70"/>
      <c r="L86" s="77"/>
      <c r="O86" s="57">
        <f t="shared" si="13"/>
        <v>0</v>
      </c>
      <c r="P86" s="40">
        <f t="shared" si="14"/>
        <v>0</v>
      </c>
      <c r="Q86" s="57">
        <f t="shared" si="15"/>
        <v>0</v>
      </c>
      <c r="R86" s="58">
        <f t="shared" si="16"/>
        <v>0</v>
      </c>
      <c r="S86" s="42">
        <f t="shared" si="17"/>
        <v>0</v>
      </c>
    </row>
    <row r="87" spans="1:19" x14ac:dyDescent="0.25">
      <c r="A87" t="str">
        <f t="shared" si="20"/>
        <v>-</v>
      </c>
      <c r="B87" s="40">
        <f t="shared" si="10"/>
        <v>1</v>
      </c>
      <c r="C87" s="40"/>
      <c r="D87" s="40"/>
      <c r="E87" s="42">
        <f t="shared" si="19"/>
        <v>0</v>
      </c>
      <c r="F87" s="63">
        <f t="shared" si="11"/>
        <v>0</v>
      </c>
      <c r="G87" s="106">
        <f>IFERROR(IF(VLOOKUP($A87,'Your Pooling'!$A$12:$K$30,MATCH("Already In Pool?",'Your Pooling'!$A$12:$K$12,0),0)="Y",0,VLOOKUP($A87,'Your Pooling'!$A$12:$K$30,MATCH("Your FSN Pooled",'Your Pooling'!$A$12:$K$12,0),))+J87,J87)</f>
        <v>0</v>
      </c>
      <c r="H87" s="106">
        <f>IFERROR(IF(VLOOKUP($A87,'Your Pooling'!$A$12:$K$30,MATCH("Already In Pool?",'Your Pooling'!$A$12:$K$12,0),0)="Y",0,VLOOKUP($A87,'Your Pooling'!$A$12:$K$30,MATCH("Your XXX Pooled",'Your Pooling'!$A$12:$K$12,0),))+K87,K87)</f>
        <v>0</v>
      </c>
      <c r="I87" s="70">
        <f t="shared" si="12"/>
        <v>0</v>
      </c>
      <c r="J87" s="70"/>
      <c r="K87" s="70"/>
      <c r="L87" s="77"/>
      <c r="O87" s="57">
        <f t="shared" si="13"/>
        <v>0</v>
      </c>
      <c r="P87" s="40">
        <f t="shared" si="14"/>
        <v>0</v>
      </c>
      <c r="Q87" s="57">
        <f t="shared" si="15"/>
        <v>0</v>
      </c>
      <c r="R87" s="58">
        <f t="shared" si="16"/>
        <v>0</v>
      </c>
      <c r="S87" s="42">
        <f t="shared" si="17"/>
        <v>0</v>
      </c>
    </row>
    <row r="88" spans="1:19" x14ac:dyDescent="0.25">
      <c r="A88" t="str">
        <f t="shared" si="20"/>
        <v>-</v>
      </c>
      <c r="B88" s="40">
        <f t="shared" si="10"/>
        <v>1</v>
      </c>
      <c r="C88" s="40"/>
      <c r="D88" s="40"/>
      <c r="E88" s="42">
        <f t="shared" si="19"/>
        <v>0</v>
      </c>
      <c r="F88" s="63">
        <f t="shared" si="11"/>
        <v>0</v>
      </c>
      <c r="G88" s="106">
        <f>IFERROR(IF(VLOOKUP($A88,'Your Pooling'!$A$12:$K$30,MATCH("Already In Pool?",'Your Pooling'!$A$12:$K$12,0),0)="Y",0,VLOOKUP($A88,'Your Pooling'!$A$12:$K$30,MATCH("Your FSN Pooled",'Your Pooling'!$A$12:$K$12,0),))+J88,J88)</f>
        <v>0</v>
      </c>
      <c r="H88" s="106">
        <f>IFERROR(IF(VLOOKUP($A88,'Your Pooling'!$A$12:$K$30,MATCH("Already In Pool?",'Your Pooling'!$A$12:$K$12,0),0)="Y",0,VLOOKUP($A88,'Your Pooling'!$A$12:$K$30,MATCH("Your XXX Pooled",'Your Pooling'!$A$12:$K$12,0),))+K88,K88)</f>
        <v>0</v>
      </c>
      <c r="I88" s="70">
        <f t="shared" si="12"/>
        <v>0</v>
      </c>
      <c r="J88" s="70"/>
      <c r="K88" s="70"/>
      <c r="L88" s="77"/>
      <c r="O88" s="57">
        <f t="shared" si="13"/>
        <v>0</v>
      </c>
      <c r="P88" s="40">
        <f t="shared" si="14"/>
        <v>0</v>
      </c>
      <c r="Q88" s="57">
        <f t="shared" si="15"/>
        <v>0</v>
      </c>
      <c r="R88" s="58">
        <f t="shared" si="16"/>
        <v>0</v>
      </c>
      <c r="S88" s="42">
        <f t="shared" si="17"/>
        <v>0</v>
      </c>
    </row>
    <row r="89" spans="1:19" x14ac:dyDescent="0.25">
      <c r="A89" t="str">
        <f t="shared" si="20"/>
        <v>-</v>
      </c>
      <c r="B89" s="40">
        <f t="shared" si="10"/>
        <v>1</v>
      </c>
      <c r="C89" s="40"/>
      <c r="D89" s="40"/>
      <c r="E89" s="42">
        <f t="shared" si="19"/>
        <v>0</v>
      </c>
      <c r="F89" s="63">
        <f t="shared" si="11"/>
        <v>0</v>
      </c>
      <c r="G89" s="106">
        <f>IFERROR(IF(VLOOKUP($A89,'Your Pooling'!$A$12:$K$30,MATCH("Already In Pool?",'Your Pooling'!$A$12:$K$12,0),0)="Y",0,VLOOKUP($A89,'Your Pooling'!$A$12:$K$30,MATCH("Your FSN Pooled",'Your Pooling'!$A$12:$K$12,0),))+J89,J89)</f>
        <v>0</v>
      </c>
      <c r="H89" s="106">
        <f>IFERROR(IF(VLOOKUP($A89,'Your Pooling'!$A$12:$K$30,MATCH("Already In Pool?",'Your Pooling'!$A$12:$K$12,0),0)="Y",0,VLOOKUP($A89,'Your Pooling'!$A$12:$K$30,MATCH("Your XXX Pooled",'Your Pooling'!$A$12:$K$12,0),))+K89,K89)</f>
        <v>0</v>
      </c>
      <c r="I89" s="70">
        <f t="shared" si="12"/>
        <v>0</v>
      </c>
      <c r="J89" s="70"/>
      <c r="K89" s="70"/>
      <c r="L89" s="77"/>
      <c r="O89" s="57">
        <f t="shared" si="13"/>
        <v>0</v>
      </c>
      <c r="P89" s="40">
        <f t="shared" si="14"/>
        <v>0</v>
      </c>
      <c r="Q89" s="57">
        <f t="shared" si="15"/>
        <v>0</v>
      </c>
      <c r="R89" s="58">
        <f t="shared" si="16"/>
        <v>0</v>
      </c>
      <c r="S89" s="42">
        <f t="shared" si="17"/>
        <v>0</v>
      </c>
    </row>
    <row r="90" spans="1:19" x14ac:dyDescent="0.25">
      <c r="A90" t="str">
        <f t="shared" si="20"/>
        <v>-</v>
      </c>
      <c r="B90" s="40">
        <f t="shared" si="10"/>
        <v>1</v>
      </c>
      <c r="C90" s="40"/>
      <c r="D90" s="40"/>
      <c r="E90" s="42">
        <f t="shared" si="19"/>
        <v>0</v>
      </c>
      <c r="F90" s="63">
        <f t="shared" si="11"/>
        <v>0</v>
      </c>
      <c r="G90" s="106">
        <f>IFERROR(IF(VLOOKUP($A90,'Your Pooling'!$A$12:$K$30,MATCH("Already In Pool?",'Your Pooling'!$A$12:$K$12,0),0)="Y",0,VLOOKUP($A90,'Your Pooling'!$A$12:$K$30,MATCH("Your FSN Pooled",'Your Pooling'!$A$12:$K$12,0),))+J90,J90)</f>
        <v>0</v>
      </c>
      <c r="H90" s="106">
        <f>IFERROR(IF(VLOOKUP($A90,'Your Pooling'!$A$12:$K$30,MATCH("Already In Pool?",'Your Pooling'!$A$12:$K$12,0),0)="Y",0,VLOOKUP($A90,'Your Pooling'!$A$12:$K$30,MATCH("Your XXX Pooled",'Your Pooling'!$A$12:$K$12,0),))+K90,K90)</f>
        <v>0</v>
      </c>
      <c r="I90" s="70">
        <f t="shared" si="12"/>
        <v>0</v>
      </c>
      <c r="J90" s="70"/>
      <c r="K90" s="70"/>
      <c r="L90" s="77"/>
      <c r="O90" s="57">
        <f t="shared" si="13"/>
        <v>0</v>
      </c>
      <c r="P90" s="40">
        <f t="shared" si="14"/>
        <v>0</v>
      </c>
      <c r="Q90" s="57">
        <f t="shared" si="15"/>
        <v>0</v>
      </c>
      <c r="R90" s="58">
        <f t="shared" si="16"/>
        <v>0</v>
      </c>
      <c r="S90" s="42">
        <f t="shared" si="17"/>
        <v>0</v>
      </c>
    </row>
    <row r="91" spans="1:19" x14ac:dyDescent="0.25">
      <c r="A91" t="str">
        <f t="shared" si="20"/>
        <v>-</v>
      </c>
      <c r="B91" s="40">
        <f t="shared" si="10"/>
        <v>1</v>
      </c>
      <c r="C91" s="40"/>
      <c r="D91" s="40"/>
      <c r="E91" s="42">
        <f t="shared" si="19"/>
        <v>0</v>
      </c>
      <c r="F91" s="63">
        <f t="shared" si="11"/>
        <v>0</v>
      </c>
      <c r="G91" s="106">
        <f>IFERROR(IF(VLOOKUP($A91,'Your Pooling'!$A$12:$K$30,MATCH("Already In Pool?",'Your Pooling'!$A$12:$K$12,0),0)="Y",0,VLOOKUP($A91,'Your Pooling'!$A$12:$K$30,MATCH("Your FSN Pooled",'Your Pooling'!$A$12:$K$12,0),))+J91,J91)</f>
        <v>0</v>
      </c>
      <c r="H91" s="106">
        <f>IFERROR(IF(VLOOKUP($A91,'Your Pooling'!$A$12:$K$30,MATCH("Already In Pool?",'Your Pooling'!$A$12:$K$12,0),0)="Y",0,VLOOKUP($A91,'Your Pooling'!$A$12:$K$30,MATCH("Your XXX Pooled",'Your Pooling'!$A$12:$K$12,0),))+K91,K91)</f>
        <v>0</v>
      </c>
      <c r="I91" s="70">
        <f t="shared" si="12"/>
        <v>0</v>
      </c>
      <c r="J91" s="70"/>
      <c r="K91" s="70"/>
      <c r="L91" s="77"/>
      <c r="O91" s="57">
        <f t="shared" si="13"/>
        <v>0</v>
      </c>
      <c r="P91" s="40">
        <f t="shared" si="14"/>
        <v>0</v>
      </c>
      <c r="Q91" s="57">
        <f t="shared" si="15"/>
        <v>0</v>
      </c>
      <c r="R91" s="58">
        <f t="shared" si="16"/>
        <v>0</v>
      </c>
      <c r="S91" s="42">
        <f t="shared" si="17"/>
        <v>0</v>
      </c>
    </row>
    <row r="92" spans="1:19" x14ac:dyDescent="0.25">
      <c r="A92" t="str">
        <f t="shared" si="20"/>
        <v>-</v>
      </c>
      <c r="B92" s="40">
        <f t="shared" si="10"/>
        <v>1</v>
      </c>
      <c r="C92" s="40"/>
      <c r="D92" s="40"/>
      <c r="E92" s="42">
        <f t="shared" si="19"/>
        <v>0</v>
      </c>
      <c r="F92" s="63">
        <f t="shared" si="11"/>
        <v>0</v>
      </c>
      <c r="G92" s="106">
        <f>IFERROR(IF(VLOOKUP($A92,'Your Pooling'!$A$12:$K$30,MATCH("Already In Pool?",'Your Pooling'!$A$12:$K$12,0),0)="Y",0,VLOOKUP($A92,'Your Pooling'!$A$12:$K$30,MATCH("Your FSN Pooled",'Your Pooling'!$A$12:$K$12,0),))+J92,J92)</f>
        <v>0</v>
      </c>
      <c r="H92" s="106">
        <f>IFERROR(IF(VLOOKUP($A92,'Your Pooling'!$A$12:$K$30,MATCH("Already In Pool?",'Your Pooling'!$A$12:$K$12,0),0)="Y",0,VLOOKUP($A92,'Your Pooling'!$A$12:$K$30,MATCH("Your XXX Pooled",'Your Pooling'!$A$12:$K$12,0),))+K92,K92)</f>
        <v>0</v>
      </c>
      <c r="I92" s="70">
        <f t="shared" si="12"/>
        <v>0</v>
      </c>
      <c r="J92" s="70"/>
      <c r="K92" s="70"/>
      <c r="L92" s="77"/>
      <c r="O92" s="57">
        <f t="shared" si="13"/>
        <v>0</v>
      </c>
      <c r="P92" s="40">
        <f t="shared" si="14"/>
        <v>0</v>
      </c>
      <c r="Q92" s="57">
        <f t="shared" si="15"/>
        <v>0</v>
      </c>
      <c r="R92" s="58">
        <f t="shared" si="16"/>
        <v>0</v>
      </c>
      <c r="S92" s="42">
        <f t="shared" si="17"/>
        <v>0</v>
      </c>
    </row>
    <row r="93" spans="1:19" x14ac:dyDescent="0.25">
      <c r="A93" t="str">
        <f t="shared" si="20"/>
        <v>-</v>
      </c>
      <c r="B93" s="40">
        <f t="shared" si="10"/>
        <v>1</v>
      </c>
      <c r="C93" s="40"/>
      <c r="D93" s="40"/>
      <c r="E93" s="42">
        <f t="shared" si="19"/>
        <v>0</v>
      </c>
      <c r="F93" s="63">
        <f t="shared" si="11"/>
        <v>0</v>
      </c>
      <c r="G93" s="106">
        <f>IFERROR(IF(VLOOKUP($A93,'Your Pooling'!$A$12:$K$30,MATCH("Already In Pool?",'Your Pooling'!$A$12:$K$12,0),0)="Y",0,VLOOKUP($A93,'Your Pooling'!$A$12:$K$30,MATCH("Your FSN Pooled",'Your Pooling'!$A$12:$K$12,0),))+J93,J93)</f>
        <v>0</v>
      </c>
      <c r="H93" s="106">
        <f>IFERROR(IF(VLOOKUP($A93,'Your Pooling'!$A$12:$K$30,MATCH("Already In Pool?",'Your Pooling'!$A$12:$K$12,0),0)="Y",0,VLOOKUP($A93,'Your Pooling'!$A$12:$K$30,MATCH("Your XXX Pooled",'Your Pooling'!$A$12:$K$12,0),))+K93,K93)</f>
        <v>0</v>
      </c>
      <c r="I93" s="70">
        <f t="shared" si="12"/>
        <v>0</v>
      </c>
      <c r="J93" s="70"/>
      <c r="K93" s="70"/>
      <c r="L93" s="77"/>
      <c r="O93" s="57">
        <f t="shared" si="13"/>
        <v>0</v>
      </c>
      <c r="P93" s="40">
        <f t="shared" si="14"/>
        <v>0</v>
      </c>
      <c r="Q93" s="57">
        <f t="shared" si="15"/>
        <v>0</v>
      </c>
      <c r="R93" s="58">
        <f t="shared" si="16"/>
        <v>0</v>
      </c>
      <c r="S93" s="42">
        <f t="shared" si="17"/>
        <v>0</v>
      </c>
    </row>
    <row r="94" spans="1:19" x14ac:dyDescent="0.25">
      <c r="A94" t="str">
        <f t="shared" si="20"/>
        <v>-</v>
      </c>
      <c r="B94" s="40">
        <f t="shared" si="10"/>
        <v>1</v>
      </c>
      <c r="C94" s="40"/>
      <c r="D94" s="40"/>
      <c r="E94" s="42">
        <f t="shared" si="19"/>
        <v>0</v>
      </c>
      <c r="F94" s="63">
        <f t="shared" si="11"/>
        <v>0</v>
      </c>
      <c r="G94" s="106">
        <f>IFERROR(IF(VLOOKUP($A94,'Your Pooling'!$A$12:$K$30,MATCH("Already In Pool?",'Your Pooling'!$A$12:$K$12,0),0)="Y",0,VLOOKUP($A94,'Your Pooling'!$A$12:$K$30,MATCH("Your FSN Pooled",'Your Pooling'!$A$12:$K$12,0),))+J94,J94)</f>
        <v>0</v>
      </c>
      <c r="H94" s="106">
        <f>IFERROR(IF(VLOOKUP($A94,'Your Pooling'!$A$12:$K$30,MATCH("Already In Pool?",'Your Pooling'!$A$12:$K$12,0),0)="Y",0,VLOOKUP($A94,'Your Pooling'!$A$12:$K$30,MATCH("Your XXX Pooled",'Your Pooling'!$A$12:$K$12,0),))+K94,K94)</f>
        <v>0</v>
      </c>
      <c r="I94" s="70">
        <f t="shared" si="12"/>
        <v>0</v>
      </c>
      <c r="J94" s="70"/>
      <c r="K94" s="70"/>
      <c r="L94" s="77"/>
      <c r="O94" s="57">
        <f t="shared" si="13"/>
        <v>0</v>
      </c>
      <c r="P94" s="40">
        <f t="shared" si="14"/>
        <v>0</v>
      </c>
      <c r="Q94" s="57">
        <f t="shared" si="15"/>
        <v>0</v>
      </c>
      <c r="R94" s="58">
        <f t="shared" si="16"/>
        <v>0</v>
      </c>
      <c r="S94" s="42">
        <f t="shared" si="17"/>
        <v>0</v>
      </c>
    </row>
    <row r="95" spans="1:19" x14ac:dyDescent="0.25">
      <c r="A95" t="str">
        <f t="shared" si="20"/>
        <v>-</v>
      </c>
      <c r="B95" s="40">
        <f t="shared" si="10"/>
        <v>1</v>
      </c>
      <c r="C95" s="40"/>
      <c r="D95" s="40"/>
      <c r="E95" s="42">
        <f t="shared" si="19"/>
        <v>0</v>
      </c>
      <c r="F95" s="63">
        <f t="shared" si="11"/>
        <v>0</v>
      </c>
      <c r="G95" s="106">
        <f>IFERROR(IF(VLOOKUP($A95,'Your Pooling'!$A$12:$K$30,MATCH("Already In Pool?",'Your Pooling'!$A$12:$K$12,0),0)="Y",0,VLOOKUP($A95,'Your Pooling'!$A$12:$K$30,MATCH("Your FSN Pooled",'Your Pooling'!$A$12:$K$12,0),))+J95,J95)</f>
        <v>0</v>
      </c>
      <c r="H95" s="106">
        <f>IFERROR(IF(VLOOKUP($A95,'Your Pooling'!$A$12:$K$30,MATCH("Already In Pool?",'Your Pooling'!$A$12:$K$12,0),0)="Y",0,VLOOKUP($A95,'Your Pooling'!$A$12:$K$30,MATCH("Your XXX Pooled",'Your Pooling'!$A$12:$K$12,0),))+K95,K95)</f>
        <v>0</v>
      </c>
      <c r="I95" s="70">
        <f t="shared" si="12"/>
        <v>0</v>
      </c>
      <c r="J95" s="70"/>
      <c r="K95" s="70"/>
      <c r="L95" s="77"/>
      <c r="O95" s="57">
        <f t="shared" si="13"/>
        <v>0</v>
      </c>
      <c r="P95" s="40">
        <f t="shared" si="14"/>
        <v>0</v>
      </c>
      <c r="Q95" s="57">
        <f t="shared" si="15"/>
        <v>0</v>
      </c>
      <c r="R95" s="58">
        <f t="shared" si="16"/>
        <v>0</v>
      </c>
      <c r="S95" s="42">
        <f t="shared" si="17"/>
        <v>0</v>
      </c>
    </row>
    <row r="96" spans="1:19" x14ac:dyDescent="0.25">
      <c r="A96" t="str">
        <f t="shared" si="20"/>
        <v>-</v>
      </c>
      <c r="B96" s="40">
        <f t="shared" si="10"/>
        <v>1</v>
      </c>
      <c r="C96" s="40"/>
      <c r="D96" s="40"/>
      <c r="E96" s="42">
        <f t="shared" si="19"/>
        <v>0</v>
      </c>
      <c r="F96" s="63">
        <f t="shared" si="11"/>
        <v>0</v>
      </c>
      <c r="G96" s="106">
        <f>IFERROR(IF(VLOOKUP($A96,'Your Pooling'!$A$12:$K$30,MATCH("Already In Pool?",'Your Pooling'!$A$12:$K$12,0),0)="Y",0,VLOOKUP($A96,'Your Pooling'!$A$12:$K$30,MATCH("Your FSN Pooled",'Your Pooling'!$A$12:$K$12,0),))+J96,J96)</f>
        <v>0</v>
      </c>
      <c r="H96" s="106">
        <f>IFERROR(IF(VLOOKUP($A96,'Your Pooling'!$A$12:$K$30,MATCH("Already In Pool?",'Your Pooling'!$A$12:$K$12,0),0)="Y",0,VLOOKUP($A96,'Your Pooling'!$A$12:$K$30,MATCH("Your XXX Pooled",'Your Pooling'!$A$12:$K$12,0),))+K96,K96)</f>
        <v>0</v>
      </c>
      <c r="I96" s="70">
        <f t="shared" si="12"/>
        <v>0</v>
      </c>
      <c r="J96" s="70"/>
      <c r="K96" s="70"/>
      <c r="L96" s="77"/>
      <c r="O96" s="57">
        <f t="shared" si="13"/>
        <v>0</v>
      </c>
      <c r="P96" s="40">
        <f t="shared" si="14"/>
        <v>0</v>
      </c>
      <c r="Q96" s="57">
        <f t="shared" si="15"/>
        <v>0</v>
      </c>
      <c r="R96" s="58">
        <f t="shared" si="16"/>
        <v>0</v>
      </c>
      <c r="S96" s="42">
        <f t="shared" si="17"/>
        <v>0</v>
      </c>
    </row>
    <row r="97" spans="1:19" x14ac:dyDescent="0.25">
      <c r="A97" t="str">
        <f t="shared" si="20"/>
        <v>-</v>
      </c>
      <c r="B97" s="40">
        <f t="shared" ref="B97:B100" si="21">IF(OR(C97="ANY",D97="ANY"),2,1)</f>
        <v>1</v>
      </c>
      <c r="C97" s="40"/>
      <c r="D97" s="40"/>
      <c r="E97" s="42">
        <f t="shared" si="19"/>
        <v>0</v>
      </c>
      <c r="F97" s="63">
        <f t="shared" ref="F97:F100" si="22">IFERROR(J97/K97,0)</f>
        <v>0</v>
      </c>
      <c r="G97" s="106">
        <f>IFERROR(IF(VLOOKUP($A97,'Your Pooling'!$A$12:$K$30,MATCH("Already In Pool?",'Your Pooling'!$A$12:$K$12,0),0)="Y",0,VLOOKUP($A97,'Your Pooling'!$A$12:$K$30,MATCH("Your FSN Pooled",'Your Pooling'!$A$12:$K$12,0),))+J97,J97)</f>
        <v>0</v>
      </c>
      <c r="H97" s="106">
        <f>IFERROR(IF(VLOOKUP($A97,'Your Pooling'!$A$12:$K$30,MATCH("Already In Pool?",'Your Pooling'!$A$12:$K$12,0),0)="Y",0,VLOOKUP($A97,'Your Pooling'!$A$12:$K$30,MATCH("Your XXX Pooled",'Your Pooling'!$A$12:$K$12,0),))+K97,K97)</f>
        <v>0</v>
      </c>
      <c r="I97" s="70">
        <f t="shared" ref="I97:I100" si="23">G97*H97</f>
        <v>0</v>
      </c>
      <c r="J97" s="70"/>
      <c r="K97" s="70"/>
      <c r="L97" s="77"/>
      <c r="O97" s="57">
        <f t="shared" ref="O97:O100" si="24">E97*DAILYANY</f>
        <v>0</v>
      </c>
      <c r="P97" s="40">
        <f t="shared" ref="P97:P100" si="25">L97*FEEREWARDS</f>
        <v>0</v>
      </c>
      <c r="Q97" s="57">
        <f t="shared" ref="Q97:Q100" si="26">P97*FSNPRICE+O97*ANYFSN*FSNPRICE</f>
        <v>0</v>
      </c>
      <c r="R97" s="58">
        <f t="shared" ref="R97:R100" si="27">IFERROR((Q97/FSNPRICE)/(2*G97),0)</f>
        <v>0</v>
      </c>
      <c r="S97" s="42">
        <f t="shared" ref="S97:S100" si="28">R97*365</f>
        <v>0</v>
      </c>
    </row>
    <row r="98" spans="1:19" x14ac:dyDescent="0.25">
      <c r="A98" t="str">
        <f t="shared" si="20"/>
        <v>-</v>
      </c>
      <c r="B98" s="40">
        <f t="shared" si="21"/>
        <v>1</v>
      </c>
      <c r="C98" s="40"/>
      <c r="D98" s="40"/>
      <c r="E98" s="42">
        <f t="shared" si="19"/>
        <v>0</v>
      </c>
      <c r="F98" s="63">
        <f t="shared" si="22"/>
        <v>0</v>
      </c>
      <c r="G98" s="106">
        <f>IFERROR(IF(VLOOKUP($A98,'Your Pooling'!$A$12:$K$30,MATCH("Already In Pool?",'Your Pooling'!$A$12:$K$12,0),0)="Y",0,VLOOKUP($A98,'Your Pooling'!$A$12:$K$30,MATCH("Your FSN Pooled",'Your Pooling'!$A$12:$K$12,0),))+J98,J98)</f>
        <v>0</v>
      </c>
      <c r="H98" s="106">
        <f>IFERROR(IF(VLOOKUP($A98,'Your Pooling'!$A$12:$K$30,MATCH("Already In Pool?",'Your Pooling'!$A$12:$K$12,0),0)="Y",0,VLOOKUP($A98,'Your Pooling'!$A$12:$K$30,MATCH("Your XXX Pooled",'Your Pooling'!$A$12:$K$12,0),))+K98,K98)</f>
        <v>0</v>
      </c>
      <c r="I98" s="70">
        <f t="shared" si="23"/>
        <v>0</v>
      </c>
      <c r="J98" s="70"/>
      <c r="K98" s="70"/>
      <c r="L98" s="77"/>
      <c r="O98" s="57">
        <f t="shared" si="24"/>
        <v>0</v>
      </c>
      <c r="P98" s="40">
        <f t="shared" si="25"/>
        <v>0</v>
      </c>
      <c r="Q98" s="57">
        <f t="shared" si="26"/>
        <v>0</v>
      </c>
      <c r="R98" s="58">
        <f t="shared" si="27"/>
        <v>0</v>
      </c>
      <c r="S98" s="42">
        <f t="shared" si="28"/>
        <v>0</v>
      </c>
    </row>
    <row r="99" spans="1:19" x14ac:dyDescent="0.25">
      <c r="A99" t="str">
        <f t="shared" si="20"/>
        <v>-</v>
      </c>
      <c r="B99" s="40">
        <f t="shared" si="21"/>
        <v>1</v>
      </c>
      <c r="C99" s="40"/>
      <c r="D99" s="40"/>
      <c r="E99" s="42">
        <f t="shared" si="19"/>
        <v>0</v>
      </c>
      <c r="F99" s="63">
        <f t="shared" si="22"/>
        <v>0</v>
      </c>
      <c r="G99" s="106">
        <f>IFERROR(IF(VLOOKUP($A99,'Your Pooling'!$A$12:$K$30,MATCH("Already In Pool?",'Your Pooling'!$A$12:$K$12,0),0)="Y",0,VLOOKUP($A99,'Your Pooling'!$A$12:$K$30,MATCH("Your FSN Pooled",'Your Pooling'!$A$12:$K$12,0),))+J99,J99)</f>
        <v>0</v>
      </c>
      <c r="H99" s="106">
        <f>IFERROR(IF(VLOOKUP($A99,'Your Pooling'!$A$12:$K$30,MATCH("Already In Pool?",'Your Pooling'!$A$12:$K$12,0),0)="Y",0,VLOOKUP($A99,'Your Pooling'!$A$12:$K$30,MATCH("Your XXX Pooled",'Your Pooling'!$A$12:$K$12,0),))+K99,K99)</f>
        <v>0</v>
      </c>
      <c r="I99" s="70">
        <f t="shared" si="23"/>
        <v>0</v>
      </c>
      <c r="J99" s="70"/>
      <c r="K99" s="70"/>
      <c r="L99" s="77"/>
      <c r="O99" s="57">
        <f t="shared" si="24"/>
        <v>0</v>
      </c>
      <c r="P99" s="40">
        <f t="shared" si="25"/>
        <v>0</v>
      </c>
      <c r="Q99" s="57">
        <f t="shared" si="26"/>
        <v>0</v>
      </c>
      <c r="R99" s="58">
        <f t="shared" si="27"/>
        <v>0</v>
      </c>
      <c r="S99" s="42">
        <f t="shared" si="28"/>
        <v>0</v>
      </c>
    </row>
    <row r="100" spans="1:19" x14ac:dyDescent="0.25">
      <c r="A100" t="str">
        <f t="shared" si="20"/>
        <v>-</v>
      </c>
      <c r="B100" s="40">
        <f t="shared" si="21"/>
        <v>1</v>
      </c>
      <c r="C100" s="40"/>
      <c r="D100" s="40"/>
      <c r="E100" s="42">
        <f t="shared" si="19"/>
        <v>0</v>
      </c>
      <c r="F100" s="63">
        <f t="shared" si="22"/>
        <v>0</v>
      </c>
      <c r="G100" s="106">
        <f>IFERROR(IF(VLOOKUP($A100,'Your Pooling'!$A$12:$K$30,MATCH("Already In Pool?",'Your Pooling'!$A$12:$K$12,0),0)="Y",0,VLOOKUP($A100,'Your Pooling'!$A$12:$K$30,MATCH("Your FSN Pooled",'Your Pooling'!$A$12:$K$12,0),))+J100,J100)</f>
        <v>0</v>
      </c>
      <c r="H100" s="106">
        <f>IFERROR(IF(VLOOKUP($A100,'Your Pooling'!$A$12:$K$30,MATCH("Already In Pool?",'Your Pooling'!$A$12:$K$12,0),0)="Y",0,VLOOKUP($A100,'Your Pooling'!$A$12:$K$30,MATCH("Your XXX Pooled",'Your Pooling'!$A$12:$K$12,0),))+K100,K100)</f>
        <v>0</v>
      </c>
      <c r="I100" s="70">
        <f t="shared" si="23"/>
        <v>0</v>
      </c>
      <c r="J100" s="70"/>
      <c r="K100" s="70"/>
      <c r="L100" s="77"/>
      <c r="O100" s="57">
        <f t="shared" si="24"/>
        <v>0</v>
      </c>
      <c r="P100" s="40">
        <f t="shared" si="25"/>
        <v>0</v>
      </c>
      <c r="Q100" s="57">
        <f t="shared" si="26"/>
        <v>0</v>
      </c>
      <c r="R100" s="58">
        <f t="shared" si="27"/>
        <v>0</v>
      </c>
      <c r="S100" s="42">
        <f t="shared" si="28"/>
        <v>0</v>
      </c>
    </row>
  </sheetData>
  <phoneticPr fontId="10" type="noConversion"/>
  <conditionalFormatting sqref="L11 A11:I11 F12:H100">
    <cfRule type="expression" dxfId="84" priority="10">
      <formula>$C$11=""</formula>
    </cfRule>
  </conditionalFormatting>
  <conditionalFormatting sqref="L11:L13 A11:I13 A14:L100">
    <cfRule type="expression" dxfId="83" priority="8">
      <formula>$C11=""</formula>
    </cfRule>
    <cfRule type="expression" dxfId="82" priority="9">
      <formula>$C$11=""</formula>
    </cfRule>
  </conditionalFormatting>
  <conditionalFormatting sqref="J11:K11">
    <cfRule type="expression" dxfId="81" priority="7">
      <formula>$C$11=""</formula>
    </cfRule>
  </conditionalFormatting>
  <conditionalFormatting sqref="J11:K13">
    <cfRule type="expression" dxfId="80" priority="5">
      <formula>$C11=""</formula>
    </cfRule>
    <cfRule type="expression" dxfId="79" priority="6">
      <formula>$C$11=""</formula>
    </cfRule>
  </conditionalFormatting>
  <conditionalFormatting sqref="H12">
    <cfRule type="expression" dxfId="78" priority="4">
      <formula>$C$11=""</formula>
    </cfRule>
  </conditionalFormatting>
  <conditionalFormatting sqref="H13:H100">
    <cfRule type="expression" dxfId="77" priority="3">
      <formula>$C$11=""</formula>
    </cfRule>
  </conditionalFormatting>
  <conditionalFormatting sqref="G12">
    <cfRule type="expression" dxfId="76" priority="2">
      <formula>$C$11=""</formula>
    </cfRule>
  </conditionalFormatting>
  <conditionalFormatting sqref="G13:G100">
    <cfRule type="expression" dxfId="75" priority="1">
      <formula>$C$11=""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DE3-E40A-48A5-A94F-C3AC1BF91E99}">
  <sheetPr codeName="Sheet2">
    <tabColor theme="5" tint="0.39997558519241921"/>
  </sheetPr>
  <dimension ref="A1:AH94"/>
  <sheetViews>
    <sheetView zoomScale="70" zoomScaleNormal="70" workbookViewId="0">
      <selection activeCell="E6" sqref="E6"/>
    </sheetView>
  </sheetViews>
  <sheetFormatPr defaultRowHeight="15" x14ac:dyDescent="0.25"/>
  <cols>
    <col min="1" max="1" width="20.5703125" bestFit="1" customWidth="1"/>
    <col min="2" max="2" width="15.42578125" bestFit="1" customWidth="1"/>
    <col min="3" max="3" width="45.140625" bestFit="1" customWidth="1"/>
    <col min="6" max="6" width="11.42578125" hidden="1" customWidth="1"/>
    <col min="7" max="7" width="13.5703125" hidden="1" customWidth="1"/>
    <col min="8" max="9" width="12.85546875" customWidth="1"/>
    <col min="10" max="10" width="18.42578125" hidden="1" customWidth="1"/>
    <col min="11" max="11" width="18.140625" hidden="1" customWidth="1"/>
    <col min="15" max="15" width="13.7109375" bestFit="1" customWidth="1"/>
    <col min="17" max="17" width="24.42578125" bestFit="1" customWidth="1"/>
    <col min="18" max="18" width="21.7109375" bestFit="1" customWidth="1"/>
    <col min="20" max="20" width="10.7109375" bestFit="1" customWidth="1"/>
    <col min="21" max="21" width="11.140625" customWidth="1"/>
    <col min="22" max="22" width="15.28515625" bestFit="1" customWidth="1"/>
    <col min="25" max="25" width="13.140625" bestFit="1" customWidth="1"/>
    <col min="26" max="31" width="13.140625" customWidth="1"/>
    <col min="32" max="32" width="15.42578125" bestFit="1" customWidth="1"/>
    <col min="33" max="34" width="15.7109375" bestFit="1" customWidth="1"/>
  </cols>
  <sheetData>
    <row r="1" spans="1:34" ht="23.25" x14ac:dyDescent="0.35">
      <c r="A1" s="40" t="s">
        <v>153</v>
      </c>
      <c r="B1" s="73">
        <f>FSNPRICE</f>
        <v>0.46275250523054356</v>
      </c>
      <c r="C1" s="131" t="s">
        <v>172</v>
      </c>
      <c r="U1" s="64" t="s">
        <v>155</v>
      </c>
      <c r="V1" s="72">
        <f>SUM(V5:V47)</f>
        <v>702.29349125709803</v>
      </c>
      <c r="AH1" s="72">
        <f>SUM(AH5:AH47)</f>
        <v>702.29349125709803</v>
      </c>
    </row>
    <row r="2" spans="1:34" x14ac:dyDescent="0.25">
      <c r="C2" s="54" t="s">
        <v>173</v>
      </c>
    </row>
    <row r="3" spans="1:34" ht="26.25" x14ac:dyDescent="0.4">
      <c r="D3" s="137" t="s">
        <v>148</v>
      </c>
      <c r="E3" s="137"/>
      <c r="F3" s="123" t="s">
        <v>147</v>
      </c>
      <c r="G3" s="124" t="s">
        <v>146</v>
      </c>
      <c r="H3" s="137" t="s">
        <v>160</v>
      </c>
      <c r="I3" s="137"/>
      <c r="J3" s="114"/>
      <c r="M3" s="137" t="s">
        <v>157</v>
      </c>
      <c r="N3" s="137"/>
      <c r="O3" s="137"/>
      <c r="Y3" s="136" t="s">
        <v>164</v>
      </c>
      <c r="Z3" s="136"/>
      <c r="AA3" s="136"/>
      <c r="AB3" s="136"/>
      <c r="AC3" s="136"/>
      <c r="AD3" s="136"/>
      <c r="AE3" s="136"/>
      <c r="AF3" s="136"/>
      <c r="AG3" s="136"/>
      <c r="AH3" s="136"/>
    </row>
    <row r="4" spans="1:34" ht="30" x14ac:dyDescent="0.25">
      <c r="B4" s="115" t="s">
        <v>90</v>
      </c>
      <c r="C4" s="125" t="s">
        <v>170</v>
      </c>
      <c r="D4" s="126" t="s">
        <v>13</v>
      </c>
      <c r="E4" s="126" t="s">
        <v>145</v>
      </c>
      <c r="F4" s="126"/>
      <c r="G4" s="126" t="s">
        <v>13</v>
      </c>
      <c r="H4" s="126" t="s">
        <v>13</v>
      </c>
      <c r="I4" s="126" t="s">
        <v>145</v>
      </c>
      <c r="J4" s="127" t="s">
        <v>149</v>
      </c>
      <c r="K4" s="126" t="s">
        <v>150</v>
      </c>
      <c r="L4" s="128"/>
      <c r="M4" s="126" t="s">
        <v>13</v>
      </c>
      <c r="N4" s="129"/>
      <c r="O4" s="126" t="s">
        <v>156</v>
      </c>
      <c r="Q4" s="126" t="s">
        <v>152</v>
      </c>
      <c r="R4" s="126" t="s">
        <v>151</v>
      </c>
      <c r="S4" s="129"/>
      <c r="T4" s="126" t="s">
        <v>158</v>
      </c>
      <c r="U4" s="126" t="s">
        <v>159</v>
      </c>
      <c r="V4" s="126" t="s">
        <v>154</v>
      </c>
      <c r="Y4" s="129"/>
      <c r="Z4" s="129"/>
      <c r="AA4" s="129" t="s">
        <v>165</v>
      </c>
      <c r="AB4" s="129"/>
      <c r="AC4" s="129" t="s">
        <v>166</v>
      </c>
      <c r="AD4" s="129" t="s">
        <v>167</v>
      </c>
      <c r="AE4" s="129" t="s">
        <v>168</v>
      </c>
      <c r="AF4" s="129" t="s">
        <v>161</v>
      </c>
      <c r="AG4" s="129" t="s">
        <v>162</v>
      </c>
      <c r="AH4" s="129" t="s">
        <v>163</v>
      </c>
    </row>
    <row r="5" spans="1:34" x14ac:dyDescent="0.25">
      <c r="B5" s="116" t="s">
        <v>138</v>
      </c>
      <c r="C5" s="120">
        <f>1/F5</f>
        <v>0.6</v>
      </c>
      <c r="D5" s="75">
        <v>1000</v>
      </c>
      <c r="E5" s="75">
        <v>600</v>
      </c>
      <c r="F5" s="62">
        <f>D5/E5</f>
        <v>1.6666666666666667</v>
      </c>
      <c r="G5" s="62">
        <f>VLOOKUP(B5,PoolData!$A$11:$L$100,MATCH("XXX:FSN Ratio",PoolData!$A$10:$L$10,0),0)</f>
        <v>2.1609823581652994</v>
      </c>
      <c r="H5" s="63">
        <f>SQRT(G5/F5)*D5</f>
        <v>1138.6788023403174</v>
      </c>
      <c r="I5" s="63">
        <f>SQRT(F5/G5)*E5</f>
        <v>526.92646843589682</v>
      </c>
      <c r="J5" s="122">
        <f>D5*E5</f>
        <v>600000</v>
      </c>
      <c r="K5" s="40">
        <f>H5*I5</f>
        <v>600000</v>
      </c>
      <c r="L5" s="46"/>
      <c r="M5" s="63">
        <f>H5-D5</f>
        <v>138.67880234031736</v>
      </c>
      <c r="N5" s="118" t="str">
        <f>RIGHT(B5,LEN(B5)-FIND("-",B5))</f>
        <v>aUSDT</v>
      </c>
      <c r="O5" s="63">
        <f>I5-E5</f>
        <v>-73.073531564103178</v>
      </c>
      <c r="Q5" s="40">
        <f>D5*2</f>
        <v>2000</v>
      </c>
      <c r="R5" s="57">
        <f>H5*2</f>
        <v>2277.3576046806347</v>
      </c>
      <c r="S5" s="40"/>
      <c r="T5" s="73">
        <f>Q5*C5</f>
        <v>1200</v>
      </c>
      <c r="U5" s="73">
        <f>R5*$B$1</f>
        <v>1053.8529368717936</v>
      </c>
      <c r="V5" s="73">
        <f>U5-T5</f>
        <v>-146.14706312820636</v>
      </c>
      <c r="Y5" s="40" t="str">
        <f>PoolData!A11</f>
        <v>FSN-aUSDT</v>
      </c>
      <c r="Z5" s="118" t="str">
        <f>LEFT(Y5,FIND("-",Y5)-1)</f>
        <v>FSN</v>
      </c>
      <c r="AA5" s="57">
        <f>SUMIF($B:$B,$Y5,D:D)</f>
        <v>2000</v>
      </c>
      <c r="AB5" s="118" t="str">
        <f>RIGHT(Y5,LEN(Y5)-FIND("-",Y5))</f>
        <v>aUSDT</v>
      </c>
      <c r="AC5" s="63">
        <f>SUMIF($B:$B,$Y5,E:E)</f>
        <v>1000</v>
      </c>
      <c r="AD5" s="63">
        <f t="shared" ref="AD5:AE7" si="0">SUMIF($B:$B,$Y5,H:H)</f>
        <v>2068.4061512260646</v>
      </c>
      <c r="AE5" s="63">
        <f t="shared" si="0"/>
        <v>957.16012831412786</v>
      </c>
      <c r="AF5" s="63">
        <f>SUMIF($B:$B,$Y5,M:M)</f>
        <v>68.40615122606448</v>
      </c>
      <c r="AG5" s="63">
        <f>SUMIF($B:$B,$Y5,O:O)</f>
        <v>-42.83987168587214</v>
      </c>
      <c r="AH5" s="73">
        <f>SUMIF($B:$B,$Y5,V:V)</f>
        <v>-85.679743371744166</v>
      </c>
    </row>
    <row r="6" spans="1:34" x14ac:dyDescent="0.25">
      <c r="B6" s="116" t="s">
        <v>139</v>
      </c>
      <c r="C6" s="121">
        <v>0.8</v>
      </c>
      <c r="D6" s="75">
        <v>1000</v>
      </c>
      <c r="E6" s="150">
        <v>2</v>
      </c>
      <c r="F6" s="62">
        <f>D6/E6</f>
        <v>500</v>
      </c>
      <c r="G6" s="62">
        <f>VLOOKUP(B6,PoolData!$A$11:$L$100,MATCH("XXX:FSN Ratio",PoolData!$A$10:$L$10,0),0)</f>
        <v>770.96415702030117</v>
      </c>
      <c r="H6" s="63">
        <f>SQRT(G6/F6)*D6</f>
        <v>1241.744061407423</v>
      </c>
      <c r="I6" s="63">
        <f>SQRT(F6/G6)*E6</f>
        <v>1.6106378618256898</v>
      </c>
      <c r="J6" s="122">
        <f>D6*E6</f>
        <v>2000</v>
      </c>
      <c r="K6" s="40">
        <f>H6*I6</f>
        <v>1999.9999999999998</v>
      </c>
      <c r="L6" s="46"/>
      <c r="M6" s="63">
        <f t="shared" ref="M6:M7" si="1">H6-D6</f>
        <v>241.74406140742303</v>
      </c>
      <c r="N6" s="118" t="str">
        <f>RIGHT(B6,LEN(B6)-FIND("-",B6))</f>
        <v>aETH</v>
      </c>
      <c r="O6" s="63">
        <f>I6-E6</f>
        <v>-0.3893621381743102</v>
      </c>
      <c r="Q6" s="40">
        <f t="shared" ref="Q6:Q7" si="2">D6*2</f>
        <v>2000</v>
      </c>
      <c r="R6" s="57">
        <f>H6*2</f>
        <v>2483.4881228148461</v>
      </c>
      <c r="S6" s="40"/>
      <c r="T6" s="73">
        <f t="shared" ref="T6:T7" si="3">Q6*C6</f>
        <v>1600</v>
      </c>
      <c r="U6" s="73">
        <f t="shared" ref="U6:U7" si="4">R6*$B$1</f>
        <v>1149.2403505428699</v>
      </c>
      <c r="V6" s="73">
        <f t="shared" ref="V6:V7" si="5">U6-T6</f>
        <v>-450.75964945713008</v>
      </c>
      <c r="Y6" s="40" t="str">
        <f>PoolData!A12</f>
        <v>FSN-aETH</v>
      </c>
      <c r="Z6" s="118" t="str">
        <f>LEFT(Y6,FIND("-",Y6)-1)</f>
        <v>FSN</v>
      </c>
      <c r="AA6" s="57">
        <f t="shared" ref="AA6:AA69" si="6">SUMIF($B:$B,$Y6,D:D)</f>
        <v>1000</v>
      </c>
      <c r="AB6" s="118" t="str">
        <f t="shared" ref="AB6:AB69" si="7">RIGHT(Y6,LEN(Y6)-FIND("-",Y6))</f>
        <v>aETH</v>
      </c>
      <c r="AC6" s="63">
        <f t="shared" ref="AC6:AC7" si="8">SUMIF($B:$B,$Y6,E:E)</f>
        <v>2</v>
      </c>
      <c r="AD6" s="63">
        <f t="shared" si="0"/>
        <v>1241.744061407423</v>
      </c>
      <c r="AE6" s="63">
        <f t="shared" si="0"/>
        <v>1.6106378618256898</v>
      </c>
      <c r="AF6" s="63">
        <f t="shared" ref="AF6:AF7" si="9">SUMIF($B:$B,$Y6,M:M)</f>
        <v>241.74406140742303</v>
      </c>
      <c r="AG6" s="63">
        <f t="shared" ref="AG6:AG7" si="10">SUMIF($B:$B,$Y6,O:O)</f>
        <v>-0.3893621381743102</v>
      </c>
      <c r="AH6" s="73">
        <f t="shared" ref="AH6:AH7" si="11">SUMIF($B:$B,$Y6,V:V)</f>
        <v>-450.75964945713008</v>
      </c>
    </row>
    <row r="7" spans="1:34" x14ac:dyDescent="0.25">
      <c r="B7" s="116" t="s">
        <v>140</v>
      </c>
      <c r="C7" s="119">
        <v>0.39</v>
      </c>
      <c r="D7" s="75">
        <v>1000</v>
      </c>
      <c r="E7" s="75">
        <v>1000</v>
      </c>
      <c r="F7" s="62">
        <f>D7/E7</f>
        <v>1</v>
      </c>
      <c r="G7" s="62">
        <f>VLOOKUP(B7,PoolData!$A$11:$L$100,MATCH("XXX:FSN Ratio",PoolData!$A$10:$L$10,0),0)</f>
        <v>2.2861533651311072</v>
      </c>
      <c r="H7" s="63">
        <f>SQRT(G7/F7)*D7</f>
        <v>1512.0030969317183</v>
      </c>
      <c r="I7" s="63">
        <f>SQRT(F7/G7)*E7</f>
        <v>661.37430672548408</v>
      </c>
      <c r="J7" s="40">
        <f>D7*E7</f>
        <v>1000000</v>
      </c>
      <c r="K7" s="40">
        <f>H7*I7</f>
        <v>1000000.0000000001</v>
      </c>
      <c r="L7" s="40"/>
      <c r="M7" s="63">
        <f t="shared" si="1"/>
        <v>512.00309693171835</v>
      </c>
      <c r="N7" s="118" t="str">
        <f>RIGHT(B7,LEN(B7)-FIND("-",B7))</f>
        <v>ANY</v>
      </c>
      <c r="O7" s="63">
        <f>I7-E7</f>
        <v>-338.62569327451592</v>
      </c>
      <c r="Q7" s="40">
        <f t="shared" si="2"/>
        <v>2000</v>
      </c>
      <c r="R7" s="57">
        <f>H7*2</f>
        <v>3024.0061938634367</v>
      </c>
      <c r="S7" s="40"/>
      <c r="T7" s="73">
        <f t="shared" si="3"/>
        <v>780</v>
      </c>
      <c r="U7" s="73">
        <f t="shared" si="4"/>
        <v>1399.3664420429861</v>
      </c>
      <c r="V7" s="73">
        <f t="shared" si="5"/>
        <v>619.36644204298614</v>
      </c>
      <c r="Y7" s="40" t="str">
        <f>PoolData!A13</f>
        <v>FSN-ANY</v>
      </c>
      <c r="Z7" s="118" t="str">
        <f>LEFT(Y7,FIND("-",Y7)-1)</f>
        <v>FSN</v>
      </c>
      <c r="AA7" s="57">
        <f t="shared" si="6"/>
        <v>2000</v>
      </c>
      <c r="AB7" s="118" t="str">
        <f t="shared" si="7"/>
        <v>ANY</v>
      </c>
      <c r="AC7" s="63">
        <f t="shared" si="8"/>
        <v>2000</v>
      </c>
      <c r="AD7" s="63">
        <f t="shared" si="0"/>
        <v>3024.0061938634367</v>
      </c>
      <c r="AE7" s="63">
        <f t="shared" si="0"/>
        <v>1322.7486134509682</v>
      </c>
      <c r="AF7" s="63">
        <f t="shared" si="9"/>
        <v>1024.0061938634367</v>
      </c>
      <c r="AG7" s="63">
        <f t="shared" si="10"/>
        <v>-677.25138654903185</v>
      </c>
      <c r="AH7" s="73">
        <f t="shared" si="11"/>
        <v>1238.7328840859723</v>
      </c>
    </row>
    <row r="8" spans="1:34" x14ac:dyDescent="0.25">
      <c r="B8" s="116" t="s">
        <v>140</v>
      </c>
      <c r="C8" s="119">
        <v>0.39</v>
      </c>
      <c r="D8" s="75">
        <v>1000</v>
      </c>
      <c r="E8" s="75">
        <v>1000</v>
      </c>
      <c r="F8" s="62">
        <f>D8/E8</f>
        <v>1</v>
      </c>
      <c r="G8" s="62">
        <f>VLOOKUP(B8,PoolData!$A$11:$L$100,MATCH("XXX:FSN Ratio",PoolData!$A$10:$L$10,0),0)</f>
        <v>2.2861533651311072</v>
      </c>
      <c r="H8" s="63">
        <f>SQRT(G8/F8)*D8</f>
        <v>1512.0030969317183</v>
      </c>
      <c r="I8" s="63">
        <f>SQRT(F8/G8)*E8</f>
        <v>661.37430672548408</v>
      </c>
      <c r="J8" s="40">
        <f>D8*E8</f>
        <v>1000000</v>
      </c>
      <c r="K8" s="40">
        <f>H8*I8</f>
        <v>1000000.0000000001</v>
      </c>
      <c r="L8" s="40"/>
      <c r="M8" s="63">
        <f t="shared" ref="M8" si="12">H8-D8</f>
        <v>512.00309693171835</v>
      </c>
      <c r="N8" s="118" t="str">
        <f>RIGHT(B8,LEN(B8)-FIND("-",B8))</f>
        <v>ANY</v>
      </c>
      <c r="O8" s="63">
        <f>I8-E8</f>
        <v>-338.62569327451592</v>
      </c>
      <c r="Q8" s="40">
        <f t="shared" ref="Q8" si="13">D8*2</f>
        <v>2000</v>
      </c>
      <c r="R8" s="57">
        <f>H8*2</f>
        <v>3024.0061938634367</v>
      </c>
      <c r="S8" s="40"/>
      <c r="T8" s="73">
        <f t="shared" ref="T8" si="14">Q8*C8</f>
        <v>780</v>
      </c>
      <c r="U8" s="73">
        <f t="shared" ref="U8" si="15">R8*$B$1</f>
        <v>1399.3664420429861</v>
      </c>
      <c r="V8" s="73">
        <f t="shared" ref="V8" si="16">U8-T8</f>
        <v>619.36644204298614</v>
      </c>
      <c r="Y8" s="40" t="str">
        <f>PoolData!A14</f>
        <v>-</v>
      </c>
      <c r="Z8" s="118" t="str">
        <f>LEFT(Y8,FIND("-",Y8)-1)</f>
        <v/>
      </c>
      <c r="AA8" s="57">
        <f t="shared" ref="AA8" si="17">SUMIF($B:$B,$Y8,D:D)</f>
        <v>0</v>
      </c>
      <c r="AB8" s="118" t="str">
        <f t="shared" ref="AB8" si="18">RIGHT(Y8,LEN(Y8)-FIND("-",Y8))</f>
        <v/>
      </c>
      <c r="AC8" s="63">
        <f t="shared" ref="AC8" si="19">SUMIF($B:$B,$Y8,E:E)</f>
        <v>0</v>
      </c>
      <c r="AD8" s="63">
        <f t="shared" ref="AD8" si="20">SUMIF($B:$B,$Y8,H:H)</f>
        <v>0</v>
      </c>
      <c r="AE8" s="63">
        <f t="shared" ref="AE8" si="21">SUMIF($B:$B,$Y8,I:I)</f>
        <v>0</v>
      </c>
      <c r="AF8" s="63">
        <f t="shared" ref="AF8" si="22">SUMIF($B:$B,$Y8,M:M)</f>
        <v>0</v>
      </c>
      <c r="AG8" s="63">
        <f t="shared" ref="AG8" si="23">SUMIF($B:$B,$Y8,O:O)</f>
        <v>0</v>
      </c>
      <c r="AH8" s="73">
        <f t="shared" ref="AH8" si="24">SUMIF($B:$B,$Y8,V:V)</f>
        <v>0</v>
      </c>
    </row>
    <row r="9" spans="1:34" x14ac:dyDescent="0.25">
      <c r="B9" s="116" t="s">
        <v>138</v>
      </c>
      <c r="C9" s="117">
        <f>1/F9</f>
        <v>0.4</v>
      </c>
      <c r="D9" s="75">
        <v>1000</v>
      </c>
      <c r="E9" s="75">
        <v>400</v>
      </c>
      <c r="F9" s="62">
        <f>D9/E9</f>
        <v>2.5</v>
      </c>
      <c r="G9" s="62">
        <f>VLOOKUP(B9,PoolData!$A$11:$L$100,MATCH("XXX:FSN Ratio",PoolData!$A$10:$L$10,0),0)</f>
        <v>2.1609823581652994</v>
      </c>
      <c r="H9" s="63">
        <f>SQRT(G9/F9)*D9</f>
        <v>929.72734888574712</v>
      </c>
      <c r="I9" s="63">
        <f>SQRT(F9/G9)*E9</f>
        <v>430.23365987823104</v>
      </c>
      <c r="J9" s="40">
        <f>D9*E9</f>
        <v>400000</v>
      </c>
      <c r="K9" s="40">
        <f>H9*I9</f>
        <v>399999.99999999994</v>
      </c>
      <c r="L9" s="40"/>
      <c r="M9" s="63">
        <f>H9-D9</f>
        <v>-70.272651114252881</v>
      </c>
      <c r="N9" s="118" t="str">
        <f>RIGHT(B9,LEN(B9)-FIND("-",B9))</f>
        <v>aUSDT</v>
      </c>
      <c r="O9" s="63">
        <f>I9-E9</f>
        <v>30.233659878231038</v>
      </c>
      <c r="Q9" s="40">
        <f>D9*2</f>
        <v>2000</v>
      </c>
      <c r="R9" s="57">
        <f>H9*2</f>
        <v>1859.4546977714942</v>
      </c>
      <c r="S9" s="40"/>
      <c r="T9" s="73">
        <f>Q9*C9</f>
        <v>800</v>
      </c>
      <c r="U9" s="73">
        <f>R9*$B$1</f>
        <v>860.46731975646219</v>
      </c>
      <c r="V9" s="73">
        <f>U9-T9</f>
        <v>60.467319756462189</v>
      </c>
      <c r="Y9" s="40" t="str">
        <f>PoolData!A15</f>
        <v>-</v>
      </c>
      <c r="Z9" s="118" t="str">
        <f t="shared" ref="Z9:Z71" si="25">LEFT(Y9,FIND("-",Y9)-1)</f>
        <v/>
      </c>
      <c r="AA9" s="57">
        <f t="shared" si="6"/>
        <v>0</v>
      </c>
      <c r="AB9" s="118" t="str">
        <f t="shared" si="7"/>
        <v/>
      </c>
      <c r="AC9" s="63">
        <f t="shared" ref="AC9:AC71" si="26">SUMIF($B:$B,$Y9,E:E)</f>
        <v>0</v>
      </c>
      <c r="AD9" s="63">
        <f t="shared" ref="AD9:AD71" si="27">SUMIF($B:$B,$Y9,H:H)</f>
        <v>0</v>
      </c>
      <c r="AE9" s="63">
        <f t="shared" ref="AE9:AE71" si="28">SUMIF($B:$B,$Y9,I:I)</f>
        <v>0</v>
      </c>
      <c r="AF9" s="63">
        <f t="shared" ref="AF9:AF71" si="29">SUMIF($B:$B,$Y9,M:M)</f>
        <v>0</v>
      </c>
      <c r="AG9" s="63">
        <f t="shared" ref="AG9:AG71" si="30">SUMIF($B:$B,$Y9,O:O)</f>
        <v>0</v>
      </c>
      <c r="AH9" s="73">
        <f t="shared" ref="AH9:AH71" si="31">SUMIF($B:$B,$Y9,V:V)</f>
        <v>0</v>
      </c>
    </row>
    <row r="10" spans="1:34" x14ac:dyDescent="0.2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Q10" s="40"/>
      <c r="R10" s="40"/>
      <c r="S10" s="40"/>
      <c r="T10" s="40"/>
      <c r="U10" s="40"/>
      <c r="V10" s="40"/>
      <c r="Y10" s="40" t="str">
        <f>PoolData!A16</f>
        <v>-</v>
      </c>
      <c r="Z10" s="118" t="str">
        <f t="shared" si="25"/>
        <v/>
      </c>
      <c r="AA10" s="57">
        <f t="shared" si="6"/>
        <v>0</v>
      </c>
      <c r="AB10" s="118" t="str">
        <f t="shared" si="7"/>
        <v/>
      </c>
      <c r="AC10" s="63">
        <f t="shared" si="26"/>
        <v>0</v>
      </c>
      <c r="AD10" s="63">
        <f t="shared" si="27"/>
        <v>0</v>
      </c>
      <c r="AE10" s="63">
        <f t="shared" si="28"/>
        <v>0</v>
      </c>
      <c r="AF10" s="63">
        <f t="shared" si="29"/>
        <v>0</v>
      </c>
      <c r="AG10" s="63">
        <f t="shared" si="30"/>
        <v>0</v>
      </c>
      <c r="AH10" s="73">
        <f t="shared" si="31"/>
        <v>0</v>
      </c>
    </row>
    <row r="11" spans="1:34" x14ac:dyDescent="0.2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Q11" s="40"/>
      <c r="R11" s="40"/>
      <c r="S11" s="40"/>
      <c r="T11" s="40"/>
      <c r="U11" s="40"/>
      <c r="V11" s="40"/>
      <c r="Y11" s="40" t="str">
        <f>PoolData!A17</f>
        <v>-</v>
      </c>
      <c r="Z11" s="118" t="str">
        <f t="shared" si="25"/>
        <v/>
      </c>
      <c r="AA11" s="57">
        <f t="shared" si="6"/>
        <v>0</v>
      </c>
      <c r="AB11" s="118" t="str">
        <f t="shared" si="7"/>
        <v/>
      </c>
      <c r="AC11" s="63">
        <f t="shared" si="26"/>
        <v>0</v>
      </c>
      <c r="AD11" s="63">
        <f t="shared" si="27"/>
        <v>0</v>
      </c>
      <c r="AE11" s="63">
        <f t="shared" si="28"/>
        <v>0</v>
      </c>
      <c r="AF11" s="63">
        <f t="shared" si="29"/>
        <v>0</v>
      </c>
      <c r="AG11" s="63">
        <f t="shared" si="30"/>
        <v>0</v>
      </c>
      <c r="AH11" s="73">
        <f t="shared" si="31"/>
        <v>0</v>
      </c>
    </row>
    <row r="12" spans="1:34" x14ac:dyDescent="0.2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Q12" s="40"/>
      <c r="R12" s="40"/>
      <c r="S12" s="40"/>
      <c r="T12" s="40"/>
      <c r="U12" s="40"/>
      <c r="V12" s="40"/>
      <c r="Y12" s="40" t="str">
        <f>PoolData!A18</f>
        <v>-</v>
      </c>
      <c r="Z12" s="118" t="str">
        <f t="shared" si="25"/>
        <v/>
      </c>
      <c r="AA12" s="57">
        <f t="shared" si="6"/>
        <v>0</v>
      </c>
      <c r="AB12" s="118" t="str">
        <f t="shared" si="7"/>
        <v/>
      </c>
      <c r="AC12" s="63">
        <f t="shared" si="26"/>
        <v>0</v>
      </c>
      <c r="AD12" s="63">
        <f t="shared" si="27"/>
        <v>0</v>
      </c>
      <c r="AE12" s="63">
        <f t="shared" si="28"/>
        <v>0</v>
      </c>
      <c r="AF12" s="63">
        <f t="shared" si="29"/>
        <v>0</v>
      </c>
      <c r="AG12" s="63">
        <f t="shared" si="30"/>
        <v>0</v>
      </c>
      <c r="AH12" s="73">
        <f t="shared" si="31"/>
        <v>0</v>
      </c>
    </row>
    <row r="13" spans="1:34" x14ac:dyDescent="0.2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Q13" s="40"/>
      <c r="R13" s="40"/>
      <c r="S13" s="40"/>
      <c r="T13" s="40"/>
      <c r="U13" s="40"/>
      <c r="V13" s="40"/>
      <c r="Y13" s="40" t="str">
        <f>PoolData!A19</f>
        <v>-</v>
      </c>
      <c r="Z13" s="118" t="str">
        <f t="shared" si="25"/>
        <v/>
      </c>
      <c r="AA13" s="57">
        <f t="shared" si="6"/>
        <v>0</v>
      </c>
      <c r="AB13" s="118" t="str">
        <f t="shared" si="7"/>
        <v/>
      </c>
      <c r="AC13" s="63">
        <f t="shared" si="26"/>
        <v>0</v>
      </c>
      <c r="AD13" s="63">
        <f t="shared" si="27"/>
        <v>0</v>
      </c>
      <c r="AE13" s="63">
        <f t="shared" si="28"/>
        <v>0</v>
      </c>
      <c r="AF13" s="63">
        <f t="shared" si="29"/>
        <v>0</v>
      </c>
      <c r="AG13" s="63">
        <f t="shared" si="30"/>
        <v>0</v>
      </c>
      <c r="AH13" s="73">
        <f t="shared" si="31"/>
        <v>0</v>
      </c>
    </row>
    <row r="14" spans="1:34" x14ac:dyDescent="0.2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Q14" s="40"/>
      <c r="R14" s="40"/>
      <c r="S14" s="40"/>
      <c r="T14" s="40"/>
      <c r="U14" s="40"/>
      <c r="V14" s="40"/>
      <c r="Y14" s="40" t="str">
        <f>PoolData!A20</f>
        <v>-</v>
      </c>
      <c r="Z14" s="118" t="str">
        <f t="shared" si="25"/>
        <v/>
      </c>
      <c r="AA14" s="57">
        <f t="shared" si="6"/>
        <v>0</v>
      </c>
      <c r="AB14" s="118" t="str">
        <f t="shared" si="7"/>
        <v/>
      </c>
      <c r="AC14" s="63">
        <f t="shared" si="26"/>
        <v>0</v>
      </c>
      <c r="AD14" s="63">
        <f t="shared" si="27"/>
        <v>0</v>
      </c>
      <c r="AE14" s="63">
        <f t="shared" si="28"/>
        <v>0</v>
      </c>
      <c r="AF14" s="63">
        <f t="shared" si="29"/>
        <v>0</v>
      </c>
      <c r="AG14" s="63">
        <f t="shared" si="30"/>
        <v>0</v>
      </c>
      <c r="AH14" s="73">
        <f t="shared" si="31"/>
        <v>0</v>
      </c>
    </row>
    <row r="15" spans="1:34" x14ac:dyDescent="0.2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Q15" s="40"/>
      <c r="R15" s="40"/>
      <c r="S15" s="40"/>
      <c r="T15" s="40"/>
      <c r="U15" s="40"/>
      <c r="V15" s="40"/>
      <c r="Y15" s="40" t="str">
        <f>PoolData!A21</f>
        <v>-</v>
      </c>
      <c r="Z15" s="118" t="str">
        <f t="shared" si="25"/>
        <v/>
      </c>
      <c r="AA15" s="57">
        <f t="shared" si="6"/>
        <v>0</v>
      </c>
      <c r="AB15" s="118" t="str">
        <f t="shared" si="7"/>
        <v/>
      </c>
      <c r="AC15" s="63">
        <f t="shared" si="26"/>
        <v>0</v>
      </c>
      <c r="AD15" s="63">
        <f t="shared" si="27"/>
        <v>0</v>
      </c>
      <c r="AE15" s="63">
        <f t="shared" si="28"/>
        <v>0</v>
      </c>
      <c r="AF15" s="63">
        <f t="shared" si="29"/>
        <v>0</v>
      </c>
      <c r="AG15" s="63">
        <f t="shared" si="30"/>
        <v>0</v>
      </c>
      <c r="AH15" s="73">
        <f t="shared" si="31"/>
        <v>0</v>
      </c>
    </row>
    <row r="16" spans="1:34" x14ac:dyDescent="0.2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Q16" s="40"/>
      <c r="R16" s="40"/>
      <c r="S16" s="40"/>
      <c r="T16" s="40"/>
      <c r="U16" s="40"/>
      <c r="V16" s="40"/>
      <c r="Y16" s="40" t="str">
        <f>PoolData!A22</f>
        <v>-</v>
      </c>
      <c r="Z16" s="118" t="str">
        <f t="shared" si="25"/>
        <v/>
      </c>
      <c r="AA16" s="57">
        <f t="shared" si="6"/>
        <v>0</v>
      </c>
      <c r="AB16" s="118" t="str">
        <f t="shared" si="7"/>
        <v/>
      </c>
      <c r="AC16" s="63">
        <f t="shared" si="26"/>
        <v>0</v>
      </c>
      <c r="AD16" s="63">
        <f t="shared" si="27"/>
        <v>0</v>
      </c>
      <c r="AE16" s="63">
        <f t="shared" si="28"/>
        <v>0</v>
      </c>
      <c r="AF16" s="63">
        <f t="shared" si="29"/>
        <v>0</v>
      </c>
      <c r="AG16" s="63">
        <f t="shared" si="30"/>
        <v>0</v>
      </c>
      <c r="AH16" s="73">
        <f t="shared" si="31"/>
        <v>0</v>
      </c>
    </row>
    <row r="17" spans="2:34" x14ac:dyDescent="0.25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Q17" s="40"/>
      <c r="R17" s="40"/>
      <c r="S17" s="40"/>
      <c r="T17" s="40"/>
      <c r="U17" s="40"/>
      <c r="V17" s="40"/>
      <c r="Y17" s="40" t="str">
        <f>PoolData!A23</f>
        <v>-</v>
      </c>
      <c r="Z17" s="118" t="str">
        <f t="shared" si="25"/>
        <v/>
      </c>
      <c r="AA17" s="57">
        <f t="shared" si="6"/>
        <v>0</v>
      </c>
      <c r="AB17" s="118" t="str">
        <f t="shared" si="7"/>
        <v/>
      </c>
      <c r="AC17" s="63">
        <f t="shared" si="26"/>
        <v>0</v>
      </c>
      <c r="AD17" s="63">
        <f t="shared" si="27"/>
        <v>0</v>
      </c>
      <c r="AE17" s="63">
        <f t="shared" si="28"/>
        <v>0</v>
      </c>
      <c r="AF17" s="63">
        <f t="shared" si="29"/>
        <v>0</v>
      </c>
      <c r="AG17" s="63">
        <f t="shared" si="30"/>
        <v>0</v>
      </c>
      <c r="AH17" s="73">
        <f t="shared" si="31"/>
        <v>0</v>
      </c>
    </row>
    <row r="18" spans="2:34" x14ac:dyDescent="0.25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Q18" s="40"/>
      <c r="R18" s="40"/>
      <c r="S18" s="40"/>
      <c r="T18" s="40"/>
      <c r="U18" s="40"/>
      <c r="V18" s="40"/>
      <c r="Y18" s="40" t="str">
        <f>PoolData!A24</f>
        <v>-</v>
      </c>
      <c r="Z18" s="118" t="str">
        <f t="shared" si="25"/>
        <v/>
      </c>
      <c r="AA18" s="57">
        <f t="shared" si="6"/>
        <v>0</v>
      </c>
      <c r="AB18" s="118" t="str">
        <f t="shared" si="7"/>
        <v/>
      </c>
      <c r="AC18" s="63">
        <f t="shared" si="26"/>
        <v>0</v>
      </c>
      <c r="AD18" s="63">
        <f t="shared" si="27"/>
        <v>0</v>
      </c>
      <c r="AE18" s="63">
        <f t="shared" si="28"/>
        <v>0</v>
      </c>
      <c r="AF18" s="63">
        <f t="shared" si="29"/>
        <v>0</v>
      </c>
      <c r="AG18" s="63">
        <f t="shared" si="30"/>
        <v>0</v>
      </c>
      <c r="AH18" s="73">
        <f t="shared" si="31"/>
        <v>0</v>
      </c>
    </row>
    <row r="19" spans="2:34" x14ac:dyDescent="0.25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Q19" s="40"/>
      <c r="R19" s="40"/>
      <c r="S19" s="40"/>
      <c r="T19" s="40"/>
      <c r="U19" s="40"/>
      <c r="V19" s="40"/>
      <c r="Y19" s="40" t="str">
        <f>PoolData!A25</f>
        <v>-</v>
      </c>
      <c r="Z19" s="118" t="str">
        <f t="shared" si="25"/>
        <v/>
      </c>
      <c r="AA19" s="57">
        <f t="shared" si="6"/>
        <v>0</v>
      </c>
      <c r="AB19" s="118" t="str">
        <f t="shared" si="7"/>
        <v/>
      </c>
      <c r="AC19" s="63">
        <f t="shared" si="26"/>
        <v>0</v>
      </c>
      <c r="AD19" s="63">
        <f t="shared" si="27"/>
        <v>0</v>
      </c>
      <c r="AE19" s="63">
        <f t="shared" si="28"/>
        <v>0</v>
      </c>
      <c r="AF19" s="63">
        <f t="shared" si="29"/>
        <v>0</v>
      </c>
      <c r="AG19" s="63">
        <f t="shared" si="30"/>
        <v>0</v>
      </c>
      <c r="AH19" s="73">
        <f t="shared" si="31"/>
        <v>0</v>
      </c>
    </row>
    <row r="20" spans="2:34" x14ac:dyDescent="0.2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Q20" s="40"/>
      <c r="R20" s="40"/>
      <c r="S20" s="40"/>
      <c r="T20" s="40"/>
      <c r="U20" s="40"/>
      <c r="V20" s="40"/>
      <c r="Y20" s="40" t="str">
        <f>PoolData!A26</f>
        <v>-</v>
      </c>
      <c r="Z20" s="118" t="str">
        <f t="shared" si="25"/>
        <v/>
      </c>
      <c r="AA20" s="57">
        <f t="shared" si="6"/>
        <v>0</v>
      </c>
      <c r="AB20" s="118" t="str">
        <f t="shared" si="7"/>
        <v/>
      </c>
      <c r="AC20" s="63">
        <f t="shared" si="26"/>
        <v>0</v>
      </c>
      <c r="AD20" s="63">
        <f t="shared" si="27"/>
        <v>0</v>
      </c>
      <c r="AE20" s="63">
        <f t="shared" si="28"/>
        <v>0</v>
      </c>
      <c r="AF20" s="63">
        <f t="shared" si="29"/>
        <v>0</v>
      </c>
      <c r="AG20" s="63">
        <f t="shared" si="30"/>
        <v>0</v>
      </c>
      <c r="AH20" s="73">
        <f t="shared" si="31"/>
        <v>0</v>
      </c>
    </row>
    <row r="21" spans="2:34" x14ac:dyDescent="0.25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Q21" s="40"/>
      <c r="R21" s="40"/>
      <c r="S21" s="40"/>
      <c r="T21" s="40"/>
      <c r="U21" s="40"/>
      <c r="V21" s="40"/>
      <c r="Y21" s="40" t="str">
        <f>PoolData!A27</f>
        <v>-</v>
      </c>
      <c r="Z21" s="118" t="str">
        <f t="shared" si="25"/>
        <v/>
      </c>
      <c r="AA21" s="57">
        <f t="shared" si="6"/>
        <v>0</v>
      </c>
      <c r="AB21" s="118" t="str">
        <f t="shared" si="7"/>
        <v/>
      </c>
      <c r="AC21" s="63">
        <f t="shared" si="26"/>
        <v>0</v>
      </c>
      <c r="AD21" s="63">
        <f t="shared" si="27"/>
        <v>0</v>
      </c>
      <c r="AE21" s="63">
        <f t="shared" si="28"/>
        <v>0</v>
      </c>
      <c r="AF21" s="63">
        <f t="shared" si="29"/>
        <v>0</v>
      </c>
      <c r="AG21" s="63">
        <f t="shared" si="30"/>
        <v>0</v>
      </c>
      <c r="AH21" s="73">
        <f t="shared" si="31"/>
        <v>0</v>
      </c>
    </row>
    <row r="22" spans="2:34" x14ac:dyDescent="0.25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Q22" s="40"/>
      <c r="R22" s="40"/>
      <c r="S22" s="40"/>
      <c r="T22" s="40"/>
      <c r="U22" s="40"/>
      <c r="V22" s="40"/>
      <c r="Y22" s="40" t="str">
        <f>PoolData!A28</f>
        <v>-</v>
      </c>
      <c r="Z22" s="118" t="str">
        <f t="shared" si="25"/>
        <v/>
      </c>
      <c r="AA22" s="57">
        <f t="shared" si="6"/>
        <v>0</v>
      </c>
      <c r="AB22" s="118" t="str">
        <f t="shared" si="7"/>
        <v/>
      </c>
      <c r="AC22" s="63">
        <f t="shared" si="26"/>
        <v>0</v>
      </c>
      <c r="AD22" s="63">
        <f t="shared" si="27"/>
        <v>0</v>
      </c>
      <c r="AE22" s="63">
        <f t="shared" si="28"/>
        <v>0</v>
      </c>
      <c r="AF22" s="63">
        <f t="shared" si="29"/>
        <v>0</v>
      </c>
      <c r="AG22" s="63">
        <f t="shared" si="30"/>
        <v>0</v>
      </c>
      <c r="AH22" s="73">
        <f t="shared" si="31"/>
        <v>0</v>
      </c>
    </row>
    <row r="23" spans="2:34" x14ac:dyDescent="0.25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Q23" s="40"/>
      <c r="R23" s="40"/>
      <c r="S23" s="40"/>
      <c r="T23" s="40"/>
      <c r="U23" s="40"/>
      <c r="V23" s="40"/>
      <c r="Y23" s="40" t="str">
        <f>PoolData!A29</f>
        <v>-</v>
      </c>
      <c r="Z23" s="118" t="str">
        <f t="shared" si="25"/>
        <v/>
      </c>
      <c r="AA23" s="57">
        <f t="shared" si="6"/>
        <v>0</v>
      </c>
      <c r="AB23" s="118" t="str">
        <f t="shared" si="7"/>
        <v/>
      </c>
      <c r="AC23" s="63">
        <f t="shared" si="26"/>
        <v>0</v>
      </c>
      <c r="AD23" s="63">
        <f t="shared" si="27"/>
        <v>0</v>
      </c>
      <c r="AE23" s="63">
        <f t="shared" si="28"/>
        <v>0</v>
      </c>
      <c r="AF23" s="63">
        <f t="shared" si="29"/>
        <v>0</v>
      </c>
      <c r="AG23" s="63">
        <f t="shared" si="30"/>
        <v>0</v>
      </c>
      <c r="AH23" s="73">
        <f t="shared" si="31"/>
        <v>0</v>
      </c>
    </row>
    <row r="24" spans="2:34" x14ac:dyDescent="0.25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Q24" s="40"/>
      <c r="R24" s="40"/>
      <c r="S24" s="40"/>
      <c r="T24" s="40"/>
      <c r="U24" s="40"/>
      <c r="V24" s="40"/>
      <c r="Y24" s="40" t="str">
        <f>PoolData!A30</f>
        <v>-</v>
      </c>
      <c r="Z24" s="118" t="str">
        <f t="shared" si="25"/>
        <v/>
      </c>
      <c r="AA24" s="57">
        <f t="shared" si="6"/>
        <v>0</v>
      </c>
      <c r="AB24" s="118" t="str">
        <f t="shared" si="7"/>
        <v/>
      </c>
      <c r="AC24" s="63">
        <f t="shared" si="26"/>
        <v>0</v>
      </c>
      <c r="AD24" s="63">
        <f t="shared" si="27"/>
        <v>0</v>
      </c>
      <c r="AE24" s="63">
        <f t="shared" si="28"/>
        <v>0</v>
      </c>
      <c r="AF24" s="63">
        <f t="shared" si="29"/>
        <v>0</v>
      </c>
      <c r="AG24" s="63">
        <f t="shared" si="30"/>
        <v>0</v>
      </c>
      <c r="AH24" s="73">
        <f t="shared" si="31"/>
        <v>0</v>
      </c>
    </row>
    <row r="25" spans="2:34" x14ac:dyDescent="0.25"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Q25" s="40"/>
      <c r="R25" s="40"/>
      <c r="S25" s="40"/>
      <c r="T25" s="40"/>
      <c r="U25" s="40"/>
      <c r="V25" s="40"/>
      <c r="Y25" s="40" t="str">
        <f>PoolData!A31</f>
        <v>-</v>
      </c>
      <c r="Z25" s="118" t="str">
        <f t="shared" si="25"/>
        <v/>
      </c>
      <c r="AA25" s="57">
        <f t="shared" si="6"/>
        <v>0</v>
      </c>
      <c r="AB25" s="118" t="str">
        <f t="shared" si="7"/>
        <v/>
      </c>
      <c r="AC25" s="63">
        <f t="shared" si="26"/>
        <v>0</v>
      </c>
      <c r="AD25" s="63">
        <f t="shared" si="27"/>
        <v>0</v>
      </c>
      <c r="AE25" s="63">
        <f t="shared" si="28"/>
        <v>0</v>
      </c>
      <c r="AF25" s="63">
        <f t="shared" si="29"/>
        <v>0</v>
      </c>
      <c r="AG25" s="63">
        <f t="shared" si="30"/>
        <v>0</v>
      </c>
      <c r="AH25" s="73">
        <f t="shared" si="31"/>
        <v>0</v>
      </c>
    </row>
    <row r="26" spans="2:34" x14ac:dyDescent="0.25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Q26" s="40"/>
      <c r="R26" s="40"/>
      <c r="S26" s="40"/>
      <c r="T26" s="40"/>
      <c r="U26" s="40"/>
      <c r="V26" s="40"/>
      <c r="Y26" s="40" t="str">
        <f>PoolData!A32</f>
        <v>-</v>
      </c>
      <c r="Z26" s="118" t="str">
        <f t="shared" si="25"/>
        <v/>
      </c>
      <c r="AA26" s="57">
        <f t="shared" si="6"/>
        <v>0</v>
      </c>
      <c r="AB26" s="118" t="str">
        <f t="shared" si="7"/>
        <v/>
      </c>
      <c r="AC26" s="63">
        <f t="shared" si="26"/>
        <v>0</v>
      </c>
      <c r="AD26" s="63">
        <f t="shared" si="27"/>
        <v>0</v>
      </c>
      <c r="AE26" s="63">
        <f t="shared" si="28"/>
        <v>0</v>
      </c>
      <c r="AF26" s="63">
        <f t="shared" si="29"/>
        <v>0</v>
      </c>
      <c r="AG26" s="63">
        <f t="shared" si="30"/>
        <v>0</v>
      </c>
      <c r="AH26" s="73">
        <f t="shared" si="31"/>
        <v>0</v>
      </c>
    </row>
    <row r="27" spans="2:34" x14ac:dyDescent="0.25"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Q27" s="40"/>
      <c r="R27" s="40"/>
      <c r="S27" s="40"/>
      <c r="T27" s="40"/>
      <c r="U27" s="40"/>
      <c r="V27" s="40"/>
      <c r="Y27" s="40" t="str">
        <f>PoolData!A33</f>
        <v>-</v>
      </c>
      <c r="Z27" s="118" t="str">
        <f t="shared" si="25"/>
        <v/>
      </c>
      <c r="AA27" s="57">
        <f t="shared" si="6"/>
        <v>0</v>
      </c>
      <c r="AB27" s="118" t="str">
        <f t="shared" si="7"/>
        <v/>
      </c>
      <c r="AC27" s="63">
        <f t="shared" si="26"/>
        <v>0</v>
      </c>
      <c r="AD27" s="63">
        <f t="shared" si="27"/>
        <v>0</v>
      </c>
      <c r="AE27" s="63">
        <f t="shared" si="28"/>
        <v>0</v>
      </c>
      <c r="AF27" s="63">
        <f t="shared" si="29"/>
        <v>0</v>
      </c>
      <c r="AG27" s="63">
        <f t="shared" si="30"/>
        <v>0</v>
      </c>
      <c r="AH27" s="73">
        <f t="shared" si="31"/>
        <v>0</v>
      </c>
    </row>
    <row r="28" spans="2:34" x14ac:dyDescent="0.25"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Q28" s="40"/>
      <c r="R28" s="40"/>
      <c r="S28" s="40"/>
      <c r="T28" s="40"/>
      <c r="U28" s="40"/>
      <c r="V28" s="40"/>
      <c r="Y28" s="40" t="str">
        <f>PoolData!A34</f>
        <v>-</v>
      </c>
      <c r="Z28" s="118" t="str">
        <f t="shared" si="25"/>
        <v/>
      </c>
      <c r="AA28" s="57">
        <f t="shared" si="6"/>
        <v>0</v>
      </c>
      <c r="AB28" s="118" t="str">
        <f t="shared" si="7"/>
        <v/>
      </c>
      <c r="AC28" s="63">
        <f t="shared" si="26"/>
        <v>0</v>
      </c>
      <c r="AD28" s="63">
        <f t="shared" si="27"/>
        <v>0</v>
      </c>
      <c r="AE28" s="63">
        <f t="shared" si="28"/>
        <v>0</v>
      </c>
      <c r="AF28" s="63">
        <f t="shared" si="29"/>
        <v>0</v>
      </c>
      <c r="AG28" s="63">
        <f t="shared" si="30"/>
        <v>0</v>
      </c>
      <c r="AH28" s="73">
        <f t="shared" si="31"/>
        <v>0</v>
      </c>
    </row>
    <row r="29" spans="2:34" x14ac:dyDescent="0.25"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Q29" s="40"/>
      <c r="R29" s="40"/>
      <c r="S29" s="40"/>
      <c r="T29" s="40"/>
      <c r="U29" s="40"/>
      <c r="V29" s="40"/>
      <c r="Y29" s="40" t="str">
        <f>PoolData!A35</f>
        <v>-</v>
      </c>
      <c r="Z29" s="118" t="str">
        <f t="shared" si="25"/>
        <v/>
      </c>
      <c r="AA29" s="57">
        <f t="shared" si="6"/>
        <v>0</v>
      </c>
      <c r="AB29" s="118" t="str">
        <f t="shared" si="7"/>
        <v/>
      </c>
      <c r="AC29" s="63">
        <f t="shared" si="26"/>
        <v>0</v>
      </c>
      <c r="AD29" s="63">
        <f t="shared" si="27"/>
        <v>0</v>
      </c>
      <c r="AE29" s="63">
        <f t="shared" si="28"/>
        <v>0</v>
      </c>
      <c r="AF29" s="63">
        <f t="shared" si="29"/>
        <v>0</v>
      </c>
      <c r="AG29" s="63">
        <f t="shared" si="30"/>
        <v>0</v>
      </c>
      <c r="AH29" s="73">
        <f t="shared" si="31"/>
        <v>0</v>
      </c>
    </row>
    <row r="30" spans="2:34" x14ac:dyDescent="0.25"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Q30" s="40"/>
      <c r="R30" s="40"/>
      <c r="S30" s="40"/>
      <c r="T30" s="40"/>
      <c r="U30" s="40"/>
      <c r="V30" s="40"/>
      <c r="Y30" s="40" t="str">
        <f>PoolData!A36</f>
        <v>-</v>
      </c>
      <c r="Z30" s="118" t="str">
        <f t="shared" si="25"/>
        <v/>
      </c>
      <c r="AA30" s="57">
        <f t="shared" si="6"/>
        <v>0</v>
      </c>
      <c r="AB30" s="118" t="str">
        <f t="shared" si="7"/>
        <v/>
      </c>
      <c r="AC30" s="63">
        <f t="shared" si="26"/>
        <v>0</v>
      </c>
      <c r="AD30" s="63">
        <f t="shared" si="27"/>
        <v>0</v>
      </c>
      <c r="AE30" s="63">
        <f t="shared" si="28"/>
        <v>0</v>
      </c>
      <c r="AF30" s="63">
        <f t="shared" si="29"/>
        <v>0</v>
      </c>
      <c r="AG30" s="63">
        <f t="shared" si="30"/>
        <v>0</v>
      </c>
      <c r="AH30" s="73">
        <f t="shared" si="31"/>
        <v>0</v>
      </c>
    </row>
    <row r="31" spans="2:34" x14ac:dyDescent="0.25"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Q31" s="40"/>
      <c r="R31" s="40"/>
      <c r="S31" s="40"/>
      <c r="T31" s="40"/>
      <c r="U31" s="40"/>
      <c r="V31" s="40"/>
      <c r="Y31" s="40" t="str">
        <f>PoolData!A37</f>
        <v>-</v>
      </c>
      <c r="Z31" s="118" t="str">
        <f t="shared" si="25"/>
        <v/>
      </c>
      <c r="AA31" s="57">
        <f t="shared" si="6"/>
        <v>0</v>
      </c>
      <c r="AB31" s="118" t="str">
        <f t="shared" si="7"/>
        <v/>
      </c>
      <c r="AC31" s="63">
        <f t="shared" si="26"/>
        <v>0</v>
      </c>
      <c r="AD31" s="63">
        <f t="shared" si="27"/>
        <v>0</v>
      </c>
      <c r="AE31" s="63">
        <f t="shared" si="28"/>
        <v>0</v>
      </c>
      <c r="AF31" s="63">
        <f t="shared" si="29"/>
        <v>0</v>
      </c>
      <c r="AG31" s="63">
        <f t="shared" si="30"/>
        <v>0</v>
      </c>
      <c r="AH31" s="73">
        <f t="shared" si="31"/>
        <v>0</v>
      </c>
    </row>
    <row r="32" spans="2:34" x14ac:dyDescent="0.25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  <c r="R32" s="40"/>
      <c r="S32" s="40"/>
      <c r="T32" s="40"/>
      <c r="U32" s="40"/>
      <c r="V32" s="40"/>
      <c r="Y32" s="40" t="str">
        <f>PoolData!A38</f>
        <v>-</v>
      </c>
      <c r="Z32" s="118" t="str">
        <f t="shared" si="25"/>
        <v/>
      </c>
      <c r="AA32" s="57">
        <f t="shared" si="6"/>
        <v>0</v>
      </c>
      <c r="AB32" s="118" t="str">
        <f t="shared" si="7"/>
        <v/>
      </c>
      <c r="AC32" s="63">
        <f t="shared" si="26"/>
        <v>0</v>
      </c>
      <c r="AD32" s="63">
        <f t="shared" si="27"/>
        <v>0</v>
      </c>
      <c r="AE32" s="63">
        <f t="shared" si="28"/>
        <v>0</v>
      </c>
      <c r="AF32" s="63">
        <f t="shared" si="29"/>
        <v>0</v>
      </c>
      <c r="AG32" s="63">
        <f t="shared" si="30"/>
        <v>0</v>
      </c>
      <c r="AH32" s="73">
        <f t="shared" si="31"/>
        <v>0</v>
      </c>
    </row>
    <row r="33" spans="2:34" x14ac:dyDescent="0.25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  <c r="R33" s="40"/>
      <c r="S33" s="40"/>
      <c r="T33" s="40"/>
      <c r="U33" s="40"/>
      <c r="V33" s="40"/>
      <c r="Y33" s="40" t="str">
        <f>PoolData!A39</f>
        <v>-</v>
      </c>
      <c r="Z33" s="118" t="str">
        <f t="shared" si="25"/>
        <v/>
      </c>
      <c r="AA33" s="57">
        <f t="shared" si="6"/>
        <v>0</v>
      </c>
      <c r="AB33" s="118" t="str">
        <f t="shared" si="7"/>
        <v/>
      </c>
      <c r="AC33" s="63">
        <f t="shared" si="26"/>
        <v>0</v>
      </c>
      <c r="AD33" s="63">
        <f t="shared" si="27"/>
        <v>0</v>
      </c>
      <c r="AE33" s="63">
        <f t="shared" si="28"/>
        <v>0</v>
      </c>
      <c r="AF33" s="63">
        <f t="shared" si="29"/>
        <v>0</v>
      </c>
      <c r="AG33" s="63">
        <f t="shared" si="30"/>
        <v>0</v>
      </c>
      <c r="AH33" s="73">
        <f t="shared" si="31"/>
        <v>0</v>
      </c>
    </row>
    <row r="34" spans="2:34" x14ac:dyDescent="0.25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Q34" s="40"/>
      <c r="R34" s="40"/>
      <c r="S34" s="40"/>
      <c r="T34" s="40"/>
      <c r="U34" s="40"/>
      <c r="V34" s="40"/>
      <c r="Y34" s="40" t="str">
        <f>PoolData!A40</f>
        <v>-</v>
      </c>
      <c r="Z34" s="118" t="str">
        <f t="shared" si="25"/>
        <v/>
      </c>
      <c r="AA34" s="57">
        <f t="shared" si="6"/>
        <v>0</v>
      </c>
      <c r="AB34" s="118" t="str">
        <f t="shared" si="7"/>
        <v/>
      </c>
      <c r="AC34" s="63">
        <f t="shared" si="26"/>
        <v>0</v>
      </c>
      <c r="AD34" s="63">
        <f t="shared" si="27"/>
        <v>0</v>
      </c>
      <c r="AE34" s="63">
        <f t="shared" si="28"/>
        <v>0</v>
      </c>
      <c r="AF34" s="63">
        <f t="shared" si="29"/>
        <v>0</v>
      </c>
      <c r="AG34" s="63">
        <f t="shared" si="30"/>
        <v>0</v>
      </c>
      <c r="AH34" s="73">
        <f t="shared" si="31"/>
        <v>0</v>
      </c>
    </row>
    <row r="35" spans="2:34" x14ac:dyDescent="0.25"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Q35" s="40"/>
      <c r="R35" s="40"/>
      <c r="S35" s="40"/>
      <c r="T35" s="40"/>
      <c r="U35" s="40"/>
      <c r="V35" s="40"/>
      <c r="Y35" s="40" t="str">
        <f>PoolData!A41</f>
        <v>-</v>
      </c>
      <c r="Z35" s="118" t="str">
        <f t="shared" si="25"/>
        <v/>
      </c>
      <c r="AA35" s="57">
        <f t="shared" si="6"/>
        <v>0</v>
      </c>
      <c r="AB35" s="118" t="str">
        <f t="shared" si="7"/>
        <v/>
      </c>
      <c r="AC35" s="63">
        <f t="shared" si="26"/>
        <v>0</v>
      </c>
      <c r="AD35" s="63">
        <f t="shared" si="27"/>
        <v>0</v>
      </c>
      <c r="AE35" s="63">
        <f t="shared" si="28"/>
        <v>0</v>
      </c>
      <c r="AF35" s="63">
        <f t="shared" si="29"/>
        <v>0</v>
      </c>
      <c r="AG35" s="63">
        <f t="shared" si="30"/>
        <v>0</v>
      </c>
      <c r="AH35" s="73">
        <f t="shared" si="31"/>
        <v>0</v>
      </c>
    </row>
    <row r="36" spans="2:34" x14ac:dyDescent="0.25"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Q36" s="40"/>
      <c r="R36" s="40"/>
      <c r="S36" s="40"/>
      <c r="T36" s="40"/>
      <c r="U36" s="40"/>
      <c r="V36" s="40"/>
      <c r="Y36" s="40" t="str">
        <f>PoolData!A42</f>
        <v>-</v>
      </c>
      <c r="Z36" s="118" t="str">
        <f t="shared" si="25"/>
        <v/>
      </c>
      <c r="AA36" s="57">
        <f t="shared" si="6"/>
        <v>0</v>
      </c>
      <c r="AB36" s="118" t="str">
        <f t="shared" si="7"/>
        <v/>
      </c>
      <c r="AC36" s="63">
        <f t="shared" si="26"/>
        <v>0</v>
      </c>
      <c r="AD36" s="63">
        <f t="shared" si="27"/>
        <v>0</v>
      </c>
      <c r="AE36" s="63">
        <f t="shared" si="28"/>
        <v>0</v>
      </c>
      <c r="AF36" s="63">
        <f t="shared" si="29"/>
        <v>0</v>
      </c>
      <c r="AG36" s="63">
        <f t="shared" si="30"/>
        <v>0</v>
      </c>
      <c r="AH36" s="73">
        <f t="shared" si="31"/>
        <v>0</v>
      </c>
    </row>
    <row r="37" spans="2:34" x14ac:dyDescent="0.25"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Q37" s="40"/>
      <c r="R37" s="40"/>
      <c r="S37" s="40"/>
      <c r="T37" s="40"/>
      <c r="U37" s="40"/>
      <c r="V37" s="40"/>
      <c r="Y37" s="40" t="str">
        <f>PoolData!A43</f>
        <v>-</v>
      </c>
      <c r="Z37" s="118" t="str">
        <f t="shared" si="25"/>
        <v/>
      </c>
      <c r="AA37" s="57">
        <f t="shared" si="6"/>
        <v>0</v>
      </c>
      <c r="AB37" s="118" t="str">
        <f t="shared" si="7"/>
        <v/>
      </c>
      <c r="AC37" s="63">
        <f t="shared" si="26"/>
        <v>0</v>
      </c>
      <c r="AD37" s="63">
        <f t="shared" si="27"/>
        <v>0</v>
      </c>
      <c r="AE37" s="63">
        <f t="shared" si="28"/>
        <v>0</v>
      </c>
      <c r="AF37" s="63">
        <f t="shared" si="29"/>
        <v>0</v>
      </c>
      <c r="AG37" s="63">
        <f t="shared" si="30"/>
        <v>0</v>
      </c>
      <c r="AH37" s="73">
        <f t="shared" si="31"/>
        <v>0</v>
      </c>
    </row>
    <row r="38" spans="2:34" x14ac:dyDescent="0.25"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Q38" s="40"/>
      <c r="R38" s="40"/>
      <c r="S38" s="40"/>
      <c r="T38" s="40"/>
      <c r="U38" s="40"/>
      <c r="V38" s="40"/>
      <c r="Y38" s="40" t="str">
        <f>PoolData!A44</f>
        <v>-</v>
      </c>
      <c r="Z38" s="118" t="str">
        <f t="shared" si="25"/>
        <v/>
      </c>
      <c r="AA38" s="57">
        <f t="shared" si="6"/>
        <v>0</v>
      </c>
      <c r="AB38" s="118" t="str">
        <f t="shared" si="7"/>
        <v/>
      </c>
      <c r="AC38" s="63">
        <f t="shared" si="26"/>
        <v>0</v>
      </c>
      <c r="AD38" s="63">
        <f t="shared" si="27"/>
        <v>0</v>
      </c>
      <c r="AE38" s="63">
        <f t="shared" si="28"/>
        <v>0</v>
      </c>
      <c r="AF38" s="63">
        <f t="shared" si="29"/>
        <v>0</v>
      </c>
      <c r="AG38" s="63">
        <f t="shared" si="30"/>
        <v>0</v>
      </c>
      <c r="AH38" s="73">
        <f t="shared" si="31"/>
        <v>0</v>
      </c>
    </row>
    <row r="39" spans="2:34" x14ac:dyDescent="0.25"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Q39" s="40"/>
      <c r="R39" s="40"/>
      <c r="S39" s="40"/>
      <c r="T39" s="40"/>
      <c r="U39" s="40"/>
      <c r="V39" s="40"/>
      <c r="Y39" s="40" t="str">
        <f>PoolData!A45</f>
        <v>-</v>
      </c>
      <c r="Z39" s="118" t="str">
        <f t="shared" si="25"/>
        <v/>
      </c>
      <c r="AA39" s="57">
        <f t="shared" si="6"/>
        <v>0</v>
      </c>
      <c r="AB39" s="118" t="str">
        <f t="shared" si="7"/>
        <v/>
      </c>
      <c r="AC39" s="63">
        <f t="shared" si="26"/>
        <v>0</v>
      </c>
      <c r="AD39" s="63">
        <f t="shared" si="27"/>
        <v>0</v>
      </c>
      <c r="AE39" s="63">
        <f t="shared" si="28"/>
        <v>0</v>
      </c>
      <c r="AF39" s="63">
        <f t="shared" si="29"/>
        <v>0</v>
      </c>
      <c r="AG39" s="63">
        <f t="shared" si="30"/>
        <v>0</v>
      </c>
      <c r="AH39" s="73">
        <f t="shared" si="31"/>
        <v>0</v>
      </c>
    </row>
    <row r="40" spans="2:34" x14ac:dyDescent="0.25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Q40" s="40"/>
      <c r="R40" s="40"/>
      <c r="S40" s="40"/>
      <c r="T40" s="40"/>
      <c r="U40" s="40"/>
      <c r="V40" s="40"/>
      <c r="Y40" s="40" t="str">
        <f>PoolData!A46</f>
        <v>-</v>
      </c>
      <c r="Z40" s="118" t="str">
        <f t="shared" si="25"/>
        <v/>
      </c>
      <c r="AA40" s="57">
        <f t="shared" si="6"/>
        <v>0</v>
      </c>
      <c r="AB40" s="118" t="str">
        <f t="shared" si="7"/>
        <v/>
      </c>
      <c r="AC40" s="63">
        <f t="shared" si="26"/>
        <v>0</v>
      </c>
      <c r="AD40" s="63">
        <f t="shared" si="27"/>
        <v>0</v>
      </c>
      <c r="AE40" s="63">
        <f t="shared" si="28"/>
        <v>0</v>
      </c>
      <c r="AF40" s="63">
        <f t="shared" si="29"/>
        <v>0</v>
      </c>
      <c r="AG40" s="63">
        <f t="shared" si="30"/>
        <v>0</v>
      </c>
      <c r="AH40" s="73">
        <f t="shared" si="31"/>
        <v>0</v>
      </c>
    </row>
    <row r="41" spans="2:34" x14ac:dyDescent="0.25"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Q41" s="40"/>
      <c r="R41" s="40"/>
      <c r="S41" s="40"/>
      <c r="T41" s="40"/>
      <c r="U41" s="40"/>
      <c r="V41" s="40"/>
      <c r="Y41" s="40" t="str">
        <f>PoolData!A47</f>
        <v>-</v>
      </c>
      <c r="Z41" s="118" t="str">
        <f t="shared" si="25"/>
        <v/>
      </c>
      <c r="AA41" s="57">
        <f t="shared" si="6"/>
        <v>0</v>
      </c>
      <c r="AB41" s="118" t="str">
        <f t="shared" si="7"/>
        <v/>
      </c>
      <c r="AC41" s="63">
        <f t="shared" si="26"/>
        <v>0</v>
      </c>
      <c r="AD41" s="63">
        <f t="shared" si="27"/>
        <v>0</v>
      </c>
      <c r="AE41" s="63">
        <f t="shared" si="28"/>
        <v>0</v>
      </c>
      <c r="AF41" s="63">
        <f t="shared" si="29"/>
        <v>0</v>
      </c>
      <c r="AG41" s="63">
        <f t="shared" si="30"/>
        <v>0</v>
      </c>
      <c r="AH41" s="73">
        <f t="shared" si="31"/>
        <v>0</v>
      </c>
    </row>
    <row r="42" spans="2:34" x14ac:dyDescent="0.25"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Q42" s="40"/>
      <c r="R42" s="40"/>
      <c r="S42" s="40"/>
      <c r="T42" s="40"/>
      <c r="U42" s="40"/>
      <c r="V42" s="40"/>
      <c r="Y42" s="40" t="str">
        <f>PoolData!A48</f>
        <v>-</v>
      </c>
      <c r="Z42" s="118" t="str">
        <f t="shared" si="25"/>
        <v/>
      </c>
      <c r="AA42" s="57">
        <f t="shared" si="6"/>
        <v>0</v>
      </c>
      <c r="AB42" s="118" t="str">
        <f t="shared" si="7"/>
        <v/>
      </c>
      <c r="AC42" s="63">
        <f t="shared" si="26"/>
        <v>0</v>
      </c>
      <c r="AD42" s="63">
        <f t="shared" si="27"/>
        <v>0</v>
      </c>
      <c r="AE42" s="63">
        <f t="shared" si="28"/>
        <v>0</v>
      </c>
      <c r="AF42" s="63">
        <f t="shared" si="29"/>
        <v>0</v>
      </c>
      <c r="AG42" s="63">
        <f t="shared" si="30"/>
        <v>0</v>
      </c>
      <c r="AH42" s="73">
        <f t="shared" si="31"/>
        <v>0</v>
      </c>
    </row>
    <row r="43" spans="2:34" x14ac:dyDescent="0.25"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Q43" s="40"/>
      <c r="R43" s="40"/>
      <c r="S43" s="40"/>
      <c r="T43" s="40"/>
      <c r="U43" s="40"/>
      <c r="V43" s="40"/>
      <c r="Y43" s="40" t="str">
        <f>PoolData!A49</f>
        <v>-</v>
      </c>
      <c r="Z43" s="118" t="str">
        <f t="shared" si="25"/>
        <v/>
      </c>
      <c r="AA43" s="57">
        <f t="shared" si="6"/>
        <v>0</v>
      </c>
      <c r="AB43" s="118" t="str">
        <f t="shared" si="7"/>
        <v/>
      </c>
      <c r="AC43" s="63">
        <f t="shared" si="26"/>
        <v>0</v>
      </c>
      <c r="AD43" s="63">
        <f t="shared" si="27"/>
        <v>0</v>
      </c>
      <c r="AE43" s="63">
        <f t="shared" si="28"/>
        <v>0</v>
      </c>
      <c r="AF43" s="63">
        <f t="shared" si="29"/>
        <v>0</v>
      </c>
      <c r="AG43" s="63">
        <f t="shared" si="30"/>
        <v>0</v>
      </c>
      <c r="AH43" s="73">
        <f t="shared" si="31"/>
        <v>0</v>
      </c>
    </row>
    <row r="44" spans="2:34" x14ac:dyDescent="0.25"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Q44" s="40"/>
      <c r="R44" s="40"/>
      <c r="S44" s="40"/>
      <c r="T44" s="40"/>
      <c r="U44" s="40"/>
      <c r="V44" s="40"/>
      <c r="Y44" s="40" t="str">
        <f>PoolData!A50</f>
        <v>-</v>
      </c>
      <c r="Z44" s="118" t="str">
        <f t="shared" si="25"/>
        <v/>
      </c>
      <c r="AA44" s="57">
        <f t="shared" si="6"/>
        <v>0</v>
      </c>
      <c r="AB44" s="118" t="str">
        <f t="shared" si="7"/>
        <v/>
      </c>
      <c r="AC44" s="63">
        <f t="shared" si="26"/>
        <v>0</v>
      </c>
      <c r="AD44" s="63">
        <f t="shared" si="27"/>
        <v>0</v>
      </c>
      <c r="AE44" s="63">
        <f t="shared" si="28"/>
        <v>0</v>
      </c>
      <c r="AF44" s="63">
        <f t="shared" si="29"/>
        <v>0</v>
      </c>
      <c r="AG44" s="63">
        <f t="shared" si="30"/>
        <v>0</v>
      </c>
      <c r="AH44" s="73">
        <f t="shared" si="31"/>
        <v>0</v>
      </c>
    </row>
    <row r="45" spans="2:34" x14ac:dyDescent="0.25"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Q45" s="40"/>
      <c r="R45" s="40"/>
      <c r="S45" s="40"/>
      <c r="T45" s="40"/>
      <c r="U45" s="40"/>
      <c r="V45" s="40"/>
      <c r="Y45" s="40" t="str">
        <f>PoolData!A51</f>
        <v>-</v>
      </c>
      <c r="Z45" s="118" t="str">
        <f t="shared" si="25"/>
        <v/>
      </c>
      <c r="AA45" s="57">
        <f t="shared" si="6"/>
        <v>0</v>
      </c>
      <c r="AB45" s="118" t="str">
        <f t="shared" si="7"/>
        <v/>
      </c>
      <c r="AC45" s="63">
        <f t="shared" si="26"/>
        <v>0</v>
      </c>
      <c r="AD45" s="63">
        <f t="shared" si="27"/>
        <v>0</v>
      </c>
      <c r="AE45" s="63">
        <f t="shared" si="28"/>
        <v>0</v>
      </c>
      <c r="AF45" s="63">
        <f t="shared" si="29"/>
        <v>0</v>
      </c>
      <c r="AG45" s="63">
        <f t="shared" si="30"/>
        <v>0</v>
      </c>
      <c r="AH45" s="73">
        <f t="shared" si="31"/>
        <v>0</v>
      </c>
    </row>
    <row r="46" spans="2:34" x14ac:dyDescent="0.25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Q46" s="40"/>
      <c r="R46" s="40"/>
      <c r="S46" s="40"/>
      <c r="T46" s="40"/>
      <c r="U46" s="40"/>
      <c r="V46" s="40"/>
      <c r="Y46" s="40" t="str">
        <f>PoolData!A52</f>
        <v>-</v>
      </c>
      <c r="Z46" s="118" t="str">
        <f t="shared" si="25"/>
        <v/>
      </c>
      <c r="AA46" s="57">
        <f t="shared" si="6"/>
        <v>0</v>
      </c>
      <c r="AB46" s="118" t="str">
        <f t="shared" si="7"/>
        <v/>
      </c>
      <c r="AC46" s="63">
        <f t="shared" si="26"/>
        <v>0</v>
      </c>
      <c r="AD46" s="63">
        <f t="shared" si="27"/>
        <v>0</v>
      </c>
      <c r="AE46" s="63">
        <f t="shared" si="28"/>
        <v>0</v>
      </c>
      <c r="AF46" s="63">
        <f t="shared" si="29"/>
        <v>0</v>
      </c>
      <c r="AG46" s="63">
        <f t="shared" si="30"/>
        <v>0</v>
      </c>
      <c r="AH46" s="73">
        <f t="shared" si="31"/>
        <v>0</v>
      </c>
    </row>
    <row r="47" spans="2:34" x14ac:dyDescent="0.25"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Q47" s="40"/>
      <c r="R47" s="40"/>
      <c r="S47" s="40"/>
      <c r="T47" s="40"/>
      <c r="U47" s="40"/>
      <c r="V47" s="40"/>
      <c r="Y47" s="40" t="str">
        <f>PoolData!A53</f>
        <v>-</v>
      </c>
      <c r="Z47" s="118" t="str">
        <f t="shared" si="25"/>
        <v/>
      </c>
      <c r="AA47" s="57">
        <f t="shared" si="6"/>
        <v>0</v>
      </c>
      <c r="AB47" s="118" t="str">
        <f t="shared" si="7"/>
        <v/>
      </c>
      <c r="AC47" s="63">
        <f t="shared" si="26"/>
        <v>0</v>
      </c>
      <c r="AD47" s="63">
        <f t="shared" si="27"/>
        <v>0</v>
      </c>
      <c r="AE47" s="63">
        <f t="shared" si="28"/>
        <v>0</v>
      </c>
      <c r="AF47" s="63">
        <f t="shared" si="29"/>
        <v>0</v>
      </c>
      <c r="AG47" s="63">
        <f t="shared" si="30"/>
        <v>0</v>
      </c>
      <c r="AH47" s="73">
        <f t="shared" si="31"/>
        <v>0</v>
      </c>
    </row>
    <row r="48" spans="2:34" x14ac:dyDescent="0.25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Q48" s="40"/>
      <c r="R48" s="40"/>
      <c r="S48" s="40"/>
      <c r="T48" s="40"/>
      <c r="U48" s="40"/>
      <c r="V48" s="40"/>
      <c r="Y48" s="40" t="str">
        <f>PoolData!A54</f>
        <v>-</v>
      </c>
      <c r="Z48" s="118" t="str">
        <f t="shared" si="25"/>
        <v/>
      </c>
      <c r="AA48" s="57">
        <f t="shared" si="6"/>
        <v>0</v>
      </c>
      <c r="AB48" s="118" t="str">
        <f t="shared" si="7"/>
        <v/>
      </c>
      <c r="AC48" s="63">
        <f t="shared" si="26"/>
        <v>0</v>
      </c>
      <c r="AD48" s="63">
        <f t="shared" si="27"/>
        <v>0</v>
      </c>
      <c r="AE48" s="63">
        <f t="shared" si="28"/>
        <v>0</v>
      </c>
      <c r="AF48" s="63">
        <f t="shared" si="29"/>
        <v>0</v>
      </c>
      <c r="AG48" s="63">
        <f t="shared" si="30"/>
        <v>0</v>
      </c>
      <c r="AH48" s="73">
        <f t="shared" si="31"/>
        <v>0</v>
      </c>
    </row>
    <row r="49" spans="2:34" x14ac:dyDescent="0.25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Q49" s="40"/>
      <c r="R49" s="40"/>
      <c r="S49" s="40"/>
      <c r="T49" s="40"/>
      <c r="U49" s="40"/>
      <c r="V49" s="40"/>
      <c r="Y49" s="40" t="str">
        <f>PoolData!A55</f>
        <v>-</v>
      </c>
      <c r="Z49" s="118" t="str">
        <f t="shared" si="25"/>
        <v/>
      </c>
      <c r="AA49" s="57">
        <f t="shared" si="6"/>
        <v>0</v>
      </c>
      <c r="AB49" s="118" t="str">
        <f t="shared" si="7"/>
        <v/>
      </c>
      <c r="AC49" s="63">
        <f t="shared" si="26"/>
        <v>0</v>
      </c>
      <c r="AD49" s="63">
        <f t="shared" si="27"/>
        <v>0</v>
      </c>
      <c r="AE49" s="63">
        <f t="shared" si="28"/>
        <v>0</v>
      </c>
      <c r="AF49" s="63">
        <f t="shared" si="29"/>
        <v>0</v>
      </c>
      <c r="AG49" s="63">
        <f t="shared" si="30"/>
        <v>0</v>
      </c>
      <c r="AH49" s="73">
        <f t="shared" si="31"/>
        <v>0</v>
      </c>
    </row>
    <row r="50" spans="2:34" x14ac:dyDescent="0.25"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Q50" s="40"/>
      <c r="R50" s="40"/>
      <c r="S50" s="40"/>
      <c r="T50" s="40"/>
      <c r="U50" s="40"/>
      <c r="V50" s="40"/>
      <c r="Y50" s="40" t="str">
        <f>PoolData!A56</f>
        <v>-</v>
      </c>
      <c r="Z50" s="118" t="str">
        <f t="shared" si="25"/>
        <v/>
      </c>
      <c r="AA50" s="57">
        <f t="shared" si="6"/>
        <v>0</v>
      </c>
      <c r="AB50" s="118" t="str">
        <f t="shared" si="7"/>
        <v/>
      </c>
      <c r="AC50" s="63">
        <f t="shared" si="26"/>
        <v>0</v>
      </c>
      <c r="AD50" s="63">
        <f t="shared" si="27"/>
        <v>0</v>
      </c>
      <c r="AE50" s="63">
        <f t="shared" si="28"/>
        <v>0</v>
      </c>
      <c r="AF50" s="63">
        <f t="shared" si="29"/>
        <v>0</v>
      </c>
      <c r="AG50" s="63">
        <f t="shared" si="30"/>
        <v>0</v>
      </c>
      <c r="AH50" s="73">
        <f t="shared" si="31"/>
        <v>0</v>
      </c>
    </row>
    <row r="51" spans="2:34" x14ac:dyDescent="0.25"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Q51" s="40"/>
      <c r="R51" s="40"/>
      <c r="S51" s="40"/>
      <c r="T51" s="40"/>
      <c r="U51" s="40"/>
      <c r="V51" s="40"/>
      <c r="Y51" s="40" t="str">
        <f>PoolData!A57</f>
        <v>-</v>
      </c>
      <c r="Z51" s="118" t="str">
        <f t="shared" si="25"/>
        <v/>
      </c>
      <c r="AA51" s="57">
        <f t="shared" si="6"/>
        <v>0</v>
      </c>
      <c r="AB51" s="118" t="str">
        <f t="shared" si="7"/>
        <v/>
      </c>
      <c r="AC51" s="63">
        <f t="shared" si="26"/>
        <v>0</v>
      </c>
      <c r="AD51" s="63">
        <f t="shared" si="27"/>
        <v>0</v>
      </c>
      <c r="AE51" s="63">
        <f t="shared" si="28"/>
        <v>0</v>
      </c>
      <c r="AF51" s="63">
        <f t="shared" si="29"/>
        <v>0</v>
      </c>
      <c r="AG51" s="63">
        <f t="shared" si="30"/>
        <v>0</v>
      </c>
      <c r="AH51" s="73">
        <f t="shared" si="31"/>
        <v>0</v>
      </c>
    </row>
    <row r="52" spans="2:34" x14ac:dyDescent="0.25"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Q52" s="40"/>
      <c r="R52" s="40"/>
      <c r="S52" s="40"/>
      <c r="T52" s="40"/>
      <c r="U52" s="40"/>
      <c r="V52" s="40"/>
      <c r="Y52" s="40" t="str">
        <f>PoolData!A58</f>
        <v>-</v>
      </c>
      <c r="Z52" s="118" t="str">
        <f t="shared" si="25"/>
        <v/>
      </c>
      <c r="AA52" s="57">
        <f t="shared" si="6"/>
        <v>0</v>
      </c>
      <c r="AB52" s="118" t="str">
        <f t="shared" si="7"/>
        <v/>
      </c>
      <c r="AC52" s="63">
        <f t="shared" si="26"/>
        <v>0</v>
      </c>
      <c r="AD52" s="63">
        <f t="shared" si="27"/>
        <v>0</v>
      </c>
      <c r="AE52" s="63">
        <f t="shared" si="28"/>
        <v>0</v>
      </c>
      <c r="AF52" s="63">
        <f t="shared" si="29"/>
        <v>0</v>
      </c>
      <c r="AG52" s="63">
        <f t="shared" si="30"/>
        <v>0</v>
      </c>
      <c r="AH52" s="73">
        <f t="shared" si="31"/>
        <v>0</v>
      </c>
    </row>
    <row r="53" spans="2:34" x14ac:dyDescent="0.25"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Q53" s="40"/>
      <c r="R53" s="40"/>
      <c r="S53" s="40"/>
      <c r="T53" s="40"/>
      <c r="U53" s="40"/>
      <c r="V53" s="40"/>
      <c r="Y53" s="40" t="str">
        <f>PoolData!A59</f>
        <v>-</v>
      </c>
      <c r="Z53" s="118" t="str">
        <f t="shared" si="25"/>
        <v/>
      </c>
      <c r="AA53" s="57">
        <f t="shared" si="6"/>
        <v>0</v>
      </c>
      <c r="AB53" s="118" t="str">
        <f t="shared" si="7"/>
        <v/>
      </c>
      <c r="AC53" s="63">
        <f t="shared" si="26"/>
        <v>0</v>
      </c>
      <c r="AD53" s="63">
        <f t="shared" si="27"/>
        <v>0</v>
      </c>
      <c r="AE53" s="63">
        <f t="shared" si="28"/>
        <v>0</v>
      </c>
      <c r="AF53" s="63">
        <f t="shared" si="29"/>
        <v>0</v>
      </c>
      <c r="AG53" s="63">
        <f t="shared" si="30"/>
        <v>0</v>
      </c>
      <c r="AH53" s="73">
        <f t="shared" si="31"/>
        <v>0</v>
      </c>
    </row>
    <row r="54" spans="2:34" x14ac:dyDescent="0.25"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Q54" s="40"/>
      <c r="R54" s="40"/>
      <c r="S54" s="40"/>
      <c r="T54" s="40"/>
      <c r="U54" s="40"/>
      <c r="V54" s="40"/>
      <c r="Y54" s="40" t="str">
        <f>PoolData!A60</f>
        <v>-</v>
      </c>
      <c r="Z54" s="118" t="str">
        <f t="shared" si="25"/>
        <v/>
      </c>
      <c r="AA54" s="57">
        <f t="shared" si="6"/>
        <v>0</v>
      </c>
      <c r="AB54" s="118" t="str">
        <f t="shared" si="7"/>
        <v/>
      </c>
      <c r="AC54" s="63">
        <f t="shared" si="26"/>
        <v>0</v>
      </c>
      <c r="AD54" s="63">
        <f t="shared" si="27"/>
        <v>0</v>
      </c>
      <c r="AE54" s="63">
        <f t="shared" si="28"/>
        <v>0</v>
      </c>
      <c r="AF54" s="63">
        <f t="shared" si="29"/>
        <v>0</v>
      </c>
      <c r="AG54" s="63">
        <f t="shared" si="30"/>
        <v>0</v>
      </c>
      <c r="AH54" s="73">
        <f t="shared" si="31"/>
        <v>0</v>
      </c>
    </row>
    <row r="55" spans="2:34" x14ac:dyDescent="0.25"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Q55" s="40"/>
      <c r="R55" s="40"/>
      <c r="S55" s="40"/>
      <c r="T55" s="40"/>
      <c r="U55" s="40"/>
      <c r="V55" s="40"/>
      <c r="Y55" s="40" t="str">
        <f>PoolData!A61</f>
        <v>-</v>
      </c>
      <c r="Z55" s="118" t="str">
        <f t="shared" si="25"/>
        <v/>
      </c>
      <c r="AA55" s="57">
        <f t="shared" si="6"/>
        <v>0</v>
      </c>
      <c r="AB55" s="118" t="str">
        <f t="shared" si="7"/>
        <v/>
      </c>
      <c r="AC55" s="63">
        <f t="shared" si="26"/>
        <v>0</v>
      </c>
      <c r="AD55" s="63">
        <f t="shared" si="27"/>
        <v>0</v>
      </c>
      <c r="AE55" s="63">
        <f t="shared" si="28"/>
        <v>0</v>
      </c>
      <c r="AF55" s="63">
        <f t="shared" si="29"/>
        <v>0</v>
      </c>
      <c r="AG55" s="63">
        <f t="shared" si="30"/>
        <v>0</v>
      </c>
      <c r="AH55" s="73">
        <f t="shared" si="31"/>
        <v>0</v>
      </c>
    </row>
    <row r="56" spans="2:34" x14ac:dyDescent="0.25"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Q56" s="40"/>
      <c r="R56" s="40"/>
      <c r="S56" s="40"/>
      <c r="T56" s="40"/>
      <c r="U56" s="40"/>
      <c r="V56" s="40"/>
      <c r="Y56" s="40" t="str">
        <f>PoolData!A62</f>
        <v>-</v>
      </c>
      <c r="Z56" s="118" t="str">
        <f t="shared" si="25"/>
        <v/>
      </c>
      <c r="AA56" s="57">
        <f t="shared" si="6"/>
        <v>0</v>
      </c>
      <c r="AB56" s="118" t="str">
        <f t="shared" si="7"/>
        <v/>
      </c>
      <c r="AC56" s="63">
        <f t="shared" si="26"/>
        <v>0</v>
      </c>
      <c r="AD56" s="63">
        <f t="shared" si="27"/>
        <v>0</v>
      </c>
      <c r="AE56" s="63">
        <f t="shared" si="28"/>
        <v>0</v>
      </c>
      <c r="AF56" s="63">
        <f t="shared" si="29"/>
        <v>0</v>
      </c>
      <c r="AG56" s="63">
        <f t="shared" si="30"/>
        <v>0</v>
      </c>
      <c r="AH56" s="73">
        <f t="shared" si="31"/>
        <v>0</v>
      </c>
    </row>
    <row r="57" spans="2:34" x14ac:dyDescent="0.25"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Q57" s="40"/>
      <c r="R57" s="40"/>
      <c r="S57" s="40"/>
      <c r="T57" s="40"/>
      <c r="U57" s="40"/>
      <c r="V57" s="40"/>
      <c r="Y57" s="40" t="str">
        <f>PoolData!A63</f>
        <v>-</v>
      </c>
      <c r="Z57" s="118" t="str">
        <f t="shared" si="25"/>
        <v/>
      </c>
      <c r="AA57" s="57">
        <f t="shared" si="6"/>
        <v>0</v>
      </c>
      <c r="AB57" s="118" t="str">
        <f t="shared" si="7"/>
        <v/>
      </c>
      <c r="AC57" s="63">
        <f t="shared" si="26"/>
        <v>0</v>
      </c>
      <c r="AD57" s="63">
        <f t="shared" si="27"/>
        <v>0</v>
      </c>
      <c r="AE57" s="63">
        <f t="shared" si="28"/>
        <v>0</v>
      </c>
      <c r="AF57" s="63">
        <f t="shared" si="29"/>
        <v>0</v>
      </c>
      <c r="AG57" s="63">
        <f t="shared" si="30"/>
        <v>0</v>
      </c>
      <c r="AH57" s="73">
        <f t="shared" si="31"/>
        <v>0</v>
      </c>
    </row>
    <row r="58" spans="2:34" x14ac:dyDescent="0.25"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Q58" s="40"/>
      <c r="R58" s="40"/>
      <c r="S58" s="40"/>
      <c r="T58" s="40"/>
      <c r="U58" s="40"/>
      <c r="V58" s="40"/>
      <c r="Y58" s="40" t="str">
        <f>PoolData!A64</f>
        <v>-</v>
      </c>
      <c r="Z58" s="118" t="str">
        <f t="shared" si="25"/>
        <v/>
      </c>
      <c r="AA58" s="57">
        <f t="shared" si="6"/>
        <v>0</v>
      </c>
      <c r="AB58" s="118" t="str">
        <f t="shared" si="7"/>
        <v/>
      </c>
      <c r="AC58" s="63">
        <f t="shared" si="26"/>
        <v>0</v>
      </c>
      <c r="AD58" s="63">
        <f t="shared" si="27"/>
        <v>0</v>
      </c>
      <c r="AE58" s="63">
        <f t="shared" si="28"/>
        <v>0</v>
      </c>
      <c r="AF58" s="63">
        <f t="shared" si="29"/>
        <v>0</v>
      </c>
      <c r="AG58" s="63">
        <f t="shared" si="30"/>
        <v>0</v>
      </c>
      <c r="AH58" s="73">
        <f t="shared" si="31"/>
        <v>0</v>
      </c>
    </row>
    <row r="59" spans="2:34" x14ac:dyDescent="0.25"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Q59" s="40"/>
      <c r="R59" s="40"/>
      <c r="S59" s="40"/>
      <c r="T59" s="40"/>
      <c r="U59" s="40"/>
      <c r="V59" s="40"/>
      <c r="Y59" s="40" t="str">
        <f>PoolData!A65</f>
        <v>-</v>
      </c>
      <c r="Z59" s="118" t="str">
        <f t="shared" si="25"/>
        <v/>
      </c>
      <c r="AA59" s="57">
        <f t="shared" si="6"/>
        <v>0</v>
      </c>
      <c r="AB59" s="118" t="str">
        <f t="shared" si="7"/>
        <v/>
      </c>
      <c r="AC59" s="63">
        <f t="shared" si="26"/>
        <v>0</v>
      </c>
      <c r="AD59" s="63">
        <f t="shared" si="27"/>
        <v>0</v>
      </c>
      <c r="AE59" s="63">
        <f t="shared" si="28"/>
        <v>0</v>
      </c>
      <c r="AF59" s="63">
        <f t="shared" si="29"/>
        <v>0</v>
      </c>
      <c r="AG59" s="63">
        <f t="shared" si="30"/>
        <v>0</v>
      </c>
      <c r="AH59" s="73">
        <f t="shared" si="31"/>
        <v>0</v>
      </c>
    </row>
    <row r="60" spans="2:34" x14ac:dyDescent="0.25"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Q60" s="40"/>
      <c r="R60" s="40"/>
      <c r="S60" s="40"/>
      <c r="T60" s="40"/>
      <c r="U60" s="40"/>
      <c r="V60" s="40"/>
      <c r="Y60" s="40" t="str">
        <f>PoolData!A66</f>
        <v>-</v>
      </c>
      <c r="Z60" s="118" t="str">
        <f t="shared" si="25"/>
        <v/>
      </c>
      <c r="AA60" s="57">
        <f t="shared" si="6"/>
        <v>0</v>
      </c>
      <c r="AB60" s="118" t="str">
        <f t="shared" si="7"/>
        <v/>
      </c>
      <c r="AC60" s="63">
        <f t="shared" si="26"/>
        <v>0</v>
      </c>
      <c r="AD60" s="63">
        <f t="shared" si="27"/>
        <v>0</v>
      </c>
      <c r="AE60" s="63">
        <f t="shared" si="28"/>
        <v>0</v>
      </c>
      <c r="AF60" s="63">
        <f t="shared" si="29"/>
        <v>0</v>
      </c>
      <c r="AG60" s="63">
        <f t="shared" si="30"/>
        <v>0</v>
      </c>
      <c r="AH60" s="73">
        <f t="shared" si="31"/>
        <v>0</v>
      </c>
    </row>
    <row r="61" spans="2:34" x14ac:dyDescent="0.25"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Q61" s="40"/>
      <c r="R61" s="40"/>
      <c r="S61" s="40"/>
      <c r="T61" s="40"/>
      <c r="U61" s="40"/>
      <c r="V61" s="40"/>
      <c r="Y61" s="40" t="str">
        <f>PoolData!A67</f>
        <v>-</v>
      </c>
      <c r="Z61" s="118" t="str">
        <f t="shared" si="25"/>
        <v/>
      </c>
      <c r="AA61" s="57">
        <f t="shared" si="6"/>
        <v>0</v>
      </c>
      <c r="AB61" s="118" t="str">
        <f t="shared" si="7"/>
        <v/>
      </c>
      <c r="AC61" s="63">
        <f t="shared" si="26"/>
        <v>0</v>
      </c>
      <c r="AD61" s="63">
        <f t="shared" si="27"/>
        <v>0</v>
      </c>
      <c r="AE61" s="63">
        <f t="shared" si="28"/>
        <v>0</v>
      </c>
      <c r="AF61" s="63">
        <f t="shared" si="29"/>
        <v>0</v>
      </c>
      <c r="AG61" s="63">
        <f t="shared" si="30"/>
        <v>0</v>
      </c>
      <c r="AH61" s="73">
        <f t="shared" si="31"/>
        <v>0</v>
      </c>
    </row>
    <row r="62" spans="2:34" x14ac:dyDescent="0.25"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Q62" s="40"/>
      <c r="R62" s="40"/>
      <c r="S62" s="40"/>
      <c r="T62" s="40"/>
      <c r="U62" s="40"/>
      <c r="V62" s="40"/>
      <c r="Y62" s="40" t="str">
        <f>PoolData!A68</f>
        <v>-</v>
      </c>
      <c r="Z62" s="118" t="str">
        <f t="shared" si="25"/>
        <v/>
      </c>
      <c r="AA62" s="57">
        <f t="shared" si="6"/>
        <v>0</v>
      </c>
      <c r="AB62" s="118" t="str">
        <f t="shared" si="7"/>
        <v/>
      </c>
      <c r="AC62" s="63">
        <f t="shared" si="26"/>
        <v>0</v>
      </c>
      <c r="AD62" s="63">
        <f t="shared" si="27"/>
        <v>0</v>
      </c>
      <c r="AE62" s="63">
        <f t="shared" si="28"/>
        <v>0</v>
      </c>
      <c r="AF62" s="63">
        <f t="shared" si="29"/>
        <v>0</v>
      </c>
      <c r="AG62" s="63">
        <f t="shared" si="30"/>
        <v>0</v>
      </c>
      <c r="AH62" s="73">
        <f t="shared" si="31"/>
        <v>0</v>
      </c>
    </row>
    <row r="63" spans="2:34" x14ac:dyDescent="0.25"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Q63" s="40"/>
      <c r="R63" s="40"/>
      <c r="S63" s="40"/>
      <c r="T63" s="40"/>
      <c r="U63" s="40"/>
      <c r="V63" s="40"/>
      <c r="Y63" s="40" t="str">
        <f>PoolData!A69</f>
        <v>-</v>
      </c>
      <c r="Z63" s="118" t="str">
        <f t="shared" si="25"/>
        <v/>
      </c>
      <c r="AA63" s="57">
        <f t="shared" si="6"/>
        <v>0</v>
      </c>
      <c r="AB63" s="118" t="str">
        <f t="shared" si="7"/>
        <v/>
      </c>
      <c r="AC63" s="63">
        <f t="shared" si="26"/>
        <v>0</v>
      </c>
      <c r="AD63" s="63">
        <f t="shared" si="27"/>
        <v>0</v>
      </c>
      <c r="AE63" s="63">
        <f t="shared" si="28"/>
        <v>0</v>
      </c>
      <c r="AF63" s="63">
        <f t="shared" si="29"/>
        <v>0</v>
      </c>
      <c r="AG63" s="63">
        <f t="shared" si="30"/>
        <v>0</v>
      </c>
      <c r="AH63" s="73">
        <f t="shared" si="31"/>
        <v>0</v>
      </c>
    </row>
    <row r="64" spans="2:34" x14ac:dyDescent="0.25"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Q64" s="40"/>
      <c r="R64" s="40"/>
      <c r="S64" s="40"/>
      <c r="T64" s="40"/>
      <c r="U64" s="40"/>
      <c r="V64" s="40"/>
      <c r="Y64" s="40" t="str">
        <f>PoolData!A70</f>
        <v>-</v>
      </c>
      <c r="Z64" s="118" t="str">
        <f t="shared" si="25"/>
        <v/>
      </c>
      <c r="AA64" s="57">
        <f t="shared" si="6"/>
        <v>0</v>
      </c>
      <c r="AB64" s="118" t="str">
        <f t="shared" si="7"/>
        <v/>
      </c>
      <c r="AC64" s="63">
        <f t="shared" si="26"/>
        <v>0</v>
      </c>
      <c r="AD64" s="63">
        <f t="shared" si="27"/>
        <v>0</v>
      </c>
      <c r="AE64" s="63">
        <f t="shared" si="28"/>
        <v>0</v>
      </c>
      <c r="AF64" s="63">
        <f t="shared" si="29"/>
        <v>0</v>
      </c>
      <c r="AG64" s="63">
        <f t="shared" si="30"/>
        <v>0</v>
      </c>
      <c r="AH64" s="73">
        <f t="shared" si="31"/>
        <v>0</v>
      </c>
    </row>
    <row r="65" spans="2:34" x14ac:dyDescent="0.25"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Q65" s="40"/>
      <c r="R65" s="40"/>
      <c r="S65" s="40"/>
      <c r="T65" s="40"/>
      <c r="U65" s="40"/>
      <c r="V65" s="40"/>
      <c r="Y65" s="40" t="str">
        <f>PoolData!A71</f>
        <v>-</v>
      </c>
      <c r="Z65" s="118" t="str">
        <f t="shared" si="25"/>
        <v/>
      </c>
      <c r="AA65" s="57">
        <f t="shared" si="6"/>
        <v>0</v>
      </c>
      <c r="AB65" s="118" t="str">
        <f t="shared" si="7"/>
        <v/>
      </c>
      <c r="AC65" s="63">
        <f t="shared" si="26"/>
        <v>0</v>
      </c>
      <c r="AD65" s="63">
        <f t="shared" si="27"/>
        <v>0</v>
      </c>
      <c r="AE65" s="63">
        <f t="shared" si="28"/>
        <v>0</v>
      </c>
      <c r="AF65" s="63">
        <f t="shared" si="29"/>
        <v>0</v>
      </c>
      <c r="AG65" s="63">
        <f t="shared" si="30"/>
        <v>0</v>
      </c>
      <c r="AH65" s="73">
        <f t="shared" si="31"/>
        <v>0</v>
      </c>
    </row>
    <row r="66" spans="2:34" x14ac:dyDescent="0.25"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Q66" s="40"/>
      <c r="R66" s="40"/>
      <c r="S66" s="40"/>
      <c r="T66" s="40"/>
      <c r="U66" s="40"/>
      <c r="V66" s="40"/>
      <c r="Y66" s="40" t="str">
        <f>PoolData!A72</f>
        <v>-</v>
      </c>
      <c r="Z66" s="118" t="str">
        <f t="shared" si="25"/>
        <v/>
      </c>
      <c r="AA66" s="57">
        <f t="shared" si="6"/>
        <v>0</v>
      </c>
      <c r="AB66" s="118" t="str">
        <f t="shared" si="7"/>
        <v/>
      </c>
      <c r="AC66" s="63">
        <f t="shared" si="26"/>
        <v>0</v>
      </c>
      <c r="AD66" s="63">
        <f t="shared" si="27"/>
        <v>0</v>
      </c>
      <c r="AE66" s="63">
        <f t="shared" si="28"/>
        <v>0</v>
      </c>
      <c r="AF66" s="63">
        <f t="shared" si="29"/>
        <v>0</v>
      </c>
      <c r="AG66" s="63">
        <f t="shared" si="30"/>
        <v>0</v>
      </c>
      <c r="AH66" s="73">
        <f t="shared" si="31"/>
        <v>0</v>
      </c>
    </row>
    <row r="67" spans="2:34" x14ac:dyDescent="0.25"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Q67" s="40"/>
      <c r="R67" s="40"/>
      <c r="S67" s="40"/>
      <c r="T67" s="40"/>
      <c r="U67" s="40"/>
      <c r="V67" s="40"/>
      <c r="Y67" s="40" t="str">
        <f>PoolData!A73</f>
        <v>-</v>
      </c>
      <c r="Z67" s="118" t="str">
        <f t="shared" si="25"/>
        <v/>
      </c>
      <c r="AA67" s="57">
        <f t="shared" si="6"/>
        <v>0</v>
      </c>
      <c r="AB67" s="118" t="str">
        <f t="shared" si="7"/>
        <v/>
      </c>
      <c r="AC67" s="63">
        <f t="shared" si="26"/>
        <v>0</v>
      </c>
      <c r="AD67" s="63">
        <f t="shared" si="27"/>
        <v>0</v>
      </c>
      <c r="AE67" s="63">
        <f t="shared" si="28"/>
        <v>0</v>
      </c>
      <c r="AF67" s="63">
        <f t="shared" si="29"/>
        <v>0</v>
      </c>
      <c r="AG67" s="63">
        <f t="shared" si="30"/>
        <v>0</v>
      </c>
      <c r="AH67" s="73">
        <f t="shared" si="31"/>
        <v>0</v>
      </c>
    </row>
    <row r="68" spans="2:34" x14ac:dyDescent="0.25"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Q68" s="40"/>
      <c r="R68" s="40"/>
      <c r="S68" s="40"/>
      <c r="T68" s="40"/>
      <c r="U68" s="40"/>
      <c r="V68" s="40"/>
      <c r="Y68" s="40" t="str">
        <f>PoolData!A74</f>
        <v>-</v>
      </c>
      <c r="Z68" s="118" t="str">
        <f t="shared" si="25"/>
        <v/>
      </c>
      <c r="AA68" s="57">
        <f t="shared" si="6"/>
        <v>0</v>
      </c>
      <c r="AB68" s="118" t="str">
        <f t="shared" si="7"/>
        <v/>
      </c>
      <c r="AC68" s="63">
        <f t="shared" si="26"/>
        <v>0</v>
      </c>
      <c r="AD68" s="63">
        <f t="shared" si="27"/>
        <v>0</v>
      </c>
      <c r="AE68" s="63">
        <f t="shared" si="28"/>
        <v>0</v>
      </c>
      <c r="AF68" s="63">
        <f t="shared" si="29"/>
        <v>0</v>
      </c>
      <c r="AG68" s="63">
        <f t="shared" si="30"/>
        <v>0</v>
      </c>
      <c r="AH68" s="73">
        <f t="shared" si="31"/>
        <v>0</v>
      </c>
    </row>
    <row r="69" spans="2:34" x14ac:dyDescent="0.25"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Q69" s="40"/>
      <c r="R69" s="40"/>
      <c r="S69" s="40"/>
      <c r="T69" s="40"/>
      <c r="U69" s="40"/>
      <c r="V69" s="40"/>
      <c r="Y69" s="40" t="str">
        <f>PoolData!A75</f>
        <v>-</v>
      </c>
      <c r="Z69" s="118" t="str">
        <f t="shared" si="25"/>
        <v/>
      </c>
      <c r="AA69" s="57">
        <f t="shared" si="6"/>
        <v>0</v>
      </c>
      <c r="AB69" s="118" t="str">
        <f t="shared" si="7"/>
        <v/>
      </c>
      <c r="AC69" s="63">
        <f t="shared" si="26"/>
        <v>0</v>
      </c>
      <c r="AD69" s="63">
        <f t="shared" si="27"/>
        <v>0</v>
      </c>
      <c r="AE69" s="63">
        <f t="shared" si="28"/>
        <v>0</v>
      </c>
      <c r="AF69" s="63">
        <f t="shared" si="29"/>
        <v>0</v>
      </c>
      <c r="AG69" s="63">
        <f t="shared" si="30"/>
        <v>0</v>
      </c>
      <c r="AH69" s="73">
        <f t="shared" si="31"/>
        <v>0</v>
      </c>
    </row>
    <row r="70" spans="2:34" x14ac:dyDescent="0.25"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Q70" s="40"/>
      <c r="R70" s="40"/>
      <c r="S70" s="40"/>
      <c r="T70" s="40"/>
      <c r="U70" s="40"/>
      <c r="V70" s="40"/>
      <c r="Y70" s="40" t="str">
        <f>PoolData!A76</f>
        <v>-</v>
      </c>
      <c r="Z70" s="118" t="str">
        <f t="shared" si="25"/>
        <v/>
      </c>
      <c r="AA70" s="57">
        <f t="shared" ref="AA70:AA94" si="32">SUMIF($B:$B,$Y70,D:D)</f>
        <v>0</v>
      </c>
      <c r="AB70" s="118" t="str">
        <f t="shared" ref="AB70:AB94" si="33">RIGHT(Y70,LEN(Y70)-FIND("-",Y70))</f>
        <v/>
      </c>
      <c r="AC70" s="63">
        <f t="shared" si="26"/>
        <v>0</v>
      </c>
      <c r="AD70" s="63">
        <f t="shared" si="27"/>
        <v>0</v>
      </c>
      <c r="AE70" s="63">
        <f t="shared" si="28"/>
        <v>0</v>
      </c>
      <c r="AF70" s="63">
        <f t="shared" si="29"/>
        <v>0</v>
      </c>
      <c r="AG70" s="63">
        <f t="shared" si="30"/>
        <v>0</v>
      </c>
      <c r="AH70" s="73">
        <f t="shared" si="31"/>
        <v>0</v>
      </c>
    </row>
    <row r="71" spans="2:34" x14ac:dyDescent="0.25"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Q71" s="40"/>
      <c r="R71" s="40"/>
      <c r="S71" s="40"/>
      <c r="T71" s="40"/>
      <c r="U71" s="40"/>
      <c r="V71" s="40"/>
      <c r="Y71" s="40" t="str">
        <f>PoolData!A77</f>
        <v>-</v>
      </c>
      <c r="Z71" s="118" t="str">
        <f t="shared" si="25"/>
        <v/>
      </c>
      <c r="AA71" s="57">
        <f t="shared" si="32"/>
        <v>0</v>
      </c>
      <c r="AB71" s="118" t="str">
        <f t="shared" si="33"/>
        <v/>
      </c>
      <c r="AC71" s="63">
        <f t="shared" si="26"/>
        <v>0</v>
      </c>
      <c r="AD71" s="63">
        <f t="shared" si="27"/>
        <v>0</v>
      </c>
      <c r="AE71" s="63">
        <f t="shared" si="28"/>
        <v>0</v>
      </c>
      <c r="AF71" s="63">
        <f t="shared" si="29"/>
        <v>0</v>
      </c>
      <c r="AG71" s="63">
        <f t="shared" si="30"/>
        <v>0</v>
      </c>
      <c r="AH71" s="73">
        <f t="shared" si="31"/>
        <v>0</v>
      </c>
    </row>
    <row r="72" spans="2:34" x14ac:dyDescent="0.25"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Q72" s="40"/>
      <c r="R72" s="40"/>
      <c r="S72" s="40"/>
      <c r="T72" s="40"/>
      <c r="U72" s="40"/>
      <c r="V72" s="40"/>
      <c r="Y72" s="40" t="str">
        <f>PoolData!A78</f>
        <v>-</v>
      </c>
      <c r="Z72" s="118" t="str">
        <f t="shared" ref="Z72:Z94" si="34">LEFT(Y72,FIND("-",Y72)-1)</f>
        <v/>
      </c>
      <c r="AA72" s="57">
        <f t="shared" si="32"/>
        <v>0</v>
      </c>
      <c r="AB72" s="118" t="str">
        <f t="shared" si="33"/>
        <v/>
      </c>
      <c r="AC72" s="63">
        <f t="shared" ref="AC72:AC94" si="35">SUMIF($B:$B,$Y72,E:E)</f>
        <v>0</v>
      </c>
      <c r="AD72" s="63">
        <f t="shared" ref="AD72:AD94" si="36">SUMIF($B:$B,$Y72,H:H)</f>
        <v>0</v>
      </c>
      <c r="AE72" s="63">
        <f t="shared" ref="AE72:AE94" si="37">SUMIF($B:$B,$Y72,I:I)</f>
        <v>0</v>
      </c>
      <c r="AF72" s="63">
        <f t="shared" ref="AF72:AF94" si="38">SUMIF($B:$B,$Y72,M:M)</f>
        <v>0</v>
      </c>
      <c r="AG72" s="63">
        <f t="shared" ref="AG72:AG94" si="39">SUMIF($B:$B,$Y72,O:O)</f>
        <v>0</v>
      </c>
      <c r="AH72" s="73">
        <f t="shared" ref="AH72:AH94" si="40">SUMIF($B:$B,$Y72,V:V)</f>
        <v>0</v>
      </c>
    </row>
    <row r="73" spans="2:34" x14ac:dyDescent="0.25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Q73" s="40"/>
      <c r="R73" s="40"/>
      <c r="S73" s="40"/>
      <c r="T73" s="40"/>
      <c r="U73" s="40"/>
      <c r="V73" s="40"/>
      <c r="Y73" s="40" t="str">
        <f>PoolData!A79</f>
        <v>-</v>
      </c>
      <c r="Z73" s="118" t="str">
        <f t="shared" si="34"/>
        <v/>
      </c>
      <c r="AA73" s="57">
        <f t="shared" si="32"/>
        <v>0</v>
      </c>
      <c r="AB73" s="118" t="str">
        <f t="shared" si="33"/>
        <v/>
      </c>
      <c r="AC73" s="63">
        <f t="shared" si="35"/>
        <v>0</v>
      </c>
      <c r="AD73" s="63">
        <f t="shared" si="36"/>
        <v>0</v>
      </c>
      <c r="AE73" s="63">
        <f t="shared" si="37"/>
        <v>0</v>
      </c>
      <c r="AF73" s="63">
        <f t="shared" si="38"/>
        <v>0</v>
      </c>
      <c r="AG73" s="63">
        <f t="shared" si="39"/>
        <v>0</v>
      </c>
      <c r="AH73" s="73">
        <f t="shared" si="40"/>
        <v>0</v>
      </c>
    </row>
    <row r="74" spans="2:34" x14ac:dyDescent="0.25"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Q74" s="40"/>
      <c r="R74" s="40"/>
      <c r="S74" s="40"/>
      <c r="T74" s="40"/>
      <c r="U74" s="40"/>
      <c r="V74" s="40"/>
      <c r="Y74" s="40" t="str">
        <f>PoolData!A80</f>
        <v>-</v>
      </c>
      <c r="Z74" s="118" t="str">
        <f t="shared" si="34"/>
        <v/>
      </c>
      <c r="AA74" s="57">
        <f t="shared" si="32"/>
        <v>0</v>
      </c>
      <c r="AB74" s="118" t="str">
        <f t="shared" si="33"/>
        <v/>
      </c>
      <c r="AC74" s="63">
        <f t="shared" si="35"/>
        <v>0</v>
      </c>
      <c r="AD74" s="63">
        <f t="shared" si="36"/>
        <v>0</v>
      </c>
      <c r="AE74" s="63">
        <f t="shared" si="37"/>
        <v>0</v>
      </c>
      <c r="AF74" s="63">
        <f t="shared" si="38"/>
        <v>0</v>
      </c>
      <c r="AG74" s="63">
        <f t="shared" si="39"/>
        <v>0</v>
      </c>
      <c r="AH74" s="73">
        <f t="shared" si="40"/>
        <v>0</v>
      </c>
    </row>
    <row r="75" spans="2:34" x14ac:dyDescent="0.25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Q75" s="40"/>
      <c r="R75" s="40"/>
      <c r="S75" s="40"/>
      <c r="T75" s="40"/>
      <c r="U75" s="40"/>
      <c r="V75" s="40"/>
      <c r="Y75" s="40" t="str">
        <f>PoolData!A81</f>
        <v>-</v>
      </c>
      <c r="Z75" s="118" t="str">
        <f t="shared" si="34"/>
        <v/>
      </c>
      <c r="AA75" s="57">
        <f t="shared" si="32"/>
        <v>0</v>
      </c>
      <c r="AB75" s="118" t="str">
        <f t="shared" si="33"/>
        <v/>
      </c>
      <c r="AC75" s="63">
        <f t="shared" si="35"/>
        <v>0</v>
      </c>
      <c r="AD75" s="63">
        <f t="shared" si="36"/>
        <v>0</v>
      </c>
      <c r="AE75" s="63">
        <f t="shared" si="37"/>
        <v>0</v>
      </c>
      <c r="AF75" s="63">
        <f t="shared" si="38"/>
        <v>0</v>
      </c>
      <c r="AG75" s="63">
        <f t="shared" si="39"/>
        <v>0</v>
      </c>
      <c r="AH75" s="73">
        <f t="shared" si="40"/>
        <v>0</v>
      </c>
    </row>
    <row r="76" spans="2:34" x14ac:dyDescent="0.25"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Q76" s="40"/>
      <c r="R76" s="40"/>
      <c r="S76" s="40"/>
      <c r="T76" s="40"/>
      <c r="U76" s="40"/>
      <c r="V76" s="40"/>
      <c r="Y76" s="40" t="str">
        <f>PoolData!A82</f>
        <v>-</v>
      </c>
      <c r="Z76" s="118" t="str">
        <f t="shared" si="34"/>
        <v/>
      </c>
      <c r="AA76" s="57">
        <f t="shared" si="32"/>
        <v>0</v>
      </c>
      <c r="AB76" s="118" t="str">
        <f t="shared" si="33"/>
        <v/>
      </c>
      <c r="AC76" s="63">
        <f t="shared" si="35"/>
        <v>0</v>
      </c>
      <c r="AD76" s="63">
        <f t="shared" si="36"/>
        <v>0</v>
      </c>
      <c r="AE76" s="63">
        <f t="shared" si="37"/>
        <v>0</v>
      </c>
      <c r="AF76" s="63">
        <f t="shared" si="38"/>
        <v>0</v>
      </c>
      <c r="AG76" s="63">
        <f t="shared" si="39"/>
        <v>0</v>
      </c>
      <c r="AH76" s="73">
        <f t="shared" si="40"/>
        <v>0</v>
      </c>
    </row>
    <row r="77" spans="2:34" x14ac:dyDescent="0.25"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Q77" s="40"/>
      <c r="R77" s="40"/>
      <c r="S77" s="40"/>
      <c r="T77" s="40"/>
      <c r="U77" s="40"/>
      <c r="V77" s="40"/>
      <c r="Y77" s="40" t="str">
        <f>PoolData!A83</f>
        <v>-</v>
      </c>
      <c r="Z77" s="118" t="str">
        <f t="shared" si="34"/>
        <v/>
      </c>
      <c r="AA77" s="57">
        <f t="shared" si="32"/>
        <v>0</v>
      </c>
      <c r="AB77" s="118" t="str">
        <f t="shared" si="33"/>
        <v/>
      </c>
      <c r="AC77" s="63">
        <f t="shared" si="35"/>
        <v>0</v>
      </c>
      <c r="AD77" s="63">
        <f t="shared" si="36"/>
        <v>0</v>
      </c>
      <c r="AE77" s="63">
        <f t="shared" si="37"/>
        <v>0</v>
      </c>
      <c r="AF77" s="63">
        <f t="shared" si="38"/>
        <v>0</v>
      </c>
      <c r="AG77" s="63">
        <f t="shared" si="39"/>
        <v>0</v>
      </c>
      <c r="AH77" s="73">
        <f t="shared" si="40"/>
        <v>0</v>
      </c>
    </row>
    <row r="78" spans="2:34" x14ac:dyDescent="0.25"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Q78" s="40"/>
      <c r="R78" s="40"/>
      <c r="S78" s="40"/>
      <c r="T78" s="40"/>
      <c r="U78" s="40"/>
      <c r="V78" s="40"/>
      <c r="Y78" s="40" t="str">
        <f>PoolData!A84</f>
        <v>-</v>
      </c>
      <c r="Z78" s="118" t="str">
        <f t="shared" si="34"/>
        <v/>
      </c>
      <c r="AA78" s="57">
        <f t="shared" si="32"/>
        <v>0</v>
      </c>
      <c r="AB78" s="118" t="str">
        <f t="shared" si="33"/>
        <v/>
      </c>
      <c r="AC78" s="63">
        <f t="shared" si="35"/>
        <v>0</v>
      </c>
      <c r="AD78" s="63">
        <f t="shared" si="36"/>
        <v>0</v>
      </c>
      <c r="AE78" s="63">
        <f t="shared" si="37"/>
        <v>0</v>
      </c>
      <c r="AF78" s="63">
        <f t="shared" si="38"/>
        <v>0</v>
      </c>
      <c r="AG78" s="63">
        <f t="shared" si="39"/>
        <v>0</v>
      </c>
      <c r="AH78" s="73">
        <f t="shared" si="40"/>
        <v>0</v>
      </c>
    </row>
    <row r="79" spans="2:34" x14ac:dyDescent="0.25"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Q79" s="40"/>
      <c r="R79" s="40"/>
      <c r="S79" s="40"/>
      <c r="T79" s="40"/>
      <c r="U79" s="40"/>
      <c r="V79" s="40"/>
      <c r="Y79" s="40" t="str">
        <f>PoolData!A85</f>
        <v>-</v>
      </c>
      <c r="Z79" s="118" t="str">
        <f t="shared" si="34"/>
        <v/>
      </c>
      <c r="AA79" s="57">
        <f t="shared" si="32"/>
        <v>0</v>
      </c>
      <c r="AB79" s="118" t="str">
        <f t="shared" si="33"/>
        <v/>
      </c>
      <c r="AC79" s="63">
        <f t="shared" si="35"/>
        <v>0</v>
      </c>
      <c r="AD79" s="63">
        <f t="shared" si="36"/>
        <v>0</v>
      </c>
      <c r="AE79" s="63">
        <f t="shared" si="37"/>
        <v>0</v>
      </c>
      <c r="AF79" s="63">
        <f t="shared" si="38"/>
        <v>0</v>
      </c>
      <c r="AG79" s="63">
        <f t="shared" si="39"/>
        <v>0</v>
      </c>
      <c r="AH79" s="73">
        <f t="shared" si="40"/>
        <v>0</v>
      </c>
    </row>
    <row r="80" spans="2:34" x14ac:dyDescent="0.25"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Q80" s="40"/>
      <c r="R80" s="40"/>
      <c r="S80" s="40"/>
      <c r="T80" s="40"/>
      <c r="U80" s="40"/>
      <c r="V80" s="40"/>
      <c r="Y80" s="40" t="str">
        <f>PoolData!A86</f>
        <v>-</v>
      </c>
      <c r="Z80" s="118" t="str">
        <f t="shared" si="34"/>
        <v/>
      </c>
      <c r="AA80" s="57">
        <f t="shared" si="32"/>
        <v>0</v>
      </c>
      <c r="AB80" s="118" t="str">
        <f t="shared" si="33"/>
        <v/>
      </c>
      <c r="AC80" s="63">
        <f t="shared" si="35"/>
        <v>0</v>
      </c>
      <c r="AD80" s="63">
        <f t="shared" si="36"/>
        <v>0</v>
      </c>
      <c r="AE80" s="63">
        <f t="shared" si="37"/>
        <v>0</v>
      </c>
      <c r="AF80" s="63">
        <f t="shared" si="38"/>
        <v>0</v>
      </c>
      <c r="AG80" s="63">
        <f t="shared" si="39"/>
        <v>0</v>
      </c>
      <c r="AH80" s="73">
        <f t="shared" si="40"/>
        <v>0</v>
      </c>
    </row>
    <row r="81" spans="2:34" x14ac:dyDescent="0.25"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Q81" s="40"/>
      <c r="R81" s="40"/>
      <c r="S81" s="40"/>
      <c r="T81" s="40"/>
      <c r="U81" s="40"/>
      <c r="V81" s="40"/>
      <c r="Y81" s="40" t="str">
        <f>PoolData!A87</f>
        <v>-</v>
      </c>
      <c r="Z81" s="118" t="str">
        <f t="shared" si="34"/>
        <v/>
      </c>
      <c r="AA81" s="57">
        <f t="shared" si="32"/>
        <v>0</v>
      </c>
      <c r="AB81" s="118" t="str">
        <f t="shared" si="33"/>
        <v/>
      </c>
      <c r="AC81" s="63">
        <f t="shared" si="35"/>
        <v>0</v>
      </c>
      <c r="AD81" s="63">
        <f t="shared" si="36"/>
        <v>0</v>
      </c>
      <c r="AE81" s="63">
        <f t="shared" si="37"/>
        <v>0</v>
      </c>
      <c r="AF81" s="63">
        <f t="shared" si="38"/>
        <v>0</v>
      </c>
      <c r="AG81" s="63">
        <f t="shared" si="39"/>
        <v>0</v>
      </c>
      <c r="AH81" s="73">
        <f t="shared" si="40"/>
        <v>0</v>
      </c>
    </row>
    <row r="82" spans="2:34" x14ac:dyDescent="0.25"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Q82" s="40"/>
      <c r="R82" s="40"/>
      <c r="S82" s="40"/>
      <c r="T82" s="40"/>
      <c r="U82" s="40"/>
      <c r="V82" s="40"/>
      <c r="Y82" s="40" t="str">
        <f>PoolData!A88</f>
        <v>-</v>
      </c>
      <c r="Z82" s="118" t="str">
        <f t="shared" si="34"/>
        <v/>
      </c>
      <c r="AA82" s="57">
        <f t="shared" si="32"/>
        <v>0</v>
      </c>
      <c r="AB82" s="118" t="str">
        <f t="shared" si="33"/>
        <v/>
      </c>
      <c r="AC82" s="63">
        <f t="shared" si="35"/>
        <v>0</v>
      </c>
      <c r="AD82" s="63">
        <f t="shared" si="36"/>
        <v>0</v>
      </c>
      <c r="AE82" s="63">
        <f t="shared" si="37"/>
        <v>0</v>
      </c>
      <c r="AF82" s="63">
        <f t="shared" si="38"/>
        <v>0</v>
      </c>
      <c r="AG82" s="63">
        <f t="shared" si="39"/>
        <v>0</v>
      </c>
      <c r="AH82" s="73">
        <f t="shared" si="40"/>
        <v>0</v>
      </c>
    </row>
    <row r="83" spans="2:34" x14ac:dyDescent="0.25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Q83" s="40"/>
      <c r="R83" s="40"/>
      <c r="S83" s="40"/>
      <c r="T83" s="40"/>
      <c r="U83" s="40"/>
      <c r="V83" s="40"/>
      <c r="Y83" s="40" t="str">
        <f>PoolData!A89</f>
        <v>-</v>
      </c>
      <c r="Z83" s="118" t="str">
        <f t="shared" si="34"/>
        <v/>
      </c>
      <c r="AA83" s="57">
        <f t="shared" si="32"/>
        <v>0</v>
      </c>
      <c r="AB83" s="118" t="str">
        <f t="shared" si="33"/>
        <v/>
      </c>
      <c r="AC83" s="63">
        <f t="shared" si="35"/>
        <v>0</v>
      </c>
      <c r="AD83" s="63">
        <f t="shared" si="36"/>
        <v>0</v>
      </c>
      <c r="AE83" s="63">
        <f t="shared" si="37"/>
        <v>0</v>
      </c>
      <c r="AF83" s="63">
        <f t="shared" si="38"/>
        <v>0</v>
      </c>
      <c r="AG83" s="63">
        <f t="shared" si="39"/>
        <v>0</v>
      </c>
      <c r="AH83" s="73">
        <f t="shared" si="40"/>
        <v>0</v>
      </c>
    </row>
    <row r="84" spans="2:34" x14ac:dyDescent="0.25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Q84" s="40"/>
      <c r="R84" s="40"/>
      <c r="S84" s="40"/>
      <c r="T84" s="40"/>
      <c r="U84" s="40"/>
      <c r="V84" s="40"/>
      <c r="Y84" s="40" t="str">
        <f>PoolData!A90</f>
        <v>-</v>
      </c>
      <c r="Z84" s="118" t="str">
        <f t="shared" si="34"/>
        <v/>
      </c>
      <c r="AA84" s="57">
        <f t="shared" si="32"/>
        <v>0</v>
      </c>
      <c r="AB84" s="118" t="str">
        <f t="shared" si="33"/>
        <v/>
      </c>
      <c r="AC84" s="63">
        <f t="shared" si="35"/>
        <v>0</v>
      </c>
      <c r="AD84" s="63">
        <f t="shared" si="36"/>
        <v>0</v>
      </c>
      <c r="AE84" s="63">
        <f t="shared" si="37"/>
        <v>0</v>
      </c>
      <c r="AF84" s="63">
        <f t="shared" si="38"/>
        <v>0</v>
      </c>
      <c r="AG84" s="63">
        <f t="shared" si="39"/>
        <v>0</v>
      </c>
      <c r="AH84" s="73">
        <f t="shared" si="40"/>
        <v>0</v>
      </c>
    </row>
    <row r="85" spans="2:34" x14ac:dyDescent="0.25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Q85" s="40"/>
      <c r="R85" s="40"/>
      <c r="S85" s="40"/>
      <c r="T85" s="40"/>
      <c r="U85" s="40"/>
      <c r="V85" s="40"/>
      <c r="Y85" s="40" t="str">
        <f>PoolData!A91</f>
        <v>-</v>
      </c>
      <c r="Z85" s="118" t="str">
        <f t="shared" si="34"/>
        <v/>
      </c>
      <c r="AA85" s="57">
        <f t="shared" si="32"/>
        <v>0</v>
      </c>
      <c r="AB85" s="118" t="str">
        <f t="shared" si="33"/>
        <v/>
      </c>
      <c r="AC85" s="63">
        <f t="shared" si="35"/>
        <v>0</v>
      </c>
      <c r="AD85" s="63">
        <f t="shared" si="36"/>
        <v>0</v>
      </c>
      <c r="AE85" s="63">
        <f t="shared" si="37"/>
        <v>0</v>
      </c>
      <c r="AF85" s="63">
        <f t="shared" si="38"/>
        <v>0</v>
      </c>
      <c r="AG85" s="63">
        <f t="shared" si="39"/>
        <v>0</v>
      </c>
      <c r="AH85" s="73">
        <f t="shared" si="40"/>
        <v>0</v>
      </c>
    </row>
    <row r="86" spans="2:34" x14ac:dyDescent="0.25"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Q86" s="40"/>
      <c r="R86" s="40"/>
      <c r="S86" s="40"/>
      <c r="T86" s="40"/>
      <c r="U86" s="40"/>
      <c r="V86" s="40"/>
      <c r="Y86" s="40" t="str">
        <f>PoolData!A92</f>
        <v>-</v>
      </c>
      <c r="Z86" s="118" t="str">
        <f t="shared" si="34"/>
        <v/>
      </c>
      <c r="AA86" s="57">
        <f t="shared" si="32"/>
        <v>0</v>
      </c>
      <c r="AB86" s="118" t="str">
        <f t="shared" si="33"/>
        <v/>
      </c>
      <c r="AC86" s="63">
        <f t="shared" si="35"/>
        <v>0</v>
      </c>
      <c r="AD86" s="63">
        <f t="shared" si="36"/>
        <v>0</v>
      </c>
      <c r="AE86" s="63">
        <f t="shared" si="37"/>
        <v>0</v>
      </c>
      <c r="AF86" s="63">
        <f t="shared" si="38"/>
        <v>0</v>
      </c>
      <c r="AG86" s="63">
        <f t="shared" si="39"/>
        <v>0</v>
      </c>
      <c r="AH86" s="73">
        <f t="shared" si="40"/>
        <v>0</v>
      </c>
    </row>
    <row r="87" spans="2:34" x14ac:dyDescent="0.25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Q87" s="40"/>
      <c r="R87" s="40"/>
      <c r="S87" s="40"/>
      <c r="T87" s="40"/>
      <c r="U87" s="40"/>
      <c r="V87" s="40"/>
      <c r="Y87" s="40" t="str">
        <f>PoolData!A93</f>
        <v>-</v>
      </c>
      <c r="Z87" s="118" t="str">
        <f t="shared" si="34"/>
        <v/>
      </c>
      <c r="AA87" s="57">
        <f t="shared" si="32"/>
        <v>0</v>
      </c>
      <c r="AB87" s="118" t="str">
        <f t="shared" si="33"/>
        <v/>
      </c>
      <c r="AC87" s="63">
        <f t="shared" si="35"/>
        <v>0</v>
      </c>
      <c r="AD87" s="63">
        <f t="shared" si="36"/>
        <v>0</v>
      </c>
      <c r="AE87" s="63">
        <f t="shared" si="37"/>
        <v>0</v>
      </c>
      <c r="AF87" s="63">
        <f t="shared" si="38"/>
        <v>0</v>
      </c>
      <c r="AG87" s="63">
        <f t="shared" si="39"/>
        <v>0</v>
      </c>
      <c r="AH87" s="73">
        <f t="shared" si="40"/>
        <v>0</v>
      </c>
    </row>
    <row r="88" spans="2:34" x14ac:dyDescent="0.25"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Q88" s="40"/>
      <c r="R88" s="40"/>
      <c r="S88" s="40"/>
      <c r="T88" s="40"/>
      <c r="U88" s="40"/>
      <c r="V88" s="40"/>
      <c r="Y88" s="40" t="str">
        <f>PoolData!A94</f>
        <v>-</v>
      </c>
      <c r="Z88" s="118" t="str">
        <f t="shared" si="34"/>
        <v/>
      </c>
      <c r="AA88" s="57">
        <f t="shared" si="32"/>
        <v>0</v>
      </c>
      <c r="AB88" s="118" t="str">
        <f t="shared" si="33"/>
        <v/>
      </c>
      <c r="AC88" s="63">
        <f t="shared" si="35"/>
        <v>0</v>
      </c>
      <c r="AD88" s="63">
        <f t="shared" si="36"/>
        <v>0</v>
      </c>
      <c r="AE88" s="63">
        <f t="shared" si="37"/>
        <v>0</v>
      </c>
      <c r="AF88" s="63">
        <f t="shared" si="38"/>
        <v>0</v>
      </c>
      <c r="AG88" s="63">
        <f t="shared" si="39"/>
        <v>0</v>
      </c>
      <c r="AH88" s="73">
        <f t="shared" si="40"/>
        <v>0</v>
      </c>
    </row>
    <row r="89" spans="2:34" x14ac:dyDescent="0.25"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Q89" s="40"/>
      <c r="R89" s="40"/>
      <c r="S89" s="40"/>
      <c r="T89" s="40"/>
      <c r="U89" s="40"/>
      <c r="V89" s="40"/>
      <c r="Y89" s="40" t="str">
        <f>PoolData!A95</f>
        <v>-</v>
      </c>
      <c r="Z89" s="118" t="str">
        <f t="shared" si="34"/>
        <v/>
      </c>
      <c r="AA89" s="57">
        <f t="shared" si="32"/>
        <v>0</v>
      </c>
      <c r="AB89" s="118" t="str">
        <f t="shared" si="33"/>
        <v/>
      </c>
      <c r="AC89" s="63">
        <f t="shared" si="35"/>
        <v>0</v>
      </c>
      <c r="AD89" s="63">
        <f t="shared" si="36"/>
        <v>0</v>
      </c>
      <c r="AE89" s="63">
        <f t="shared" si="37"/>
        <v>0</v>
      </c>
      <c r="AF89" s="63">
        <f t="shared" si="38"/>
        <v>0</v>
      </c>
      <c r="AG89" s="63">
        <f t="shared" si="39"/>
        <v>0</v>
      </c>
      <c r="AH89" s="73">
        <f t="shared" si="40"/>
        <v>0</v>
      </c>
    </row>
    <row r="90" spans="2:34" x14ac:dyDescent="0.25"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Q90" s="40"/>
      <c r="R90" s="40"/>
      <c r="S90" s="40"/>
      <c r="T90" s="40"/>
      <c r="U90" s="40"/>
      <c r="V90" s="40"/>
      <c r="Y90" s="40" t="str">
        <f>PoolData!A96</f>
        <v>-</v>
      </c>
      <c r="Z90" s="118" t="str">
        <f t="shared" si="34"/>
        <v/>
      </c>
      <c r="AA90" s="57">
        <f t="shared" si="32"/>
        <v>0</v>
      </c>
      <c r="AB90" s="118" t="str">
        <f t="shared" si="33"/>
        <v/>
      </c>
      <c r="AC90" s="63">
        <f t="shared" si="35"/>
        <v>0</v>
      </c>
      <c r="AD90" s="63">
        <f t="shared" si="36"/>
        <v>0</v>
      </c>
      <c r="AE90" s="63">
        <f t="shared" si="37"/>
        <v>0</v>
      </c>
      <c r="AF90" s="63">
        <f t="shared" si="38"/>
        <v>0</v>
      </c>
      <c r="AG90" s="63">
        <f t="shared" si="39"/>
        <v>0</v>
      </c>
      <c r="AH90" s="73">
        <f t="shared" si="40"/>
        <v>0</v>
      </c>
    </row>
    <row r="91" spans="2:34" x14ac:dyDescent="0.25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Q91" s="40"/>
      <c r="R91" s="40"/>
      <c r="S91" s="40"/>
      <c r="T91" s="40"/>
      <c r="U91" s="40"/>
      <c r="V91" s="40"/>
      <c r="Y91" s="40" t="str">
        <f>PoolData!A97</f>
        <v>-</v>
      </c>
      <c r="Z91" s="118" t="str">
        <f t="shared" si="34"/>
        <v/>
      </c>
      <c r="AA91" s="57">
        <f t="shared" si="32"/>
        <v>0</v>
      </c>
      <c r="AB91" s="118" t="str">
        <f t="shared" si="33"/>
        <v/>
      </c>
      <c r="AC91" s="63">
        <f t="shared" si="35"/>
        <v>0</v>
      </c>
      <c r="AD91" s="63">
        <f t="shared" si="36"/>
        <v>0</v>
      </c>
      <c r="AE91" s="63">
        <f t="shared" si="37"/>
        <v>0</v>
      </c>
      <c r="AF91" s="63">
        <f t="shared" si="38"/>
        <v>0</v>
      </c>
      <c r="AG91" s="63">
        <f t="shared" si="39"/>
        <v>0</v>
      </c>
      <c r="AH91" s="73">
        <f t="shared" si="40"/>
        <v>0</v>
      </c>
    </row>
    <row r="92" spans="2:34" x14ac:dyDescent="0.25"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Q92" s="40"/>
      <c r="R92" s="40"/>
      <c r="S92" s="40"/>
      <c r="T92" s="40"/>
      <c r="U92" s="40"/>
      <c r="V92" s="40"/>
      <c r="Y92" s="40" t="str">
        <f>PoolData!A98</f>
        <v>-</v>
      </c>
      <c r="Z92" s="118" t="str">
        <f t="shared" si="34"/>
        <v/>
      </c>
      <c r="AA92" s="57">
        <f t="shared" si="32"/>
        <v>0</v>
      </c>
      <c r="AB92" s="118" t="str">
        <f t="shared" si="33"/>
        <v/>
      </c>
      <c r="AC92" s="63">
        <f t="shared" si="35"/>
        <v>0</v>
      </c>
      <c r="AD92" s="63">
        <f t="shared" si="36"/>
        <v>0</v>
      </c>
      <c r="AE92" s="63">
        <f t="shared" si="37"/>
        <v>0</v>
      </c>
      <c r="AF92" s="63">
        <f t="shared" si="38"/>
        <v>0</v>
      </c>
      <c r="AG92" s="63">
        <f t="shared" si="39"/>
        <v>0</v>
      </c>
      <c r="AH92" s="73">
        <f t="shared" si="40"/>
        <v>0</v>
      </c>
    </row>
    <row r="93" spans="2:34" x14ac:dyDescent="0.25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Q93" s="40"/>
      <c r="R93" s="40"/>
      <c r="S93" s="40"/>
      <c r="T93" s="40"/>
      <c r="U93" s="40"/>
      <c r="V93" s="40"/>
      <c r="Y93" s="40" t="str">
        <f>PoolData!A99</f>
        <v>-</v>
      </c>
      <c r="Z93" s="118" t="str">
        <f t="shared" si="34"/>
        <v/>
      </c>
      <c r="AA93" s="57">
        <f t="shared" si="32"/>
        <v>0</v>
      </c>
      <c r="AB93" s="118" t="str">
        <f t="shared" si="33"/>
        <v/>
      </c>
      <c r="AC93" s="63">
        <f t="shared" si="35"/>
        <v>0</v>
      </c>
      <c r="AD93" s="63">
        <f t="shared" si="36"/>
        <v>0</v>
      </c>
      <c r="AE93" s="63">
        <f t="shared" si="37"/>
        <v>0</v>
      </c>
      <c r="AF93" s="63">
        <f t="shared" si="38"/>
        <v>0</v>
      </c>
      <c r="AG93" s="63">
        <f t="shared" si="39"/>
        <v>0</v>
      </c>
      <c r="AH93" s="73">
        <f t="shared" si="40"/>
        <v>0</v>
      </c>
    </row>
    <row r="94" spans="2:34" x14ac:dyDescent="0.25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Q94" s="40"/>
      <c r="R94" s="40"/>
      <c r="S94" s="40"/>
      <c r="T94" s="40"/>
      <c r="U94" s="40"/>
      <c r="V94" s="40"/>
      <c r="Y94" s="40" t="str">
        <f>PoolData!A100</f>
        <v>-</v>
      </c>
      <c r="Z94" s="118" t="str">
        <f t="shared" si="34"/>
        <v/>
      </c>
      <c r="AA94" s="57">
        <f t="shared" si="32"/>
        <v>0</v>
      </c>
      <c r="AB94" s="118" t="str">
        <f t="shared" si="33"/>
        <v/>
      </c>
      <c r="AC94" s="63">
        <f t="shared" si="35"/>
        <v>0</v>
      </c>
      <c r="AD94" s="63">
        <f t="shared" si="36"/>
        <v>0</v>
      </c>
      <c r="AE94" s="63">
        <f t="shared" si="37"/>
        <v>0</v>
      </c>
      <c r="AF94" s="63">
        <f t="shared" si="38"/>
        <v>0</v>
      </c>
      <c r="AG94" s="63">
        <f t="shared" si="39"/>
        <v>0</v>
      </c>
      <c r="AH94" s="73">
        <f t="shared" si="40"/>
        <v>0</v>
      </c>
    </row>
  </sheetData>
  <mergeCells count="4">
    <mergeCell ref="Y3:AH3"/>
    <mergeCell ref="D3:E3"/>
    <mergeCell ref="H3:I3"/>
    <mergeCell ref="M3:O3"/>
  </mergeCells>
  <conditionalFormatting sqref="M5:M7 O5:O7">
    <cfRule type="cellIs" dxfId="74" priority="32" operator="lessThan">
      <formula>0</formula>
    </cfRule>
  </conditionalFormatting>
  <conditionalFormatting sqref="V5:V7">
    <cfRule type="cellIs" dxfId="73" priority="31" operator="lessThan">
      <formula>0</formula>
    </cfRule>
  </conditionalFormatting>
  <conditionalFormatting sqref="T5:V7">
    <cfRule type="cellIs" dxfId="72" priority="30" operator="lessThan">
      <formula>0</formula>
    </cfRule>
  </conditionalFormatting>
  <conditionalFormatting sqref="V1">
    <cfRule type="cellIs" dxfId="71" priority="29" operator="lessThan">
      <formula>0</formula>
    </cfRule>
  </conditionalFormatting>
  <conditionalFormatting sqref="V1">
    <cfRule type="cellIs" dxfId="70" priority="28" operator="lessThan">
      <formula>0</formula>
    </cfRule>
  </conditionalFormatting>
  <conditionalFormatting sqref="AF5:AG7 AF9:AG94">
    <cfRule type="cellIs" dxfId="69" priority="24" operator="lessThan">
      <formula>0</formula>
    </cfRule>
  </conditionalFormatting>
  <conditionalFormatting sqref="AH5:AH7 AH9:AH94">
    <cfRule type="cellIs" dxfId="68" priority="23" operator="lessThan">
      <formula>0</formula>
    </cfRule>
  </conditionalFormatting>
  <conditionalFormatting sqref="AH5:AH7 AH9:AH94">
    <cfRule type="cellIs" dxfId="67" priority="22" operator="lessThan">
      <formula>0</formula>
    </cfRule>
  </conditionalFormatting>
  <conditionalFormatting sqref="AH1">
    <cfRule type="cellIs" dxfId="66" priority="21" operator="lessThan">
      <formula>0</formula>
    </cfRule>
  </conditionalFormatting>
  <conditionalFormatting sqref="AH1">
    <cfRule type="cellIs" dxfId="65" priority="20" operator="lessThan">
      <formula>0</formula>
    </cfRule>
  </conditionalFormatting>
  <conditionalFormatting sqref="AD5">
    <cfRule type="cellIs" dxfId="64" priority="19" operator="lessThan">
      <formula>0</formula>
    </cfRule>
  </conditionalFormatting>
  <conditionalFormatting sqref="AE5">
    <cfRule type="cellIs" dxfId="63" priority="18" operator="lessThan">
      <formula>0</formula>
    </cfRule>
  </conditionalFormatting>
  <conditionalFormatting sqref="AD6">
    <cfRule type="cellIs" dxfId="62" priority="17" operator="lessThan">
      <formula>0</formula>
    </cfRule>
  </conditionalFormatting>
  <conditionalFormatting sqref="AE6">
    <cfRule type="cellIs" dxfId="61" priority="16" operator="lessThan">
      <formula>0</formula>
    </cfRule>
  </conditionalFormatting>
  <conditionalFormatting sqref="AD7 AD9:AD94">
    <cfRule type="cellIs" dxfId="60" priority="15" operator="lessThan">
      <formula>0</formula>
    </cfRule>
  </conditionalFormatting>
  <conditionalFormatting sqref="AE7 AE9:AE94">
    <cfRule type="cellIs" dxfId="59" priority="14" operator="lessThan">
      <formula>0</formula>
    </cfRule>
  </conditionalFormatting>
  <conditionalFormatting sqref="AC5:AC7 AA5:AA7 AA9:AA94 AC9:AC94">
    <cfRule type="cellIs" dxfId="58" priority="13" operator="lessThan">
      <formula>0</formula>
    </cfRule>
  </conditionalFormatting>
  <conditionalFormatting sqref="M9 O9">
    <cfRule type="cellIs" dxfId="57" priority="12" operator="lessThan">
      <formula>0</formula>
    </cfRule>
  </conditionalFormatting>
  <conditionalFormatting sqref="V9">
    <cfRule type="cellIs" dxfId="56" priority="11" operator="lessThan">
      <formula>0</formula>
    </cfRule>
  </conditionalFormatting>
  <conditionalFormatting sqref="T9:V9">
    <cfRule type="cellIs" dxfId="55" priority="10" operator="lessThan">
      <formula>0</formula>
    </cfRule>
  </conditionalFormatting>
  <conditionalFormatting sqref="M8 O8">
    <cfRule type="cellIs" dxfId="54" priority="9" operator="lessThan">
      <formula>0</formula>
    </cfRule>
  </conditionalFormatting>
  <conditionalFormatting sqref="V8">
    <cfRule type="cellIs" dxfId="53" priority="8" operator="lessThan">
      <formula>0</formula>
    </cfRule>
  </conditionalFormatting>
  <conditionalFormatting sqref="T8:V8">
    <cfRule type="cellIs" dxfId="52" priority="7" operator="lessThan">
      <formula>0</formula>
    </cfRule>
  </conditionalFormatting>
  <conditionalFormatting sqref="AF8:AG8">
    <cfRule type="cellIs" dxfId="51" priority="6" operator="lessThan">
      <formula>0</formula>
    </cfRule>
  </conditionalFormatting>
  <conditionalFormatting sqref="AH8">
    <cfRule type="cellIs" dxfId="50" priority="5" operator="lessThan">
      <formula>0</formula>
    </cfRule>
  </conditionalFormatting>
  <conditionalFormatting sqref="AH8">
    <cfRule type="cellIs" dxfId="49" priority="4" operator="lessThan">
      <formula>0</formula>
    </cfRule>
  </conditionalFormatting>
  <conditionalFormatting sqref="AD8">
    <cfRule type="cellIs" dxfId="48" priority="3" operator="lessThan">
      <formula>0</formula>
    </cfRule>
  </conditionalFormatting>
  <conditionalFormatting sqref="AE8">
    <cfRule type="cellIs" dxfId="47" priority="2" operator="lessThan">
      <formula>0</formula>
    </cfRule>
  </conditionalFormatting>
  <conditionalFormatting sqref="AC8 AA8">
    <cfRule type="cellIs" dxfId="46" priority="1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6A6187-8F21-42AA-91D7-479CC905F56B}">
          <x14:formula1>
            <xm:f>PoolData!$A$11:$A$100</xm:f>
          </x14:formula1>
          <xm:sqref>B5:B9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DF2BC-0FF9-4C02-A2EE-895705565173}">
  <sheetPr codeName="Sheet1">
    <tabColor theme="5" tint="-0.249977111117893"/>
  </sheetPr>
  <dimension ref="A1:Q102"/>
  <sheetViews>
    <sheetView zoomScale="55" zoomScaleNormal="55" workbookViewId="0">
      <selection activeCell="D62" sqref="D62"/>
    </sheetView>
  </sheetViews>
  <sheetFormatPr defaultRowHeight="15" x14ac:dyDescent="0.25"/>
  <cols>
    <col min="1" max="1" width="15.42578125" style="103" bestFit="1" customWidth="1"/>
    <col min="2" max="2" width="34.85546875" bestFit="1" customWidth="1"/>
    <col min="3" max="3" width="37.85546875" customWidth="1"/>
    <col min="4" max="4" width="33" bestFit="1" customWidth="1"/>
    <col min="5" max="5" width="37.85546875" bestFit="1" customWidth="1"/>
    <col min="6" max="6" width="33" bestFit="1" customWidth="1"/>
    <col min="7" max="7" width="33.140625" bestFit="1" customWidth="1"/>
    <col min="8" max="8" width="18.140625" bestFit="1" customWidth="1"/>
    <col min="9" max="9" width="14.5703125" bestFit="1" customWidth="1"/>
    <col min="10" max="10" width="6.85546875" bestFit="1" customWidth="1"/>
    <col min="11" max="11" width="37.7109375" style="55" bestFit="1" customWidth="1"/>
    <col min="17" max="17" width="0" hidden="1" customWidth="1"/>
  </cols>
  <sheetData>
    <row r="1" spans="1:17" x14ac:dyDescent="0.25">
      <c r="A1"/>
      <c r="B1" s="53" t="s">
        <v>111</v>
      </c>
    </row>
    <row r="2" spans="1:17" x14ac:dyDescent="0.25">
      <c r="A2"/>
      <c r="C2" s="64" t="s">
        <v>94</v>
      </c>
      <c r="D2" s="64" t="s">
        <v>177</v>
      </c>
      <c r="E2" s="96" t="s">
        <v>124</v>
      </c>
      <c r="F2" s="87" t="s">
        <v>125</v>
      </c>
      <c r="K2" s="88"/>
      <c r="Q2" t="s">
        <v>130</v>
      </c>
    </row>
    <row r="3" spans="1:17" x14ac:dyDescent="0.25">
      <c r="A3"/>
      <c r="B3" s="40" t="s">
        <v>97</v>
      </c>
      <c r="C3" s="63">
        <f>SUM($E$13:$E$34)</f>
        <v>6.273861384774559</v>
      </c>
      <c r="D3" s="63">
        <f>SUM($F$13:$F$34)</f>
        <v>33.14718080659803</v>
      </c>
      <c r="E3" s="63">
        <f>D3+C3*ANYFSN</f>
        <v>47.490190123766496</v>
      </c>
      <c r="F3" s="97">
        <f>E3*FSNPRICE</f>
        <v>21.976204453647764</v>
      </c>
      <c r="Q3" t="s">
        <v>131</v>
      </c>
    </row>
    <row r="4" spans="1:17" x14ac:dyDescent="0.25">
      <c r="A4"/>
    </row>
    <row r="5" spans="1:17" x14ac:dyDescent="0.25">
      <c r="A5"/>
      <c r="B5" s="64" t="s">
        <v>102</v>
      </c>
      <c r="C5" s="64" t="s">
        <v>103</v>
      </c>
      <c r="D5" s="64" t="s">
        <v>99</v>
      </c>
    </row>
    <row r="6" spans="1:17" x14ac:dyDescent="0.25">
      <c r="A6"/>
      <c r="B6" s="57">
        <f>SUM(B13:B34)*2</f>
        <v>6000</v>
      </c>
      <c r="C6" s="58">
        <f>E3/B6</f>
        <v>7.9150316872944153E-3</v>
      </c>
      <c r="D6" s="42">
        <f>C6*365</f>
        <v>2.8889865658624614</v>
      </c>
    </row>
    <row r="7" spans="1:17" x14ac:dyDescent="0.25">
      <c r="A7"/>
    </row>
    <row r="8" spans="1:17" x14ac:dyDescent="0.25">
      <c r="A8"/>
      <c r="D8" s="4"/>
      <c r="H8" s="54" t="s">
        <v>171</v>
      </c>
    </row>
    <row r="9" spans="1:17" x14ac:dyDescent="0.25">
      <c r="A9"/>
      <c r="D9" s="86"/>
      <c r="E9" s="85"/>
    </row>
    <row r="10" spans="1:17" x14ac:dyDescent="0.25">
      <c r="A10"/>
      <c r="E10" s="85"/>
    </row>
    <row r="11" spans="1:17" x14ac:dyDescent="0.25">
      <c r="A11" s="138" t="s">
        <v>141</v>
      </c>
      <c r="B11" s="138"/>
      <c r="C11" s="138"/>
      <c r="D11" s="138"/>
      <c r="E11" s="138"/>
      <c r="F11" s="138"/>
      <c r="G11" s="138"/>
      <c r="H11" s="138"/>
      <c r="I11" s="138"/>
      <c r="J11" s="138"/>
      <c r="K11" s="109" t="s">
        <v>136</v>
      </c>
    </row>
    <row r="12" spans="1:17" ht="30" x14ac:dyDescent="0.25">
      <c r="A12" s="110" t="s">
        <v>144</v>
      </c>
      <c r="B12" s="91" t="s">
        <v>132</v>
      </c>
      <c r="C12" s="91" t="s">
        <v>104</v>
      </c>
      <c r="D12" s="91" t="s">
        <v>93</v>
      </c>
      <c r="E12" s="91" t="s">
        <v>106</v>
      </c>
      <c r="F12" s="91" t="s">
        <v>174</v>
      </c>
      <c r="G12" s="91" t="s">
        <v>112</v>
      </c>
      <c r="H12" s="91" t="s">
        <v>126</v>
      </c>
      <c r="I12" s="91" t="s">
        <v>98</v>
      </c>
      <c r="J12" s="91" t="s">
        <v>99</v>
      </c>
      <c r="K12" s="107" t="s">
        <v>129</v>
      </c>
    </row>
    <row r="13" spans="1:17" x14ac:dyDescent="0.25">
      <c r="A13" s="103" t="s">
        <v>138</v>
      </c>
      <c r="B13" s="130">
        <v>1000</v>
      </c>
      <c r="C13" s="63">
        <f>IFERROR(B13/VLOOKUP($A13,PoolData!$A$10:$I$32,MATCH("XXX:FSN Ratio",PoolData!$A$10:$I$10,0),0),"")</f>
        <v>462.75250523054353</v>
      </c>
      <c r="D13" s="58">
        <f>IFERROR(B13/VLOOKUP($A13,PoolData!$A$10:$I$32,MATCH("Coin 1 Pool Size",PoolData!$A$10:$I$10,0),0),"")</f>
        <v>2.0179876455292873E-3</v>
      </c>
      <c r="E13" s="63">
        <f>IFERROR(VLOOKUP($A13,PoolData!$A$10:$I$32,MATCH("ANY Reward % to pool",PoolData!$A$10:$I$10,0),0)*DAILYANY*D13,"")</f>
        <v>1.5684653461936398</v>
      </c>
      <c r="F13" s="63">
        <f>IFERROR(VLOOKUP($A13,PoolData!$A$10:$T$32,MATCH("Trading Volume in FSN",PoolData!$A$10:$T$10,0),0)*FEEREWARDS*D13,"")</f>
        <v>14.166273271615596</v>
      </c>
      <c r="G13" s="63">
        <f t="shared" ref="G13:G44" si="0">IFERROR(F13+E13*ANYFSN,"")</f>
        <v>17.752025600907714</v>
      </c>
      <c r="H13" s="95">
        <f t="shared" ref="H13:H44" si="1">IFERROR(G13*FSNPRICE,"")</f>
        <v>8.2147943197367912</v>
      </c>
      <c r="I13" s="58">
        <f>IFERROR(G13/(2*B13),"")</f>
        <v>8.8760128004538568E-3</v>
      </c>
      <c r="J13" s="42">
        <f>IFERROR(I13*365,"")</f>
        <v>3.2397446721656578</v>
      </c>
      <c r="K13" s="108" t="s">
        <v>130</v>
      </c>
    </row>
    <row r="14" spans="1:17" x14ac:dyDescent="0.25">
      <c r="A14" s="103" t="s">
        <v>139</v>
      </c>
      <c r="B14" s="130">
        <v>1000</v>
      </c>
      <c r="C14" s="63">
        <f>IFERROR(B14/VLOOKUP($A14,PoolData!$A$10:$I$32,MATCH("XXX:FSN Ratio",PoolData!$A$10:$I$10,0),0),"")</f>
        <v>1.2970771609732148</v>
      </c>
      <c r="D14" s="58">
        <f>IFERROR(B14/VLOOKUP($A14,PoolData!$A$10:$I$32,MATCH("Coin 1 Pool Size",PoolData!$A$10:$I$10,0),0),"")</f>
        <v>2.2565695888562454E-3</v>
      </c>
      <c r="E14" s="63">
        <f>IFERROR(VLOOKUP($A14,PoolData!$A$10:$I$32,MATCH("ANY Reward % to pool",PoolData!$A$10:$I$10,0),0)*DAILYANY*D14,"")</f>
        <v>1.5684653461936395</v>
      </c>
      <c r="F14" s="63">
        <f>IFERROR(VLOOKUP($A14,PoolData!$A$10:$T$32,MATCH("Trading Volume in FSN",PoolData!$A$10:$T$10,0),0)*FEEREWARDS*D14,"")</f>
        <v>15.705724338439468</v>
      </c>
      <c r="G14" s="63">
        <f t="shared" si="0"/>
        <v>19.291476667731583</v>
      </c>
      <c r="H14" s="95">
        <f t="shared" si="1"/>
        <v>8.927179157589368</v>
      </c>
      <c r="I14" s="58">
        <f t="shared" ref="I14:I77" si="2">IFERROR(G14/(2*B14),"")</f>
        <v>9.6457383338657918E-3</v>
      </c>
      <c r="J14" s="42">
        <f t="shared" ref="J14:J77" si="3">IFERROR(I14*365,"")</f>
        <v>3.5206944918610139</v>
      </c>
      <c r="K14" s="108" t="s">
        <v>130</v>
      </c>
    </row>
    <row r="15" spans="1:17" x14ac:dyDescent="0.25">
      <c r="A15" s="103" t="s">
        <v>140</v>
      </c>
      <c r="B15" s="130">
        <v>1000</v>
      </c>
      <c r="C15" s="63">
        <f>IFERROR(B15/VLOOKUP($A15,PoolData!$A$10:$I$32,MATCH("XXX:FSN Ratio",PoolData!$A$10:$I$10,0),0),"")</f>
        <v>437.41597359661461</v>
      </c>
      <c r="D15" s="58">
        <f>IFERROR(B15/VLOOKUP($A15,PoolData!$A$10:$I$32,MATCH("Coin 1 Pool Size",PoolData!$A$10:$I$10,0),0),"")</f>
        <v>2.0874335223345858E-4</v>
      </c>
      <c r="E15" s="63">
        <f>IFERROR(VLOOKUP($A15,PoolData!$A$10:$I$32,MATCH("ANY Reward % to pool",PoolData!$A$10:$I$10,0),0)*DAILYANY*D15,"")</f>
        <v>3.1369306923872791</v>
      </c>
      <c r="F15" s="63">
        <f>IFERROR(VLOOKUP($A15,PoolData!$A$10:$T$32,MATCH("Trading Volume in FSN",PoolData!$A$10:$T$10,0),0)*FEEREWARDS*D15,"")</f>
        <v>3.2751831965429652</v>
      </c>
      <c r="G15" s="63">
        <f t="shared" si="0"/>
        <v>10.446687855127198</v>
      </c>
      <c r="H15" s="95">
        <f t="shared" si="1"/>
        <v>4.8342309763216047</v>
      </c>
      <c r="I15" s="58">
        <f t="shared" si="2"/>
        <v>5.2233439275635989E-3</v>
      </c>
      <c r="J15" s="42">
        <f t="shared" si="3"/>
        <v>1.9065205335607136</v>
      </c>
      <c r="K15" s="108" t="s">
        <v>130</v>
      </c>
    </row>
    <row r="16" spans="1:17" x14ac:dyDescent="0.25">
      <c r="A16" s="103" t="s">
        <v>169</v>
      </c>
      <c r="B16" s="130">
        <v>0</v>
      </c>
      <c r="C16" s="63" t="str">
        <f>IFERROR(B16/VLOOKUP($A16,PoolData!$A$10:$I$32,MATCH("XXX:FSN Ratio",PoolData!$A$10:$I$10,0),0),"")</f>
        <v/>
      </c>
      <c r="D16" s="58" t="str">
        <f>IFERROR(B16/VLOOKUP($A16,PoolData!$A$10:$I$32,MATCH("Coin 1 Pool Size",PoolData!$A$10:$I$10,0),0),"")</f>
        <v/>
      </c>
      <c r="E16" s="63" t="str">
        <f>IFERROR(VLOOKUP($A16,PoolData!$A$10:$I$32,MATCH("ANY Reward % to pool",PoolData!$A$10:$I$10,0),0)*DAILYANY*D16,"")</f>
        <v/>
      </c>
      <c r="F16" s="63" t="str">
        <f>IFERROR(VLOOKUP($A16,PoolData!$A$10:$T$32,MATCH("Trading Volume in FSN",PoolData!$A$10:$T$10,0),0)*FEEREWARDS*D16,"")</f>
        <v/>
      </c>
      <c r="G16" s="63" t="str">
        <f t="shared" si="0"/>
        <v/>
      </c>
      <c r="H16" s="95" t="str">
        <f t="shared" si="1"/>
        <v/>
      </c>
      <c r="I16" s="58" t="str">
        <f t="shared" si="2"/>
        <v/>
      </c>
      <c r="J16" s="42" t="str">
        <f t="shared" si="3"/>
        <v/>
      </c>
      <c r="K16" s="108" t="s">
        <v>130</v>
      </c>
    </row>
    <row r="17" spans="1:11" x14ac:dyDescent="0.25">
      <c r="A17" s="103" t="s">
        <v>169</v>
      </c>
      <c r="B17" s="130">
        <v>0</v>
      </c>
      <c r="C17" s="63" t="str">
        <f>IFERROR(B17/VLOOKUP($A17,PoolData!$A$10:$I$32,MATCH("XXX:FSN Ratio",PoolData!$A$10:$I$10,0),0),"")</f>
        <v/>
      </c>
      <c r="D17" s="58" t="str">
        <f>IFERROR(B17/VLOOKUP($A17,PoolData!$A$10:$I$32,MATCH("Coin 1 Pool Size",PoolData!$A$10:$I$10,0),0),"")</f>
        <v/>
      </c>
      <c r="E17" s="63" t="str">
        <f>IFERROR(VLOOKUP($A17,PoolData!$A$10:$I$32,MATCH("ANY Reward % to pool",PoolData!$A$10:$I$10,0),0)*DAILYANY*D17,"")</f>
        <v/>
      </c>
      <c r="F17" s="63" t="str">
        <f>IFERROR(VLOOKUP($A17,PoolData!$A$10:$T$32,MATCH("Trading Volume in FSN",PoolData!$A$10:$T$10,0),0)*FEEREWARDS*D17,"")</f>
        <v/>
      </c>
      <c r="G17" s="63" t="str">
        <f t="shared" si="0"/>
        <v/>
      </c>
      <c r="H17" s="95" t="str">
        <f t="shared" si="1"/>
        <v/>
      </c>
      <c r="I17" s="58" t="str">
        <f t="shared" si="2"/>
        <v/>
      </c>
      <c r="J17" s="42" t="str">
        <f t="shared" si="3"/>
        <v/>
      </c>
      <c r="K17" s="108" t="s">
        <v>130</v>
      </c>
    </row>
    <row r="18" spans="1:11" x14ac:dyDescent="0.25">
      <c r="A18" s="103" t="s">
        <v>169</v>
      </c>
      <c r="B18" s="130">
        <v>0</v>
      </c>
      <c r="C18" s="63" t="str">
        <f>IFERROR(B18/VLOOKUP($A18,PoolData!$A$10:$I$32,MATCH("XXX:FSN Ratio",PoolData!$A$10:$I$10,0),0),"")</f>
        <v/>
      </c>
      <c r="D18" s="58" t="str">
        <f>IFERROR(B18/VLOOKUP($A18,PoolData!$A$10:$I$32,MATCH("Coin 1 Pool Size",PoolData!$A$10:$I$10,0),0),"")</f>
        <v/>
      </c>
      <c r="E18" s="63" t="str">
        <f>IFERROR(VLOOKUP($A18,PoolData!$A$10:$I$32,MATCH("ANY Reward % to pool",PoolData!$A$10:$I$10,0),0)*DAILYANY*D18,"")</f>
        <v/>
      </c>
      <c r="F18" s="63" t="str">
        <f>IFERROR(VLOOKUP($A18,PoolData!$A$10:$T$32,MATCH("Trading Volume in FSN",PoolData!$A$10:$T$10,0),0)*FEEREWARDS*D18,"")</f>
        <v/>
      </c>
      <c r="G18" s="63" t="str">
        <f t="shared" si="0"/>
        <v/>
      </c>
      <c r="H18" s="95" t="str">
        <f t="shared" si="1"/>
        <v/>
      </c>
      <c r="I18" s="58" t="str">
        <f t="shared" si="2"/>
        <v/>
      </c>
      <c r="J18" s="42" t="str">
        <f t="shared" si="3"/>
        <v/>
      </c>
      <c r="K18" s="108" t="s">
        <v>130</v>
      </c>
    </row>
    <row r="19" spans="1:11" x14ac:dyDescent="0.25">
      <c r="A19" s="103" t="s">
        <v>169</v>
      </c>
      <c r="B19" s="130">
        <v>0</v>
      </c>
      <c r="C19" s="63" t="str">
        <f>IFERROR(B19/VLOOKUP($A19,PoolData!$A$10:$I$32,MATCH("XXX:FSN Ratio",PoolData!$A$10:$I$10,0),0),"")</f>
        <v/>
      </c>
      <c r="D19" s="58" t="str">
        <f>IFERROR(B19/VLOOKUP($A19,PoolData!$A$10:$I$32,MATCH("Coin 1 Pool Size",PoolData!$A$10:$I$10,0),0),"")</f>
        <v/>
      </c>
      <c r="E19" s="63" t="str">
        <f>IFERROR(VLOOKUP($A19,PoolData!$A$10:$I$32,MATCH("ANY Reward % to pool",PoolData!$A$10:$I$10,0),0)*DAILYANY*D19,"")</f>
        <v/>
      </c>
      <c r="F19" s="63" t="str">
        <f>IFERROR(VLOOKUP($A19,PoolData!$A$10:$T$32,MATCH("Trading Volume in FSN",PoolData!$A$10:$T$10,0),0)*FEEREWARDS*D19,"")</f>
        <v/>
      </c>
      <c r="G19" s="63" t="str">
        <f t="shared" si="0"/>
        <v/>
      </c>
      <c r="H19" s="95" t="str">
        <f t="shared" si="1"/>
        <v/>
      </c>
      <c r="I19" s="58" t="str">
        <f t="shared" si="2"/>
        <v/>
      </c>
      <c r="J19" s="42" t="str">
        <f t="shared" si="3"/>
        <v/>
      </c>
      <c r="K19" s="108" t="s">
        <v>130</v>
      </c>
    </row>
    <row r="20" spans="1:11" x14ac:dyDescent="0.25">
      <c r="A20" s="103" t="s">
        <v>169</v>
      </c>
      <c r="B20" s="130">
        <v>0</v>
      </c>
      <c r="C20" s="63" t="str">
        <f>IFERROR(B20/VLOOKUP($A20,PoolData!$A$10:$I$32,MATCH("XXX:FSN Ratio",PoolData!$A$10:$I$10,0),0),"")</f>
        <v/>
      </c>
      <c r="D20" s="58" t="str">
        <f>IFERROR(B20/VLOOKUP($A20,PoolData!$A$10:$I$32,MATCH("Coin 1 Pool Size",PoolData!$A$10:$I$10,0),0),"")</f>
        <v/>
      </c>
      <c r="E20" s="63" t="str">
        <f>IFERROR(VLOOKUP($A20,PoolData!$A$10:$I$32,MATCH("ANY Reward % to pool",PoolData!$A$10:$I$10,0),0)*DAILYANY*D20,"")</f>
        <v/>
      </c>
      <c r="F20" s="63" t="str">
        <f>IFERROR(VLOOKUP($A20,PoolData!$A$10:$T$32,MATCH("Trading Volume in FSN",PoolData!$A$10:$T$10,0),0)*FEEREWARDS*D20,"")</f>
        <v/>
      </c>
      <c r="G20" s="63" t="str">
        <f t="shared" si="0"/>
        <v/>
      </c>
      <c r="H20" s="95" t="str">
        <f t="shared" si="1"/>
        <v/>
      </c>
      <c r="I20" s="58" t="str">
        <f t="shared" si="2"/>
        <v/>
      </c>
      <c r="J20" s="42" t="str">
        <f t="shared" si="3"/>
        <v/>
      </c>
      <c r="K20" s="108" t="s">
        <v>130</v>
      </c>
    </row>
    <row r="21" spans="1:11" x14ac:dyDescent="0.25">
      <c r="A21" s="103" t="s">
        <v>169</v>
      </c>
      <c r="B21" s="130">
        <v>0</v>
      </c>
      <c r="C21" s="63" t="str">
        <f>IFERROR(B21/VLOOKUP($A21,PoolData!$A$10:$I$32,MATCH("XXX:FSN Ratio",PoolData!$A$10:$I$10,0),0),"")</f>
        <v/>
      </c>
      <c r="D21" s="58" t="str">
        <f>IFERROR(B21/VLOOKUP($A21,PoolData!$A$10:$I$32,MATCH("Coin 1 Pool Size",PoolData!$A$10:$I$10,0),0),"")</f>
        <v/>
      </c>
      <c r="E21" s="63" t="str">
        <f>IFERROR(VLOOKUP($A21,PoolData!$A$10:$I$32,MATCH("ANY Reward % to pool",PoolData!$A$10:$I$10,0),0)*DAILYANY*D21,"")</f>
        <v/>
      </c>
      <c r="F21" s="63" t="str">
        <f>IFERROR(VLOOKUP($A21,PoolData!$A$10:$T$32,MATCH("Trading Volume in FSN",PoolData!$A$10:$T$10,0),0)*FEEREWARDS*D21,"")</f>
        <v/>
      </c>
      <c r="G21" s="63" t="str">
        <f t="shared" si="0"/>
        <v/>
      </c>
      <c r="H21" s="95" t="str">
        <f t="shared" si="1"/>
        <v/>
      </c>
      <c r="I21" s="58" t="str">
        <f t="shared" si="2"/>
        <v/>
      </c>
      <c r="J21" s="42" t="str">
        <f t="shared" si="3"/>
        <v/>
      </c>
      <c r="K21" s="108" t="s">
        <v>130</v>
      </c>
    </row>
    <row r="22" spans="1:11" x14ac:dyDescent="0.25">
      <c r="A22" s="103" t="s">
        <v>169</v>
      </c>
      <c r="B22" s="130">
        <v>0</v>
      </c>
      <c r="C22" s="63" t="str">
        <f>IFERROR(B22/VLOOKUP($A22,PoolData!$A$10:$I$32,MATCH("XXX:FSN Ratio",PoolData!$A$10:$I$10,0),0),"")</f>
        <v/>
      </c>
      <c r="D22" s="58" t="str">
        <f>IFERROR(B22/VLOOKUP($A22,PoolData!$A$10:$I$32,MATCH("Coin 1 Pool Size",PoolData!$A$10:$I$10,0),0),"")</f>
        <v/>
      </c>
      <c r="E22" s="63" t="str">
        <f>IFERROR(VLOOKUP($A22,PoolData!$A$10:$I$32,MATCH("ANY Reward % to pool",PoolData!$A$10:$I$10,0),0)*DAILYANY*D22,"")</f>
        <v/>
      </c>
      <c r="F22" s="63" t="str">
        <f>IFERROR(VLOOKUP($A22,PoolData!$A$10:$T$32,MATCH("Trading Volume in FSN",PoolData!$A$10:$T$10,0),0)*FEEREWARDS*D22,"")</f>
        <v/>
      </c>
      <c r="G22" s="63" t="str">
        <f t="shared" si="0"/>
        <v/>
      </c>
      <c r="H22" s="95" t="str">
        <f t="shared" si="1"/>
        <v/>
      </c>
      <c r="I22" s="58" t="str">
        <f t="shared" si="2"/>
        <v/>
      </c>
      <c r="J22" s="42" t="str">
        <f t="shared" si="3"/>
        <v/>
      </c>
      <c r="K22" s="108" t="s">
        <v>130</v>
      </c>
    </row>
    <row r="23" spans="1:11" x14ac:dyDescent="0.25">
      <c r="A23" s="103" t="s">
        <v>169</v>
      </c>
      <c r="B23" s="130">
        <v>0</v>
      </c>
      <c r="C23" s="63" t="str">
        <f>IFERROR(B23/VLOOKUP($A23,PoolData!$A$10:$I$32,MATCH("XXX:FSN Ratio",PoolData!$A$10:$I$10,0),0),"")</f>
        <v/>
      </c>
      <c r="D23" s="58" t="str">
        <f>IFERROR(B23/VLOOKUP($A23,PoolData!$A$10:$I$32,MATCH("Coin 1 Pool Size",PoolData!$A$10:$I$10,0),0),"")</f>
        <v/>
      </c>
      <c r="E23" s="63" t="str">
        <f>IFERROR(VLOOKUP($A23,PoolData!$A$10:$I$32,MATCH("ANY Reward % to pool",PoolData!$A$10:$I$10,0),0)*DAILYANY*D23,"")</f>
        <v/>
      </c>
      <c r="F23" s="63" t="str">
        <f>IFERROR(VLOOKUP($A23,PoolData!$A$10:$T$32,MATCH("Trading Volume in FSN",PoolData!$A$10:$T$10,0),0)*FEEREWARDS*D23,"")</f>
        <v/>
      </c>
      <c r="G23" s="63" t="str">
        <f t="shared" si="0"/>
        <v/>
      </c>
      <c r="H23" s="95" t="str">
        <f t="shared" si="1"/>
        <v/>
      </c>
      <c r="I23" s="58" t="str">
        <f t="shared" si="2"/>
        <v/>
      </c>
      <c r="J23" s="42" t="str">
        <f t="shared" si="3"/>
        <v/>
      </c>
      <c r="K23" s="108" t="s">
        <v>130</v>
      </c>
    </row>
    <row r="24" spans="1:11" x14ac:dyDescent="0.25">
      <c r="A24" s="103" t="s">
        <v>169</v>
      </c>
      <c r="B24" s="130">
        <v>0</v>
      </c>
      <c r="C24" s="63" t="str">
        <f>IFERROR(B24/VLOOKUP($A24,PoolData!$A$10:$I$32,MATCH("XXX:FSN Ratio",PoolData!$A$10:$I$10,0),0),"")</f>
        <v/>
      </c>
      <c r="D24" s="58" t="str">
        <f>IFERROR(B24/VLOOKUP($A24,PoolData!$A$10:$I$32,MATCH("Coin 1 Pool Size",PoolData!$A$10:$I$10,0),0),"")</f>
        <v/>
      </c>
      <c r="E24" s="63" t="str">
        <f>IFERROR(VLOOKUP($A24,PoolData!$A$10:$I$32,MATCH("ANY Reward % to pool",PoolData!$A$10:$I$10,0),0)*DAILYANY*D24,"")</f>
        <v/>
      </c>
      <c r="F24" s="63" t="str">
        <f>IFERROR(VLOOKUP($A24,PoolData!$A$10:$T$32,MATCH("Trading Volume in FSN",PoolData!$A$10:$T$10,0),0)*FEEREWARDS*D24,"")</f>
        <v/>
      </c>
      <c r="G24" s="63" t="str">
        <f t="shared" si="0"/>
        <v/>
      </c>
      <c r="H24" s="95" t="str">
        <f t="shared" si="1"/>
        <v/>
      </c>
      <c r="I24" s="58" t="str">
        <f t="shared" si="2"/>
        <v/>
      </c>
      <c r="J24" s="42" t="str">
        <f t="shared" si="3"/>
        <v/>
      </c>
      <c r="K24" s="108" t="s">
        <v>130</v>
      </c>
    </row>
    <row r="25" spans="1:11" x14ac:dyDescent="0.25">
      <c r="A25" s="103" t="s">
        <v>169</v>
      </c>
      <c r="B25" s="130">
        <v>0</v>
      </c>
      <c r="C25" s="63" t="str">
        <f>IFERROR(B25/VLOOKUP($A25,PoolData!$A$10:$I$32,MATCH("XXX:FSN Ratio",PoolData!$A$10:$I$10,0),0),"")</f>
        <v/>
      </c>
      <c r="D25" s="58" t="str">
        <f>IFERROR(B25/VLOOKUP($A25,PoolData!$A$10:$I$32,MATCH("Coin 1 Pool Size",PoolData!$A$10:$I$10,0),0),"")</f>
        <v/>
      </c>
      <c r="E25" s="63" t="str">
        <f>IFERROR(VLOOKUP($A25,PoolData!$A$10:$I$32,MATCH("ANY Reward % to pool",PoolData!$A$10:$I$10,0),0)*DAILYANY*D25,"")</f>
        <v/>
      </c>
      <c r="F25" s="63" t="str">
        <f>IFERROR(VLOOKUP($A25,PoolData!$A$10:$T$32,MATCH("Trading Volume in FSN",PoolData!$A$10:$T$10,0),0)*FEEREWARDS*D25,"")</f>
        <v/>
      </c>
      <c r="G25" s="63" t="str">
        <f t="shared" si="0"/>
        <v/>
      </c>
      <c r="H25" s="95" t="str">
        <f t="shared" si="1"/>
        <v/>
      </c>
      <c r="I25" s="58" t="str">
        <f t="shared" si="2"/>
        <v/>
      </c>
      <c r="J25" s="42" t="str">
        <f t="shared" si="3"/>
        <v/>
      </c>
      <c r="K25" s="108" t="s">
        <v>130</v>
      </c>
    </row>
    <row r="26" spans="1:11" x14ac:dyDescent="0.25">
      <c r="A26" s="103" t="s">
        <v>169</v>
      </c>
      <c r="B26" s="130">
        <v>0</v>
      </c>
      <c r="C26" s="63" t="str">
        <f>IFERROR(B26/VLOOKUP($A26,PoolData!$A$10:$I$32,MATCH("XXX:FSN Ratio",PoolData!$A$10:$I$10,0),0),"")</f>
        <v/>
      </c>
      <c r="D26" s="58" t="str">
        <f>IFERROR(B26/VLOOKUP($A26,PoolData!$A$10:$I$32,MATCH("Coin 1 Pool Size",PoolData!$A$10:$I$10,0),0),"")</f>
        <v/>
      </c>
      <c r="E26" s="63" t="str">
        <f>IFERROR(VLOOKUP($A26,PoolData!$A$10:$I$32,MATCH("ANY Reward % to pool",PoolData!$A$10:$I$10,0),0)*DAILYANY*D26,"")</f>
        <v/>
      </c>
      <c r="F26" s="63" t="str">
        <f>IFERROR(VLOOKUP($A26,PoolData!$A$10:$T$32,MATCH("Trading Volume in FSN",PoolData!$A$10:$T$10,0),0)*FEEREWARDS*D26,"")</f>
        <v/>
      </c>
      <c r="G26" s="63" t="str">
        <f t="shared" si="0"/>
        <v/>
      </c>
      <c r="H26" s="95" t="str">
        <f t="shared" si="1"/>
        <v/>
      </c>
      <c r="I26" s="58" t="str">
        <f t="shared" si="2"/>
        <v/>
      </c>
      <c r="J26" s="42" t="str">
        <f t="shared" si="3"/>
        <v/>
      </c>
      <c r="K26" s="108" t="s">
        <v>130</v>
      </c>
    </row>
    <row r="27" spans="1:11" x14ac:dyDescent="0.25">
      <c r="A27" s="103" t="s">
        <v>169</v>
      </c>
      <c r="B27" s="130">
        <v>0</v>
      </c>
      <c r="C27" s="63" t="str">
        <f>IFERROR(B27/VLOOKUP($A27,PoolData!$A$10:$I$32,MATCH("XXX:FSN Ratio",PoolData!$A$10:$I$10,0),0),"")</f>
        <v/>
      </c>
      <c r="D27" s="58" t="str">
        <f>IFERROR(B27/VLOOKUP($A27,PoolData!$A$10:$I$32,MATCH("Coin 1 Pool Size",PoolData!$A$10:$I$10,0),0),"")</f>
        <v/>
      </c>
      <c r="E27" s="63" t="str">
        <f>IFERROR(VLOOKUP($A27,PoolData!$A$10:$I$32,MATCH("ANY Reward % to pool",PoolData!$A$10:$I$10,0),0)*DAILYANY*D27,"")</f>
        <v/>
      </c>
      <c r="F27" s="63" t="str">
        <f>IFERROR(VLOOKUP($A27,PoolData!$A$10:$T$32,MATCH("Trading Volume in FSN",PoolData!$A$10:$T$10,0),0)*FEEREWARDS*D27,"")</f>
        <v/>
      </c>
      <c r="G27" s="63" t="str">
        <f t="shared" si="0"/>
        <v/>
      </c>
      <c r="H27" s="95" t="str">
        <f t="shared" si="1"/>
        <v/>
      </c>
      <c r="I27" s="58" t="str">
        <f t="shared" si="2"/>
        <v/>
      </c>
      <c r="J27" s="42" t="str">
        <f t="shared" si="3"/>
        <v/>
      </c>
      <c r="K27" s="108" t="s">
        <v>130</v>
      </c>
    </row>
    <row r="28" spans="1:11" x14ac:dyDescent="0.25">
      <c r="A28" s="103" t="s">
        <v>169</v>
      </c>
      <c r="B28" s="130">
        <v>0</v>
      </c>
      <c r="C28" s="63" t="str">
        <f>IFERROR(B28/VLOOKUP($A28,PoolData!$A$10:$I$32,MATCH("XXX:FSN Ratio",PoolData!$A$10:$I$10,0),0),"")</f>
        <v/>
      </c>
      <c r="D28" s="58" t="str">
        <f>IFERROR(B28/VLOOKUP($A28,PoolData!$A$10:$I$32,MATCH("Coin 1 Pool Size",PoolData!$A$10:$I$10,0),0),"")</f>
        <v/>
      </c>
      <c r="E28" s="63" t="str">
        <f>IFERROR(VLOOKUP($A28,PoolData!$A$10:$I$32,MATCH("ANY Reward % to pool",PoolData!$A$10:$I$10,0),0)*DAILYANY*D28,"")</f>
        <v/>
      </c>
      <c r="F28" s="63" t="str">
        <f>IFERROR(VLOOKUP($A28,PoolData!$A$10:$T$32,MATCH("Trading Volume in FSN",PoolData!$A$10:$T$10,0),0)*FEEREWARDS*D28,"")</f>
        <v/>
      </c>
      <c r="G28" s="63" t="str">
        <f t="shared" si="0"/>
        <v/>
      </c>
      <c r="H28" s="95" t="str">
        <f t="shared" si="1"/>
        <v/>
      </c>
      <c r="I28" s="58" t="str">
        <f t="shared" si="2"/>
        <v/>
      </c>
      <c r="J28" s="42" t="str">
        <f t="shared" si="3"/>
        <v/>
      </c>
      <c r="K28" s="108" t="s">
        <v>130</v>
      </c>
    </row>
    <row r="29" spans="1:11" x14ac:dyDescent="0.25">
      <c r="A29" s="103" t="s">
        <v>169</v>
      </c>
      <c r="B29" s="130">
        <v>0</v>
      </c>
      <c r="C29" s="63" t="str">
        <f>IFERROR(B29/VLOOKUP($A29,PoolData!$A$10:$I$32,MATCH("XXX:FSN Ratio",PoolData!$A$10:$I$10,0),0),"")</f>
        <v/>
      </c>
      <c r="D29" s="58" t="str">
        <f>IFERROR(B29/VLOOKUP($A29,PoolData!$A$10:$I$32,MATCH("Coin 1 Pool Size",PoolData!$A$10:$I$10,0),0),"")</f>
        <v/>
      </c>
      <c r="E29" s="63" t="str">
        <f>IFERROR(VLOOKUP($A29,PoolData!$A$10:$I$32,MATCH("ANY Reward % to pool",PoolData!$A$10:$I$10,0),0)*DAILYANY*D29,"")</f>
        <v/>
      </c>
      <c r="F29" s="63" t="str">
        <f>IFERROR(VLOOKUP($A29,PoolData!$A$10:$T$32,MATCH("Trading Volume in FSN",PoolData!$A$10:$T$10,0),0)*FEEREWARDS*D29,"")</f>
        <v/>
      </c>
      <c r="G29" s="63" t="str">
        <f t="shared" si="0"/>
        <v/>
      </c>
      <c r="H29" s="95" t="str">
        <f t="shared" si="1"/>
        <v/>
      </c>
      <c r="I29" s="58" t="str">
        <f t="shared" si="2"/>
        <v/>
      </c>
      <c r="J29" s="42" t="str">
        <f t="shared" si="3"/>
        <v/>
      </c>
      <c r="K29" s="108" t="s">
        <v>130</v>
      </c>
    </row>
    <row r="30" spans="1:11" x14ac:dyDescent="0.25">
      <c r="A30" s="103" t="s">
        <v>169</v>
      </c>
      <c r="B30" s="130">
        <v>0</v>
      </c>
      <c r="C30" s="63" t="str">
        <f>IFERROR(B30/VLOOKUP($A30,PoolData!$A$10:$I$32,MATCH("XXX:FSN Ratio",PoolData!$A$10:$I$10,0),0),"")</f>
        <v/>
      </c>
      <c r="D30" s="58" t="str">
        <f>IFERROR(B30/VLOOKUP($A30,PoolData!$A$10:$I$32,MATCH("Coin 1 Pool Size",PoolData!$A$10:$I$10,0),0),"")</f>
        <v/>
      </c>
      <c r="E30" s="63" t="str">
        <f>IFERROR(VLOOKUP($A30,PoolData!$A$10:$I$32,MATCH("ANY Reward % to pool",PoolData!$A$10:$I$10,0),0)*DAILYANY*D30,"")</f>
        <v/>
      </c>
      <c r="F30" s="63" t="str">
        <f>IFERROR(VLOOKUP($A30,PoolData!$A$10:$T$32,MATCH("Trading Volume in FSN",PoolData!$A$10:$T$10,0),0)*FEEREWARDS*D30,"")</f>
        <v/>
      </c>
      <c r="G30" s="63" t="str">
        <f t="shared" si="0"/>
        <v/>
      </c>
      <c r="H30" s="95" t="str">
        <f t="shared" si="1"/>
        <v/>
      </c>
      <c r="I30" s="58" t="str">
        <f t="shared" si="2"/>
        <v/>
      </c>
      <c r="J30" s="42" t="str">
        <f t="shared" si="3"/>
        <v/>
      </c>
      <c r="K30" s="108" t="s">
        <v>130</v>
      </c>
    </row>
    <row r="31" spans="1:11" x14ac:dyDescent="0.25">
      <c r="A31" s="103" t="s">
        <v>169</v>
      </c>
      <c r="B31" s="130">
        <v>0</v>
      </c>
      <c r="C31" s="63" t="str">
        <f>IFERROR(B31/VLOOKUP($A31,PoolData!$A$10:$I$32,MATCH("XXX:FSN Ratio",PoolData!$A$10:$I$10,0),0),"")</f>
        <v/>
      </c>
      <c r="D31" s="58" t="str">
        <f>IFERROR(B31/VLOOKUP($A31,PoolData!$A$10:$I$32,MATCH("Coin 1 Pool Size",PoolData!$A$10:$I$10,0),0),"")</f>
        <v/>
      </c>
      <c r="E31" s="63" t="str">
        <f>IFERROR(VLOOKUP($A31,PoolData!$A$10:$I$32,MATCH("ANY Reward % to pool",PoolData!$A$10:$I$10,0),0)*DAILYANY*D31,"")</f>
        <v/>
      </c>
      <c r="F31" s="63" t="str">
        <f>IFERROR(VLOOKUP($A31,PoolData!$A$10:$T$32,MATCH("Trading Volume in FSN",PoolData!$A$10:$T$10,0),0)*FEEREWARDS*D31,"")</f>
        <v/>
      </c>
      <c r="G31" s="63" t="str">
        <f t="shared" si="0"/>
        <v/>
      </c>
      <c r="H31" s="95" t="str">
        <f t="shared" si="1"/>
        <v/>
      </c>
      <c r="I31" s="58" t="str">
        <f t="shared" si="2"/>
        <v/>
      </c>
      <c r="J31" s="42" t="str">
        <f t="shared" si="3"/>
        <v/>
      </c>
      <c r="K31" s="108" t="s">
        <v>130</v>
      </c>
    </row>
    <row r="32" spans="1:11" x14ac:dyDescent="0.25">
      <c r="A32" s="103" t="s">
        <v>169</v>
      </c>
      <c r="B32" s="130">
        <v>0</v>
      </c>
      <c r="C32" s="63" t="str">
        <f>IFERROR(B32/VLOOKUP($A32,PoolData!$A$10:$I$32,MATCH("XXX:FSN Ratio",PoolData!$A$10:$I$10,0),0),"")</f>
        <v/>
      </c>
      <c r="D32" s="58" t="str">
        <f>IFERROR(B32/VLOOKUP($A32,PoolData!$A$10:$I$32,MATCH("Coin 1 Pool Size",PoolData!$A$10:$I$10,0),0),"")</f>
        <v/>
      </c>
      <c r="E32" s="63" t="str">
        <f>IFERROR(VLOOKUP($A32,PoolData!$A$10:$I$32,MATCH("ANY Reward % to pool",PoolData!$A$10:$I$10,0),0)*DAILYANY*D32,"")</f>
        <v/>
      </c>
      <c r="F32" s="63" t="str">
        <f>IFERROR(VLOOKUP($A32,PoolData!$A$10:$T$32,MATCH("Trading Volume in FSN",PoolData!$A$10:$T$10,0),0)*FEEREWARDS*D32,"")</f>
        <v/>
      </c>
      <c r="G32" s="63" t="str">
        <f t="shared" si="0"/>
        <v/>
      </c>
      <c r="H32" s="95" t="str">
        <f t="shared" si="1"/>
        <v/>
      </c>
      <c r="I32" s="58" t="str">
        <f t="shared" si="2"/>
        <v/>
      </c>
      <c r="J32" s="42" t="str">
        <f t="shared" si="3"/>
        <v/>
      </c>
      <c r="K32" s="108" t="s">
        <v>130</v>
      </c>
    </row>
    <row r="33" spans="1:11" x14ac:dyDescent="0.25">
      <c r="A33" s="103" t="s">
        <v>169</v>
      </c>
      <c r="B33" s="130">
        <v>0</v>
      </c>
      <c r="C33" s="63" t="str">
        <f>IFERROR(B33/VLOOKUP($A33,PoolData!$A$10:$I$32,MATCH("XXX:FSN Ratio",PoolData!$A$10:$I$10,0),0),"")</f>
        <v/>
      </c>
      <c r="D33" s="58" t="str">
        <f>IFERROR(B33/VLOOKUP($A33,PoolData!$A$10:$I$32,MATCH("Coin 1 Pool Size",PoolData!$A$10:$I$10,0),0),"")</f>
        <v/>
      </c>
      <c r="E33" s="63" t="str">
        <f>IFERROR(VLOOKUP($A33,PoolData!$A$10:$I$32,MATCH("ANY Reward % to pool",PoolData!$A$10:$I$10,0),0)*DAILYANY*D33,"")</f>
        <v/>
      </c>
      <c r="F33" s="63" t="str">
        <f>IFERROR(VLOOKUP($A33,PoolData!$A$10:$T$32,MATCH("Trading Volume in FSN",PoolData!$A$10:$T$10,0),0)*FEEREWARDS*D33,"")</f>
        <v/>
      </c>
      <c r="G33" s="63" t="str">
        <f t="shared" si="0"/>
        <v/>
      </c>
      <c r="H33" s="95" t="str">
        <f t="shared" si="1"/>
        <v/>
      </c>
      <c r="I33" s="58" t="str">
        <f t="shared" si="2"/>
        <v/>
      </c>
      <c r="J33" s="42" t="str">
        <f t="shared" si="3"/>
        <v/>
      </c>
      <c r="K33" s="108" t="s">
        <v>130</v>
      </c>
    </row>
    <row r="34" spans="1:11" x14ac:dyDescent="0.25">
      <c r="A34" s="103" t="s">
        <v>169</v>
      </c>
      <c r="B34" s="130">
        <v>0</v>
      </c>
      <c r="C34" s="63" t="str">
        <f>IFERROR(B34/VLOOKUP($A34,PoolData!$A$10:$I$32,MATCH("XXX:FSN Ratio",PoolData!$A$10:$I$10,0),0),"")</f>
        <v/>
      </c>
      <c r="D34" s="58" t="str">
        <f>IFERROR(B34/VLOOKUP($A34,PoolData!$A$10:$I$32,MATCH("Coin 1 Pool Size",PoolData!$A$10:$I$10,0),0),"")</f>
        <v/>
      </c>
      <c r="E34" s="63" t="str">
        <f>IFERROR(VLOOKUP($A34,PoolData!$A$10:$I$32,MATCH("ANY Reward % to pool",PoolData!$A$10:$I$10,0),0)*DAILYANY*D34,"")</f>
        <v/>
      </c>
      <c r="F34" s="63" t="str">
        <f>IFERROR(VLOOKUP($A34,PoolData!$A$10:$T$32,MATCH("Trading Volume in FSN",PoolData!$A$10:$T$10,0),0)*FEEREWARDS*D34,"")</f>
        <v/>
      </c>
      <c r="G34" s="63" t="str">
        <f t="shared" si="0"/>
        <v/>
      </c>
      <c r="H34" s="95" t="str">
        <f t="shared" si="1"/>
        <v/>
      </c>
      <c r="I34" s="58" t="str">
        <f t="shared" si="2"/>
        <v/>
      </c>
      <c r="J34" s="42" t="str">
        <f t="shared" si="3"/>
        <v/>
      </c>
      <c r="K34" s="108" t="s">
        <v>130</v>
      </c>
    </row>
    <row r="35" spans="1:11" x14ac:dyDescent="0.25">
      <c r="A35" s="103" t="s">
        <v>169</v>
      </c>
      <c r="B35" s="130">
        <v>0</v>
      </c>
      <c r="C35" s="63" t="str">
        <f>IFERROR(B35/VLOOKUP($A35,PoolData!$A$10:$I$32,MATCH("XXX:FSN Ratio",PoolData!$A$10:$I$10,0),0),"")</f>
        <v/>
      </c>
      <c r="D35" s="58" t="str">
        <f>IFERROR(B35/VLOOKUP($A35,PoolData!$A$10:$I$32,MATCH("Coin 1 Pool Size",PoolData!$A$10:$I$10,0),0),"")</f>
        <v/>
      </c>
      <c r="E35" s="63" t="str">
        <f>IFERROR(VLOOKUP($A35,PoolData!$A$10:$I$32,MATCH("ANY Reward % to pool",PoolData!$A$10:$I$10,0),0)*DAILYANY*D35,"")</f>
        <v/>
      </c>
      <c r="F35" s="63" t="str">
        <f>IFERROR(VLOOKUP($A35,PoolData!$A$10:$T$32,MATCH("Trading Volume in FSN",PoolData!$A$10:$T$10,0),0)*FEEREWARDS*D35,"")</f>
        <v/>
      </c>
      <c r="G35" s="63" t="str">
        <f t="shared" si="0"/>
        <v/>
      </c>
      <c r="H35" s="95" t="str">
        <f t="shared" si="1"/>
        <v/>
      </c>
      <c r="I35" s="58" t="str">
        <f t="shared" si="2"/>
        <v/>
      </c>
      <c r="J35" s="42" t="str">
        <f t="shared" si="3"/>
        <v/>
      </c>
      <c r="K35" s="108" t="s">
        <v>130</v>
      </c>
    </row>
    <row r="36" spans="1:11" x14ac:dyDescent="0.25">
      <c r="A36" s="103" t="s">
        <v>169</v>
      </c>
      <c r="B36" s="130">
        <v>0</v>
      </c>
      <c r="C36" s="63" t="str">
        <f>IFERROR(B36/VLOOKUP($A36,PoolData!$A$10:$I$32,MATCH("XXX:FSN Ratio",PoolData!$A$10:$I$10,0),0),"")</f>
        <v/>
      </c>
      <c r="D36" s="58" t="str">
        <f>IFERROR(B36/VLOOKUP($A36,PoolData!$A$10:$I$32,MATCH("Coin 1 Pool Size",PoolData!$A$10:$I$10,0),0),"")</f>
        <v/>
      </c>
      <c r="E36" s="63" t="str">
        <f>IFERROR(VLOOKUP($A36,PoolData!$A$10:$I$32,MATCH("ANY Reward % to pool",PoolData!$A$10:$I$10,0),0)*DAILYANY*D36,"")</f>
        <v/>
      </c>
      <c r="F36" s="63" t="str">
        <f>IFERROR(VLOOKUP($A36,PoolData!$A$10:$T$32,MATCH("Trading Volume in FSN",PoolData!$A$10:$T$10,0),0)*FEEREWARDS*D36,"")</f>
        <v/>
      </c>
      <c r="G36" s="63" t="str">
        <f t="shared" si="0"/>
        <v/>
      </c>
      <c r="H36" s="95" t="str">
        <f t="shared" si="1"/>
        <v/>
      </c>
      <c r="I36" s="58" t="str">
        <f t="shared" si="2"/>
        <v/>
      </c>
      <c r="J36" s="42" t="str">
        <f t="shared" si="3"/>
        <v/>
      </c>
      <c r="K36" s="108" t="s">
        <v>130</v>
      </c>
    </row>
    <row r="37" spans="1:11" x14ac:dyDescent="0.25">
      <c r="A37" s="103" t="s">
        <v>169</v>
      </c>
      <c r="B37" s="130">
        <v>0</v>
      </c>
      <c r="C37" s="63" t="str">
        <f>IFERROR(B37/VLOOKUP($A37,PoolData!$A$10:$I$32,MATCH("XXX:FSN Ratio",PoolData!$A$10:$I$10,0),0),"")</f>
        <v/>
      </c>
      <c r="D37" s="58" t="str">
        <f>IFERROR(B37/VLOOKUP($A37,PoolData!$A$10:$I$32,MATCH("Coin 1 Pool Size",PoolData!$A$10:$I$10,0),0),"")</f>
        <v/>
      </c>
      <c r="E37" s="63" t="str">
        <f>IFERROR(VLOOKUP($A37,PoolData!$A$10:$I$32,MATCH("ANY Reward % to pool",PoolData!$A$10:$I$10,0),0)*DAILYANY*D37,"")</f>
        <v/>
      </c>
      <c r="F37" s="63" t="str">
        <f>IFERROR(VLOOKUP($A37,PoolData!$A$10:$T$32,MATCH("Trading Volume in FSN",PoolData!$A$10:$T$10,0),0)*FEEREWARDS*D37,"")</f>
        <v/>
      </c>
      <c r="G37" s="63" t="str">
        <f t="shared" si="0"/>
        <v/>
      </c>
      <c r="H37" s="95" t="str">
        <f t="shared" si="1"/>
        <v/>
      </c>
      <c r="I37" s="58" t="str">
        <f t="shared" si="2"/>
        <v/>
      </c>
      <c r="J37" s="42" t="str">
        <f t="shared" si="3"/>
        <v/>
      </c>
      <c r="K37" s="108" t="s">
        <v>130</v>
      </c>
    </row>
    <row r="38" spans="1:11" x14ac:dyDescent="0.25">
      <c r="A38" s="103" t="s">
        <v>169</v>
      </c>
      <c r="B38" s="130">
        <v>0</v>
      </c>
      <c r="C38" s="63" t="str">
        <f>IFERROR(B38/VLOOKUP($A38,PoolData!$A$10:$I$32,MATCH("XXX:FSN Ratio",PoolData!$A$10:$I$10,0),0),"")</f>
        <v/>
      </c>
      <c r="D38" s="58" t="str">
        <f>IFERROR(B38/VLOOKUP($A38,PoolData!$A$10:$I$32,MATCH("Coin 1 Pool Size",PoolData!$A$10:$I$10,0),0),"")</f>
        <v/>
      </c>
      <c r="E38" s="63" t="str">
        <f>IFERROR(VLOOKUP($A38,PoolData!$A$10:$I$32,MATCH("ANY Reward % to pool",PoolData!$A$10:$I$10,0),0)*DAILYANY*D38,"")</f>
        <v/>
      </c>
      <c r="F38" s="63" t="str">
        <f>IFERROR(VLOOKUP($A38,PoolData!$A$10:$T$32,MATCH("Trading Volume in FSN",PoolData!$A$10:$T$10,0),0)*FEEREWARDS*D38,"")</f>
        <v/>
      </c>
      <c r="G38" s="63" t="str">
        <f t="shared" si="0"/>
        <v/>
      </c>
      <c r="H38" s="95" t="str">
        <f t="shared" si="1"/>
        <v/>
      </c>
      <c r="I38" s="58" t="str">
        <f t="shared" si="2"/>
        <v/>
      </c>
      <c r="J38" s="42" t="str">
        <f t="shared" si="3"/>
        <v/>
      </c>
      <c r="K38" s="108" t="s">
        <v>130</v>
      </c>
    </row>
    <row r="39" spans="1:11" x14ac:dyDescent="0.25">
      <c r="A39" s="103" t="s">
        <v>169</v>
      </c>
      <c r="B39" s="130">
        <v>0</v>
      </c>
      <c r="C39" s="63" t="str">
        <f>IFERROR(B39/VLOOKUP($A39,PoolData!$A$10:$I$32,MATCH("XXX:FSN Ratio",PoolData!$A$10:$I$10,0),0),"")</f>
        <v/>
      </c>
      <c r="D39" s="58" t="str">
        <f>IFERROR(B39/VLOOKUP($A39,PoolData!$A$10:$I$32,MATCH("Coin 1 Pool Size",PoolData!$A$10:$I$10,0),0),"")</f>
        <v/>
      </c>
      <c r="E39" s="63" t="str">
        <f>IFERROR(VLOOKUP($A39,PoolData!$A$10:$I$32,MATCH("ANY Reward % to pool",PoolData!$A$10:$I$10,0),0)*DAILYANY*D39,"")</f>
        <v/>
      </c>
      <c r="F39" s="63" t="str">
        <f>IFERROR(VLOOKUP($A39,PoolData!$A$10:$T$32,MATCH("Trading Volume in FSN",PoolData!$A$10:$T$10,0),0)*FEEREWARDS*D39,"")</f>
        <v/>
      </c>
      <c r="G39" s="63" t="str">
        <f t="shared" si="0"/>
        <v/>
      </c>
      <c r="H39" s="95" t="str">
        <f t="shared" si="1"/>
        <v/>
      </c>
      <c r="I39" s="58" t="str">
        <f t="shared" si="2"/>
        <v/>
      </c>
      <c r="J39" s="42" t="str">
        <f t="shared" si="3"/>
        <v/>
      </c>
      <c r="K39" s="108" t="s">
        <v>130</v>
      </c>
    </row>
    <row r="40" spans="1:11" x14ac:dyDescent="0.25">
      <c r="A40" s="103" t="s">
        <v>169</v>
      </c>
      <c r="B40" s="130">
        <v>0</v>
      </c>
      <c r="C40" s="63" t="str">
        <f>IFERROR(B40/VLOOKUP($A40,PoolData!$A$10:$I$32,MATCH("XXX:FSN Ratio",PoolData!$A$10:$I$10,0),0),"")</f>
        <v/>
      </c>
      <c r="D40" s="58" t="str">
        <f>IFERROR(B40/VLOOKUP($A40,PoolData!$A$10:$I$32,MATCH("Coin 1 Pool Size",PoolData!$A$10:$I$10,0),0),"")</f>
        <v/>
      </c>
      <c r="E40" s="63" t="str">
        <f>IFERROR(VLOOKUP($A40,PoolData!$A$10:$I$32,MATCH("ANY Reward % to pool",PoolData!$A$10:$I$10,0),0)*DAILYANY*D40,"")</f>
        <v/>
      </c>
      <c r="F40" s="63" t="str">
        <f>IFERROR(VLOOKUP($A40,PoolData!$A$10:$T$32,MATCH("Trading Volume in FSN",PoolData!$A$10:$T$10,0),0)*FEEREWARDS*D40,"")</f>
        <v/>
      </c>
      <c r="G40" s="63" t="str">
        <f t="shared" si="0"/>
        <v/>
      </c>
      <c r="H40" s="95" t="str">
        <f t="shared" si="1"/>
        <v/>
      </c>
      <c r="I40" s="58" t="str">
        <f t="shared" si="2"/>
        <v/>
      </c>
      <c r="J40" s="42" t="str">
        <f t="shared" si="3"/>
        <v/>
      </c>
      <c r="K40" s="108" t="s">
        <v>130</v>
      </c>
    </row>
    <row r="41" spans="1:11" x14ac:dyDescent="0.25">
      <c r="A41" s="103" t="s">
        <v>169</v>
      </c>
      <c r="B41" s="130">
        <v>0</v>
      </c>
      <c r="C41" s="63" t="str">
        <f>IFERROR(B41/VLOOKUP($A41,PoolData!$A$10:$I$32,MATCH("XXX:FSN Ratio",PoolData!$A$10:$I$10,0),0),"")</f>
        <v/>
      </c>
      <c r="D41" s="58" t="str">
        <f>IFERROR(B41/VLOOKUP($A41,PoolData!$A$10:$I$32,MATCH("Coin 1 Pool Size",PoolData!$A$10:$I$10,0),0),"")</f>
        <v/>
      </c>
      <c r="E41" s="63" t="str">
        <f>IFERROR(VLOOKUP($A41,PoolData!$A$10:$I$32,MATCH("ANY Reward % to pool",PoolData!$A$10:$I$10,0),0)*DAILYANY*D41,"")</f>
        <v/>
      </c>
      <c r="F41" s="63" t="str">
        <f>IFERROR(VLOOKUP($A41,PoolData!$A$10:$T$32,MATCH("Trading Volume in FSN",PoolData!$A$10:$T$10,0),0)*FEEREWARDS*D41,"")</f>
        <v/>
      </c>
      <c r="G41" s="63" t="str">
        <f t="shared" si="0"/>
        <v/>
      </c>
      <c r="H41" s="95" t="str">
        <f t="shared" si="1"/>
        <v/>
      </c>
      <c r="I41" s="58" t="str">
        <f t="shared" si="2"/>
        <v/>
      </c>
      <c r="J41" s="42" t="str">
        <f t="shared" si="3"/>
        <v/>
      </c>
      <c r="K41" s="108" t="s">
        <v>130</v>
      </c>
    </row>
    <row r="42" spans="1:11" x14ac:dyDescent="0.25">
      <c r="A42" s="103" t="s">
        <v>169</v>
      </c>
      <c r="B42" s="130">
        <v>0</v>
      </c>
      <c r="C42" s="63" t="str">
        <f>IFERROR(B42/VLOOKUP($A42,PoolData!$A$10:$I$32,MATCH("XXX:FSN Ratio",PoolData!$A$10:$I$10,0),0),"")</f>
        <v/>
      </c>
      <c r="D42" s="58" t="str">
        <f>IFERROR(B42/VLOOKUP($A42,PoolData!$A$10:$I$32,MATCH("Coin 1 Pool Size",PoolData!$A$10:$I$10,0),0),"")</f>
        <v/>
      </c>
      <c r="E42" s="63" t="str">
        <f>IFERROR(VLOOKUP($A42,PoolData!$A$10:$I$32,MATCH("ANY Reward % to pool",PoolData!$A$10:$I$10,0),0)*DAILYANY*D42,"")</f>
        <v/>
      </c>
      <c r="F42" s="63" t="str">
        <f>IFERROR(VLOOKUP($A42,PoolData!$A$10:$T$32,MATCH("Trading Volume in FSN",PoolData!$A$10:$T$10,0),0)*FEEREWARDS*D42,"")</f>
        <v/>
      </c>
      <c r="G42" s="63" t="str">
        <f t="shared" si="0"/>
        <v/>
      </c>
      <c r="H42" s="95" t="str">
        <f t="shared" si="1"/>
        <v/>
      </c>
      <c r="I42" s="58" t="str">
        <f t="shared" si="2"/>
        <v/>
      </c>
      <c r="J42" s="42" t="str">
        <f t="shared" si="3"/>
        <v/>
      </c>
      <c r="K42" s="108" t="s">
        <v>130</v>
      </c>
    </row>
    <row r="43" spans="1:11" x14ac:dyDescent="0.25">
      <c r="A43" s="103" t="s">
        <v>169</v>
      </c>
      <c r="B43" s="130">
        <v>0</v>
      </c>
      <c r="C43" s="63" t="str">
        <f>IFERROR(B43/VLOOKUP($A43,PoolData!$A$10:$I$32,MATCH("XXX:FSN Ratio",PoolData!$A$10:$I$10,0),0),"")</f>
        <v/>
      </c>
      <c r="D43" s="58" t="str">
        <f>IFERROR(B43/VLOOKUP($A43,PoolData!$A$10:$I$32,MATCH("Coin 1 Pool Size",PoolData!$A$10:$I$10,0),0),"")</f>
        <v/>
      </c>
      <c r="E43" s="63" t="str">
        <f>IFERROR(VLOOKUP($A43,PoolData!$A$10:$I$32,MATCH("ANY Reward % to pool",PoolData!$A$10:$I$10,0),0)*DAILYANY*D43,"")</f>
        <v/>
      </c>
      <c r="F43" s="63" t="str">
        <f>IFERROR(VLOOKUP($A43,PoolData!$A$10:$T$32,MATCH("Trading Volume in FSN",PoolData!$A$10:$T$10,0),0)*FEEREWARDS*D43,"")</f>
        <v/>
      </c>
      <c r="G43" s="63" t="str">
        <f t="shared" si="0"/>
        <v/>
      </c>
      <c r="H43" s="95" t="str">
        <f t="shared" si="1"/>
        <v/>
      </c>
      <c r="I43" s="58" t="str">
        <f t="shared" si="2"/>
        <v/>
      </c>
      <c r="J43" s="42" t="str">
        <f t="shared" si="3"/>
        <v/>
      </c>
      <c r="K43" s="108" t="s">
        <v>130</v>
      </c>
    </row>
    <row r="44" spans="1:11" x14ac:dyDescent="0.25">
      <c r="A44" s="103" t="s">
        <v>169</v>
      </c>
      <c r="B44" s="130">
        <v>0</v>
      </c>
      <c r="C44" s="63" t="str">
        <f>IFERROR(B44/VLOOKUP($A44,PoolData!$A$10:$I$32,MATCH("XXX:FSN Ratio",PoolData!$A$10:$I$10,0),0),"")</f>
        <v/>
      </c>
      <c r="D44" s="58" t="str">
        <f>IFERROR(B44/VLOOKUP($A44,PoolData!$A$10:$I$32,MATCH("Coin 1 Pool Size",PoolData!$A$10:$I$10,0),0),"")</f>
        <v/>
      </c>
      <c r="E44" s="63" t="str">
        <f>IFERROR(VLOOKUP($A44,PoolData!$A$10:$I$32,MATCH("ANY Reward % to pool",PoolData!$A$10:$I$10,0),0)*DAILYANY*D44,"")</f>
        <v/>
      </c>
      <c r="F44" s="63" t="str">
        <f>IFERROR(VLOOKUP($A44,PoolData!$A$10:$T$32,MATCH("Trading Volume in FSN",PoolData!$A$10:$T$10,0),0)*FEEREWARDS*D44,"")</f>
        <v/>
      </c>
      <c r="G44" s="63" t="str">
        <f t="shared" si="0"/>
        <v/>
      </c>
      <c r="H44" s="95" t="str">
        <f t="shared" si="1"/>
        <v/>
      </c>
      <c r="I44" s="58" t="str">
        <f t="shared" si="2"/>
        <v/>
      </c>
      <c r="J44" s="42" t="str">
        <f t="shared" si="3"/>
        <v/>
      </c>
      <c r="K44" s="108" t="s">
        <v>130</v>
      </c>
    </row>
    <row r="45" spans="1:11" x14ac:dyDescent="0.25">
      <c r="A45" s="103" t="s">
        <v>169</v>
      </c>
      <c r="B45" s="130">
        <v>0</v>
      </c>
      <c r="C45" s="63" t="str">
        <f>IFERROR(B45/VLOOKUP($A45,PoolData!$A$10:$I$32,MATCH("XXX:FSN Ratio",PoolData!$A$10:$I$10,0),0),"")</f>
        <v/>
      </c>
      <c r="D45" s="58" t="str">
        <f>IFERROR(B45/VLOOKUP($A45,PoolData!$A$10:$I$32,MATCH("Coin 1 Pool Size",PoolData!$A$10:$I$10,0),0),"")</f>
        <v/>
      </c>
      <c r="E45" s="63" t="str">
        <f>IFERROR(VLOOKUP($A45,PoolData!$A$10:$I$32,MATCH("ANY Reward % to pool",PoolData!$A$10:$I$10,0),0)*DAILYANY*D45,"")</f>
        <v/>
      </c>
      <c r="F45" s="63" t="str">
        <f>IFERROR(VLOOKUP($A45,PoolData!$A$10:$T$32,MATCH("Trading Volume in FSN",PoolData!$A$10:$T$10,0),0)*FEEREWARDS*D45,"")</f>
        <v/>
      </c>
      <c r="G45" s="63" t="str">
        <f t="shared" ref="G45:G76" si="4">IFERROR(F45+E45*ANYFSN,"")</f>
        <v/>
      </c>
      <c r="H45" s="95" t="str">
        <f t="shared" ref="H45:H76" si="5">IFERROR(G45*FSNPRICE,"")</f>
        <v/>
      </c>
      <c r="I45" s="58" t="str">
        <f t="shared" si="2"/>
        <v/>
      </c>
      <c r="J45" s="42" t="str">
        <f t="shared" si="3"/>
        <v/>
      </c>
      <c r="K45" s="108" t="s">
        <v>130</v>
      </c>
    </row>
    <row r="46" spans="1:11" x14ac:dyDescent="0.25">
      <c r="A46" s="103" t="s">
        <v>169</v>
      </c>
      <c r="B46" s="130">
        <v>0</v>
      </c>
      <c r="C46" s="63" t="str">
        <f>IFERROR(B46/VLOOKUP($A46,PoolData!$A$10:$I$32,MATCH("XXX:FSN Ratio",PoolData!$A$10:$I$10,0),0),"")</f>
        <v/>
      </c>
      <c r="D46" s="58" t="str">
        <f>IFERROR(B46/VLOOKUP($A46,PoolData!$A$10:$I$32,MATCH("Coin 1 Pool Size",PoolData!$A$10:$I$10,0),0),"")</f>
        <v/>
      </c>
      <c r="E46" s="63" t="str">
        <f>IFERROR(VLOOKUP($A46,PoolData!$A$10:$I$32,MATCH("ANY Reward % to pool",PoolData!$A$10:$I$10,0),0)*DAILYANY*D46,"")</f>
        <v/>
      </c>
      <c r="F46" s="63" t="str">
        <f>IFERROR(VLOOKUP($A46,PoolData!$A$10:$T$32,MATCH("Trading Volume in FSN",PoolData!$A$10:$T$10,0),0)*FEEREWARDS*D46,"")</f>
        <v/>
      </c>
      <c r="G46" s="63" t="str">
        <f t="shared" si="4"/>
        <v/>
      </c>
      <c r="H46" s="95" t="str">
        <f t="shared" si="5"/>
        <v/>
      </c>
      <c r="I46" s="58" t="str">
        <f t="shared" si="2"/>
        <v/>
      </c>
      <c r="J46" s="42" t="str">
        <f t="shared" si="3"/>
        <v/>
      </c>
      <c r="K46" s="108" t="s">
        <v>130</v>
      </c>
    </row>
    <row r="47" spans="1:11" x14ac:dyDescent="0.25">
      <c r="A47" s="103" t="s">
        <v>169</v>
      </c>
      <c r="B47" s="130">
        <v>0</v>
      </c>
      <c r="C47" s="63" t="str">
        <f>IFERROR(B47/VLOOKUP($A47,PoolData!$A$10:$I$32,MATCH("XXX:FSN Ratio",PoolData!$A$10:$I$10,0),0),"")</f>
        <v/>
      </c>
      <c r="D47" s="58" t="str">
        <f>IFERROR(B47/VLOOKUP($A47,PoolData!$A$10:$I$32,MATCH("Coin 1 Pool Size",PoolData!$A$10:$I$10,0),0),"")</f>
        <v/>
      </c>
      <c r="E47" s="63" t="str">
        <f>IFERROR(VLOOKUP($A47,PoolData!$A$10:$I$32,MATCH("ANY Reward % to pool",PoolData!$A$10:$I$10,0),0)*DAILYANY*D47,"")</f>
        <v/>
      </c>
      <c r="F47" s="63" t="str">
        <f>IFERROR(VLOOKUP($A47,PoolData!$A$10:$T$32,MATCH("Trading Volume in FSN",PoolData!$A$10:$T$10,0),0)*FEEREWARDS*D47,"")</f>
        <v/>
      </c>
      <c r="G47" s="63" t="str">
        <f t="shared" si="4"/>
        <v/>
      </c>
      <c r="H47" s="95" t="str">
        <f t="shared" si="5"/>
        <v/>
      </c>
      <c r="I47" s="58" t="str">
        <f t="shared" si="2"/>
        <v/>
      </c>
      <c r="J47" s="42" t="str">
        <f t="shared" si="3"/>
        <v/>
      </c>
      <c r="K47" s="108" t="s">
        <v>130</v>
      </c>
    </row>
    <row r="48" spans="1:11" x14ac:dyDescent="0.25">
      <c r="A48" s="103" t="s">
        <v>169</v>
      </c>
      <c r="B48" s="130">
        <v>0</v>
      </c>
      <c r="C48" s="63" t="str">
        <f>IFERROR(B48/VLOOKUP($A48,PoolData!$A$10:$I$32,MATCH("XXX:FSN Ratio",PoolData!$A$10:$I$10,0),0),"")</f>
        <v/>
      </c>
      <c r="D48" s="58" t="str">
        <f>IFERROR(B48/VLOOKUP($A48,PoolData!$A$10:$I$32,MATCH("Coin 1 Pool Size",PoolData!$A$10:$I$10,0),0),"")</f>
        <v/>
      </c>
      <c r="E48" s="63" t="str">
        <f>IFERROR(VLOOKUP($A48,PoolData!$A$10:$I$32,MATCH("ANY Reward % to pool",PoolData!$A$10:$I$10,0),0)*DAILYANY*D48,"")</f>
        <v/>
      </c>
      <c r="F48" s="63" t="str">
        <f>IFERROR(VLOOKUP($A48,PoolData!$A$10:$T$32,MATCH("Trading Volume in FSN",PoolData!$A$10:$T$10,0),0)*FEEREWARDS*D48,"")</f>
        <v/>
      </c>
      <c r="G48" s="63" t="str">
        <f t="shared" si="4"/>
        <v/>
      </c>
      <c r="H48" s="95" t="str">
        <f t="shared" si="5"/>
        <v/>
      </c>
      <c r="I48" s="58" t="str">
        <f t="shared" si="2"/>
        <v/>
      </c>
      <c r="J48" s="42" t="str">
        <f t="shared" si="3"/>
        <v/>
      </c>
      <c r="K48" s="108" t="s">
        <v>130</v>
      </c>
    </row>
    <row r="49" spans="1:11" x14ac:dyDescent="0.25">
      <c r="A49" s="103" t="s">
        <v>169</v>
      </c>
      <c r="B49" s="130">
        <v>0</v>
      </c>
      <c r="C49" s="63" t="str">
        <f>IFERROR(B49/VLOOKUP($A49,PoolData!$A$10:$I$32,MATCH("XXX:FSN Ratio",PoolData!$A$10:$I$10,0),0),"")</f>
        <v/>
      </c>
      <c r="D49" s="58" t="str">
        <f>IFERROR(B49/VLOOKUP($A49,PoolData!$A$10:$I$32,MATCH("Coin 1 Pool Size",PoolData!$A$10:$I$10,0),0),"")</f>
        <v/>
      </c>
      <c r="E49" s="63" t="str">
        <f>IFERROR(VLOOKUP($A49,PoolData!$A$10:$I$32,MATCH("ANY Reward % to pool",PoolData!$A$10:$I$10,0),0)*DAILYANY*D49,"")</f>
        <v/>
      </c>
      <c r="F49" s="63" t="str">
        <f>IFERROR(VLOOKUP($A49,PoolData!$A$10:$T$32,MATCH("Trading Volume in FSN",PoolData!$A$10:$T$10,0),0)*FEEREWARDS*D49,"")</f>
        <v/>
      </c>
      <c r="G49" s="63" t="str">
        <f t="shared" si="4"/>
        <v/>
      </c>
      <c r="H49" s="95" t="str">
        <f t="shared" si="5"/>
        <v/>
      </c>
      <c r="I49" s="58" t="str">
        <f t="shared" si="2"/>
        <v/>
      </c>
      <c r="J49" s="42" t="str">
        <f t="shared" si="3"/>
        <v/>
      </c>
      <c r="K49" s="108" t="s">
        <v>130</v>
      </c>
    </row>
    <row r="50" spans="1:11" x14ac:dyDescent="0.25">
      <c r="A50" s="103" t="s">
        <v>169</v>
      </c>
      <c r="B50" s="130">
        <v>0</v>
      </c>
      <c r="C50" s="63" t="str">
        <f>IFERROR(B50/VLOOKUP($A50,PoolData!$A$10:$I$32,MATCH("XXX:FSN Ratio",PoolData!$A$10:$I$10,0),0),"")</f>
        <v/>
      </c>
      <c r="D50" s="58" t="str">
        <f>IFERROR(B50/VLOOKUP($A50,PoolData!$A$10:$I$32,MATCH("Coin 1 Pool Size",PoolData!$A$10:$I$10,0),0),"")</f>
        <v/>
      </c>
      <c r="E50" s="63" t="str">
        <f>IFERROR(VLOOKUP($A50,PoolData!$A$10:$I$32,MATCH("ANY Reward % to pool",PoolData!$A$10:$I$10,0),0)*DAILYANY*D50,"")</f>
        <v/>
      </c>
      <c r="F50" s="63" t="str">
        <f>IFERROR(VLOOKUP($A50,PoolData!$A$10:$T$32,MATCH("Trading Volume in FSN",PoolData!$A$10:$T$10,0),0)*FEEREWARDS*D50,"")</f>
        <v/>
      </c>
      <c r="G50" s="63" t="str">
        <f t="shared" si="4"/>
        <v/>
      </c>
      <c r="H50" s="95" t="str">
        <f t="shared" si="5"/>
        <v/>
      </c>
      <c r="I50" s="58" t="str">
        <f t="shared" si="2"/>
        <v/>
      </c>
      <c r="J50" s="42" t="str">
        <f t="shared" si="3"/>
        <v/>
      </c>
      <c r="K50" s="108" t="s">
        <v>130</v>
      </c>
    </row>
    <row r="51" spans="1:11" x14ac:dyDescent="0.25">
      <c r="A51" s="103" t="s">
        <v>169</v>
      </c>
      <c r="B51" s="130">
        <v>0</v>
      </c>
      <c r="C51" s="63" t="str">
        <f>IFERROR(B51/VLOOKUP($A51,PoolData!$A$10:$I$32,MATCH("XXX:FSN Ratio",PoolData!$A$10:$I$10,0),0),"")</f>
        <v/>
      </c>
      <c r="D51" s="58" t="str">
        <f>IFERROR(B51/VLOOKUP($A51,PoolData!$A$10:$I$32,MATCH("Coin 1 Pool Size",PoolData!$A$10:$I$10,0),0),"")</f>
        <v/>
      </c>
      <c r="E51" s="63" t="str">
        <f>IFERROR(VLOOKUP($A51,PoolData!$A$10:$I$32,MATCH("ANY Reward % to pool",PoolData!$A$10:$I$10,0),0)*DAILYANY*D51,"")</f>
        <v/>
      </c>
      <c r="F51" s="63" t="str">
        <f>IFERROR(VLOOKUP($A51,PoolData!$A$10:$T$32,MATCH("Trading Volume in FSN",PoolData!$A$10:$T$10,0),0)*FEEREWARDS*D51,"")</f>
        <v/>
      </c>
      <c r="G51" s="63" t="str">
        <f t="shared" si="4"/>
        <v/>
      </c>
      <c r="H51" s="95" t="str">
        <f t="shared" si="5"/>
        <v/>
      </c>
      <c r="I51" s="58" t="str">
        <f t="shared" si="2"/>
        <v/>
      </c>
      <c r="J51" s="42" t="str">
        <f t="shared" si="3"/>
        <v/>
      </c>
      <c r="K51" s="108" t="s">
        <v>130</v>
      </c>
    </row>
    <row r="52" spans="1:11" x14ac:dyDescent="0.25">
      <c r="A52" s="103" t="s">
        <v>169</v>
      </c>
      <c r="B52" s="130">
        <v>0</v>
      </c>
      <c r="C52" s="63" t="str">
        <f>IFERROR(B52/VLOOKUP($A52,PoolData!$A$10:$I$32,MATCH("XXX:FSN Ratio",PoolData!$A$10:$I$10,0),0),"")</f>
        <v/>
      </c>
      <c r="D52" s="58" t="str">
        <f>IFERROR(B52/VLOOKUP($A52,PoolData!$A$10:$I$32,MATCH("Coin 1 Pool Size",PoolData!$A$10:$I$10,0),0),"")</f>
        <v/>
      </c>
      <c r="E52" s="63" t="str">
        <f>IFERROR(VLOOKUP($A52,PoolData!$A$10:$I$32,MATCH("ANY Reward % to pool",PoolData!$A$10:$I$10,0),0)*DAILYANY*D52,"")</f>
        <v/>
      </c>
      <c r="F52" s="63" t="str">
        <f>IFERROR(VLOOKUP($A52,PoolData!$A$10:$T$32,MATCH("Trading Volume in FSN",PoolData!$A$10:$T$10,0),0)*FEEREWARDS*D52,"")</f>
        <v/>
      </c>
      <c r="G52" s="63" t="str">
        <f t="shared" si="4"/>
        <v/>
      </c>
      <c r="H52" s="95" t="str">
        <f t="shared" si="5"/>
        <v/>
      </c>
      <c r="I52" s="58" t="str">
        <f t="shared" si="2"/>
        <v/>
      </c>
      <c r="J52" s="42" t="str">
        <f t="shared" si="3"/>
        <v/>
      </c>
      <c r="K52" s="108" t="s">
        <v>130</v>
      </c>
    </row>
    <row r="53" spans="1:11" x14ac:dyDescent="0.25">
      <c r="A53" s="103" t="s">
        <v>169</v>
      </c>
      <c r="B53" s="130">
        <v>0</v>
      </c>
      <c r="C53" s="63" t="str">
        <f>IFERROR(B53/VLOOKUP($A53,PoolData!$A$10:$I$32,MATCH("XXX:FSN Ratio",PoolData!$A$10:$I$10,0),0),"")</f>
        <v/>
      </c>
      <c r="D53" s="58" t="str">
        <f>IFERROR(B53/VLOOKUP($A53,PoolData!$A$10:$I$32,MATCH("Coin 1 Pool Size",PoolData!$A$10:$I$10,0),0),"")</f>
        <v/>
      </c>
      <c r="E53" s="63" t="str">
        <f>IFERROR(VLOOKUP($A53,PoolData!$A$10:$I$32,MATCH("ANY Reward % to pool",PoolData!$A$10:$I$10,0),0)*DAILYANY*D53,"")</f>
        <v/>
      </c>
      <c r="F53" s="63" t="str">
        <f>IFERROR(VLOOKUP($A53,PoolData!$A$10:$T$32,MATCH("Trading Volume in FSN",PoolData!$A$10:$T$10,0),0)*FEEREWARDS*D53,"")</f>
        <v/>
      </c>
      <c r="G53" s="63" t="str">
        <f t="shared" si="4"/>
        <v/>
      </c>
      <c r="H53" s="95" t="str">
        <f t="shared" si="5"/>
        <v/>
      </c>
      <c r="I53" s="58" t="str">
        <f t="shared" si="2"/>
        <v/>
      </c>
      <c r="J53" s="42" t="str">
        <f t="shared" si="3"/>
        <v/>
      </c>
      <c r="K53" s="108" t="s">
        <v>130</v>
      </c>
    </row>
    <row r="54" spans="1:11" x14ac:dyDescent="0.25">
      <c r="A54" s="103" t="s">
        <v>169</v>
      </c>
      <c r="B54" s="130">
        <v>0</v>
      </c>
      <c r="C54" s="63" t="str">
        <f>IFERROR(B54/VLOOKUP($A54,PoolData!$A$10:$I$32,MATCH("XXX:FSN Ratio",PoolData!$A$10:$I$10,0),0),"")</f>
        <v/>
      </c>
      <c r="D54" s="58" t="str">
        <f>IFERROR(B54/VLOOKUP($A54,PoolData!$A$10:$I$32,MATCH("Coin 1 Pool Size",PoolData!$A$10:$I$10,0),0),"")</f>
        <v/>
      </c>
      <c r="E54" s="63" t="str">
        <f>IFERROR(VLOOKUP($A54,PoolData!$A$10:$I$32,MATCH("ANY Reward % to pool",PoolData!$A$10:$I$10,0),0)*DAILYANY*D54,"")</f>
        <v/>
      </c>
      <c r="F54" s="63" t="str">
        <f>IFERROR(VLOOKUP($A54,PoolData!$A$10:$T$32,MATCH("Trading Volume in FSN",PoolData!$A$10:$T$10,0),0)*FEEREWARDS*D54,"")</f>
        <v/>
      </c>
      <c r="G54" s="63" t="str">
        <f t="shared" si="4"/>
        <v/>
      </c>
      <c r="H54" s="95" t="str">
        <f t="shared" si="5"/>
        <v/>
      </c>
      <c r="I54" s="58" t="str">
        <f t="shared" si="2"/>
        <v/>
      </c>
      <c r="J54" s="42" t="str">
        <f t="shared" si="3"/>
        <v/>
      </c>
      <c r="K54" s="108" t="s">
        <v>130</v>
      </c>
    </row>
    <row r="55" spans="1:11" x14ac:dyDescent="0.25">
      <c r="A55" s="103" t="s">
        <v>169</v>
      </c>
      <c r="B55" s="130">
        <v>0</v>
      </c>
      <c r="C55" s="63" t="str">
        <f>IFERROR(B55/VLOOKUP($A55,PoolData!$A$10:$I$32,MATCH("XXX:FSN Ratio",PoolData!$A$10:$I$10,0),0),"")</f>
        <v/>
      </c>
      <c r="D55" s="58" t="str">
        <f>IFERROR(B55/VLOOKUP($A55,PoolData!$A$10:$I$32,MATCH("Coin 1 Pool Size",PoolData!$A$10:$I$10,0),0),"")</f>
        <v/>
      </c>
      <c r="E55" s="63" t="str">
        <f>IFERROR(VLOOKUP($A55,PoolData!$A$10:$I$32,MATCH("ANY Reward % to pool",PoolData!$A$10:$I$10,0),0)*DAILYANY*D55,"")</f>
        <v/>
      </c>
      <c r="F55" s="63" t="str">
        <f>IFERROR(VLOOKUP($A55,PoolData!$A$10:$T$32,MATCH("Trading Volume in FSN",PoolData!$A$10:$T$10,0),0)*FEEREWARDS*D55,"")</f>
        <v/>
      </c>
      <c r="G55" s="63" t="str">
        <f t="shared" si="4"/>
        <v/>
      </c>
      <c r="H55" s="95" t="str">
        <f t="shared" si="5"/>
        <v/>
      </c>
      <c r="I55" s="58" t="str">
        <f t="shared" si="2"/>
        <v/>
      </c>
      <c r="J55" s="42" t="str">
        <f t="shared" si="3"/>
        <v/>
      </c>
      <c r="K55" s="108" t="s">
        <v>130</v>
      </c>
    </row>
    <row r="56" spans="1:11" x14ac:dyDescent="0.25">
      <c r="A56" s="103" t="s">
        <v>169</v>
      </c>
      <c r="B56" s="130">
        <v>0</v>
      </c>
      <c r="C56" s="63" t="str">
        <f>IFERROR(B56/VLOOKUP($A56,PoolData!$A$10:$I$32,MATCH("XXX:FSN Ratio",PoolData!$A$10:$I$10,0),0),"")</f>
        <v/>
      </c>
      <c r="D56" s="58" t="str">
        <f>IFERROR(B56/VLOOKUP($A56,PoolData!$A$10:$I$32,MATCH("Coin 1 Pool Size",PoolData!$A$10:$I$10,0),0),"")</f>
        <v/>
      </c>
      <c r="E56" s="63" t="str">
        <f>IFERROR(VLOOKUP($A56,PoolData!$A$10:$I$32,MATCH("ANY Reward % to pool",PoolData!$A$10:$I$10,0),0)*DAILYANY*D56,"")</f>
        <v/>
      </c>
      <c r="F56" s="63" t="str">
        <f>IFERROR(VLOOKUP($A56,PoolData!$A$10:$T$32,MATCH("Trading Volume in FSN",PoolData!$A$10:$T$10,0),0)*FEEREWARDS*D56,"")</f>
        <v/>
      </c>
      <c r="G56" s="63" t="str">
        <f t="shared" si="4"/>
        <v/>
      </c>
      <c r="H56" s="95" t="str">
        <f t="shared" si="5"/>
        <v/>
      </c>
      <c r="I56" s="58" t="str">
        <f t="shared" si="2"/>
        <v/>
      </c>
      <c r="J56" s="42" t="str">
        <f t="shared" si="3"/>
        <v/>
      </c>
      <c r="K56" s="108" t="s">
        <v>130</v>
      </c>
    </row>
    <row r="57" spans="1:11" x14ac:dyDescent="0.25">
      <c r="A57" s="103" t="s">
        <v>169</v>
      </c>
      <c r="B57" s="130">
        <v>0</v>
      </c>
      <c r="C57" s="63" t="str">
        <f>IFERROR(B57/VLOOKUP($A57,PoolData!$A$10:$I$32,MATCH("XXX:FSN Ratio",PoolData!$A$10:$I$10,0),0),"")</f>
        <v/>
      </c>
      <c r="D57" s="58" t="str">
        <f>IFERROR(B57/VLOOKUP($A57,PoolData!$A$10:$I$32,MATCH("Coin 1 Pool Size",PoolData!$A$10:$I$10,0),0),"")</f>
        <v/>
      </c>
      <c r="E57" s="63" t="str">
        <f>IFERROR(VLOOKUP($A57,PoolData!$A$10:$I$32,MATCH("ANY Reward % to pool",PoolData!$A$10:$I$10,0),0)*DAILYANY*D57,"")</f>
        <v/>
      </c>
      <c r="F57" s="63" t="str">
        <f>IFERROR(VLOOKUP($A57,PoolData!$A$10:$T$32,MATCH("Trading Volume in FSN",PoolData!$A$10:$T$10,0),0)*FEEREWARDS*D57,"")</f>
        <v/>
      </c>
      <c r="G57" s="63" t="str">
        <f t="shared" si="4"/>
        <v/>
      </c>
      <c r="H57" s="95" t="str">
        <f t="shared" si="5"/>
        <v/>
      </c>
      <c r="I57" s="58" t="str">
        <f t="shared" si="2"/>
        <v/>
      </c>
      <c r="J57" s="42" t="str">
        <f t="shared" si="3"/>
        <v/>
      </c>
      <c r="K57" s="108" t="s">
        <v>130</v>
      </c>
    </row>
    <row r="58" spans="1:11" x14ac:dyDescent="0.25">
      <c r="A58" s="103" t="s">
        <v>169</v>
      </c>
      <c r="B58" s="130">
        <v>0</v>
      </c>
      <c r="C58" s="63" t="str">
        <f>IFERROR(B58/VLOOKUP($A58,PoolData!$A$10:$I$32,MATCH("XXX:FSN Ratio",PoolData!$A$10:$I$10,0),0),"")</f>
        <v/>
      </c>
      <c r="D58" s="58" t="str">
        <f>IFERROR(B58/VLOOKUP($A58,PoolData!$A$10:$I$32,MATCH("Coin 1 Pool Size",PoolData!$A$10:$I$10,0),0),"")</f>
        <v/>
      </c>
      <c r="E58" s="63" t="str">
        <f>IFERROR(VLOOKUP($A58,PoolData!$A$10:$I$32,MATCH("ANY Reward % to pool",PoolData!$A$10:$I$10,0),0)*DAILYANY*D58,"")</f>
        <v/>
      </c>
      <c r="F58" s="63" t="str">
        <f>IFERROR(VLOOKUP($A58,PoolData!$A$10:$T$32,MATCH("Trading Volume in FSN",PoolData!$A$10:$T$10,0),0)*FEEREWARDS*D58,"")</f>
        <v/>
      </c>
      <c r="G58" s="63" t="str">
        <f t="shared" si="4"/>
        <v/>
      </c>
      <c r="H58" s="95" t="str">
        <f t="shared" si="5"/>
        <v/>
      </c>
      <c r="I58" s="58" t="str">
        <f t="shared" si="2"/>
        <v/>
      </c>
      <c r="J58" s="42" t="str">
        <f t="shared" si="3"/>
        <v/>
      </c>
      <c r="K58" s="108" t="s">
        <v>130</v>
      </c>
    </row>
    <row r="59" spans="1:11" x14ac:dyDescent="0.25">
      <c r="A59" s="103" t="s">
        <v>169</v>
      </c>
      <c r="B59" s="130">
        <v>0</v>
      </c>
      <c r="C59" s="63" t="str">
        <f>IFERROR(B59/VLOOKUP($A59,PoolData!$A$10:$I$32,MATCH("XXX:FSN Ratio",PoolData!$A$10:$I$10,0),0),"")</f>
        <v/>
      </c>
      <c r="D59" s="58" t="str">
        <f>IFERROR(B59/VLOOKUP($A59,PoolData!$A$10:$I$32,MATCH("Coin 1 Pool Size",PoolData!$A$10:$I$10,0),0),"")</f>
        <v/>
      </c>
      <c r="E59" s="63" t="str">
        <f>IFERROR(VLOOKUP($A59,PoolData!$A$10:$I$32,MATCH("ANY Reward % to pool",PoolData!$A$10:$I$10,0),0)*DAILYANY*D59,"")</f>
        <v/>
      </c>
      <c r="F59" s="63" t="str">
        <f>IFERROR(VLOOKUP($A59,PoolData!$A$10:$T$32,MATCH("Trading Volume in FSN",PoolData!$A$10:$T$10,0),0)*FEEREWARDS*D59,"")</f>
        <v/>
      </c>
      <c r="G59" s="63" t="str">
        <f t="shared" si="4"/>
        <v/>
      </c>
      <c r="H59" s="95" t="str">
        <f t="shared" si="5"/>
        <v/>
      </c>
      <c r="I59" s="58" t="str">
        <f t="shared" si="2"/>
        <v/>
      </c>
      <c r="J59" s="42" t="str">
        <f t="shared" si="3"/>
        <v/>
      </c>
      <c r="K59" s="108" t="s">
        <v>130</v>
      </c>
    </row>
    <row r="60" spans="1:11" x14ac:dyDescent="0.25">
      <c r="A60" s="103" t="s">
        <v>169</v>
      </c>
      <c r="B60" s="130">
        <v>0</v>
      </c>
      <c r="C60" s="63" t="str">
        <f>IFERROR(B60/VLOOKUP($A60,PoolData!$A$10:$I$32,MATCH("XXX:FSN Ratio",PoolData!$A$10:$I$10,0),0),"")</f>
        <v/>
      </c>
      <c r="D60" s="58" t="str">
        <f>IFERROR(B60/VLOOKUP($A60,PoolData!$A$10:$I$32,MATCH("Coin 1 Pool Size",PoolData!$A$10:$I$10,0),0),"")</f>
        <v/>
      </c>
      <c r="E60" s="63" t="str">
        <f>IFERROR(VLOOKUP($A60,PoolData!$A$10:$I$32,MATCH("ANY Reward % to pool",PoolData!$A$10:$I$10,0),0)*DAILYANY*D60,"")</f>
        <v/>
      </c>
      <c r="F60" s="63" t="str">
        <f>IFERROR(VLOOKUP($A60,PoolData!$A$10:$T$32,MATCH("Trading Volume in FSN",PoolData!$A$10:$T$10,0),0)*FEEREWARDS*D60,"")</f>
        <v/>
      </c>
      <c r="G60" s="63" t="str">
        <f t="shared" si="4"/>
        <v/>
      </c>
      <c r="H60" s="95" t="str">
        <f t="shared" si="5"/>
        <v/>
      </c>
      <c r="I60" s="58" t="str">
        <f t="shared" si="2"/>
        <v/>
      </c>
      <c r="J60" s="42" t="str">
        <f t="shared" si="3"/>
        <v/>
      </c>
      <c r="K60" s="108" t="s">
        <v>130</v>
      </c>
    </row>
    <row r="61" spans="1:11" x14ac:dyDescent="0.25">
      <c r="A61" s="103" t="s">
        <v>169</v>
      </c>
      <c r="B61" s="130">
        <v>0</v>
      </c>
      <c r="C61" s="63" t="str">
        <f>IFERROR(B61/VLOOKUP($A61,PoolData!$A$10:$I$32,MATCH("XXX:FSN Ratio",PoolData!$A$10:$I$10,0),0),"")</f>
        <v/>
      </c>
      <c r="D61" s="58" t="str">
        <f>IFERROR(B61/VLOOKUP($A61,PoolData!$A$10:$I$32,MATCH("Coin 1 Pool Size",PoolData!$A$10:$I$10,0),0),"")</f>
        <v/>
      </c>
      <c r="E61" s="63" t="str">
        <f>IFERROR(VLOOKUP($A61,PoolData!$A$10:$I$32,MATCH("ANY Reward % to pool",PoolData!$A$10:$I$10,0),0)*DAILYANY*D61,"")</f>
        <v/>
      </c>
      <c r="F61" s="63" t="str">
        <f>IFERROR(VLOOKUP($A61,PoolData!$A$10:$T$32,MATCH("Trading Volume in FSN",PoolData!$A$10:$T$10,0),0)*FEEREWARDS*D61,"")</f>
        <v/>
      </c>
      <c r="G61" s="63" t="str">
        <f t="shared" si="4"/>
        <v/>
      </c>
      <c r="H61" s="95" t="str">
        <f t="shared" si="5"/>
        <v/>
      </c>
      <c r="I61" s="58" t="str">
        <f t="shared" si="2"/>
        <v/>
      </c>
      <c r="J61" s="42" t="str">
        <f t="shared" si="3"/>
        <v/>
      </c>
      <c r="K61" s="108" t="s">
        <v>130</v>
      </c>
    </row>
    <row r="62" spans="1:11" x14ac:dyDescent="0.25">
      <c r="A62" s="103" t="s">
        <v>169</v>
      </c>
      <c r="B62" s="130">
        <v>0</v>
      </c>
      <c r="C62" s="63" t="str">
        <f>IFERROR(B62/VLOOKUP($A62,PoolData!$A$10:$I$32,MATCH("XXX:FSN Ratio",PoolData!$A$10:$I$10,0),0),"")</f>
        <v/>
      </c>
      <c r="D62" s="58" t="str">
        <f>IFERROR(B62/VLOOKUP($A62,PoolData!$A$10:$I$32,MATCH("Coin 1 Pool Size",PoolData!$A$10:$I$10,0),0),"")</f>
        <v/>
      </c>
      <c r="E62" s="63" t="str">
        <f>IFERROR(VLOOKUP($A62,PoolData!$A$10:$I$32,MATCH("ANY Reward % to pool",PoolData!$A$10:$I$10,0),0)*DAILYANY*D62,"")</f>
        <v/>
      </c>
      <c r="F62" s="63" t="str">
        <f>IFERROR(VLOOKUP($A62,PoolData!$A$10:$T$32,MATCH("Trading Volume in FSN",PoolData!$A$10:$T$10,0),0)*FEEREWARDS*D62,"")</f>
        <v/>
      </c>
      <c r="G62" s="63" t="str">
        <f t="shared" si="4"/>
        <v/>
      </c>
      <c r="H62" s="95" t="str">
        <f t="shared" si="5"/>
        <v/>
      </c>
      <c r="I62" s="58" t="str">
        <f t="shared" si="2"/>
        <v/>
      </c>
      <c r="J62" s="42" t="str">
        <f t="shared" si="3"/>
        <v/>
      </c>
      <c r="K62" s="108" t="s">
        <v>130</v>
      </c>
    </row>
    <row r="63" spans="1:11" x14ac:dyDescent="0.25">
      <c r="A63" s="103" t="s">
        <v>169</v>
      </c>
      <c r="B63" s="130">
        <v>0</v>
      </c>
      <c r="C63" s="63" t="str">
        <f>IFERROR(B63/VLOOKUP($A63,PoolData!$A$10:$I$32,MATCH("XXX:FSN Ratio",PoolData!$A$10:$I$10,0),0),"")</f>
        <v/>
      </c>
      <c r="D63" s="58" t="str">
        <f>IFERROR(B63/VLOOKUP($A63,PoolData!$A$10:$I$32,MATCH("Coin 1 Pool Size",PoolData!$A$10:$I$10,0),0),"")</f>
        <v/>
      </c>
      <c r="E63" s="63" t="str">
        <f>IFERROR(VLOOKUP($A63,PoolData!$A$10:$I$32,MATCH("ANY Reward % to pool",PoolData!$A$10:$I$10,0),0)*DAILYANY*D63,"")</f>
        <v/>
      </c>
      <c r="F63" s="63" t="str">
        <f>IFERROR(VLOOKUP($A63,PoolData!$A$10:$T$32,MATCH("Trading Volume in FSN",PoolData!$A$10:$T$10,0),0)*FEEREWARDS*D63,"")</f>
        <v/>
      </c>
      <c r="G63" s="63" t="str">
        <f t="shared" si="4"/>
        <v/>
      </c>
      <c r="H63" s="95" t="str">
        <f t="shared" si="5"/>
        <v/>
      </c>
      <c r="I63" s="58" t="str">
        <f t="shared" si="2"/>
        <v/>
      </c>
      <c r="J63" s="42" t="str">
        <f t="shared" si="3"/>
        <v/>
      </c>
      <c r="K63" s="108" t="s">
        <v>130</v>
      </c>
    </row>
    <row r="64" spans="1:11" x14ac:dyDescent="0.25">
      <c r="A64" s="103" t="s">
        <v>169</v>
      </c>
      <c r="B64" s="130">
        <v>0</v>
      </c>
      <c r="C64" s="63" t="str">
        <f>IFERROR(B64/VLOOKUP($A64,PoolData!$A$10:$I$32,MATCH("XXX:FSN Ratio",PoolData!$A$10:$I$10,0),0),"")</f>
        <v/>
      </c>
      <c r="D64" s="58" t="str">
        <f>IFERROR(B64/VLOOKUP($A64,PoolData!$A$10:$I$32,MATCH("Coin 1 Pool Size",PoolData!$A$10:$I$10,0),0),"")</f>
        <v/>
      </c>
      <c r="E64" s="63" t="str">
        <f>IFERROR(VLOOKUP($A64,PoolData!$A$10:$I$32,MATCH("ANY Reward % to pool",PoolData!$A$10:$I$10,0),0)*DAILYANY*D64,"")</f>
        <v/>
      </c>
      <c r="F64" s="63" t="str">
        <f>IFERROR(VLOOKUP($A64,PoolData!$A$10:$T$32,MATCH("Trading Volume in FSN",PoolData!$A$10:$T$10,0),0)*FEEREWARDS*D64,"")</f>
        <v/>
      </c>
      <c r="G64" s="63" t="str">
        <f t="shared" si="4"/>
        <v/>
      </c>
      <c r="H64" s="95" t="str">
        <f t="shared" si="5"/>
        <v/>
      </c>
      <c r="I64" s="58" t="str">
        <f t="shared" si="2"/>
        <v/>
      </c>
      <c r="J64" s="42" t="str">
        <f t="shared" si="3"/>
        <v/>
      </c>
      <c r="K64" s="108" t="s">
        <v>130</v>
      </c>
    </row>
    <row r="65" spans="1:11" x14ac:dyDescent="0.25">
      <c r="A65" s="103" t="s">
        <v>169</v>
      </c>
      <c r="B65" s="130">
        <v>0</v>
      </c>
      <c r="C65" s="63" t="str">
        <f>IFERROR(B65/VLOOKUP($A65,PoolData!$A$10:$I$32,MATCH("XXX:FSN Ratio",PoolData!$A$10:$I$10,0),0),"")</f>
        <v/>
      </c>
      <c r="D65" s="58" t="str">
        <f>IFERROR(B65/VLOOKUP($A65,PoolData!$A$10:$I$32,MATCH("Coin 1 Pool Size",PoolData!$A$10:$I$10,0),0),"")</f>
        <v/>
      </c>
      <c r="E65" s="63" t="str">
        <f>IFERROR(VLOOKUP($A65,PoolData!$A$10:$I$32,MATCH("ANY Reward % to pool",PoolData!$A$10:$I$10,0),0)*DAILYANY*D65,"")</f>
        <v/>
      </c>
      <c r="F65" s="63" t="str">
        <f>IFERROR(VLOOKUP($A65,PoolData!$A$10:$T$32,MATCH("Trading Volume in FSN",PoolData!$A$10:$T$10,0),0)*FEEREWARDS*D65,"")</f>
        <v/>
      </c>
      <c r="G65" s="63" t="str">
        <f t="shared" si="4"/>
        <v/>
      </c>
      <c r="H65" s="95" t="str">
        <f t="shared" si="5"/>
        <v/>
      </c>
      <c r="I65" s="58" t="str">
        <f t="shared" si="2"/>
        <v/>
      </c>
      <c r="J65" s="42" t="str">
        <f t="shared" si="3"/>
        <v/>
      </c>
      <c r="K65" s="108" t="s">
        <v>130</v>
      </c>
    </row>
    <row r="66" spans="1:11" x14ac:dyDescent="0.25">
      <c r="A66" s="103" t="s">
        <v>169</v>
      </c>
      <c r="B66" s="130">
        <v>0</v>
      </c>
      <c r="C66" s="63" t="str">
        <f>IFERROR(B66/VLOOKUP($A66,PoolData!$A$10:$I$32,MATCH("XXX:FSN Ratio",PoolData!$A$10:$I$10,0),0),"")</f>
        <v/>
      </c>
      <c r="D66" s="58" t="str">
        <f>IFERROR(B66/VLOOKUP($A66,PoolData!$A$10:$I$32,MATCH("Coin 1 Pool Size",PoolData!$A$10:$I$10,0),0),"")</f>
        <v/>
      </c>
      <c r="E66" s="63" t="str">
        <f>IFERROR(VLOOKUP($A66,PoolData!$A$10:$I$32,MATCH("ANY Reward % to pool",PoolData!$A$10:$I$10,0),0)*DAILYANY*D66,"")</f>
        <v/>
      </c>
      <c r="F66" s="63" t="str">
        <f>IFERROR(VLOOKUP($A66,PoolData!$A$10:$T$32,MATCH("Trading Volume in FSN",PoolData!$A$10:$T$10,0),0)*FEEREWARDS*D66,"")</f>
        <v/>
      </c>
      <c r="G66" s="63" t="str">
        <f t="shared" si="4"/>
        <v/>
      </c>
      <c r="H66" s="95" t="str">
        <f t="shared" si="5"/>
        <v/>
      </c>
      <c r="I66" s="58" t="str">
        <f t="shared" si="2"/>
        <v/>
      </c>
      <c r="J66" s="42" t="str">
        <f t="shared" si="3"/>
        <v/>
      </c>
      <c r="K66" s="108" t="s">
        <v>130</v>
      </c>
    </row>
    <row r="67" spans="1:11" x14ac:dyDescent="0.25">
      <c r="A67" s="103" t="s">
        <v>169</v>
      </c>
      <c r="B67" s="130">
        <v>0</v>
      </c>
      <c r="C67" s="63" t="str">
        <f>IFERROR(B67/VLOOKUP($A67,PoolData!$A$10:$I$32,MATCH("XXX:FSN Ratio",PoolData!$A$10:$I$10,0),0),"")</f>
        <v/>
      </c>
      <c r="D67" s="58" t="str">
        <f>IFERROR(B67/VLOOKUP($A67,PoolData!$A$10:$I$32,MATCH("Coin 1 Pool Size",PoolData!$A$10:$I$10,0),0),"")</f>
        <v/>
      </c>
      <c r="E67" s="63" t="str">
        <f>IFERROR(VLOOKUP($A67,PoolData!$A$10:$I$32,MATCH("ANY Reward % to pool",PoolData!$A$10:$I$10,0),0)*DAILYANY*D67,"")</f>
        <v/>
      </c>
      <c r="F67" s="63" t="str">
        <f>IFERROR(VLOOKUP($A67,PoolData!$A$10:$T$32,MATCH("Trading Volume in FSN",PoolData!$A$10:$T$10,0),0)*FEEREWARDS*D67,"")</f>
        <v/>
      </c>
      <c r="G67" s="63" t="str">
        <f t="shared" si="4"/>
        <v/>
      </c>
      <c r="H67" s="95" t="str">
        <f t="shared" si="5"/>
        <v/>
      </c>
      <c r="I67" s="58" t="str">
        <f t="shared" si="2"/>
        <v/>
      </c>
      <c r="J67" s="42" t="str">
        <f t="shared" si="3"/>
        <v/>
      </c>
      <c r="K67" s="108" t="s">
        <v>130</v>
      </c>
    </row>
    <row r="68" spans="1:11" x14ac:dyDescent="0.25">
      <c r="A68" s="103" t="s">
        <v>169</v>
      </c>
      <c r="B68" s="130">
        <v>0</v>
      </c>
      <c r="C68" s="63" t="str">
        <f>IFERROR(B68/VLOOKUP($A68,PoolData!$A$10:$I$32,MATCH("XXX:FSN Ratio",PoolData!$A$10:$I$10,0),0),"")</f>
        <v/>
      </c>
      <c r="D68" s="58" t="str">
        <f>IFERROR(B68/VLOOKUP($A68,PoolData!$A$10:$I$32,MATCH("Coin 1 Pool Size",PoolData!$A$10:$I$10,0),0),"")</f>
        <v/>
      </c>
      <c r="E68" s="63" t="str">
        <f>IFERROR(VLOOKUP($A68,PoolData!$A$10:$I$32,MATCH("ANY Reward % to pool",PoolData!$A$10:$I$10,0),0)*DAILYANY*D68,"")</f>
        <v/>
      </c>
      <c r="F68" s="63" t="str">
        <f>IFERROR(VLOOKUP($A68,PoolData!$A$10:$T$32,MATCH("Trading Volume in FSN",PoolData!$A$10:$T$10,0),0)*FEEREWARDS*D68,"")</f>
        <v/>
      </c>
      <c r="G68" s="63" t="str">
        <f t="shared" si="4"/>
        <v/>
      </c>
      <c r="H68" s="95" t="str">
        <f t="shared" si="5"/>
        <v/>
      </c>
      <c r="I68" s="58" t="str">
        <f t="shared" si="2"/>
        <v/>
      </c>
      <c r="J68" s="42" t="str">
        <f t="shared" si="3"/>
        <v/>
      </c>
      <c r="K68" s="108" t="s">
        <v>130</v>
      </c>
    </row>
    <row r="69" spans="1:11" x14ac:dyDescent="0.25">
      <c r="A69" s="103" t="s">
        <v>169</v>
      </c>
      <c r="B69" s="130">
        <v>0</v>
      </c>
      <c r="C69" s="63" t="str">
        <f>IFERROR(B69/VLOOKUP($A69,PoolData!$A$10:$I$32,MATCH("XXX:FSN Ratio",PoolData!$A$10:$I$10,0),0),"")</f>
        <v/>
      </c>
      <c r="D69" s="58" t="str">
        <f>IFERROR(B69/VLOOKUP($A69,PoolData!$A$10:$I$32,MATCH("Coin 1 Pool Size",PoolData!$A$10:$I$10,0),0),"")</f>
        <v/>
      </c>
      <c r="E69" s="63" t="str">
        <f>IFERROR(VLOOKUP($A69,PoolData!$A$10:$I$32,MATCH("ANY Reward % to pool",PoolData!$A$10:$I$10,0),0)*DAILYANY*D69,"")</f>
        <v/>
      </c>
      <c r="F69" s="63" t="str">
        <f>IFERROR(VLOOKUP($A69,PoolData!$A$10:$T$32,MATCH("Trading Volume in FSN",PoolData!$A$10:$T$10,0),0)*FEEREWARDS*D69,"")</f>
        <v/>
      </c>
      <c r="G69" s="63" t="str">
        <f t="shared" si="4"/>
        <v/>
      </c>
      <c r="H69" s="95" t="str">
        <f t="shared" si="5"/>
        <v/>
      </c>
      <c r="I69" s="58" t="str">
        <f t="shared" si="2"/>
        <v/>
      </c>
      <c r="J69" s="42" t="str">
        <f t="shared" si="3"/>
        <v/>
      </c>
      <c r="K69" s="108" t="s">
        <v>130</v>
      </c>
    </row>
    <row r="70" spans="1:11" x14ac:dyDescent="0.25">
      <c r="A70" s="103" t="s">
        <v>169</v>
      </c>
      <c r="B70" s="130">
        <v>0</v>
      </c>
      <c r="C70" s="63" t="str">
        <f>IFERROR(B70/VLOOKUP($A70,PoolData!$A$10:$I$32,MATCH("XXX:FSN Ratio",PoolData!$A$10:$I$10,0),0),"")</f>
        <v/>
      </c>
      <c r="D70" s="58" t="str">
        <f>IFERROR(B70/VLOOKUP($A70,PoolData!$A$10:$I$32,MATCH("Coin 1 Pool Size",PoolData!$A$10:$I$10,0),0),"")</f>
        <v/>
      </c>
      <c r="E70" s="63" t="str">
        <f>IFERROR(VLOOKUP($A70,PoolData!$A$10:$I$32,MATCH("ANY Reward % to pool",PoolData!$A$10:$I$10,0),0)*DAILYANY*D70,"")</f>
        <v/>
      </c>
      <c r="F70" s="63" t="str">
        <f>IFERROR(VLOOKUP($A70,PoolData!$A$10:$T$32,MATCH("Trading Volume in FSN",PoolData!$A$10:$T$10,0),0)*FEEREWARDS*D70,"")</f>
        <v/>
      </c>
      <c r="G70" s="63" t="str">
        <f t="shared" si="4"/>
        <v/>
      </c>
      <c r="H70" s="95" t="str">
        <f t="shared" si="5"/>
        <v/>
      </c>
      <c r="I70" s="58" t="str">
        <f t="shared" si="2"/>
        <v/>
      </c>
      <c r="J70" s="42" t="str">
        <f t="shared" si="3"/>
        <v/>
      </c>
      <c r="K70" s="108" t="s">
        <v>130</v>
      </c>
    </row>
    <row r="71" spans="1:11" x14ac:dyDescent="0.25">
      <c r="A71" s="103" t="s">
        <v>169</v>
      </c>
      <c r="B71" s="130">
        <v>0</v>
      </c>
      <c r="C71" s="63" t="str">
        <f>IFERROR(B71/VLOOKUP($A71,PoolData!$A$10:$I$32,MATCH("XXX:FSN Ratio",PoolData!$A$10:$I$10,0),0),"")</f>
        <v/>
      </c>
      <c r="D71" s="58" t="str">
        <f>IFERROR(B71/VLOOKUP($A71,PoolData!$A$10:$I$32,MATCH("Coin 1 Pool Size",PoolData!$A$10:$I$10,0),0),"")</f>
        <v/>
      </c>
      <c r="E71" s="63" t="str">
        <f>IFERROR(VLOOKUP($A71,PoolData!$A$10:$I$32,MATCH("ANY Reward % to pool",PoolData!$A$10:$I$10,0),0)*DAILYANY*D71,"")</f>
        <v/>
      </c>
      <c r="F71" s="63" t="str">
        <f>IFERROR(VLOOKUP($A71,PoolData!$A$10:$T$32,MATCH("Trading Volume in FSN",PoolData!$A$10:$T$10,0),0)*FEEREWARDS*D71,"")</f>
        <v/>
      </c>
      <c r="G71" s="63" t="str">
        <f t="shared" si="4"/>
        <v/>
      </c>
      <c r="H71" s="95" t="str">
        <f t="shared" si="5"/>
        <v/>
      </c>
      <c r="I71" s="58" t="str">
        <f t="shared" si="2"/>
        <v/>
      </c>
      <c r="J71" s="42" t="str">
        <f t="shared" si="3"/>
        <v/>
      </c>
      <c r="K71" s="108" t="s">
        <v>130</v>
      </c>
    </row>
    <row r="72" spans="1:11" x14ac:dyDescent="0.25">
      <c r="A72" s="103" t="s">
        <v>169</v>
      </c>
      <c r="B72" s="130">
        <v>0</v>
      </c>
      <c r="C72" s="63" t="str">
        <f>IFERROR(B72/VLOOKUP($A72,PoolData!$A$10:$I$32,MATCH("XXX:FSN Ratio",PoolData!$A$10:$I$10,0),0),"")</f>
        <v/>
      </c>
      <c r="D72" s="58" t="str">
        <f>IFERROR(B72/VLOOKUP($A72,PoolData!$A$10:$I$32,MATCH("Coin 1 Pool Size",PoolData!$A$10:$I$10,0),0),"")</f>
        <v/>
      </c>
      <c r="E72" s="63" t="str">
        <f>IFERROR(VLOOKUP($A72,PoolData!$A$10:$I$32,MATCH("ANY Reward % to pool",PoolData!$A$10:$I$10,0),0)*DAILYANY*D72,"")</f>
        <v/>
      </c>
      <c r="F72" s="63" t="str">
        <f>IFERROR(VLOOKUP($A72,PoolData!$A$10:$T$32,MATCH("Trading Volume in FSN",PoolData!$A$10:$T$10,0),0)*FEEREWARDS*D72,"")</f>
        <v/>
      </c>
      <c r="G72" s="63" t="str">
        <f t="shared" si="4"/>
        <v/>
      </c>
      <c r="H72" s="95" t="str">
        <f t="shared" si="5"/>
        <v/>
      </c>
      <c r="I72" s="58" t="str">
        <f t="shared" si="2"/>
        <v/>
      </c>
      <c r="J72" s="42" t="str">
        <f t="shared" si="3"/>
        <v/>
      </c>
      <c r="K72" s="108" t="s">
        <v>130</v>
      </c>
    </row>
    <row r="73" spans="1:11" x14ac:dyDescent="0.25">
      <c r="A73" s="103" t="s">
        <v>169</v>
      </c>
      <c r="B73" s="130">
        <v>0</v>
      </c>
      <c r="C73" s="63" t="str">
        <f>IFERROR(B73/VLOOKUP($A73,PoolData!$A$10:$I$32,MATCH("XXX:FSN Ratio",PoolData!$A$10:$I$10,0),0),"")</f>
        <v/>
      </c>
      <c r="D73" s="58" t="str">
        <f>IFERROR(B73/VLOOKUP($A73,PoolData!$A$10:$I$32,MATCH("Coin 1 Pool Size",PoolData!$A$10:$I$10,0),0),"")</f>
        <v/>
      </c>
      <c r="E73" s="63" t="str">
        <f>IFERROR(VLOOKUP($A73,PoolData!$A$10:$I$32,MATCH("ANY Reward % to pool",PoolData!$A$10:$I$10,0),0)*DAILYANY*D73,"")</f>
        <v/>
      </c>
      <c r="F73" s="63" t="str">
        <f>IFERROR(VLOOKUP($A73,PoolData!$A$10:$T$32,MATCH("Trading Volume in FSN",PoolData!$A$10:$T$10,0),0)*FEEREWARDS*D73,"")</f>
        <v/>
      </c>
      <c r="G73" s="63" t="str">
        <f t="shared" si="4"/>
        <v/>
      </c>
      <c r="H73" s="95" t="str">
        <f t="shared" si="5"/>
        <v/>
      </c>
      <c r="I73" s="58" t="str">
        <f t="shared" si="2"/>
        <v/>
      </c>
      <c r="J73" s="42" t="str">
        <f t="shared" si="3"/>
        <v/>
      </c>
      <c r="K73" s="108" t="s">
        <v>130</v>
      </c>
    </row>
    <row r="74" spans="1:11" x14ac:dyDescent="0.25">
      <c r="A74" s="103" t="s">
        <v>169</v>
      </c>
      <c r="B74" s="130">
        <v>0</v>
      </c>
      <c r="C74" s="63" t="str">
        <f>IFERROR(B74/VLOOKUP($A74,PoolData!$A$10:$I$32,MATCH("XXX:FSN Ratio",PoolData!$A$10:$I$10,0),0),"")</f>
        <v/>
      </c>
      <c r="D74" s="58" t="str">
        <f>IFERROR(B74/VLOOKUP($A74,PoolData!$A$10:$I$32,MATCH("Coin 1 Pool Size",PoolData!$A$10:$I$10,0),0),"")</f>
        <v/>
      </c>
      <c r="E74" s="63" t="str">
        <f>IFERROR(VLOOKUP($A74,PoolData!$A$10:$I$32,MATCH("ANY Reward % to pool",PoolData!$A$10:$I$10,0),0)*DAILYANY*D74,"")</f>
        <v/>
      </c>
      <c r="F74" s="63" t="str">
        <f>IFERROR(VLOOKUP($A74,PoolData!$A$10:$T$32,MATCH("Trading Volume in FSN",PoolData!$A$10:$T$10,0),0)*FEEREWARDS*D74,"")</f>
        <v/>
      </c>
      <c r="G74" s="63" t="str">
        <f t="shared" si="4"/>
        <v/>
      </c>
      <c r="H74" s="95" t="str">
        <f t="shared" si="5"/>
        <v/>
      </c>
      <c r="I74" s="58" t="str">
        <f t="shared" si="2"/>
        <v/>
      </c>
      <c r="J74" s="42" t="str">
        <f t="shared" si="3"/>
        <v/>
      </c>
      <c r="K74" s="108" t="s">
        <v>130</v>
      </c>
    </row>
    <row r="75" spans="1:11" x14ac:dyDescent="0.25">
      <c r="A75" s="103" t="s">
        <v>169</v>
      </c>
      <c r="B75" s="130">
        <v>0</v>
      </c>
      <c r="C75" s="63" t="str">
        <f>IFERROR(B75/VLOOKUP($A75,PoolData!$A$10:$I$32,MATCH("XXX:FSN Ratio",PoolData!$A$10:$I$10,0),0),"")</f>
        <v/>
      </c>
      <c r="D75" s="58" t="str">
        <f>IFERROR(B75/VLOOKUP($A75,PoolData!$A$10:$I$32,MATCH("Coin 1 Pool Size",PoolData!$A$10:$I$10,0),0),"")</f>
        <v/>
      </c>
      <c r="E75" s="63" t="str">
        <f>IFERROR(VLOOKUP($A75,PoolData!$A$10:$I$32,MATCH("ANY Reward % to pool",PoolData!$A$10:$I$10,0),0)*DAILYANY*D75,"")</f>
        <v/>
      </c>
      <c r="F75" s="63" t="str">
        <f>IFERROR(VLOOKUP($A75,PoolData!$A$10:$T$32,MATCH("Trading Volume in FSN",PoolData!$A$10:$T$10,0),0)*FEEREWARDS*D75,"")</f>
        <v/>
      </c>
      <c r="G75" s="63" t="str">
        <f t="shared" si="4"/>
        <v/>
      </c>
      <c r="H75" s="95" t="str">
        <f t="shared" si="5"/>
        <v/>
      </c>
      <c r="I75" s="58" t="str">
        <f t="shared" si="2"/>
        <v/>
      </c>
      <c r="J75" s="42" t="str">
        <f t="shared" si="3"/>
        <v/>
      </c>
      <c r="K75" s="108" t="s">
        <v>130</v>
      </c>
    </row>
    <row r="76" spans="1:11" x14ac:dyDescent="0.25">
      <c r="A76" s="103" t="s">
        <v>169</v>
      </c>
      <c r="B76" s="130">
        <v>0</v>
      </c>
      <c r="C76" s="63" t="str">
        <f>IFERROR(B76/VLOOKUP($A76,PoolData!$A$10:$I$32,MATCH("XXX:FSN Ratio",PoolData!$A$10:$I$10,0),0),"")</f>
        <v/>
      </c>
      <c r="D76" s="58" t="str">
        <f>IFERROR(B76/VLOOKUP($A76,PoolData!$A$10:$I$32,MATCH("Coin 1 Pool Size",PoolData!$A$10:$I$10,0),0),"")</f>
        <v/>
      </c>
      <c r="E76" s="63" t="str">
        <f>IFERROR(VLOOKUP($A76,PoolData!$A$10:$I$32,MATCH("ANY Reward % to pool",PoolData!$A$10:$I$10,0),0)*DAILYANY*D76,"")</f>
        <v/>
      </c>
      <c r="F76" s="63" t="str">
        <f>IFERROR(VLOOKUP($A76,PoolData!$A$10:$T$32,MATCH("Trading Volume in FSN",PoolData!$A$10:$T$10,0),0)*FEEREWARDS*D76,"")</f>
        <v/>
      </c>
      <c r="G76" s="63" t="str">
        <f t="shared" si="4"/>
        <v/>
      </c>
      <c r="H76" s="95" t="str">
        <f t="shared" si="5"/>
        <v/>
      </c>
      <c r="I76" s="58" t="str">
        <f t="shared" si="2"/>
        <v/>
      </c>
      <c r="J76" s="42" t="str">
        <f t="shared" si="3"/>
        <v/>
      </c>
      <c r="K76" s="108" t="s">
        <v>130</v>
      </c>
    </row>
    <row r="77" spans="1:11" x14ac:dyDescent="0.25">
      <c r="A77" s="103" t="s">
        <v>169</v>
      </c>
      <c r="B77" s="130">
        <v>0</v>
      </c>
      <c r="C77" s="63" t="str">
        <f>IFERROR(B77/VLOOKUP($A77,PoolData!$A$10:$I$32,MATCH("XXX:FSN Ratio",PoolData!$A$10:$I$10,0),0),"")</f>
        <v/>
      </c>
      <c r="D77" s="58" t="str">
        <f>IFERROR(B77/VLOOKUP($A77,PoolData!$A$10:$I$32,MATCH("Coin 1 Pool Size",PoolData!$A$10:$I$10,0),0),"")</f>
        <v/>
      </c>
      <c r="E77" s="63" t="str">
        <f>IFERROR(VLOOKUP($A77,PoolData!$A$10:$I$32,MATCH("ANY Reward % to pool",PoolData!$A$10:$I$10,0),0)*DAILYANY*D77,"")</f>
        <v/>
      </c>
      <c r="F77" s="63" t="str">
        <f>IFERROR(VLOOKUP($A77,PoolData!$A$10:$T$32,MATCH("Trading Volume in FSN",PoolData!$A$10:$T$10,0),0)*FEEREWARDS*D77,"")</f>
        <v/>
      </c>
      <c r="G77" s="63" t="str">
        <f t="shared" ref="G77:G100" si="6">IFERROR(F77+E77*ANYFSN,"")</f>
        <v/>
      </c>
      <c r="H77" s="95" t="str">
        <f t="shared" ref="H77:H100" si="7">IFERROR(G77*FSNPRICE,"")</f>
        <v/>
      </c>
      <c r="I77" s="58" t="str">
        <f t="shared" si="2"/>
        <v/>
      </c>
      <c r="J77" s="42" t="str">
        <f t="shared" si="3"/>
        <v/>
      </c>
      <c r="K77" s="108" t="s">
        <v>130</v>
      </c>
    </row>
    <row r="78" spans="1:11" x14ac:dyDescent="0.25">
      <c r="A78" s="103" t="s">
        <v>169</v>
      </c>
      <c r="B78" s="130">
        <v>0</v>
      </c>
      <c r="C78" s="63" t="str">
        <f>IFERROR(B78/VLOOKUP($A78,PoolData!$A$10:$I$32,MATCH("XXX:FSN Ratio",PoolData!$A$10:$I$10,0),0),"")</f>
        <v/>
      </c>
      <c r="D78" s="58" t="str">
        <f>IFERROR(B78/VLOOKUP($A78,PoolData!$A$10:$I$32,MATCH("Coin 1 Pool Size",PoolData!$A$10:$I$10,0),0),"")</f>
        <v/>
      </c>
      <c r="E78" s="63" t="str">
        <f>IFERROR(VLOOKUP($A78,PoolData!$A$10:$I$32,MATCH("ANY Reward % to pool",PoolData!$A$10:$I$10,0),0)*DAILYANY*D78,"")</f>
        <v/>
      </c>
      <c r="F78" s="63" t="str">
        <f>IFERROR(VLOOKUP($A78,PoolData!$A$10:$T$32,MATCH("Trading Volume in FSN",PoolData!$A$10:$T$10,0),0)*FEEREWARDS*D78,"")</f>
        <v/>
      </c>
      <c r="G78" s="63" t="str">
        <f t="shared" si="6"/>
        <v/>
      </c>
      <c r="H78" s="95" t="str">
        <f t="shared" si="7"/>
        <v/>
      </c>
      <c r="I78" s="58" t="str">
        <f t="shared" ref="I78:I100" si="8">IFERROR(G78/(2*B78),"")</f>
        <v/>
      </c>
      <c r="J78" s="42" t="str">
        <f t="shared" ref="J78:J100" si="9">IFERROR(I78*365,"")</f>
        <v/>
      </c>
      <c r="K78" s="108" t="s">
        <v>130</v>
      </c>
    </row>
    <row r="79" spans="1:11" x14ac:dyDescent="0.25">
      <c r="A79" s="103" t="s">
        <v>169</v>
      </c>
      <c r="B79" s="130">
        <v>0</v>
      </c>
      <c r="C79" s="63" t="str">
        <f>IFERROR(B79/VLOOKUP($A79,PoolData!$A$10:$I$32,MATCH("XXX:FSN Ratio",PoolData!$A$10:$I$10,0),0),"")</f>
        <v/>
      </c>
      <c r="D79" s="58" t="str">
        <f>IFERROR(B79/VLOOKUP($A79,PoolData!$A$10:$I$32,MATCH("Coin 1 Pool Size",PoolData!$A$10:$I$10,0),0),"")</f>
        <v/>
      </c>
      <c r="E79" s="63" t="str">
        <f>IFERROR(VLOOKUP($A79,PoolData!$A$10:$I$32,MATCH("ANY Reward % to pool",PoolData!$A$10:$I$10,0),0)*DAILYANY*D79,"")</f>
        <v/>
      </c>
      <c r="F79" s="63" t="str">
        <f>IFERROR(VLOOKUP($A79,PoolData!$A$10:$T$32,MATCH("Trading Volume in FSN",PoolData!$A$10:$T$10,0),0)*FEEREWARDS*D79,"")</f>
        <v/>
      </c>
      <c r="G79" s="63" t="str">
        <f t="shared" si="6"/>
        <v/>
      </c>
      <c r="H79" s="95" t="str">
        <f t="shared" si="7"/>
        <v/>
      </c>
      <c r="I79" s="58" t="str">
        <f t="shared" si="8"/>
        <v/>
      </c>
      <c r="J79" s="42" t="str">
        <f t="shared" si="9"/>
        <v/>
      </c>
      <c r="K79" s="108" t="s">
        <v>130</v>
      </c>
    </row>
    <row r="80" spans="1:11" x14ac:dyDescent="0.25">
      <c r="A80" s="103" t="s">
        <v>169</v>
      </c>
      <c r="B80" s="130">
        <v>0</v>
      </c>
      <c r="C80" s="63" t="str">
        <f>IFERROR(B80/VLOOKUP($A80,PoolData!$A$10:$I$32,MATCH("XXX:FSN Ratio",PoolData!$A$10:$I$10,0),0),"")</f>
        <v/>
      </c>
      <c r="D80" s="58" t="str">
        <f>IFERROR(B80/VLOOKUP($A80,PoolData!$A$10:$I$32,MATCH("Coin 1 Pool Size",PoolData!$A$10:$I$10,0),0),"")</f>
        <v/>
      </c>
      <c r="E80" s="63" t="str">
        <f>IFERROR(VLOOKUP($A80,PoolData!$A$10:$I$32,MATCH("ANY Reward % to pool",PoolData!$A$10:$I$10,0),0)*DAILYANY*D80,"")</f>
        <v/>
      </c>
      <c r="F80" s="63" t="str">
        <f>IFERROR(VLOOKUP($A80,PoolData!$A$10:$T$32,MATCH("Trading Volume in FSN",PoolData!$A$10:$T$10,0),0)*FEEREWARDS*D80,"")</f>
        <v/>
      </c>
      <c r="G80" s="63" t="str">
        <f t="shared" si="6"/>
        <v/>
      </c>
      <c r="H80" s="95" t="str">
        <f t="shared" si="7"/>
        <v/>
      </c>
      <c r="I80" s="58" t="str">
        <f t="shared" si="8"/>
        <v/>
      </c>
      <c r="J80" s="42" t="str">
        <f t="shared" si="9"/>
        <v/>
      </c>
      <c r="K80" s="108" t="s">
        <v>130</v>
      </c>
    </row>
    <row r="81" spans="1:11" x14ac:dyDescent="0.25">
      <c r="A81" s="103" t="s">
        <v>169</v>
      </c>
      <c r="B81" s="130">
        <v>0</v>
      </c>
      <c r="C81" s="63" t="str">
        <f>IFERROR(B81/VLOOKUP($A81,PoolData!$A$10:$I$32,MATCH("XXX:FSN Ratio",PoolData!$A$10:$I$10,0),0),"")</f>
        <v/>
      </c>
      <c r="D81" s="58" t="str">
        <f>IFERROR(B81/VLOOKUP($A81,PoolData!$A$10:$I$32,MATCH("Coin 1 Pool Size",PoolData!$A$10:$I$10,0),0),"")</f>
        <v/>
      </c>
      <c r="E81" s="63" t="str">
        <f>IFERROR(VLOOKUP($A81,PoolData!$A$10:$I$32,MATCH("ANY Reward % to pool",PoolData!$A$10:$I$10,0),0)*DAILYANY*D81,"")</f>
        <v/>
      </c>
      <c r="F81" s="63" t="str">
        <f>IFERROR(VLOOKUP($A81,PoolData!$A$10:$T$32,MATCH("Trading Volume in FSN",PoolData!$A$10:$T$10,0),0)*FEEREWARDS*D81,"")</f>
        <v/>
      </c>
      <c r="G81" s="63" t="str">
        <f t="shared" si="6"/>
        <v/>
      </c>
      <c r="H81" s="95" t="str">
        <f t="shared" si="7"/>
        <v/>
      </c>
      <c r="I81" s="58" t="str">
        <f t="shared" si="8"/>
        <v/>
      </c>
      <c r="J81" s="42" t="str">
        <f t="shared" si="9"/>
        <v/>
      </c>
      <c r="K81" s="108" t="s">
        <v>130</v>
      </c>
    </row>
    <row r="82" spans="1:11" x14ac:dyDescent="0.25">
      <c r="A82" s="103" t="s">
        <v>169</v>
      </c>
      <c r="B82" s="130">
        <v>0</v>
      </c>
      <c r="C82" s="63" t="str">
        <f>IFERROR(B82/VLOOKUP($A82,PoolData!$A$10:$I$32,MATCH("XXX:FSN Ratio",PoolData!$A$10:$I$10,0),0),"")</f>
        <v/>
      </c>
      <c r="D82" s="58" t="str">
        <f>IFERROR(B82/VLOOKUP($A82,PoolData!$A$10:$I$32,MATCH("Coin 1 Pool Size",PoolData!$A$10:$I$10,0),0),"")</f>
        <v/>
      </c>
      <c r="E82" s="63" t="str">
        <f>IFERROR(VLOOKUP($A82,PoolData!$A$10:$I$32,MATCH("ANY Reward % to pool",PoolData!$A$10:$I$10,0),0)*DAILYANY*D82,"")</f>
        <v/>
      </c>
      <c r="F82" s="63" t="str">
        <f>IFERROR(VLOOKUP($A82,PoolData!$A$10:$T$32,MATCH("Trading Volume in FSN",PoolData!$A$10:$T$10,0),0)*FEEREWARDS*D82,"")</f>
        <v/>
      </c>
      <c r="G82" s="63" t="str">
        <f t="shared" si="6"/>
        <v/>
      </c>
      <c r="H82" s="95" t="str">
        <f t="shared" si="7"/>
        <v/>
      </c>
      <c r="I82" s="58" t="str">
        <f t="shared" si="8"/>
        <v/>
      </c>
      <c r="J82" s="42" t="str">
        <f t="shared" si="9"/>
        <v/>
      </c>
      <c r="K82" s="108" t="s">
        <v>130</v>
      </c>
    </row>
    <row r="83" spans="1:11" x14ac:dyDescent="0.25">
      <c r="A83" s="103" t="s">
        <v>169</v>
      </c>
      <c r="B83" s="130">
        <v>0</v>
      </c>
      <c r="C83" s="63" t="str">
        <f>IFERROR(B83/VLOOKUP($A83,PoolData!$A$10:$I$32,MATCH("XXX:FSN Ratio",PoolData!$A$10:$I$10,0),0),"")</f>
        <v/>
      </c>
      <c r="D83" s="58" t="str">
        <f>IFERROR(B83/VLOOKUP($A83,PoolData!$A$10:$I$32,MATCH("Coin 1 Pool Size",PoolData!$A$10:$I$10,0),0),"")</f>
        <v/>
      </c>
      <c r="E83" s="63" t="str">
        <f>IFERROR(VLOOKUP($A83,PoolData!$A$10:$I$32,MATCH("ANY Reward % to pool",PoolData!$A$10:$I$10,0),0)*DAILYANY*D83,"")</f>
        <v/>
      </c>
      <c r="F83" s="63" t="str">
        <f>IFERROR(VLOOKUP($A83,PoolData!$A$10:$T$32,MATCH("Trading Volume in FSN",PoolData!$A$10:$T$10,0),0)*FEEREWARDS*D83,"")</f>
        <v/>
      </c>
      <c r="G83" s="63" t="str">
        <f t="shared" si="6"/>
        <v/>
      </c>
      <c r="H83" s="95" t="str">
        <f t="shared" si="7"/>
        <v/>
      </c>
      <c r="I83" s="58" t="str">
        <f t="shared" si="8"/>
        <v/>
      </c>
      <c r="J83" s="42" t="str">
        <f t="shared" si="9"/>
        <v/>
      </c>
      <c r="K83" s="108" t="s">
        <v>130</v>
      </c>
    </row>
    <row r="84" spans="1:11" x14ac:dyDescent="0.25">
      <c r="A84" s="103" t="s">
        <v>169</v>
      </c>
      <c r="B84" s="130">
        <v>0</v>
      </c>
      <c r="C84" s="63" t="str">
        <f>IFERROR(B84/VLOOKUP($A84,PoolData!$A$10:$I$32,MATCH("XXX:FSN Ratio",PoolData!$A$10:$I$10,0),0),"")</f>
        <v/>
      </c>
      <c r="D84" s="58" t="str">
        <f>IFERROR(B84/VLOOKUP($A84,PoolData!$A$10:$I$32,MATCH("Coin 1 Pool Size",PoolData!$A$10:$I$10,0),0),"")</f>
        <v/>
      </c>
      <c r="E84" s="63" t="str">
        <f>IFERROR(VLOOKUP($A84,PoolData!$A$10:$I$32,MATCH("ANY Reward % to pool",PoolData!$A$10:$I$10,0),0)*DAILYANY*D84,"")</f>
        <v/>
      </c>
      <c r="F84" s="63" t="str">
        <f>IFERROR(VLOOKUP($A84,PoolData!$A$10:$T$32,MATCH("Trading Volume in FSN",PoolData!$A$10:$T$10,0),0)*FEEREWARDS*D84,"")</f>
        <v/>
      </c>
      <c r="G84" s="63" t="str">
        <f t="shared" si="6"/>
        <v/>
      </c>
      <c r="H84" s="95" t="str">
        <f t="shared" si="7"/>
        <v/>
      </c>
      <c r="I84" s="58" t="str">
        <f t="shared" si="8"/>
        <v/>
      </c>
      <c r="J84" s="42" t="str">
        <f t="shared" si="9"/>
        <v/>
      </c>
      <c r="K84" s="108" t="s">
        <v>130</v>
      </c>
    </row>
    <row r="85" spans="1:11" x14ac:dyDescent="0.25">
      <c r="A85" s="103" t="s">
        <v>169</v>
      </c>
      <c r="B85" s="130">
        <v>0</v>
      </c>
      <c r="C85" s="63" t="str">
        <f>IFERROR(B85/VLOOKUP($A85,PoolData!$A$10:$I$32,MATCH("XXX:FSN Ratio",PoolData!$A$10:$I$10,0),0),"")</f>
        <v/>
      </c>
      <c r="D85" s="58" t="str">
        <f>IFERROR(B85/VLOOKUP($A85,PoolData!$A$10:$I$32,MATCH("Coin 1 Pool Size",PoolData!$A$10:$I$10,0),0),"")</f>
        <v/>
      </c>
      <c r="E85" s="63" t="str">
        <f>IFERROR(VLOOKUP($A85,PoolData!$A$10:$I$32,MATCH("ANY Reward % to pool",PoolData!$A$10:$I$10,0),0)*DAILYANY*D85,"")</f>
        <v/>
      </c>
      <c r="F85" s="63" t="str">
        <f>IFERROR(VLOOKUP($A85,PoolData!$A$10:$T$32,MATCH("Trading Volume in FSN",PoolData!$A$10:$T$10,0),0)*FEEREWARDS*D85,"")</f>
        <v/>
      </c>
      <c r="G85" s="63" t="str">
        <f t="shared" si="6"/>
        <v/>
      </c>
      <c r="H85" s="95" t="str">
        <f t="shared" si="7"/>
        <v/>
      </c>
      <c r="I85" s="58" t="str">
        <f t="shared" si="8"/>
        <v/>
      </c>
      <c r="J85" s="42" t="str">
        <f t="shared" si="9"/>
        <v/>
      </c>
      <c r="K85" s="108" t="s">
        <v>130</v>
      </c>
    </row>
    <row r="86" spans="1:11" x14ac:dyDescent="0.25">
      <c r="A86" s="103" t="s">
        <v>169</v>
      </c>
      <c r="B86" s="130">
        <v>0</v>
      </c>
      <c r="C86" s="63" t="str">
        <f>IFERROR(B86/VLOOKUP($A86,PoolData!$A$10:$I$32,MATCH("XXX:FSN Ratio",PoolData!$A$10:$I$10,0),0),"")</f>
        <v/>
      </c>
      <c r="D86" s="58" t="str">
        <f>IFERROR(B86/VLOOKUP($A86,PoolData!$A$10:$I$32,MATCH("Coin 1 Pool Size",PoolData!$A$10:$I$10,0),0),"")</f>
        <v/>
      </c>
      <c r="E86" s="63" t="str">
        <f>IFERROR(VLOOKUP($A86,PoolData!$A$10:$I$32,MATCH("ANY Reward % to pool",PoolData!$A$10:$I$10,0),0)*DAILYANY*D86,"")</f>
        <v/>
      </c>
      <c r="F86" s="63" t="str">
        <f>IFERROR(VLOOKUP($A86,PoolData!$A$10:$T$32,MATCH("Trading Volume in FSN",PoolData!$A$10:$T$10,0),0)*FEEREWARDS*D86,"")</f>
        <v/>
      </c>
      <c r="G86" s="63" t="str">
        <f t="shared" si="6"/>
        <v/>
      </c>
      <c r="H86" s="95" t="str">
        <f t="shared" si="7"/>
        <v/>
      </c>
      <c r="I86" s="58" t="str">
        <f t="shared" si="8"/>
        <v/>
      </c>
      <c r="J86" s="42" t="str">
        <f t="shared" si="9"/>
        <v/>
      </c>
      <c r="K86" s="108" t="s">
        <v>130</v>
      </c>
    </row>
    <row r="87" spans="1:11" x14ac:dyDescent="0.25">
      <c r="A87" s="103" t="s">
        <v>169</v>
      </c>
      <c r="B87" s="130">
        <v>0</v>
      </c>
      <c r="C87" s="63" t="str">
        <f>IFERROR(B87/VLOOKUP($A87,PoolData!$A$10:$I$32,MATCH("XXX:FSN Ratio",PoolData!$A$10:$I$10,0),0),"")</f>
        <v/>
      </c>
      <c r="D87" s="58" t="str">
        <f>IFERROR(B87/VLOOKUP($A87,PoolData!$A$10:$I$32,MATCH("Coin 1 Pool Size",PoolData!$A$10:$I$10,0),0),"")</f>
        <v/>
      </c>
      <c r="E87" s="63" t="str">
        <f>IFERROR(VLOOKUP($A87,PoolData!$A$10:$I$32,MATCH("ANY Reward % to pool",PoolData!$A$10:$I$10,0),0)*DAILYANY*D87,"")</f>
        <v/>
      </c>
      <c r="F87" s="63" t="str">
        <f>IFERROR(VLOOKUP($A87,PoolData!$A$10:$T$32,MATCH("Trading Volume in FSN",PoolData!$A$10:$T$10,0),0)*FEEREWARDS*D87,"")</f>
        <v/>
      </c>
      <c r="G87" s="63" t="str">
        <f t="shared" si="6"/>
        <v/>
      </c>
      <c r="H87" s="95" t="str">
        <f t="shared" si="7"/>
        <v/>
      </c>
      <c r="I87" s="58" t="str">
        <f t="shared" si="8"/>
        <v/>
      </c>
      <c r="J87" s="42" t="str">
        <f t="shared" si="9"/>
        <v/>
      </c>
      <c r="K87" s="108" t="s">
        <v>130</v>
      </c>
    </row>
    <row r="88" spans="1:11" x14ac:dyDescent="0.25">
      <c r="A88" s="103" t="s">
        <v>169</v>
      </c>
      <c r="B88" s="130">
        <v>0</v>
      </c>
      <c r="C88" s="63" t="str">
        <f>IFERROR(B88/VLOOKUP($A88,PoolData!$A$10:$I$32,MATCH("XXX:FSN Ratio",PoolData!$A$10:$I$10,0),0),"")</f>
        <v/>
      </c>
      <c r="D88" s="58" t="str">
        <f>IFERROR(B88/VLOOKUP($A88,PoolData!$A$10:$I$32,MATCH("Coin 1 Pool Size",PoolData!$A$10:$I$10,0),0),"")</f>
        <v/>
      </c>
      <c r="E88" s="63" t="str">
        <f>IFERROR(VLOOKUP($A88,PoolData!$A$10:$I$32,MATCH("ANY Reward % to pool",PoolData!$A$10:$I$10,0),0)*DAILYANY*D88,"")</f>
        <v/>
      </c>
      <c r="F88" s="63" t="str">
        <f>IFERROR(VLOOKUP($A88,PoolData!$A$10:$T$32,MATCH("Trading Volume in FSN",PoolData!$A$10:$T$10,0),0)*FEEREWARDS*D88,"")</f>
        <v/>
      </c>
      <c r="G88" s="63" t="str">
        <f t="shared" si="6"/>
        <v/>
      </c>
      <c r="H88" s="95" t="str">
        <f t="shared" si="7"/>
        <v/>
      </c>
      <c r="I88" s="58" t="str">
        <f t="shared" si="8"/>
        <v/>
      </c>
      <c r="J88" s="42" t="str">
        <f t="shared" si="9"/>
        <v/>
      </c>
      <c r="K88" s="108" t="s">
        <v>130</v>
      </c>
    </row>
    <row r="89" spans="1:11" x14ac:dyDescent="0.25">
      <c r="A89" s="103" t="s">
        <v>169</v>
      </c>
      <c r="B89" s="130">
        <v>0</v>
      </c>
      <c r="C89" s="63" t="str">
        <f>IFERROR(B89/VLOOKUP($A89,PoolData!$A$10:$I$32,MATCH("XXX:FSN Ratio",PoolData!$A$10:$I$10,0),0),"")</f>
        <v/>
      </c>
      <c r="D89" s="58" t="str">
        <f>IFERROR(B89/VLOOKUP($A89,PoolData!$A$10:$I$32,MATCH("Coin 1 Pool Size",PoolData!$A$10:$I$10,0),0),"")</f>
        <v/>
      </c>
      <c r="E89" s="63" t="str">
        <f>IFERROR(VLOOKUP($A89,PoolData!$A$10:$I$32,MATCH("ANY Reward % to pool",PoolData!$A$10:$I$10,0),0)*DAILYANY*D89,"")</f>
        <v/>
      </c>
      <c r="F89" s="63" t="str">
        <f>IFERROR(VLOOKUP($A89,PoolData!$A$10:$T$32,MATCH("Trading Volume in FSN",PoolData!$A$10:$T$10,0),0)*FEEREWARDS*D89,"")</f>
        <v/>
      </c>
      <c r="G89" s="63" t="str">
        <f t="shared" si="6"/>
        <v/>
      </c>
      <c r="H89" s="95" t="str">
        <f t="shared" si="7"/>
        <v/>
      </c>
      <c r="I89" s="58" t="str">
        <f t="shared" si="8"/>
        <v/>
      </c>
      <c r="J89" s="42" t="str">
        <f t="shared" si="9"/>
        <v/>
      </c>
      <c r="K89" s="108" t="s">
        <v>130</v>
      </c>
    </row>
    <row r="90" spans="1:11" x14ac:dyDescent="0.25">
      <c r="A90" s="103" t="s">
        <v>169</v>
      </c>
      <c r="B90" s="130">
        <v>0</v>
      </c>
      <c r="C90" s="63" t="str">
        <f>IFERROR(B90/VLOOKUP($A90,PoolData!$A$10:$I$32,MATCH("XXX:FSN Ratio",PoolData!$A$10:$I$10,0),0),"")</f>
        <v/>
      </c>
      <c r="D90" s="58" t="str">
        <f>IFERROR(B90/VLOOKUP($A90,PoolData!$A$10:$I$32,MATCH("Coin 1 Pool Size",PoolData!$A$10:$I$10,0),0),"")</f>
        <v/>
      </c>
      <c r="E90" s="63" t="str">
        <f>IFERROR(VLOOKUP($A90,PoolData!$A$10:$I$32,MATCH("ANY Reward % to pool",PoolData!$A$10:$I$10,0),0)*DAILYANY*D90,"")</f>
        <v/>
      </c>
      <c r="F90" s="63" t="str">
        <f>IFERROR(VLOOKUP($A90,PoolData!$A$10:$T$32,MATCH("Trading Volume in FSN",PoolData!$A$10:$T$10,0),0)*FEEREWARDS*D90,"")</f>
        <v/>
      </c>
      <c r="G90" s="63" t="str">
        <f t="shared" si="6"/>
        <v/>
      </c>
      <c r="H90" s="95" t="str">
        <f t="shared" si="7"/>
        <v/>
      </c>
      <c r="I90" s="58" t="str">
        <f t="shared" si="8"/>
        <v/>
      </c>
      <c r="J90" s="42" t="str">
        <f t="shared" si="9"/>
        <v/>
      </c>
      <c r="K90" s="108" t="s">
        <v>130</v>
      </c>
    </row>
    <row r="91" spans="1:11" x14ac:dyDescent="0.25">
      <c r="A91" s="103" t="s">
        <v>169</v>
      </c>
      <c r="B91" s="130">
        <v>0</v>
      </c>
      <c r="C91" s="63" t="str">
        <f>IFERROR(B91/VLOOKUP($A91,PoolData!$A$10:$I$32,MATCH("XXX:FSN Ratio",PoolData!$A$10:$I$10,0),0),"")</f>
        <v/>
      </c>
      <c r="D91" s="58" t="str">
        <f>IFERROR(B91/VLOOKUP($A91,PoolData!$A$10:$I$32,MATCH("Coin 1 Pool Size",PoolData!$A$10:$I$10,0),0),"")</f>
        <v/>
      </c>
      <c r="E91" s="63" t="str">
        <f>IFERROR(VLOOKUP($A91,PoolData!$A$10:$I$32,MATCH("ANY Reward % to pool",PoolData!$A$10:$I$10,0),0)*DAILYANY*D91,"")</f>
        <v/>
      </c>
      <c r="F91" s="63" t="str">
        <f>IFERROR(VLOOKUP($A91,PoolData!$A$10:$T$32,MATCH("Trading Volume in FSN",PoolData!$A$10:$T$10,0),0)*FEEREWARDS*D91,"")</f>
        <v/>
      </c>
      <c r="G91" s="63" t="str">
        <f t="shared" si="6"/>
        <v/>
      </c>
      <c r="H91" s="95" t="str">
        <f t="shared" si="7"/>
        <v/>
      </c>
      <c r="I91" s="58" t="str">
        <f t="shared" si="8"/>
        <v/>
      </c>
      <c r="J91" s="42" t="str">
        <f t="shared" si="9"/>
        <v/>
      </c>
      <c r="K91" s="108" t="s">
        <v>130</v>
      </c>
    </row>
    <row r="92" spans="1:11" x14ac:dyDescent="0.25">
      <c r="A92" s="103" t="s">
        <v>169</v>
      </c>
      <c r="B92" s="130">
        <v>0</v>
      </c>
      <c r="C92" s="63" t="str">
        <f>IFERROR(B92/VLOOKUP($A92,PoolData!$A$10:$I$32,MATCH("XXX:FSN Ratio",PoolData!$A$10:$I$10,0),0),"")</f>
        <v/>
      </c>
      <c r="D92" s="58" t="str">
        <f>IFERROR(B92/VLOOKUP($A92,PoolData!$A$10:$I$32,MATCH("Coin 1 Pool Size",PoolData!$A$10:$I$10,0),0),"")</f>
        <v/>
      </c>
      <c r="E92" s="63" t="str">
        <f>IFERROR(VLOOKUP($A92,PoolData!$A$10:$I$32,MATCH("ANY Reward % to pool",PoolData!$A$10:$I$10,0),0)*DAILYANY*D92,"")</f>
        <v/>
      </c>
      <c r="F92" s="63" t="str">
        <f>IFERROR(VLOOKUP($A92,PoolData!$A$10:$T$32,MATCH("Trading Volume in FSN",PoolData!$A$10:$T$10,0),0)*FEEREWARDS*D92,"")</f>
        <v/>
      </c>
      <c r="G92" s="63" t="str">
        <f t="shared" si="6"/>
        <v/>
      </c>
      <c r="H92" s="95" t="str">
        <f t="shared" si="7"/>
        <v/>
      </c>
      <c r="I92" s="58" t="str">
        <f t="shared" si="8"/>
        <v/>
      </c>
      <c r="J92" s="42" t="str">
        <f t="shared" si="9"/>
        <v/>
      </c>
      <c r="K92" s="108" t="s">
        <v>130</v>
      </c>
    </row>
    <row r="93" spans="1:11" x14ac:dyDescent="0.25">
      <c r="A93" s="103" t="s">
        <v>169</v>
      </c>
      <c r="B93" s="130">
        <v>0</v>
      </c>
      <c r="C93" s="63" t="str">
        <f>IFERROR(B93/VLOOKUP($A93,PoolData!$A$10:$I$32,MATCH("XXX:FSN Ratio",PoolData!$A$10:$I$10,0),0),"")</f>
        <v/>
      </c>
      <c r="D93" s="58" t="str">
        <f>IFERROR(B93/VLOOKUP($A93,PoolData!$A$10:$I$32,MATCH("Coin 1 Pool Size",PoolData!$A$10:$I$10,0),0),"")</f>
        <v/>
      </c>
      <c r="E93" s="63" t="str">
        <f>IFERROR(VLOOKUP($A93,PoolData!$A$10:$I$32,MATCH("ANY Reward % to pool",PoolData!$A$10:$I$10,0),0)*DAILYANY*D93,"")</f>
        <v/>
      </c>
      <c r="F93" s="63" t="str">
        <f>IFERROR(VLOOKUP($A93,PoolData!$A$10:$T$32,MATCH("Trading Volume in FSN",PoolData!$A$10:$T$10,0),0)*FEEREWARDS*D93,"")</f>
        <v/>
      </c>
      <c r="G93" s="63" t="str">
        <f t="shared" si="6"/>
        <v/>
      </c>
      <c r="H93" s="95" t="str">
        <f t="shared" si="7"/>
        <v/>
      </c>
      <c r="I93" s="58" t="str">
        <f t="shared" si="8"/>
        <v/>
      </c>
      <c r="J93" s="42" t="str">
        <f t="shared" si="9"/>
        <v/>
      </c>
      <c r="K93" s="108" t="s">
        <v>130</v>
      </c>
    </row>
    <row r="94" spans="1:11" x14ac:dyDescent="0.25">
      <c r="A94" s="103" t="s">
        <v>169</v>
      </c>
      <c r="B94" s="130">
        <v>0</v>
      </c>
      <c r="C94" s="63" t="str">
        <f>IFERROR(B94/VLOOKUP($A94,PoolData!$A$10:$I$32,MATCH("XXX:FSN Ratio",PoolData!$A$10:$I$10,0),0),"")</f>
        <v/>
      </c>
      <c r="D94" s="58" t="str">
        <f>IFERROR(B94/VLOOKUP($A94,PoolData!$A$10:$I$32,MATCH("Coin 1 Pool Size",PoolData!$A$10:$I$10,0),0),"")</f>
        <v/>
      </c>
      <c r="E94" s="63" t="str">
        <f>IFERROR(VLOOKUP($A94,PoolData!$A$10:$I$32,MATCH("ANY Reward % to pool",PoolData!$A$10:$I$10,0),0)*DAILYANY*D94,"")</f>
        <v/>
      </c>
      <c r="F94" s="63" t="str">
        <f>IFERROR(VLOOKUP($A94,PoolData!$A$10:$T$32,MATCH("Trading Volume in FSN",PoolData!$A$10:$T$10,0),0)*FEEREWARDS*D94,"")</f>
        <v/>
      </c>
      <c r="G94" s="63" t="str">
        <f t="shared" si="6"/>
        <v/>
      </c>
      <c r="H94" s="95" t="str">
        <f t="shared" si="7"/>
        <v/>
      </c>
      <c r="I94" s="58" t="str">
        <f t="shared" si="8"/>
        <v/>
      </c>
      <c r="J94" s="42" t="str">
        <f t="shared" si="9"/>
        <v/>
      </c>
      <c r="K94" s="108" t="s">
        <v>130</v>
      </c>
    </row>
    <row r="95" spans="1:11" x14ac:dyDescent="0.25">
      <c r="A95" s="103" t="s">
        <v>169</v>
      </c>
      <c r="B95" s="130">
        <v>0</v>
      </c>
      <c r="C95" s="63" t="str">
        <f>IFERROR(B95/VLOOKUP($A95,PoolData!$A$10:$I$32,MATCH("XXX:FSN Ratio",PoolData!$A$10:$I$10,0),0),"")</f>
        <v/>
      </c>
      <c r="D95" s="58" t="str">
        <f>IFERROR(B95/VLOOKUP($A95,PoolData!$A$10:$I$32,MATCH("Coin 1 Pool Size",PoolData!$A$10:$I$10,0),0),"")</f>
        <v/>
      </c>
      <c r="E95" s="63" t="str">
        <f>IFERROR(VLOOKUP($A95,PoolData!$A$10:$I$32,MATCH("ANY Reward % to pool",PoolData!$A$10:$I$10,0),0)*DAILYANY*D95,"")</f>
        <v/>
      </c>
      <c r="F95" s="63" t="str">
        <f>IFERROR(VLOOKUP($A95,PoolData!$A$10:$T$32,MATCH("Trading Volume in FSN",PoolData!$A$10:$T$10,0),0)*FEEREWARDS*D95,"")</f>
        <v/>
      </c>
      <c r="G95" s="63" t="str">
        <f t="shared" si="6"/>
        <v/>
      </c>
      <c r="H95" s="95" t="str">
        <f t="shared" si="7"/>
        <v/>
      </c>
      <c r="I95" s="58" t="str">
        <f t="shared" si="8"/>
        <v/>
      </c>
      <c r="J95" s="42" t="str">
        <f t="shared" si="9"/>
        <v/>
      </c>
      <c r="K95" s="108" t="s">
        <v>130</v>
      </c>
    </row>
    <row r="96" spans="1:11" x14ac:dyDescent="0.25">
      <c r="A96" s="103" t="s">
        <v>169</v>
      </c>
      <c r="B96" s="130">
        <v>0</v>
      </c>
      <c r="C96" s="63" t="str">
        <f>IFERROR(B96/VLOOKUP($A96,PoolData!$A$10:$I$32,MATCH("XXX:FSN Ratio",PoolData!$A$10:$I$10,0),0),"")</f>
        <v/>
      </c>
      <c r="D96" s="58" t="str">
        <f>IFERROR(B96/VLOOKUP($A96,PoolData!$A$10:$I$32,MATCH("Coin 1 Pool Size",PoolData!$A$10:$I$10,0),0),"")</f>
        <v/>
      </c>
      <c r="E96" s="63" t="str">
        <f>IFERROR(VLOOKUP($A96,PoolData!$A$10:$I$32,MATCH("ANY Reward % to pool",PoolData!$A$10:$I$10,0),0)*DAILYANY*D96,"")</f>
        <v/>
      </c>
      <c r="F96" s="63" t="str">
        <f>IFERROR(VLOOKUP($A96,PoolData!$A$10:$T$32,MATCH("Trading Volume in FSN",PoolData!$A$10:$T$10,0),0)*FEEREWARDS*D96,"")</f>
        <v/>
      </c>
      <c r="G96" s="63" t="str">
        <f t="shared" si="6"/>
        <v/>
      </c>
      <c r="H96" s="95" t="str">
        <f t="shared" si="7"/>
        <v/>
      </c>
      <c r="I96" s="58" t="str">
        <f t="shared" si="8"/>
        <v/>
      </c>
      <c r="J96" s="42" t="str">
        <f t="shared" si="9"/>
        <v/>
      </c>
      <c r="K96" s="108" t="s">
        <v>130</v>
      </c>
    </row>
    <row r="97" spans="1:11" x14ac:dyDescent="0.25">
      <c r="A97" s="103" t="s">
        <v>169</v>
      </c>
      <c r="B97" s="130">
        <v>0</v>
      </c>
      <c r="C97" s="63" t="str">
        <f>IFERROR(B97/VLOOKUP($A97,PoolData!$A$10:$I$32,MATCH("XXX:FSN Ratio",PoolData!$A$10:$I$10,0),0),"")</f>
        <v/>
      </c>
      <c r="D97" s="58" t="str">
        <f>IFERROR(B97/VLOOKUP($A97,PoolData!$A$10:$I$32,MATCH("Coin 1 Pool Size",PoolData!$A$10:$I$10,0),0),"")</f>
        <v/>
      </c>
      <c r="E97" s="63" t="str">
        <f>IFERROR(VLOOKUP($A97,PoolData!$A$10:$I$32,MATCH("ANY Reward % to pool",PoolData!$A$10:$I$10,0),0)*DAILYANY*D97,"")</f>
        <v/>
      </c>
      <c r="F97" s="63" t="str">
        <f>IFERROR(VLOOKUP($A97,PoolData!$A$10:$T$32,MATCH("Trading Volume in FSN",PoolData!$A$10:$T$10,0),0)*FEEREWARDS*D97,"")</f>
        <v/>
      </c>
      <c r="G97" s="63" t="str">
        <f t="shared" si="6"/>
        <v/>
      </c>
      <c r="H97" s="95" t="str">
        <f t="shared" si="7"/>
        <v/>
      </c>
      <c r="I97" s="58" t="str">
        <f t="shared" si="8"/>
        <v/>
      </c>
      <c r="J97" s="42" t="str">
        <f t="shared" si="9"/>
        <v/>
      </c>
      <c r="K97" s="108" t="s">
        <v>130</v>
      </c>
    </row>
    <row r="98" spans="1:11" x14ac:dyDescent="0.25">
      <c r="A98" s="103" t="s">
        <v>169</v>
      </c>
      <c r="B98" s="130">
        <v>0</v>
      </c>
      <c r="C98" s="63" t="str">
        <f>IFERROR(B98/VLOOKUP($A98,PoolData!$A$10:$I$32,MATCH("XXX:FSN Ratio",PoolData!$A$10:$I$10,0),0),"")</f>
        <v/>
      </c>
      <c r="D98" s="58" t="str">
        <f>IFERROR(B98/VLOOKUP($A98,PoolData!$A$10:$I$32,MATCH("Coin 1 Pool Size",PoolData!$A$10:$I$10,0),0),"")</f>
        <v/>
      </c>
      <c r="E98" s="63" t="str">
        <f>IFERROR(VLOOKUP($A98,PoolData!$A$10:$I$32,MATCH("ANY Reward % to pool",PoolData!$A$10:$I$10,0),0)*DAILYANY*D98,"")</f>
        <v/>
      </c>
      <c r="F98" s="63" t="str">
        <f>IFERROR(VLOOKUP($A98,PoolData!$A$10:$T$32,MATCH("Trading Volume in FSN",PoolData!$A$10:$T$10,0),0)*FEEREWARDS*D98,"")</f>
        <v/>
      </c>
      <c r="G98" s="63" t="str">
        <f t="shared" si="6"/>
        <v/>
      </c>
      <c r="H98" s="95" t="str">
        <f t="shared" si="7"/>
        <v/>
      </c>
      <c r="I98" s="58" t="str">
        <f t="shared" si="8"/>
        <v/>
      </c>
      <c r="J98" s="42" t="str">
        <f t="shared" si="9"/>
        <v/>
      </c>
      <c r="K98" s="108" t="s">
        <v>130</v>
      </c>
    </row>
    <row r="99" spans="1:11" x14ac:dyDescent="0.25">
      <c r="A99" s="103" t="s">
        <v>169</v>
      </c>
      <c r="B99" s="130">
        <v>0</v>
      </c>
      <c r="C99" s="63" t="str">
        <f>IFERROR(B99/VLOOKUP($A99,PoolData!$A$10:$I$32,MATCH("XXX:FSN Ratio",PoolData!$A$10:$I$10,0),0),"")</f>
        <v/>
      </c>
      <c r="D99" s="58" t="str">
        <f>IFERROR(B99/VLOOKUP($A99,PoolData!$A$10:$I$32,MATCH("Coin 1 Pool Size",PoolData!$A$10:$I$10,0),0),"")</f>
        <v/>
      </c>
      <c r="E99" s="63" t="str">
        <f>IFERROR(VLOOKUP($A99,PoolData!$A$10:$I$32,MATCH("ANY Reward % to pool",PoolData!$A$10:$I$10,0),0)*DAILYANY*D99,"")</f>
        <v/>
      </c>
      <c r="F99" s="63" t="str">
        <f>IFERROR(VLOOKUP($A99,PoolData!$A$10:$T$32,MATCH("Trading Volume in FSN",PoolData!$A$10:$T$10,0),0)*FEEREWARDS*D99,"")</f>
        <v/>
      </c>
      <c r="G99" s="63" t="str">
        <f t="shared" si="6"/>
        <v/>
      </c>
      <c r="H99" s="95" t="str">
        <f t="shared" si="7"/>
        <v/>
      </c>
      <c r="I99" s="58" t="str">
        <f t="shared" si="8"/>
        <v/>
      </c>
      <c r="J99" s="42" t="str">
        <f t="shared" si="9"/>
        <v/>
      </c>
      <c r="K99" s="108" t="s">
        <v>130</v>
      </c>
    </row>
    <row r="100" spans="1:11" x14ac:dyDescent="0.25">
      <c r="A100" s="103" t="s">
        <v>169</v>
      </c>
      <c r="B100" s="130">
        <v>0</v>
      </c>
      <c r="C100" s="63" t="str">
        <f>IFERROR(B100/VLOOKUP($A100,PoolData!$A$10:$I$32,MATCH("XXX:FSN Ratio",PoolData!$A$10:$I$10,0),0),"")</f>
        <v/>
      </c>
      <c r="D100" s="58" t="str">
        <f>IFERROR(B100/VLOOKUP($A100,PoolData!$A$10:$I$32,MATCH("Coin 1 Pool Size",PoolData!$A$10:$I$10,0),0),"")</f>
        <v/>
      </c>
      <c r="E100" s="63" t="str">
        <f>IFERROR(VLOOKUP($A100,PoolData!$A$10:$I$32,MATCH("ANY Reward % to pool",PoolData!$A$10:$I$10,0),0)*DAILYANY*D100,"")</f>
        <v/>
      </c>
      <c r="F100" s="63" t="str">
        <f>IFERROR(VLOOKUP($A100,PoolData!$A$10:$T$32,MATCH("Trading Volume in FSN",PoolData!$A$10:$T$10,0),0)*FEEREWARDS*D100,"")</f>
        <v/>
      </c>
      <c r="G100" s="63" t="str">
        <f t="shared" si="6"/>
        <v/>
      </c>
      <c r="H100" s="95" t="str">
        <f t="shared" si="7"/>
        <v/>
      </c>
      <c r="I100" s="58" t="str">
        <f t="shared" si="8"/>
        <v/>
      </c>
      <c r="J100" s="42" t="str">
        <f t="shared" si="9"/>
        <v/>
      </c>
      <c r="K100" s="108" t="s">
        <v>130</v>
      </c>
    </row>
    <row r="101" spans="1:11" x14ac:dyDescent="0.25">
      <c r="A101" s="103" t="s">
        <v>169</v>
      </c>
      <c r="B101">
        <v>0</v>
      </c>
    </row>
    <row r="102" spans="1:11" x14ac:dyDescent="0.25">
      <c r="A102" s="103" t="s">
        <v>169</v>
      </c>
      <c r="B102">
        <v>0</v>
      </c>
    </row>
  </sheetData>
  <mergeCells count="1">
    <mergeCell ref="A11:J11"/>
  </mergeCells>
  <dataValidations count="1">
    <dataValidation type="list" allowBlank="1" showInputMessage="1" showErrorMessage="1" sqref="K13:K100" xr:uid="{62343E0C-2305-41A6-91F0-F8F92F72B5E4}">
      <formula1>$Q$2:$Q$3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1FF5E1-13E0-4C0C-87C4-6C840356BA2C}">
          <x14:formula1>
            <xm:f>PoolData!$A$11:$A$100</xm:f>
          </x14:formula1>
          <xm:sqref>A13:A100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DBAB-5A68-4DFE-9E8A-D17C0968DE87}">
  <sheetPr codeName="Sheet4">
    <tabColor rgb="FFFFC000"/>
  </sheetPr>
  <dimension ref="A1:J100"/>
  <sheetViews>
    <sheetView zoomScale="85" zoomScaleNormal="85" workbookViewId="0">
      <selection activeCell="F41" sqref="F41"/>
    </sheetView>
  </sheetViews>
  <sheetFormatPr defaultRowHeight="15" x14ac:dyDescent="0.25"/>
  <cols>
    <col min="1" max="1" width="15.140625" customWidth="1"/>
    <col min="2" max="2" width="28.85546875" hidden="1" customWidth="1"/>
    <col min="3" max="3" width="15.5703125" hidden="1" customWidth="1"/>
    <col min="4" max="4" width="5.7109375" style="55" customWidth="1"/>
    <col min="5" max="5" width="40.7109375" bestFit="1" customWidth="1"/>
    <col min="6" max="6" width="35" bestFit="1" customWidth="1"/>
    <col min="7" max="7" width="5.7109375" bestFit="1" customWidth="1"/>
    <col min="8" max="8" width="26.85546875" bestFit="1" customWidth="1"/>
  </cols>
  <sheetData>
    <row r="1" spans="1:10" x14ac:dyDescent="0.25">
      <c r="E1" s="64" t="s">
        <v>142</v>
      </c>
      <c r="F1" s="40" t="str">
        <f>INDEX($A$14:$A$31,MATCH(G1,$J$14:$J$31,0))</f>
        <v>FSN-aETH</v>
      </c>
      <c r="G1" s="43">
        <f>MAX(J14:J31)</f>
        <v>3.5206944918610139</v>
      </c>
      <c r="H1" s="40" t="s">
        <v>99</v>
      </c>
    </row>
    <row r="2" spans="1:10" x14ac:dyDescent="0.25">
      <c r="D2" s="88"/>
      <c r="E2" s="54" t="s">
        <v>143</v>
      </c>
    </row>
    <row r="5" spans="1:10" x14ac:dyDescent="0.25">
      <c r="E5" s="51" t="s">
        <v>119</v>
      </c>
      <c r="F5" s="40" t="s">
        <v>57</v>
      </c>
      <c r="G5" s="61"/>
    </row>
    <row r="6" spans="1:10" x14ac:dyDescent="0.25">
      <c r="E6" s="40" t="s">
        <v>117</v>
      </c>
      <c r="F6" s="90">
        <f>PoolData!D7*100</f>
        <v>0.15684653461936399</v>
      </c>
      <c r="G6" s="104"/>
    </row>
    <row r="7" spans="1:10" x14ac:dyDescent="0.25">
      <c r="E7" s="40" t="s">
        <v>118</v>
      </c>
      <c r="F7" s="90">
        <f>F6*2</f>
        <v>0.31369306923872797</v>
      </c>
      <c r="G7" s="104"/>
    </row>
    <row r="11" spans="1:10" x14ac:dyDescent="0.25">
      <c r="E11" s="139" t="s">
        <v>122</v>
      </c>
      <c r="F11" s="140"/>
      <c r="H11" s="105" t="s">
        <v>128</v>
      </c>
    </row>
    <row r="12" spans="1:10" x14ac:dyDescent="0.25">
      <c r="E12" s="99" t="str">
        <f>SUM(E14:E31)&amp;" ANY"</f>
        <v>16500 ANY</v>
      </c>
      <c r="F12" s="99" t="str">
        <f>SUM(F14:F31)&amp;" FSN equivalent"</f>
        <v>29670 FSN equivalent</v>
      </c>
      <c r="H12" s="100">
        <f>SUM(H14:H31)</f>
        <v>31185.599581608578</v>
      </c>
    </row>
    <row r="13" spans="1:10" x14ac:dyDescent="0.25">
      <c r="A13" s="141" t="s">
        <v>90</v>
      </c>
      <c r="B13" s="141"/>
      <c r="C13" s="141"/>
      <c r="D13" s="92"/>
      <c r="E13" s="94" t="s">
        <v>120</v>
      </c>
      <c r="F13" s="94" t="s">
        <v>175</v>
      </c>
      <c r="H13" s="101" t="s">
        <v>121</v>
      </c>
      <c r="J13" s="94" t="s">
        <v>99</v>
      </c>
    </row>
    <row r="14" spans="1:10" x14ac:dyDescent="0.25">
      <c r="A14" s="40" t="str">
        <f>PoolData!A11</f>
        <v>FSN-aUSDT</v>
      </c>
      <c r="B14" s="40" t="str">
        <f>PoolData!C11</f>
        <v>FSN</v>
      </c>
      <c r="C14" s="40" t="str">
        <f>PoolData!D11</f>
        <v>aUSDT</v>
      </c>
      <c r="D14" s="93"/>
      <c r="E14" s="57">
        <f>VLOOKUP($A14,PoolData!$A$10:$U$32,MATCH(E$13,PoolData!$A$10:$U$10,0),0)</f>
        <v>777.2422936624348</v>
      </c>
      <c r="F14" s="57">
        <f>VLOOKUP($A14,PoolData!$A$10:$U$32,MATCH(F$13,PoolData!$A$10:$U$10,0),0)</f>
        <v>7020</v>
      </c>
      <c r="H14" s="102">
        <f>VLOOKUP($A14,PoolData!$A$10:$U$32,MATCH(H$13,PoolData!$A$10:$U$10,0),0)</f>
        <v>4070.785238916651</v>
      </c>
      <c r="J14" s="42">
        <f>VLOOKUP($A14,PoolData!$A$10:$U$32,MATCH(J$13,PoolData!$A$10:$U$10,0),0)</f>
        <v>3.2397446721656578</v>
      </c>
    </row>
    <row r="15" spans="1:10" x14ac:dyDescent="0.25">
      <c r="A15" s="40" t="str">
        <f>PoolData!A12</f>
        <v>FSN-aETH</v>
      </c>
      <c r="B15" s="40" t="str">
        <f>PoolData!C12</f>
        <v>FSN</v>
      </c>
      <c r="C15" s="40" t="str">
        <f>PoolData!D12</f>
        <v>aETH</v>
      </c>
      <c r="D15" s="93"/>
      <c r="E15" s="57">
        <f>VLOOKUP($A15,PoolData!$A$10:$U$32,MATCH(E$13,PoolData!$A$10:$U$10,0),0)</f>
        <v>695.06624299967848</v>
      </c>
      <c r="F15" s="57">
        <f>VLOOKUP($A15,PoolData!$A$10:$U$32,MATCH(F$13,PoolData!$A$10:$U$10,0),0)</f>
        <v>6960</v>
      </c>
      <c r="H15" s="102">
        <f>VLOOKUP($A15,PoolData!$A$10:$U$32,MATCH(H$13,PoolData!$A$10:$U$10,0),0)</f>
        <v>3956.0841383642673</v>
      </c>
      <c r="I15" s="72"/>
      <c r="J15" s="42">
        <f>VLOOKUP($A15,PoolData!$A$10:$U$32,MATCH(J$13,PoolData!$A$10:$U$10,0),0)</f>
        <v>3.5206944918610139</v>
      </c>
    </row>
    <row r="16" spans="1:10" x14ac:dyDescent="0.25">
      <c r="A16" s="40" t="str">
        <f>PoolData!A13</f>
        <v>FSN-ANY</v>
      </c>
      <c r="B16" s="40" t="str">
        <f>PoolData!C13</f>
        <v>FSN</v>
      </c>
      <c r="C16" s="40" t="str">
        <f>PoolData!D13</f>
        <v>ANY</v>
      </c>
      <c r="D16" s="93"/>
      <c r="E16" s="57">
        <f>VLOOKUP($A16,PoolData!$A$10:$U$32,MATCH(E$13,PoolData!$A$10:$U$10,0),0)</f>
        <v>15027.691463337887</v>
      </c>
      <c r="F16" s="57">
        <f>VLOOKUP($A16,PoolData!$A$10:$U$32,MATCH(F$13,PoolData!$A$10:$U$10,0),0)</f>
        <v>15690</v>
      </c>
      <c r="H16" s="102">
        <f>VLOOKUP($A16,PoolData!$A$10:$U$32,MATCH(H$13,PoolData!$A$10:$U$10,0),0)</f>
        <v>23158.730204327658</v>
      </c>
      <c r="I16" s="72"/>
      <c r="J16" s="42">
        <f>VLOOKUP($A16,PoolData!$A$10:$U$32,MATCH(J$13,PoolData!$A$10:$U$10,0),0)</f>
        <v>1.9065205335607136</v>
      </c>
    </row>
    <row r="17" spans="1:10" x14ac:dyDescent="0.25">
      <c r="A17" s="40" t="str">
        <f>PoolData!A14</f>
        <v>-</v>
      </c>
      <c r="B17" s="40">
        <f>PoolData!C14</f>
        <v>0</v>
      </c>
      <c r="C17" s="40">
        <f>PoolData!D14</f>
        <v>0</v>
      </c>
      <c r="D17" s="88"/>
      <c r="E17" s="57">
        <f>VLOOKUP($A17,PoolData!$A$10:$U$32,MATCH(E$13,PoolData!$A$10:$U$10,0),0)</f>
        <v>0</v>
      </c>
      <c r="F17" s="57">
        <f>VLOOKUP($A17,PoolData!$A$10:$U$32,MATCH(F$13,PoolData!$A$10:$U$10,0),0)</f>
        <v>0</v>
      </c>
      <c r="H17" s="102">
        <f>VLOOKUP($A17,PoolData!$A$10:$U$32,MATCH(H$13,PoolData!$A$10:$U$10,0),0)</f>
        <v>0</v>
      </c>
      <c r="J17" s="42">
        <f>VLOOKUP($A17,PoolData!$A$10:$U$32,MATCH(J$13,PoolData!$A$10:$U$10,0),0)</f>
        <v>0</v>
      </c>
    </row>
    <row r="18" spans="1:10" x14ac:dyDescent="0.25">
      <c r="A18" s="40" t="str">
        <f>PoolData!A15</f>
        <v>-</v>
      </c>
      <c r="B18" s="40">
        <f>PoolData!C15</f>
        <v>0</v>
      </c>
      <c r="C18" s="40">
        <f>PoolData!D15</f>
        <v>0</v>
      </c>
      <c r="D18" s="88"/>
      <c r="E18" s="57">
        <f>VLOOKUP($A18,PoolData!$A$10:$U$32,MATCH(E$13,PoolData!$A$10:$U$10,0),0)</f>
        <v>0</v>
      </c>
      <c r="F18" s="57">
        <f>VLOOKUP($A18,PoolData!$A$10:$U$32,MATCH(F$13,PoolData!$A$10:$U$10,0),0)</f>
        <v>0</v>
      </c>
      <c r="H18" s="102">
        <f>VLOOKUP($A18,PoolData!$A$10:$U$32,MATCH(H$13,PoolData!$A$10:$U$10,0),0)</f>
        <v>0</v>
      </c>
      <c r="J18" s="42">
        <f>VLOOKUP($A18,PoolData!$A$10:$U$32,MATCH(J$13,PoolData!$A$10:$U$10,0),0)</f>
        <v>0</v>
      </c>
    </row>
    <row r="19" spans="1:10" x14ac:dyDescent="0.25">
      <c r="A19" s="40" t="str">
        <f>PoolData!A16</f>
        <v>-</v>
      </c>
      <c r="B19" s="40">
        <f>PoolData!C16</f>
        <v>0</v>
      </c>
      <c r="C19" s="40">
        <f>PoolData!D16</f>
        <v>0</v>
      </c>
      <c r="D19" s="88"/>
      <c r="E19" s="57">
        <f>VLOOKUP($A19,PoolData!$A$10:$U$32,MATCH(E$13,PoolData!$A$10:$U$10,0),0)</f>
        <v>0</v>
      </c>
      <c r="F19" s="57">
        <f>VLOOKUP($A19,PoolData!$A$10:$U$32,MATCH(F$13,PoolData!$A$10:$U$10,0),0)</f>
        <v>0</v>
      </c>
      <c r="H19" s="102">
        <f>VLOOKUP($A19,PoolData!$A$10:$U$32,MATCH(H$13,PoolData!$A$10:$U$10,0),0)</f>
        <v>0</v>
      </c>
      <c r="J19" s="42">
        <f>VLOOKUP($A19,PoolData!$A$10:$U$32,MATCH(J$13,PoolData!$A$10:$U$10,0),0)</f>
        <v>0</v>
      </c>
    </row>
    <row r="20" spans="1:10" x14ac:dyDescent="0.25">
      <c r="A20" s="40" t="str">
        <f>PoolData!A17</f>
        <v>-</v>
      </c>
      <c r="B20" s="40">
        <f>PoolData!C17</f>
        <v>0</v>
      </c>
      <c r="C20" s="40">
        <f>PoolData!D17</f>
        <v>0</v>
      </c>
      <c r="D20" s="88"/>
      <c r="E20" s="57">
        <f>VLOOKUP($A20,PoolData!$A$10:$U$32,MATCH(E$13,PoolData!$A$10:$U$10,0),0)</f>
        <v>0</v>
      </c>
      <c r="F20" s="57">
        <f>VLOOKUP($A20,PoolData!$A$10:$U$32,MATCH(F$13,PoolData!$A$10:$U$10,0),0)</f>
        <v>0</v>
      </c>
      <c r="H20" s="102">
        <f>VLOOKUP($A20,PoolData!$A$10:$U$32,MATCH(H$13,PoolData!$A$10:$U$10,0),0)</f>
        <v>0</v>
      </c>
      <c r="J20" s="42">
        <f>VLOOKUP($A20,PoolData!$A$10:$U$32,MATCH(J$13,PoolData!$A$10:$U$10,0),0)</f>
        <v>0</v>
      </c>
    </row>
    <row r="21" spans="1:10" x14ac:dyDescent="0.25">
      <c r="A21" s="40" t="str">
        <f>PoolData!A18</f>
        <v>-</v>
      </c>
      <c r="B21" s="40">
        <f>PoolData!C18</f>
        <v>0</v>
      </c>
      <c r="C21" s="40">
        <f>PoolData!D18</f>
        <v>0</v>
      </c>
      <c r="D21" s="88"/>
      <c r="E21" s="57">
        <f>VLOOKUP($A21,PoolData!$A$10:$U$32,MATCH(E$13,PoolData!$A$10:$U$10,0),0)</f>
        <v>0</v>
      </c>
      <c r="F21" s="57">
        <f>VLOOKUP($A21,PoolData!$A$10:$U$32,MATCH(F$13,PoolData!$A$10:$U$10,0),0)</f>
        <v>0</v>
      </c>
      <c r="H21" s="102">
        <f>VLOOKUP($A21,PoolData!$A$10:$U$32,MATCH(H$13,PoolData!$A$10:$U$10,0),0)</f>
        <v>0</v>
      </c>
      <c r="J21" s="42">
        <f>VLOOKUP($A21,PoolData!$A$10:$U$32,MATCH(J$13,PoolData!$A$10:$U$10,0),0)</f>
        <v>0</v>
      </c>
    </row>
    <row r="22" spans="1:10" x14ac:dyDescent="0.25">
      <c r="A22" s="40" t="str">
        <f>PoolData!A19</f>
        <v>-</v>
      </c>
      <c r="B22" s="40">
        <f>PoolData!C19</f>
        <v>0</v>
      </c>
      <c r="C22" s="40">
        <f>PoolData!D19</f>
        <v>0</v>
      </c>
      <c r="D22" s="88"/>
      <c r="E22" s="57">
        <f>VLOOKUP($A22,PoolData!$A$10:$U$32,MATCH(E$13,PoolData!$A$10:$U$10,0),0)</f>
        <v>0</v>
      </c>
      <c r="F22" s="57">
        <f>VLOOKUP($A22,PoolData!$A$10:$U$32,MATCH(F$13,PoolData!$A$10:$U$10,0),0)</f>
        <v>0</v>
      </c>
      <c r="H22" s="102">
        <f>VLOOKUP($A22,PoolData!$A$10:$U$32,MATCH(H$13,PoolData!$A$10:$U$10,0),0)</f>
        <v>0</v>
      </c>
      <c r="J22" s="42">
        <f>VLOOKUP($A22,PoolData!$A$10:$U$32,MATCH(J$13,PoolData!$A$10:$U$10,0),0)</f>
        <v>0</v>
      </c>
    </row>
    <row r="23" spans="1:10" x14ac:dyDescent="0.25">
      <c r="A23" s="40" t="str">
        <f>PoolData!A20</f>
        <v>-</v>
      </c>
      <c r="B23" s="40">
        <f>PoolData!C20</f>
        <v>0</v>
      </c>
      <c r="C23" s="40">
        <f>PoolData!D20</f>
        <v>0</v>
      </c>
      <c r="D23" s="88"/>
      <c r="E23" s="57">
        <f>VLOOKUP($A23,PoolData!$A$10:$U$32,MATCH(E$13,PoolData!$A$10:$U$10,0),0)</f>
        <v>0</v>
      </c>
      <c r="F23" s="57">
        <f>VLOOKUP($A23,PoolData!$A$10:$U$32,MATCH(F$13,PoolData!$A$10:$U$10,0),0)</f>
        <v>0</v>
      </c>
      <c r="H23" s="102">
        <f>VLOOKUP($A23,PoolData!$A$10:$U$32,MATCH(H$13,PoolData!$A$10:$U$10,0),0)</f>
        <v>0</v>
      </c>
      <c r="J23" s="42">
        <f>VLOOKUP($A23,PoolData!$A$10:$U$32,MATCH(J$13,PoolData!$A$10:$U$10,0),0)</f>
        <v>0</v>
      </c>
    </row>
    <row r="24" spans="1:10" x14ac:dyDescent="0.25">
      <c r="A24" s="40" t="str">
        <f>PoolData!A21</f>
        <v>-</v>
      </c>
      <c r="B24" s="40">
        <f>PoolData!C21</f>
        <v>0</v>
      </c>
      <c r="C24" s="40">
        <f>PoolData!D21</f>
        <v>0</v>
      </c>
      <c r="D24" s="88"/>
      <c r="E24" s="57">
        <f>VLOOKUP($A24,PoolData!$A$10:$U$32,MATCH(E$13,PoolData!$A$10:$U$10,0),0)</f>
        <v>0</v>
      </c>
      <c r="F24" s="57">
        <f>VLOOKUP($A24,PoolData!$A$10:$U$32,MATCH(F$13,PoolData!$A$10:$U$10,0),0)</f>
        <v>0</v>
      </c>
      <c r="H24" s="102">
        <f>VLOOKUP($A24,PoolData!$A$10:$U$32,MATCH(H$13,PoolData!$A$10:$U$10,0),0)</f>
        <v>0</v>
      </c>
      <c r="J24" s="42">
        <f>VLOOKUP($A24,PoolData!$A$10:$U$32,MATCH(J$13,PoolData!$A$10:$U$10,0),0)</f>
        <v>0</v>
      </c>
    </row>
    <row r="25" spans="1:10" x14ac:dyDescent="0.25">
      <c r="A25" s="40" t="str">
        <f>PoolData!A22</f>
        <v>-</v>
      </c>
      <c r="B25" s="40">
        <f>PoolData!C22</f>
        <v>0</v>
      </c>
      <c r="C25" s="40">
        <f>PoolData!D22</f>
        <v>0</v>
      </c>
      <c r="D25" s="88"/>
      <c r="E25" s="57">
        <f>VLOOKUP($A25,PoolData!$A$10:$U$32,MATCH(E$13,PoolData!$A$10:$U$10,0),0)</f>
        <v>0</v>
      </c>
      <c r="F25" s="57">
        <f>VLOOKUP($A25,PoolData!$A$10:$U$32,MATCH(F$13,PoolData!$A$10:$U$10,0),0)</f>
        <v>0</v>
      </c>
      <c r="H25" s="102">
        <f>VLOOKUP($A25,PoolData!$A$10:$U$32,MATCH(H$13,PoolData!$A$10:$U$10,0),0)</f>
        <v>0</v>
      </c>
      <c r="J25" s="42">
        <f>VLOOKUP($A25,PoolData!$A$10:$U$32,MATCH(J$13,PoolData!$A$10:$U$10,0),0)</f>
        <v>0</v>
      </c>
    </row>
    <row r="26" spans="1:10" x14ac:dyDescent="0.25">
      <c r="A26" s="40" t="str">
        <f>PoolData!A23</f>
        <v>-</v>
      </c>
      <c r="B26" s="40">
        <f>PoolData!C23</f>
        <v>0</v>
      </c>
      <c r="C26" s="40">
        <f>PoolData!D23</f>
        <v>0</v>
      </c>
      <c r="D26" s="88"/>
      <c r="E26" s="57">
        <f>VLOOKUP($A26,PoolData!$A$10:$U$32,MATCH(E$13,PoolData!$A$10:$U$10,0),0)</f>
        <v>0</v>
      </c>
      <c r="F26" s="57">
        <f>VLOOKUP($A26,PoolData!$A$10:$U$32,MATCH(F$13,PoolData!$A$10:$U$10,0),0)</f>
        <v>0</v>
      </c>
      <c r="H26" s="102">
        <f>VLOOKUP($A26,PoolData!$A$10:$U$32,MATCH(H$13,PoolData!$A$10:$U$10,0),0)</f>
        <v>0</v>
      </c>
      <c r="J26" s="42">
        <f>VLOOKUP($A26,PoolData!$A$10:$U$32,MATCH(J$13,PoolData!$A$10:$U$10,0),0)</f>
        <v>0</v>
      </c>
    </row>
    <row r="27" spans="1:10" x14ac:dyDescent="0.25">
      <c r="A27" s="40" t="str">
        <f>PoolData!A24</f>
        <v>-</v>
      </c>
      <c r="B27" s="40">
        <f>PoolData!C24</f>
        <v>0</v>
      </c>
      <c r="C27" s="40">
        <f>PoolData!D24</f>
        <v>0</v>
      </c>
      <c r="D27" s="88"/>
      <c r="E27" s="57">
        <f>VLOOKUP($A27,PoolData!$A$10:$U$32,MATCH(E$13,PoolData!$A$10:$U$10,0),0)</f>
        <v>0</v>
      </c>
      <c r="F27" s="57">
        <f>VLOOKUP($A27,PoolData!$A$10:$U$32,MATCH(F$13,PoolData!$A$10:$U$10,0),0)</f>
        <v>0</v>
      </c>
      <c r="H27" s="102">
        <f>VLOOKUP($A27,PoolData!$A$10:$U$32,MATCH(H$13,PoolData!$A$10:$U$10,0),0)</f>
        <v>0</v>
      </c>
      <c r="J27" s="42">
        <f>VLOOKUP($A27,PoolData!$A$10:$U$32,MATCH(J$13,PoolData!$A$10:$U$10,0),0)</f>
        <v>0</v>
      </c>
    </row>
    <row r="28" spans="1:10" x14ac:dyDescent="0.25">
      <c r="A28" s="40" t="str">
        <f>PoolData!A25</f>
        <v>-</v>
      </c>
      <c r="B28" s="40">
        <f>PoolData!C25</f>
        <v>0</v>
      </c>
      <c r="C28" s="40">
        <f>PoolData!D25</f>
        <v>0</v>
      </c>
      <c r="D28" s="88"/>
      <c r="E28" s="57">
        <f>VLOOKUP($A28,PoolData!$A$10:$U$32,MATCH(E$13,PoolData!$A$10:$U$10,0),0)</f>
        <v>0</v>
      </c>
      <c r="F28" s="57">
        <f>VLOOKUP($A28,PoolData!$A$10:$U$32,MATCH(F$13,PoolData!$A$10:$U$10,0),0)</f>
        <v>0</v>
      </c>
      <c r="H28" s="102">
        <f>VLOOKUP($A28,PoolData!$A$10:$U$32,MATCH(H$13,PoolData!$A$10:$U$10,0),0)</f>
        <v>0</v>
      </c>
      <c r="J28" s="42">
        <f>VLOOKUP($A28,PoolData!$A$10:$U$32,MATCH(J$13,PoolData!$A$10:$U$10,0),0)</f>
        <v>0</v>
      </c>
    </row>
    <row r="29" spans="1:10" x14ac:dyDescent="0.25">
      <c r="A29" s="40" t="str">
        <f>PoolData!A26</f>
        <v>-</v>
      </c>
      <c r="B29" s="40">
        <f>PoolData!C26</f>
        <v>0</v>
      </c>
      <c r="C29" s="40">
        <f>PoolData!D26</f>
        <v>0</v>
      </c>
      <c r="D29" s="88"/>
      <c r="E29" s="57">
        <f>VLOOKUP($A29,PoolData!$A$10:$U$32,MATCH(E$13,PoolData!$A$10:$U$10,0),0)</f>
        <v>0</v>
      </c>
      <c r="F29" s="57">
        <f>VLOOKUP($A29,PoolData!$A$10:$U$32,MATCH(F$13,PoolData!$A$10:$U$10,0),0)</f>
        <v>0</v>
      </c>
      <c r="H29" s="102">
        <f>VLOOKUP($A29,PoolData!$A$10:$U$32,MATCH(H$13,PoolData!$A$10:$U$10,0),0)</f>
        <v>0</v>
      </c>
      <c r="J29" s="42">
        <f>VLOOKUP($A29,PoolData!$A$10:$U$32,MATCH(J$13,PoolData!$A$10:$U$10,0),0)</f>
        <v>0</v>
      </c>
    </row>
    <row r="30" spans="1:10" x14ac:dyDescent="0.25">
      <c r="A30" s="40" t="str">
        <f>PoolData!A27</f>
        <v>-</v>
      </c>
      <c r="B30" s="40">
        <f>PoolData!C27</f>
        <v>0</v>
      </c>
      <c r="C30" s="40">
        <f>PoolData!D27</f>
        <v>0</v>
      </c>
      <c r="D30" s="88"/>
      <c r="E30" s="57">
        <f>VLOOKUP($A30,PoolData!$A$10:$U$32,MATCH(E$13,PoolData!$A$10:$U$10,0),0)</f>
        <v>0</v>
      </c>
      <c r="F30" s="57">
        <f>VLOOKUP($A30,PoolData!$A$10:$U$32,MATCH(F$13,PoolData!$A$10:$U$10,0),0)</f>
        <v>0</v>
      </c>
      <c r="H30" s="102">
        <f>VLOOKUP($A30,PoolData!$A$10:$U$32,MATCH(H$13,PoolData!$A$10:$U$10,0),0)</f>
        <v>0</v>
      </c>
      <c r="J30" s="42">
        <f>VLOOKUP($A30,PoolData!$A$10:$U$32,MATCH(J$13,PoolData!$A$10:$U$10,0),0)</f>
        <v>0</v>
      </c>
    </row>
    <row r="31" spans="1:10" x14ac:dyDescent="0.25">
      <c r="A31" s="40" t="str">
        <f>PoolData!A28</f>
        <v>-</v>
      </c>
      <c r="B31" s="40">
        <f>PoolData!C28</f>
        <v>0</v>
      </c>
      <c r="C31" s="40">
        <f>PoolData!D28</f>
        <v>0</v>
      </c>
      <c r="D31" s="88"/>
      <c r="E31" s="57">
        <f>VLOOKUP($A31,PoolData!$A$10:$U$32,MATCH(E$13,PoolData!$A$10:$U$10,0),0)</f>
        <v>0</v>
      </c>
      <c r="F31" s="57">
        <f>VLOOKUP($A31,PoolData!$A$10:$U$32,MATCH(F$13,PoolData!$A$10:$U$10,0),0)</f>
        <v>0</v>
      </c>
      <c r="H31" s="102">
        <f>VLOOKUP($A31,PoolData!$A$10:$U$32,MATCH(H$13,PoolData!$A$10:$U$10,0),0)</f>
        <v>0</v>
      </c>
      <c r="J31" s="42">
        <f>VLOOKUP($A31,PoolData!$A$10:$U$32,MATCH(J$13,PoolData!$A$10:$U$10,0),0)</f>
        <v>0</v>
      </c>
    </row>
    <row r="32" spans="1:10" x14ac:dyDescent="0.25">
      <c r="A32" s="40" t="str">
        <f>PoolData!A29</f>
        <v>-</v>
      </c>
      <c r="B32" s="40">
        <f>PoolData!C29</f>
        <v>0</v>
      </c>
      <c r="C32" s="40">
        <f>PoolData!D29</f>
        <v>0</v>
      </c>
      <c r="D32" s="88"/>
      <c r="E32" s="57">
        <f>VLOOKUP($A32,PoolData!$A$10:$U$32,MATCH(E$13,PoolData!$A$10:$U$10,0),0)</f>
        <v>0</v>
      </c>
      <c r="F32" s="57">
        <f>VLOOKUP($A32,PoolData!$A$10:$U$32,MATCH(F$13,PoolData!$A$10:$U$10,0),0)</f>
        <v>0</v>
      </c>
      <c r="H32" s="102">
        <f>VLOOKUP($A32,PoolData!$A$10:$U$32,MATCH(H$13,PoolData!$A$10:$U$10,0),0)</f>
        <v>0</v>
      </c>
      <c r="J32" s="42">
        <f>VLOOKUP($A32,PoolData!$A$10:$U$32,MATCH(J$13,PoolData!$A$10:$U$10,0),0)</f>
        <v>0</v>
      </c>
    </row>
    <row r="33" spans="1:10" x14ac:dyDescent="0.25">
      <c r="A33" s="40" t="str">
        <f>PoolData!A30</f>
        <v>-</v>
      </c>
      <c r="B33" s="40">
        <f>PoolData!C30</f>
        <v>0</v>
      </c>
      <c r="C33" s="40">
        <f>PoolData!D30</f>
        <v>0</v>
      </c>
      <c r="D33" s="88"/>
      <c r="E33" s="57">
        <f>VLOOKUP($A33,PoolData!$A$10:$U$32,MATCH(E$13,PoolData!$A$10:$U$10,0),0)</f>
        <v>0</v>
      </c>
      <c r="F33" s="57">
        <f>VLOOKUP($A33,PoolData!$A$10:$U$32,MATCH(F$13,PoolData!$A$10:$U$10,0),0)</f>
        <v>0</v>
      </c>
      <c r="H33" s="102">
        <f>VLOOKUP($A33,PoolData!$A$10:$U$32,MATCH(H$13,PoolData!$A$10:$U$10,0),0)</f>
        <v>0</v>
      </c>
      <c r="J33" s="42">
        <f>VLOOKUP($A33,PoolData!$A$10:$U$32,MATCH(J$13,PoolData!$A$10:$U$10,0),0)</f>
        <v>0</v>
      </c>
    </row>
    <row r="34" spans="1:10" x14ac:dyDescent="0.25">
      <c r="A34" s="40" t="str">
        <f>PoolData!A31</f>
        <v>-</v>
      </c>
      <c r="B34" s="40">
        <f>PoolData!C31</f>
        <v>0</v>
      </c>
      <c r="C34" s="40">
        <f>PoolData!D31</f>
        <v>0</v>
      </c>
      <c r="D34" s="88"/>
      <c r="E34" s="57">
        <f>VLOOKUP($A34,PoolData!$A$10:$U$32,MATCH(E$13,PoolData!$A$10:$U$10,0),0)</f>
        <v>0</v>
      </c>
      <c r="F34" s="57">
        <f>VLOOKUP($A34,PoolData!$A$10:$U$32,MATCH(F$13,PoolData!$A$10:$U$10,0),0)</f>
        <v>0</v>
      </c>
      <c r="H34" s="102">
        <f>VLOOKUP($A34,PoolData!$A$10:$U$32,MATCH(H$13,PoolData!$A$10:$U$10,0),0)</f>
        <v>0</v>
      </c>
      <c r="J34" s="42">
        <f>VLOOKUP($A34,PoolData!$A$10:$U$32,MATCH(J$13,PoolData!$A$10:$U$10,0),0)</f>
        <v>0</v>
      </c>
    </row>
    <row r="35" spans="1:10" x14ac:dyDescent="0.25">
      <c r="A35" s="40" t="str">
        <f>PoolData!A32</f>
        <v>-</v>
      </c>
      <c r="B35" s="40">
        <f>PoolData!C32</f>
        <v>0</v>
      </c>
      <c r="C35" s="40">
        <f>PoolData!D32</f>
        <v>0</v>
      </c>
      <c r="D35" s="88"/>
      <c r="E35" s="57">
        <f>VLOOKUP($A35,PoolData!$A$10:$U$32,MATCH(E$13,PoolData!$A$10:$U$10,0),0)</f>
        <v>0</v>
      </c>
      <c r="F35" s="57">
        <f>VLOOKUP($A35,PoolData!$A$10:$U$32,MATCH(F$13,PoolData!$A$10:$U$10,0),0)</f>
        <v>0</v>
      </c>
      <c r="H35" s="102">
        <f>VLOOKUP($A35,PoolData!$A$10:$U$32,MATCH(H$13,PoolData!$A$10:$U$10,0),0)</f>
        <v>0</v>
      </c>
      <c r="J35" s="42">
        <f>VLOOKUP($A35,PoolData!$A$10:$U$32,MATCH(J$13,PoolData!$A$10:$U$10,0),0)</f>
        <v>0</v>
      </c>
    </row>
    <row r="36" spans="1:10" x14ac:dyDescent="0.25">
      <c r="A36" s="40" t="str">
        <f>PoolData!A33</f>
        <v>-</v>
      </c>
      <c r="B36" s="40">
        <f>PoolData!C33</f>
        <v>0</v>
      </c>
      <c r="C36" s="40">
        <f>PoolData!D33</f>
        <v>0</v>
      </c>
      <c r="D36" s="88"/>
      <c r="E36" s="57">
        <f>VLOOKUP($A36,PoolData!$A$10:$U$32,MATCH(E$13,PoolData!$A$10:$U$10,0),0)</f>
        <v>0</v>
      </c>
      <c r="F36" s="57">
        <f>VLOOKUP($A36,PoolData!$A$10:$U$32,MATCH(F$13,PoolData!$A$10:$U$10,0),0)</f>
        <v>0</v>
      </c>
      <c r="H36" s="102">
        <f>VLOOKUP($A36,PoolData!$A$10:$U$32,MATCH(H$13,PoolData!$A$10:$U$10,0),0)</f>
        <v>0</v>
      </c>
      <c r="J36" s="42">
        <f>VLOOKUP($A36,PoolData!$A$10:$U$32,MATCH(J$13,PoolData!$A$10:$U$10,0),0)</f>
        <v>0</v>
      </c>
    </row>
    <row r="37" spans="1:10" x14ac:dyDescent="0.25">
      <c r="A37" s="40" t="str">
        <f>PoolData!A34</f>
        <v>-</v>
      </c>
      <c r="B37" s="40">
        <f>PoolData!C34</f>
        <v>0</v>
      </c>
      <c r="C37" s="40">
        <f>PoolData!D34</f>
        <v>0</v>
      </c>
      <c r="D37" s="88"/>
      <c r="E37" s="57">
        <f>VLOOKUP($A37,PoolData!$A$10:$U$32,MATCH(E$13,PoolData!$A$10:$U$10,0),0)</f>
        <v>0</v>
      </c>
      <c r="F37" s="57">
        <f>VLOOKUP($A37,PoolData!$A$10:$U$32,MATCH(F$13,PoolData!$A$10:$U$10,0),0)</f>
        <v>0</v>
      </c>
      <c r="H37" s="102">
        <f>VLOOKUP($A37,PoolData!$A$10:$U$32,MATCH(H$13,PoolData!$A$10:$U$10,0),0)</f>
        <v>0</v>
      </c>
      <c r="J37" s="42">
        <f>VLOOKUP($A37,PoolData!$A$10:$U$32,MATCH(J$13,PoolData!$A$10:$U$10,0),0)</f>
        <v>0</v>
      </c>
    </row>
    <row r="38" spans="1:10" x14ac:dyDescent="0.25">
      <c r="A38" s="40" t="str">
        <f>PoolData!A35</f>
        <v>-</v>
      </c>
      <c r="B38" s="40">
        <f>PoolData!C35</f>
        <v>0</v>
      </c>
      <c r="C38" s="40">
        <f>PoolData!D35</f>
        <v>0</v>
      </c>
      <c r="D38" s="88"/>
      <c r="E38" s="57">
        <f>VLOOKUP($A38,PoolData!$A$10:$U$32,MATCH(E$13,PoolData!$A$10:$U$10,0),0)</f>
        <v>0</v>
      </c>
      <c r="F38" s="57">
        <f>VLOOKUP($A38,PoolData!$A$10:$U$32,MATCH(F$13,PoolData!$A$10:$U$10,0),0)</f>
        <v>0</v>
      </c>
      <c r="H38" s="102">
        <f>VLOOKUP($A38,PoolData!$A$10:$U$32,MATCH(H$13,PoolData!$A$10:$U$10,0),0)</f>
        <v>0</v>
      </c>
      <c r="J38" s="42">
        <f>VLOOKUP($A38,PoolData!$A$10:$U$32,MATCH(J$13,PoolData!$A$10:$U$10,0),0)</f>
        <v>0</v>
      </c>
    </row>
    <row r="39" spans="1:10" x14ac:dyDescent="0.25">
      <c r="A39" s="40" t="str">
        <f>PoolData!A36</f>
        <v>-</v>
      </c>
      <c r="B39" s="40">
        <f>PoolData!C36</f>
        <v>0</v>
      </c>
      <c r="C39" s="40">
        <f>PoolData!D36</f>
        <v>0</v>
      </c>
      <c r="D39" s="88"/>
      <c r="E39" s="57">
        <f>VLOOKUP($A39,PoolData!$A$10:$U$32,MATCH(E$13,PoolData!$A$10:$U$10,0),0)</f>
        <v>0</v>
      </c>
      <c r="F39" s="57">
        <f>VLOOKUP($A39,PoolData!$A$10:$U$32,MATCH(F$13,PoolData!$A$10:$U$10,0),0)</f>
        <v>0</v>
      </c>
      <c r="H39" s="102">
        <f>VLOOKUP($A39,PoolData!$A$10:$U$32,MATCH(H$13,PoolData!$A$10:$U$10,0),0)</f>
        <v>0</v>
      </c>
      <c r="J39" s="42">
        <f>VLOOKUP($A39,PoolData!$A$10:$U$32,MATCH(J$13,PoolData!$A$10:$U$10,0),0)</f>
        <v>0</v>
      </c>
    </row>
    <row r="40" spans="1:10" x14ac:dyDescent="0.25">
      <c r="A40" s="40" t="str">
        <f>PoolData!A37</f>
        <v>-</v>
      </c>
      <c r="B40" s="40">
        <f>PoolData!C37</f>
        <v>0</v>
      </c>
      <c r="C40" s="40">
        <f>PoolData!D37</f>
        <v>0</v>
      </c>
      <c r="D40" s="88"/>
      <c r="E40" s="57">
        <f>VLOOKUP($A40,PoolData!$A$10:$U$32,MATCH(E$13,PoolData!$A$10:$U$10,0),0)</f>
        <v>0</v>
      </c>
      <c r="F40" s="57">
        <f>VLOOKUP($A40,PoolData!$A$10:$U$32,MATCH(F$13,PoolData!$A$10:$U$10,0),0)</f>
        <v>0</v>
      </c>
      <c r="H40" s="102">
        <f>VLOOKUP($A40,PoolData!$A$10:$U$32,MATCH(H$13,PoolData!$A$10:$U$10,0),0)</f>
        <v>0</v>
      </c>
      <c r="J40" s="42">
        <f>VLOOKUP($A40,PoolData!$A$10:$U$32,MATCH(J$13,PoolData!$A$10:$U$10,0),0)</f>
        <v>0</v>
      </c>
    </row>
    <row r="41" spans="1:10" x14ac:dyDescent="0.25">
      <c r="A41" s="40" t="str">
        <f>PoolData!A38</f>
        <v>-</v>
      </c>
      <c r="B41" s="40">
        <f>PoolData!C38</f>
        <v>0</v>
      </c>
      <c r="C41" s="40">
        <f>PoolData!D38</f>
        <v>0</v>
      </c>
      <c r="D41" s="88"/>
      <c r="E41" s="57">
        <f>VLOOKUP($A41,PoolData!$A$10:$U$32,MATCH(E$13,PoolData!$A$10:$U$10,0),0)</f>
        <v>0</v>
      </c>
      <c r="F41" s="57">
        <f>VLOOKUP($A41,PoolData!$A$10:$U$32,MATCH(F$13,PoolData!$A$10:$U$10,0),0)</f>
        <v>0</v>
      </c>
      <c r="H41" s="102">
        <f>VLOOKUP($A41,PoolData!$A$10:$U$32,MATCH(H$13,PoolData!$A$10:$U$10,0),0)</f>
        <v>0</v>
      </c>
      <c r="J41" s="42">
        <f>VLOOKUP($A41,PoolData!$A$10:$U$32,MATCH(J$13,PoolData!$A$10:$U$10,0),0)</f>
        <v>0</v>
      </c>
    </row>
    <row r="42" spans="1:10" x14ac:dyDescent="0.25">
      <c r="A42" s="40" t="str">
        <f>PoolData!A39</f>
        <v>-</v>
      </c>
      <c r="B42" s="40">
        <f>PoolData!C39</f>
        <v>0</v>
      </c>
      <c r="C42" s="40">
        <f>PoolData!D39</f>
        <v>0</v>
      </c>
      <c r="D42" s="88"/>
      <c r="E42" s="57">
        <f>VLOOKUP($A42,PoolData!$A$10:$U$32,MATCH(E$13,PoolData!$A$10:$U$10,0),0)</f>
        <v>0</v>
      </c>
      <c r="F42" s="57">
        <f>VLOOKUP($A42,PoolData!$A$10:$U$32,MATCH(F$13,PoolData!$A$10:$U$10,0),0)</f>
        <v>0</v>
      </c>
      <c r="H42" s="102">
        <f>VLOOKUP($A42,PoolData!$A$10:$U$32,MATCH(H$13,PoolData!$A$10:$U$10,0),0)</f>
        <v>0</v>
      </c>
      <c r="J42" s="42">
        <f>VLOOKUP($A42,PoolData!$A$10:$U$32,MATCH(J$13,PoolData!$A$10:$U$10,0),0)</f>
        <v>0</v>
      </c>
    </row>
    <row r="43" spans="1:10" x14ac:dyDescent="0.25">
      <c r="A43" s="40" t="str">
        <f>PoolData!A40</f>
        <v>-</v>
      </c>
      <c r="B43" s="40">
        <f>PoolData!C40</f>
        <v>0</v>
      </c>
      <c r="C43" s="40">
        <f>PoolData!D40</f>
        <v>0</v>
      </c>
      <c r="D43" s="88"/>
      <c r="E43" s="57">
        <f>VLOOKUP($A43,PoolData!$A$10:$U$32,MATCH(E$13,PoolData!$A$10:$U$10,0),0)</f>
        <v>0</v>
      </c>
      <c r="F43" s="57">
        <f>VLOOKUP($A43,PoolData!$A$10:$U$32,MATCH(F$13,PoolData!$A$10:$U$10,0),0)</f>
        <v>0</v>
      </c>
      <c r="H43" s="102">
        <f>VLOOKUP($A43,PoolData!$A$10:$U$32,MATCH(H$13,PoolData!$A$10:$U$10,0),0)</f>
        <v>0</v>
      </c>
      <c r="J43" s="42">
        <f>VLOOKUP($A43,PoolData!$A$10:$U$32,MATCH(J$13,PoolData!$A$10:$U$10,0),0)</f>
        <v>0</v>
      </c>
    </row>
    <row r="44" spans="1:10" x14ac:dyDescent="0.25">
      <c r="A44" s="40" t="str">
        <f>PoolData!A41</f>
        <v>-</v>
      </c>
      <c r="B44" s="40">
        <f>PoolData!C41</f>
        <v>0</v>
      </c>
      <c r="C44" s="40">
        <f>PoolData!D41</f>
        <v>0</v>
      </c>
      <c r="D44" s="88"/>
      <c r="E44" s="57">
        <f>VLOOKUP($A44,PoolData!$A$10:$U$32,MATCH(E$13,PoolData!$A$10:$U$10,0),0)</f>
        <v>0</v>
      </c>
      <c r="F44" s="57">
        <f>VLOOKUP($A44,PoolData!$A$10:$U$32,MATCH(F$13,PoolData!$A$10:$U$10,0),0)</f>
        <v>0</v>
      </c>
      <c r="H44" s="102">
        <f>VLOOKUP($A44,PoolData!$A$10:$U$32,MATCH(H$13,PoolData!$A$10:$U$10,0),0)</f>
        <v>0</v>
      </c>
      <c r="J44" s="42">
        <f>VLOOKUP($A44,PoolData!$A$10:$U$32,MATCH(J$13,PoolData!$A$10:$U$10,0),0)</f>
        <v>0</v>
      </c>
    </row>
    <row r="45" spans="1:10" x14ac:dyDescent="0.25">
      <c r="A45" s="40" t="str">
        <f>PoolData!A42</f>
        <v>-</v>
      </c>
      <c r="B45" s="40">
        <f>PoolData!C42</f>
        <v>0</v>
      </c>
      <c r="C45" s="40">
        <f>PoolData!D42</f>
        <v>0</v>
      </c>
      <c r="D45" s="88"/>
      <c r="E45" s="57">
        <f>VLOOKUP($A45,PoolData!$A$10:$U$32,MATCH(E$13,PoolData!$A$10:$U$10,0),0)</f>
        <v>0</v>
      </c>
      <c r="F45" s="57">
        <f>VLOOKUP($A45,PoolData!$A$10:$U$32,MATCH(F$13,PoolData!$A$10:$U$10,0),0)</f>
        <v>0</v>
      </c>
      <c r="H45" s="102">
        <f>VLOOKUP($A45,PoolData!$A$10:$U$32,MATCH(H$13,PoolData!$A$10:$U$10,0),0)</f>
        <v>0</v>
      </c>
      <c r="J45" s="42">
        <f>VLOOKUP($A45,PoolData!$A$10:$U$32,MATCH(J$13,PoolData!$A$10:$U$10,0),0)</f>
        <v>0</v>
      </c>
    </row>
    <row r="46" spans="1:10" x14ac:dyDescent="0.25">
      <c r="A46" s="40" t="str">
        <f>PoolData!A43</f>
        <v>-</v>
      </c>
      <c r="B46" s="40">
        <f>PoolData!C43</f>
        <v>0</v>
      </c>
      <c r="C46" s="40">
        <f>PoolData!D43</f>
        <v>0</v>
      </c>
      <c r="D46" s="88"/>
      <c r="E46" s="57">
        <f>VLOOKUP($A46,PoolData!$A$10:$U$32,MATCH(E$13,PoolData!$A$10:$U$10,0),0)</f>
        <v>0</v>
      </c>
      <c r="F46" s="57">
        <f>VLOOKUP($A46,PoolData!$A$10:$U$32,MATCH(F$13,PoolData!$A$10:$U$10,0),0)</f>
        <v>0</v>
      </c>
      <c r="H46" s="102">
        <f>VLOOKUP($A46,PoolData!$A$10:$U$32,MATCH(H$13,PoolData!$A$10:$U$10,0),0)</f>
        <v>0</v>
      </c>
      <c r="J46" s="42">
        <f>VLOOKUP($A46,PoolData!$A$10:$U$32,MATCH(J$13,PoolData!$A$10:$U$10,0),0)</f>
        <v>0</v>
      </c>
    </row>
    <row r="47" spans="1:10" x14ac:dyDescent="0.25">
      <c r="A47" s="40" t="str">
        <f>PoolData!A44</f>
        <v>-</v>
      </c>
      <c r="B47" s="40">
        <f>PoolData!C44</f>
        <v>0</v>
      </c>
      <c r="C47" s="40">
        <f>PoolData!D44</f>
        <v>0</v>
      </c>
      <c r="D47" s="88"/>
      <c r="E47" s="57">
        <f>VLOOKUP($A47,PoolData!$A$10:$U$32,MATCH(E$13,PoolData!$A$10:$U$10,0),0)</f>
        <v>0</v>
      </c>
      <c r="F47" s="57">
        <f>VLOOKUP($A47,PoolData!$A$10:$U$32,MATCH(F$13,PoolData!$A$10:$U$10,0),0)</f>
        <v>0</v>
      </c>
      <c r="H47" s="102">
        <f>VLOOKUP($A47,PoolData!$A$10:$U$32,MATCH(H$13,PoolData!$A$10:$U$10,0),0)</f>
        <v>0</v>
      </c>
      <c r="J47" s="42">
        <f>VLOOKUP($A47,PoolData!$A$10:$U$32,MATCH(J$13,PoolData!$A$10:$U$10,0),0)</f>
        <v>0</v>
      </c>
    </row>
    <row r="48" spans="1:10" x14ac:dyDescent="0.25">
      <c r="A48" s="40" t="str">
        <f>PoolData!A45</f>
        <v>-</v>
      </c>
      <c r="B48" s="40">
        <f>PoolData!C45</f>
        <v>0</v>
      </c>
      <c r="C48" s="40">
        <f>PoolData!D45</f>
        <v>0</v>
      </c>
      <c r="D48" s="88"/>
      <c r="E48" s="57">
        <f>VLOOKUP($A48,PoolData!$A$10:$U$32,MATCH(E$13,PoolData!$A$10:$U$10,0),0)</f>
        <v>0</v>
      </c>
      <c r="F48" s="57">
        <f>VLOOKUP($A48,PoolData!$A$10:$U$32,MATCH(F$13,PoolData!$A$10:$U$10,0),0)</f>
        <v>0</v>
      </c>
      <c r="H48" s="102">
        <f>VLOOKUP($A48,PoolData!$A$10:$U$32,MATCH(H$13,PoolData!$A$10:$U$10,0),0)</f>
        <v>0</v>
      </c>
      <c r="J48" s="42">
        <f>VLOOKUP($A48,PoolData!$A$10:$U$32,MATCH(J$13,PoolData!$A$10:$U$10,0),0)</f>
        <v>0</v>
      </c>
    </row>
    <row r="49" spans="1:10" x14ac:dyDescent="0.25">
      <c r="A49" s="40" t="str">
        <f>PoolData!A46</f>
        <v>-</v>
      </c>
      <c r="B49" s="40">
        <f>PoolData!C46</f>
        <v>0</v>
      </c>
      <c r="C49" s="40">
        <f>PoolData!D46</f>
        <v>0</v>
      </c>
      <c r="D49" s="88"/>
      <c r="E49" s="57">
        <f>VLOOKUP($A49,PoolData!$A$10:$U$32,MATCH(E$13,PoolData!$A$10:$U$10,0),0)</f>
        <v>0</v>
      </c>
      <c r="F49" s="57">
        <f>VLOOKUP($A49,PoolData!$A$10:$U$32,MATCH(F$13,PoolData!$A$10:$U$10,0),0)</f>
        <v>0</v>
      </c>
      <c r="H49" s="102">
        <f>VLOOKUP($A49,PoolData!$A$10:$U$32,MATCH(H$13,PoolData!$A$10:$U$10,0),0)</f>
        <v>0</v>
      </c>
      <c r="J49" s="42">
        <f>VLOOKUP($A49,PoolData!$A$10:$U$32,MATCH(J$13,PoolData!$A$10:$U$10,0),0)</f>
        <v>0</v>
      </c>
    </row>
    <row r="50" spans="1:10" x14ac:dyDescent="0.25">
      <c r="A50" s="40" t="str">
        <f>PoolData!A47</f>
        <v>-</v>
      </c>
      <c r="B50" s="40">
        <f>PoolData!C47</f>
        <v>0</v>
      </c>
      <c r="C50" s="40">
        <f>PoolData!D47</f>
        <v>0</v>
      </c>
      <c r="D50" s="88"/>
      <c r="E50" s="57">
        <f>VLOOKUP($A50,PoolData!$A$10:$U$32,MATCH(E$13,PoolData!$A$10:$U$10,0),0)</f>
        <v>0</v>
      </c>
      <c r="F50" s="57">
        <f>VLOOKUP($A50,PoolData!$A$10:$U$32,MATCH(F$13,PoolData!$A$10:$U$10,0),0)</f>
        <v>0</v>
      </c>
      <c r="H50" s="102">
        <f>VLOOKUP($A50,PoolData!$A$10:$U$32,MATCH(H$13,PoolData!$A$10:$U$10,0),0)</f>
        <v>0</v>
      </c>
      <c r="J50" s="42">
        <f>VLOOKUP($A50,PoolData!$A$10:$U$32,MATCH(J$13,PoolData!$A$10:$U$10,0),0)</f>
        <v>0</v>
      </c>
    </row>
    <row r="51" spans="1:10" x14ac:dyDescent="0.25">
      <c r="A51" s="40" t="str">
        <f>PoolData!A48</f>
        <v>-</v>
      </c>
      <c r="B51" s="40">
        <f>PoolData!C48</f>
        <v>0</v>
      </c>
      <c r="C51" s="40">
        <f>PoolData!D48</f>
        <v>0</v>
      </c>
      <c r="D51" s="88"/>
      <c r="E51" s="57">
        <f>VLOOKUP($A51,PoolData!$A$10:$U$32,MATCH(E$13,PoolData!$A$10:$U$10,0),0)</f>
        <v>0</v>
      </c>
      <c r="F51" s="57">
        <f>VLOOKUP($A51,PoolData!$A$10:$U$32,MATCH(F$13,PoolData!$A$10:$U$10,0),0)</f>
        <v>0</v>
      </c>
      <c r="H51" s="102">
        <f>VLOOKUP($A51,PoolData!$A$10:$U$32,MATCH(H$13,PoolData!$A$10:$U$10,0),0)</f>
        <v>0</v>
      </c>
      <c r="J51" s="42">
        <f>VLOOKUP($A51,PoolData!$A$10:$U$32,MATCH(J$13,PoolData!$A$10:$U$10,0),0)</f>
        <v>0</v>
      </c>
    </row>
    <row r="52" spans="1:10" x14ac:dyDescent="0.25">
      <c r="A52" s="40" t="str">
        <f>PoolData!A49</f>
        <v>-</v>
      </c>
      <c r="B52" s="40">
        <f>PoolData!C49</f>
        <v>0</v>
      </c>
      <c r="C52" s="40">
        <f>PoolData!D49</f>
        <v>0</v>
      </c>
      <c r="D52" s="88"/>
      <c r="E52" s="57">
        <f>VLOOKUP($A52,PoolData!$A$10:$U$32,MATCH(E$13,PoolData!$A$10:$U$10,0),0)</f>
        <v>0</v>
      </c>
      <c r="F52" s="57">
        <f>VLOOKUP($A52,PoolData!$A$10:$U$32,MATCH(F$13,PoolData!$A$10:$U$10,0),0)</f>
        <v>0</v>
      </c>
      <c r="H52" s="102">
        <f>VLOOKUP($A52,PoolData!$A$10:$U$32,MATCH(H$13,PoolData!$A$10:$U$10,0),0)</f>
        <v>0</v>
      </c>
      <c r="J52" s="42">
        <f>VLOOKUP($A52,PoolData!$A$10:$U$32,MATCH(J$13,PoolData!$A$10:$U$10,0),0)</f>
        <v>0</v>
      </c>
    </row>
    <row r="53" spans="1:10" x14ac:dyDescent="0.25">
      <c r="A53" s="40" t="str">
        <f>PoolData!A50</f>
        <v>-</v>
      </c>
      <c r="B53" s="40">
        <f>PoolData!C50</f>
        <v>0</v>
      </c>
      <c r="C53" s="40">
        <f>PoolData!D50</f>
        <v>0</v>
      </c>
      <c r="D53" s="88"/>
      <c r="E53" s="57">
        <f>VLOOKUP($A53,PoolData!$A$10:$U$32,MATCH(E$13,PoolData!$A$10:$U$10,0),0)</f>
        <v>0</v>
      </c>
      <c r="F53" s="57">
        <f>VLOOKUP($A53,PoolData!$A$10:$U$32,MATCH(F$13,PoolData!$A$10:$U$10,0),0)</f>
        <v>0</v>
      </c>
      <c r="H53" s="102">
        <f>VLOOKUP($A53,PoolData!$A$10:$U$32,MATCH(H$13,PoolData!$A$10:$U$10,0),0)</f>
        <v>0</v>
      </c>
      <c r="J53" s="42">
        <f>VLOOKUP($A53,PoolData!$A$10:$U$32,MATCH(J$13,PoolData!$A$10:$U$10,0),0)</f>
        <v>0</v>
      </c>
    </row>
    <row r="54" spans="1:10" x14ac:dyDescent="0.25">
      <c r="A54" s="40" t="str">
        <f>PoolData!A51</f>
        <v>-</v>
      </c>
      <c r="B54" s="40">
        <f>PoolData!C51</f>
        <v>0</v>
      </c>
      <c r="C54" s="40">
        <f>PoolData!D51</f>
        <v>0</v>
      </c>
      <c r="D54" s="88"/>
      <c r="E54" s="57">
        <f>VLOOKUP($A54,PoolData!$A$10:$U$32,MATCH(E$13,PoolData!$A$10:$U$10,0),0)</f>
        <v>0</v>
      </c>
      <c r="F54" s="57">
        <f>VLOOKUP($A54,PoolData!$A$10:$U$32,MATCH(F$13,PoolData!$A$10:$U$10,0),0)</f>
        <v>0</v>
      </c>
      <c r="H54" s="102">
        <f>VLOOKUP($A54,PoolData!$A$10:$U$32,MATCH(H$13,PoolData!$A$10:$U$10,0),0)</f>
        <v>0</v>
      </c>
      <c r="J54" s="42">
        <f>VLOOKUP($A54,PoolData!$A$10:$U$32,MATCH(J$13,PoolData!$A$10:$U$10,0),0)</f>
        <v>0</v>
      </c>
    </row>
    <row r="55" spans="1:10" x14ac:dyDescent="0.25">
      <c r="A55" s="40" t="str">
        <f>PoolData!A52</f>
        <v>-</v>
      </c>
      <c r="B55" s="40">
        <f>PoolData!C52</f>
        <v>0</v>
      </c>
      <c r="C55" s="40">
        <f>PoolData!D52</f>
        <v>0</v>
      </c>
      <c r="D55" s="88"/>
      <c r="E55" s="57">
        <f>VLOOKUP($A55,PoolData!$A$10:$U$32,MATCH(E$13,PoolData!$A$10:$U$10,0),0)</f>
        <v>0</v>
      </c>
      <c r="F55" s="57">
        <f>VLOOKUP($A55,PoolData!$A$10:$U$32,MATCH(F$13,PoolData!$A$10:$U$10,0),0)</f>
        <v>0</v>
      </c>
      <c r="H55" s="102">
        <f>VLOOKUP($A55,PoolData!$A$10:$U$32,MATCH(H$13,PoolData!$A$10:$U$10,0),0)</f>
        <v>0</v>
      </c>
      <c r="J55" s="42">
        <f>VLOOKUP($A55,PoolData!$A$10:$U$32,MATCH(J$13,PoolData!$A$10:$U$10,0),0)</f>
        <v>0</v>
      </c>
    </row>
    <row r="56" spans="1:10" x14ac:dyDescent="0.25">
      <c r="A56" s="40" t="str">
        <f>PoolData!A53</f>
        <v>-</v>
      </c>
      <c r="B56" s="40">
        <f>PoolData!C53</f>
        <v>0</v>
      </c>
      <c r="C56" s="40">
        <f>PoolData!D53</f>
        <v>0</v>
      </c>
      <c r="D56" s="88"/>
      <c r="E56" s="57">
        <f>VLOOKUP($A56,PoolData!$A$10:$U$32,MATCH(E$13,PoolData!$A$10:$U$10,0),0)</f>
        <v>0</v>
      </c>
      <c r="F56" s="57">
        <f>VLOOKUP($A56,PoolData!$A$10:$U$32,MATCH(F$13,PoolData!$A$10:$U$10,0),0)</f>
        <v>0</v>
      </c>
      <c r="H56" s="102">
        <f>VLOOKUP($A56,PoolData!$A$10:$U$32,MATCH(H$13,PoolData!$A$10:$U$10,0),0)</f>
        <v>0</v>
      </c>
      <c r="J56" s="42">
        <f>VLOOKUP($A56,PoolData!$A$10:$U$32,MATCH(J$13,PoolData!$A$10:$U$10,0),0)</f>
        <v>0</v>
      </c>
    </row>
    <row r="57" spans="1:10" x14ac:dyDescent="0.25">
      <c r="A57" s="40" t="str">
        <f>PoolData!A54</f>
        <v>-</v>
      </c>
      <c r="B57" s="40">
        <f>PoolData!C54</f>
        <v>0</v>
      </c>
      <c r="C57" s="40">
        <f>PoolData!D54</f>
        <v>0</v>
      </c>
      <c r="D57" s="88"/>
      <c r="E57" s="57">
        <f>VLOOKUP($A57,PoolData!$A$10:$U$32,MATCH(E$13,PoolData!$A$10:$U$10,0),0)</f>
        <v>0</v>
      </c>
      <c r="F57" s="57">
        <f>VLOOKUP($A57,PoolData!$A$10:$U$32,MATCH(F$13,PoolData!$A$10:$U$10,0),0)</f>
        <v>0</v>
      </c>
      <c r="H57" s="102">
        <f>VLOOKUP($A57,PoolData!$A$10:$U$32,MATCH(H$13,PoolData!$A$10:$U$10,0),0)</f>
        <v>0</v>
      </c>
      <c r="J57" s="42">
        <f>VLOOKUP($A57,PoolData!$A$10:$U$32,MATCH(J$13,PoolData!$A$10:$U$10,0),0)</f>
        <v>0</v>
      </c>
    </row>
    <row r="58" spans="1:10" x14ac:dyDescent="0.25">
      <c r="A58" s="40" t="str">
        <f>PoolData!A55</f>
        <v>-</v>
      </c>
      <c r="B58" s="40">
        <f>PoolData!C55</f>
        <v>0</v>
      </c>
      <c r="C58" s="40">
        <f>PoolData!D55</f>
        <v>0</v>
      </c>
      <c r="D58" s="88"/>
      <c r="E58" s="57">
        <f>VLOOKUP($A58,PoolData!$A$10:$U$32,MATCH(E$13,PoolData!$A$10:$U$10,0),0)</f>
        <v>0</v>
      </c>
      <c r="F58" s="57">
        <f>VLOOKUP($A58,PoolData!$A$10:$U$32,MATCH(F$13,PoolData!$A$10:$U$10,0),0)</f>
        <v>0</v>
      </c>
      <c r="H58" s="102">
        <f>VLOOKUP($A58,PoolData!$A$10:$U$32,MATCH(H$13,PoolData!$A$10:$U$10,0),0)</f>
        <v>0</v>
      </c>
      <c r="J58" s="42">
        <f>VLOOKUP($A58,PoolData!$A$10:$U$32,MATCH(J$13,PoolData!$A$10:$U$10,0),0)</f>
        <v>0</v>
      </c>
    </row>
    <row r="59" spans="1:10" x14ac:dyDescent="0.25">
      <c r="A59" s="40" t="str">
        <f>PoolData!A56</f>
        <v>-</v>
      </c>
      <c r="B59" s="40">
        <f>PoolData!C56</f>
        <v>0</v>
      </c>
      <c r="C59" s="40">
        <f>PoolData!D56</f>
        <v>0</v>
      </c>
      <c r="D59" s="88"/>
      <c r="E59" s="57">
        <f>VLOOKUP($A59,PoolData!$A$10:$U$32,MATCH(E$13,PoolData!$A$10:$U$10,0),0)</f>
        <v>0</v>
      </c>
      <c r="F59" s="57">
        <f>VLOOKUP($A59,PoolData!$A$10:$U$32,MATCH(F$13,PoolData!$A$10:$U$10,0),0)</f>
        <v>0</v>
      </c>
      <c r="H59" s="102">
        <f>VLOOKUP($A59,PoolData!$A$10:$U$32,MATCH(H$13,PoolData!$A$10:$U$10,0),0)</f>
        <v>0</v>
      </c>
      <c r="J59" s="42">
        <f>VLOOKUP($A59,PoolData!$A$10:$U$32,MATCH(J$13,PoolData!$A$10:$U$10,0),0)</f>
        <v>0</v>
      </c>
    </row>
    <row r="60" spans="1:10" x14ac:dyDescent="0.25">
      <c r="A60" s="40" t="str">
        <f>PoolData!A57</f>
        <v>-</v>
      </c>
      <c r="B60" s="40">
        <f>PoolData!C57</f>
        <v>0</v>
      </c>
      <c r="C60" s="40">
        <f>PoolData!D57</f>
        <v>0</v>
      </c>
      <c r="D60" s="88"/>
      <c r="E60" s="57">
        <f>VLOOKUP($A60,PoolData!$A$10:$U$32,MATCH(E$13,PoolData!$A$10:$U$10,0),0)</f>
        <v>0</v>
      </c>
      <c r="F60" s="57">
        <f>VLOOKUP($A60,PoolData!$A$10:$U$32,MATCH(F$13,PoolData!$A$10:$U$10,0),0)</f>
        <v>0</v>
      </c>
      <c r="H60" s="102">
        <f>VLOOKUP($A60,PoolData!$A$10:$U$32,MATCH(H$13,PoolData!$A$10:$U$10,0),0)</f>
        <v>0</v>
      </c>
      <c r="J60" s="42">
        <f>VLOOKUP($A60,PoolData!$A$10:$U$32,MATCH(J$13,PoolData!$A$10:$U$10,0),0)</f>
        <v>0</v>
      </c>
    </row>
    <row r="61" spans="1:10" x14ac:dyDescent="0.25">
      <c r="A61" s="40" t="str">
        <f>PoolData!A58</f>
        <v>-</v>
      </c>
      <c r="B61" s="40">
        <f>PoolData!C58</f>
        <v>0</v>
      </c>
      <c r="C61" s="40">
        <f>PoolData!D58</f>
        <v>0</v>
      </c>
      <c r="D61" s="88"/>
      <c r="E61" s="57">
        <f>VLOOKUP($A61,PoolData!$A$10:$U$32,MATCH(E$13,PoolData!$A$10:$U$10,0),0)</f>
        <v>0</v>
      </c>
      <c r="F61" s="57">
        <f>VLOOKUP($A61,PoolData!$A$10:$U$32,MATCH(F$13,PoolData!$A$10:$U$10,0),0)</f>
        <v>0</v>
      </c>
      <c r="H61" s="102">
        <f>VLOOKUP($A61,PoolData!$A$10:$U$32,MATCH(H$13,PoolData!$A$10:$U$10,0),0)</f>
        <v>0</v>
      </c>
      <c r="J61" s="42">
        <f>VLOOKUP($A61,PoolData!$A$10:$U$32,MATCH(J$13,PoolData!$A$10:$U$10,0),0)</f>
        <v>0</v>
      </c>
    </row>
    <row r="62" spans="1:10" x14ac:dyDescent="0.25">
      <c r="A62" s="40" t="str">
        <f>PoolData!A59</f>
        <v>-</v>
      </c>
      <c r="B62" s="40">
        <f>PoolData!C59</f>
        <v>0</v>
      </c>
      <c r="C62" s="40">
        <f>PoolData!D59</f>
        <v>0</v>
      </c>
      <c r="D62" s="88"/>
      <c r="E62" s="57">
        <f>VLOOKUP($A62,PoolData!$A$10:$U$32,MATCH(E$13,PoolData!$A$10:$U$10,0),0)</f>
        <v>0</v>
      </c>
      <c r="F62" s="57">
        <f>VLOOKUP($A62,PoolData!$A$10:$U$32,MATCH(F$13,PoolData!$A$10:$U$10,0),0)</f>
        <v>0</v>
      </c>
      <c r="H62" s="102">
        <f>VLOOKUP($A62,PoolData!$A$10:$U$32,MATCH(H$13,PoolData!$A$10:$U$10,0),0)</f>
        <v>0</v>
      </c>
      <c r="J62" s="42">
        <f>VLOOKUP($A62,PoolData!$A$10:$U$32,MATCH(J$13,PoolData!$A$10:$U$10,0),0)</f>
        <v>0</v>
      </c>
    </row>
    <row r="63" spans="1:10" x14ac:dyDescent="0.25">
      <c r="A63" s="40" t="str">
        <f>PoolData!A60</f>
        <v>-</v>
      </c>
      <c r="B63" s="40">
        <f>PoolData!C60</f>
        <v>0</v>
      </c>
      <c r="C63" s="40">
        <f>PoolData!D60</f>
        <v>0</v>
      </c>
      <c r="D63" s="88"/>
      <c r="E63" s="57">
        <f>VLOOKUP($A63,PoolData!$A$10:$U$32,MATCH(E$13,PoolData!$A$10:$U$10,0),0)</f>
        <v>0</v>
      </c>
      <c r="F63" s="57">
        <f>VLOOKUP($A63,PoolData!$A$10:$U$32,MATCH(F$13,PoolData!$A$10:$U$10,0),0)</f>
        <v>0</v>
      </c>
      <c r="H63" s="102">
        <f>VLOOKUP($A63,PoolData!$A$10:$U$32,MATCH(H$13,PoolData!$A$10:$U$10,0),0)</f>
        <v>0</v>
      </c>
      <c r="J63" s="42">
        <f>VLOOKUP($A63,PoolData!$A$10:$U$32,MATCH(J$13,PoolData!$A$10:$U$10,0),0)</f>
        <v>0</v>
      </c>
    </row>
    <row r="64" spans="1:10" x14ac:dyDescent="0.25">
      <c r="A64" s="40" t="str">
        <f>PoolData!A61</f>
        <v>-</v>
      </c>
      <c r="B64" s="40">
        <f>PoolData!C61</f>
        <v>0</v>
      </c>
      <c r="C64" s="40">
        <f>PoolData!D61</f>
        <v>0</v>
      </c>
      <c r="D64" s="88"/>
      <c r="E64" s="57">
        <f>VLOOKUP($A64,PoolData!$A$10:$U$32,MATCH(E$13,PoolData!$A$10:$U$10,0),0)</f>
        <v>0</v>
      </c>
      <c r="F64" s="57">
        <f>VLOOKUP($A64,PoolData!$A$10:$U$32,MATCH(F$13,PoolData!$A$10:$U$10,0),0)</f>
        <v>0</v>
      </c>
      <c r="H64" s="102">
        <f>VLOOKUP($A64,PoolData!$A$10:$U$32,MATCH(H$13,PoolData!$A$10:$U$10,0),0)</f>
        <v>0</v>
      </c>
      <c r="J64" s="42">
        <f>VLOOKUP($A64,PoolData!$A$10:$U$32,MATCH(J$13,PoolData!$A$10:$U$10,0),0)</f>
        <v>0</v>
      </c>
    </row>
    <row r="65" spans="1:10" x14ac:dyDescent="0.25">
      <c r="A65" s="40" t="str">
        <f>PoolData!A62</f>
        <v>-</v>
      </c>
      <c r="B65" s="40">
        <f>PoolData!C62</f>
        <v>0</v>
      </c>
      <c r="C65" s="40">
        <f>PoolData!D62</f>
        <v>0</v>
      </c>
      <c r="D65" s="88"/>
      <c r="E65" s="57">
        <f>VLOOKUP($A65,PoolData!$A$10:$U$32,MATCH(E$13,PoolData!$A$10:$U$10,0),0)</f>
        <v>0</v>
      </c>
      <c r="F65" s="57">
        <f>VLOOKUP($A65,PoolData!$A$10:$U$32,MATCH(F$13,PoolData!$A$10:$U$10,0),0)</f>
        <v>0</v>
      </c>
      <c r="H65" s="102">
        <f>VLOOKUP($A65,PoolData!$A$10:$U$32,MATCH(H$13,PoolData!$A$10:$U$10,0),0)</f>
        <v>0</v>
      </c>
      <c r="J65" s="42">
        <f>VLOOKUP($A65,PoolData!$A$10:$U$32,MATCH(J$13,PoolData!$A$10:$U$10,0),0)</f>
        <v>0</v>
      </c>
    </row>
    <row r="66" spans="1:10" x14ac:dyDescent="0.25">
      <c r="A66" s="40" t="str">
        <f>PoolData!A63</f>
        <v>-</v>
      </c>
      <c r="B66" s="40">
        <f>PoolData!C63</f>
        <v>0</v>
      </c>
      <c r="C66" s="40">
        <f>PoolData!D63</f>
        <v>0</v>
      </c>
      <c r="D66" s="88"/>
      <c r="E66" s="57">
        <f>VLOOKUP($A66,PoolData!$A$10:$U$32,MATCH(E$13,PoolData!$A$10:$U$10,0),0)</f>
        <v>0</v>
      </c>
      <c r="F66" s="57">
        <f>VLOOKUP($A66,PoolData!$A$10:$U$32,MATCH(F$13,PoolData!$A$10:$U$10,0),0)</f>
        <v>0</v>
      </c>
      <c r="H66" s="102">
        <f>VLOOKUP($A66,PoolData!$A$10:$U$32,MATCH(H$13,PoolData!$A$10:$U$10,0),0)</f>
        <v>0</v>
      </c>
      <c r="J66" s="42">
        <f>VLOOKUP($A66,PoolData!$A$10:$U$32,MATCH(J$13,PoolData!$A$10:$U$10,0),0)</f>
        <v>0</v>
      </c>
    </row>
    <row r="67" spans="1:10" x14ac:dyDescent="0.25">
      <c r="A67" s="40" t="str">
        <f>PoolData!A64</f>
        <v>-</v>
      </c>
      <c r="B67" s="40">
        <f>PoolData!C64</f>
        <v>0</v>
      </c>
      <c r="C67" s="40">
        <f>PoolData!D64</f>
        <v>0</v>
      </c>
      <c r="D67" s="88"/>
      <c r="E67" s="57">
        <f>VLOOKUP($A67,PoolData!$A$10:$U$32,MATCH(E$13,PoolData!$A$10:$U$10,0),0)</f>
        <v>0</v>
      </c>
      <c r="F67" s="57">
        <f>VLOOKUP($A67,PoolData!$A$10:$U$32,MATCH(F$13,PoolData!$A$10:$U$10,0),0)</f>
        <v>0</v>
      </c>
      <c r="H67" s="102">
        <f>VLOOKUP($A67,PoolData!$A$10:$U$32,MATCH(H$13,PoolData!$A$10:$U$10,0),0)</f>
        <v>0</v>
      </c>
      <c r="J67" s="42">
        <f>VLOOKUP($A67,PoolData!$A$10:$U$32,MATCH(J$13,PoolData!$A$10:$U$10,0),0)</f>
        <v>0</v>
      </c>
    </row>
    <row r="68" spans="1:10" x14ac:dyDescent="0.25">
      <c r="A68" s="40" t="str">
        <f>PoolData!A65</f>
        <v>-</v>
      </c>
      <c r="B68" s="40">
        <f>PoolData!C65</f>
        <v>0</v>
      </c>
      <c r="C68" s="40">
        <f>PoolData!D65</f>
        <v>0</v>
      </c>
      <c r="D68" s="88"/>
      <c r="E68" s="57">
        <f>VLOOKUP($A68,PoolData!$A$10:$U$32,MATCH(E$13,PoolData!$A$10:$U$10,0),0)</f>
        <v>0</v>
      </c>
      <c r="F68" s="57">
        <f>VLOOKUP($A68,PoolData!$A$10:$U$32,MATCH(F$13,PoolData!$A$10:$U$10,0),0)</f>
        <v>0</v>
      </c>
      <c r="H68" s="102">
        <f>VLOOKUP($A68,PoolData!$A$10:$U$32,MATCH(H$13,PoolData!$A$10:$U$10,0),0)</f>
        <v>0</v>
      </c>
      <c r="J68" s="42">
        <f>VLOOKUP($A68,PoolData!$A$10:$U$32,MATCH(J$13,PoolData!$A$10:$U$10,0),0)</f>
        <v>0</v>
      </c>
    </row>
    <row r="69" spans="1:10" x14ac:dyDescent="0.25">
      <c r="A69" s="40" t="str">
        <f>PoolData!A66</f>
        <v>-</v>
      </c>
      <c r="B69" s="40">
        <f>PoolData!C66</f>
        <v>0</v>
      </c>
      <c r="C69" s="40">
        <f>PoolData!D66</f>
        <v>0</v>
      </c>
      <c r="D69" s="88"/>
      <c r="E69" s="57">
        <f>VLOOKUP($A69,PoolData!$A$10:$U$32,MATCH(E$13,PoolData!$A$10:$U$10,0),0)</f>
        <v>0</v>
      </c>
      <c r="F69" s="57">
        <f>VLOOKUP($A69,PoolData!$A$10:$U$32,MATCH(F$13,PoolData!$A$10:$U$10,0),0)</f>
        <v>0</v>
      </c>
      <c r="H69" s="102">
        <f>VLOOKUP($A69,PoolData!$A$10:$U$32,MATCH(H$13,PoolData!$A$10:$U$10,0),0)</f>
        <v>0</v>
      </c>
      <c r="J69" s="42">
        <f>VLOOKUP($A69,PoolData!$A$10:$U$32,MATCH(J$13,PoolData!$A$10:$U$10,0),0)</f>
        <v>0</v>
      </c>
    </row>
    <row r="70" spans="1:10" x14ac:dyDescent="0.25">
      <c r="A70" s="40" t="str">
        <f>PoolData!A67</f>
        <v>-</v>
      </c>
      <c r="B70" s="40">
        <f>PoolData!C67</f>
        <v>0</v>
      </c>
      <c r="C70" s="40">
        <f>PoolData!D67</f>
        <v>0</v>
      </c>
      <c r="D70" s="88"/>
      <c r="E70" s="57">
        <f>VLOOKUP($A70,PoolData!$A$10:$U$32,MATCH(E$13,PoolData!$A$10:$U$10,0),0)</f>
        <v>0</v>
      </c>
      <c r="F70" s="57">
        <f>VLOOKUP($A70,PoolData!$A$10:$U$32,MATCH(F$13,PoolData!$A$10:$U$10,0),0)</f>
        <v>0</v>
      </c>
      <c r="H70" s="102">
        <f>VLOOKUP($A70,PoolData!$A$10:$U$32,MATCH(H$13,PoolData!$A$10:$U$10,0),0)</f>
        <v>0</v>
      </c>
      <c r="J70" s="42">
        <f>VLOOKUP($A70,PoolData!$A$10:$U$32,MATCH(J$13,PoolData!$A$10:$U$10,0),0)</f>
        <v>0</v>
      </c>
    </row>
    <row r="71" spans="1:10" x14ac:dyDescent="0.25">
      <c r="A71" s="40" t="str">
        <f>PoolData!A68</f>
        <v>-</v>
      </c>
      <c r="B71" s="40">
        <f>PoolData!C68</f>
        <v>0</v>
      </c>
      <c r="C71" s="40">
        <f>PoolData!D68</f>
        <v>0</v>
      </c>
      <c r="D71" s="88"/>
      <c r="E71" s="57">
        <f>VLOOKUP($A71,PoolData!$A$10:$U$32,MATCH(E$13,PoolData!$A$10:$U$10,0),0)</f>
        <v>0</v>
      </c>
      <c r="F71" s="57">
        <f>VLOOKUP($A71,PoolData!$A$10:$U$32,MATCH(F$13,PoolData!$A$10:$U$10,0),0)</f>
        <v>0</v>
      </c>
      <c r="H71" s="102">
        <f>VLOOKUP($A71,PoolData!$A$10:$U$32,MATCH(H$13,PoolData!$A$10:$U$10,0),0)</f>
        <v>0</v>
      </c>
      <c r="J71" s="42">
        <f>VLOOKUP($A71,PoolData!$A$10:$U$32,MATCH(J$13,PoolData!$A$10:$U$10,0),0)</f>
        <v>0</v>
      </c>
    </row>
    <row r="72" spans="1:10" x14ac:dyDescent="0.25">
      <c r="A72" s="40" t="str">
        <f>PoolData!A69</f>
        <v>-</v>
      </c>
      <c r="B72" s="40">
        <f>PoolData!C69</f>
        <v>0</v>
      </c>
      <c r="C72" s="40">
        <f>PoolData!D69</f>
        <v>0</v>
      </c>
      <c r="D72" s="88"/>
      <c r="E72" s="57">
        <f>VLOOKUP($A72,PoolData!$A$10:$U$32,MATCH(E$13,PoolData!$A$10:$U$10,0),0)</f>
        <v>0</v>
      </c>
      <c r="F72" s="57">
        <f>VLOOKUP($A72,PoolData!$A$10:$U$32,MATCH(F$13,PoolData!$A$10:$U$10,0),0)</f>
        <v>0</v>
      </c>
      <c r="H72" s="102">
        <f>VLOOKUP($A72,PoolData!$A$10:$U$32,MATCH(H$13,PoolData!$A$10:$U$10,0),0)</f>
        <v>0</v>
      </c>
      <c r="J72" s="42">
        <f>VLOOKUP($A72,PoolData!$A$10:$U$32,MATCH(J$13,PoolData!$A$10:$U$10,0),0)</f>
        <v>0</v>
      </c>
    </row>
    <row r="73" spans="1:10" x14ac:dyDescent="0.25">
      <c r="A73" s="40" t="str">
        <f>PoolData!A70</f>
        <v>-</v>
      </c>
      <c r="B73" s="40">
        <f>PoolData!C70</f>
        <v>0</v>
      </c>
      <c r="C73" s="40">
        <f>PoolData!D70</f>
        <v>0</v>
      </c>
      <c r="D73" s="88"/>
      <c r="E73" s="57">
        <f>VLOOKUP($A73,PoolData!$A$10:$U$32,MATCH(E$13,PoolData!$A$10:$U$10,0),0)</f>
        <v>0</v>
      </c>
      <c r="F73" s="57">
        <f>VLOOKUP($A73,PoolData!$A$10:$U$32,MATCH(F$13,PoolData!$A$10:$U$10,0),0)</f>
        <v>0</v>
      </c>
      <c r="H73" s="102">
        <f>VLOOKUP($A73,PoolData!$A$10:$U$32,MATCH(H$13,PoolData!$A$10:$U$10,0),0)</f>
        <v>0</v>
      </c>
      <c r="J73" s="42">
        <f>VLOOKUP($A73,PoolData!$A$10:$U$32,MATCH(J$13,PoolData!$A$10:$U$10,0),0)</f>
        <v>0</v>
      </c>
    </row>
    <row r="74" spans="1:10" x14ac:dyDescent="0.25">
      <c r="A74" s="40" t="str">
        <f>PoolData!A71</f>
        <v>-</v>
      </c>
      <c r="B74" s="40">
        <f>PoolData!C71</f>
        <v>0</v>
      </c>
      <c r="C74" s="40">
        <f>PoolData!D71</f>
        <v>0</v>
      </c>
      <c r="D74" s="88"/>
      <c r="E74" s="57">
        <f>VLOOKUP($A74,PoolData!$A$10:$U$32,MATCH(E$13,PoolData!$A$10:$U$10,0),0)</f>
        <v>0</v>
      </c>
      <c r="F74" s="57">
        <f>VLOOKUP($A74,PoolData!$A$10:$U$32,MATCH(F$13,PoolData!$A$10:$U$10,0),0)</f>
        <v>0</v>
      </c>
      <c r="H74" s="102">
        <f>VLOOKUP($A74,PoolData!$A$10:$U$32,MATCH(H$13,PoolData!$A$10:$U$10,0),0)</f>
        <v>0</v>
      </c>
      <c r="J74" s="42">
        <f>VLOOKUP($A74,PoolData!$A$10:$U$32,MATCH(J$13,PoolData!$A$10:$U$10,0),0)</f>
        <v>0</v>
      </c>
    </row>
    <row r="75" spans="1:10" x14ac:dyDescent="0.25">
      <c r="A75" s="40" t="str">
        <f>PoolData!A72</f>
        <v>-</v>
      </c>
      <c r="B75" s="40">
        <f>PoolData!C72</f>
        <v>0</v>
      </c>
      <c r="C75" s="40">
        <f>PoolData!D72</f>
        <v>0</v>
      </c>
      <c r="D75" s="88"/>
      <c r="E75" s="57">
        <f>VLOOKUP($A75,PoolData!$A$10:$U$32,MATCH(E$13,PoolData!$A$10:$U$10,0),0)</f>
        <v>0</v>
      </c>
      <c r="F75" s="57">
        <f>VLOOKUP($A75,PoolData!$A$10:$U$32,MATCH(F$13,PoolData!$A$10:$U$10,0),0)</f>
        <v>0</v>
      </c>
      <c r="H75" s="102">
        <f>VLOOKUP($A75,PoolData!$A$10:$U$32,MATCH(H$13,PoolData!$A$10:$U$10,0),0)</f>
        <v>0</v>
      </c>
      <c r="J75" s="42">
        <f>VLOOKUP($A75,PoolData!$A$10:$U$32,MATCH(J$13,PoolData!$A$10:$U$10,0),0)</f>
        <v>0</v>
      </c>
    </row>
    <row r="76" spans="1:10" x14ac:dyDescent="0.25">
      <c r="A76" s="40" t="str">
        <f>PoolData!A73</f>
        <v>-</v>
      </c>
      <c r="B76" s="40">
        <f>PoolData!C73</f>
        <v>0</v>
      </c>
      <c r="C76" s="40">
        <f>PoolData!D73</f>
        <v>0</v>
      </c>
      <c r="D76" s="88"/>
      <c r="E76" s="57">
        <f>VLOOKUP($A76,PoolData!$A$10:$U$32,MATCH(E$13,PoolData!$A$10:$U$10,0),0)</f>
        <v>0</v>
      </c>
      <c r="F76" s="57">
        <f>VLOOKUP($A76,PoolData!$A$10:$U$32,MATCH(F$13,PoolData!$A$10:$U$10,0),0)</f>
        <v>0</v>
      </c>
      <c r="H76" s="102">
        <f>VLOOKUP($A76,PoolData!$A$10:$U$32,MATCH(H$13,PoolData!$A$10:$U$10,0),0)</f>
        <v>0</v>
      </c>
      <c r="J76" s="42">
        <f>VLOOKUP($A76,PoolData!$A$10:$U$32,MATCH(J$13,PoolData!$A$10:$U$10,0),0)</f>
        <v>0</v>
      </c>
    </row>
    <row r="77" spans="1:10" x14ac:dyDescent="0.25">
      <c r="A77" s="40" t="str">
        <f>PoolData!A74</f>
        <v>-</v>
      </c>
      <c r="B77" s="40">
        <f>PoolData!C74</f>
        <v>0</v>
      </c>
      <c r="C77" s="40">
        <f>PoolData!D74</f>
        <v>0</v>
      </c>
      <c r="D77" s="88"/>
      <c r="E77" s="57">
        <f>VLOOKUP($A77,PoolData!$A$10:$U$32,MATCH(E$13,PoolData!$A$10:$U$10,0),0)</f>
        <v>0</v>
      </c>
      <c r="F77" s="57">
        <f>VLOOKUP($A77,PoolData!$A$10:$U$32,MATCH(F$13,PoolData!$A$10:$U$10,0),0)</f>
        <v>0</v>
      </c>
      <c r="H77" s="102">
        <f>VLOOKUP($A77,PoolData!$A$10:$U$32,MATCH(H$13,PoolData!$A$10:$U$10,0),0)</f>
        <v>0</v>
      </c>
      <c r="J77" s="42">
        <f>VLOOKUP($A77,PoolData!$A$10:$U$32,MATCH(J$13,PoolData!$A$10:$U$10,0),0)</f>
        <v>0</v>
      </c>
    </row>
    <row r="78" spans="1:10" x14ac:dyDescent="0.25">
      <c r="A78" s="40" t="str">
        <f>PoolData!A75</f>
        <v>-</v>
      </c>
      <c r="B78" s="40">
        <f>PoolData!C75</f>
        <v>0</v>
      </c>
      <c r="C78" s="40">
        <f>PoolData!D75</f>
        <v>0</v>
      </c>
      <c r="D78" s="88"/>
      <c r="E78" s="57">
        <f>VLOOKUP($A78,PoolData!$A$10:$U$32,MATCH(E$13,PoolData!$A$10:$U$10,0),0)</f>
        <v>0</v>
      </c>
      <c r="F78" s="57">
        <f>VLOOKUP($A78,PoolData!$A$10:$U$32,MATCH(F$13,PoolData!$A$10:$U$10,0),0)</f>
        <v>0</v>
      </c>
      <c r="H78" s="102">
        <f>VLOOKUP($A78,PoolData!$A$10:$U$32,MATCH(H$13,PoolData!$A$10:$U$10,0),0)</f>
        <v>0</v>
      </c>
      <c r="J78" s="42">
        <f>VLOOKUP($A78,PoolData!$A$10:$U$32,MATCH(J$13,PoolData!$A$10:$U$10,0),0)</f>
        <v>0</v>
      </c>
    </row>
    <row r="79" spans="1:10" x14ac:dyDescent="0.25">
      <c r="A79" s="40" t="str">
        <f>PoolData!A76</f>
        <v>-</v>
      </c>
      <c r="B79" s="40">
        <f>PoolData!C76</f>
        <v>0</v>
      </c>
      <c r="C79" s="40">
        <f>PoolData!D76</f>
        <v>0</v>
      </c>
      <c r="D79" s="88"/>
      <c r="E79" s="57">
        <f>VLOOKUP($A79,PoolData!$A$10:$U$32,MATCH(E$13,PoolData!$A$10:$U$10,0),0)</f>
        <v>0</v>
      </c>
      <c r="F79" s="57">
        <f>VLOOKUP($A79,PoolData!$A$10:$U$32,MATCH(F$13,PoolData!$A$10:$U$10,0),0)</f>
        <v>0</v>
      </c>
      <c r="H79" s="102">
        <f>VLOOKUP($A79,PoolData!$A$10:$U$32,MATCH(H$13,PoolData!$A$10:$U$10,0),0)</f>
        <v>0</v>
      </c>
      <c r="J79" s="42">
        <f>VLOOKUP($A79,PoolData!$A$10:$U$32,MATCH(J$13,PoolData!$A$10:$U$10,0),0)</f>
        <v>0</v>
      </c>
    </row>
    <row r="80" spans="1:10" x14ac:dyDescent="0.25">
      <c r="A80" s="40" t="str">
        <f>PoolData!A77</f>
        <v>-</v>
      </c>
      <c r="B80" s="40">
        <f>PoolData!C77</f>
        <v>0</v>
      </c>
      <c r="C80" s="40">
        <f>PoolData!D77</f>
        <v>0</v>
      </c>
      <c r="D80" s="88"/>
      <c r="E80" s="57">
        <f>VLOOKUP($A80,PoolData!$A$10:$U$32,MATCH(E$13,PoolData!$A$10:$U$10,0),0)</f>
        <v>0</v>
      </c>
      <c r="F80" s="57">
        <f>VLOOKUP($A80,PoolData!$A$10:$U$32,MATCH(F$13,PoolData!$A$10:$U$10,0),0)</f>
        <v>0</v>
      </c>
      <c r="H80" s="102">
        <f>VLOOKUP($A80,PoolData!$A$10:$U$32,MATCH(H$13,PoolData!$A$10:$U$10,0),0)</f>
        <v>0</v>
      </c>
      <c r="J80" s="42">
        <f>VLOOKUP($A80,PoolData!$A$10:$U$32,MATCH(J$13,PoolData!$A$10:$U$10,0),0)</f>
        <v>0</v>
      </c>
    </row>
    <row r="81" spans="1:10" x14ac:dyDescent="0.25">
      <c r="A81" s="40" t="str">
        <f>PoolData!A78</f>
        <v>-</v>
      </c>
      <c r="B81" s="40">
        <f>PoolData!C78</f>
        <v>0</v>
      </c>
      <c r="C81" s="40">
        <f>PoolData!D78</f>
        <v>0</v>
      </c>
      <c r="D81" s="88"/>
      <c r="E81" s="57">
        <f>VLOOKUP($A81,PoolData!$A$10:$U$32,MATCH(E$13,PoolData!$A$10:$U$10,0),0)</f>
        <v>0</v>
      </c>
      <c r="F81" s="57">
        <f>VLOOKUP($A81,PoolData!$A$10:$U$32,MATCH(F$13,PoolData!$A$10:$U$10,0),0)</f>
        <v>0</v>
      </c>
      <c r="H81" s="102">
        <f>VLOOKUP($A81,PoolData!$A$10:$U$32,MATCH(H$13,PoolData!$A$10:$U$10,0),0)</f>
        <v>0</v>
      </c>
      <c r="J81" s="42">
        <f>VLOOKUP($A81,PoolData!$A$10:$U$32,MATCH(J$13,PoolData!$A$10:$U$10,0),0)</f>
        <v>0</v>
      </c>
    </row>
    <row r="82" spans="1:10" x14ac:dyDescent="0.25">
      <c r="A82" s="40" t="str">
        <f>PoolData!A79</f>
        <v>-</v>
      </c>
      <c r="B82" s="40">
        <f>PoolData!C79</f>
        <v>0</v>
      </c>
      <c r="C82" s="40">
        <f>PoolData!D79</f>
        <v>0</v>
      </c>
      <c r="D82" s="88"/>
      <c r="E82" s="57">
        <f>VLOOKUP($A82,PoolData!$A$10:$U$32,MATCH(E$13,PoolData!$A$10:$U$10,0),0)</f>
        <v>0</v>
      </c>
      <c r="F82" s="57">
        <f>VLOOKUP($A82,PoolData!$A$10:$U$32,MATCH(F$13,PoolData!$A$10:$U$10,0),0)</f>
        <v>0</v>
      </c>
      <c r="H82" s="102">
        <f>VLOOKUP($A82,PoolData!$A$10:$U$32,MATCH(H$13,PoolData!$A$10:$U$10,0),0)</f>
        <v>0</v>
      </c>
      <c r="J82" s="42">
        <f>VLOOKUP($A82,PoolData!$A$10:$U$32,MATCH(J$13,PoolData!$A$10:$U$10,0),0)</f>
        <v>0</v>
      </c>
    </row>
    <row r="83" spans="1:10" x14ac:dyDescent="0.25">
      <c r="A83" s="40" t="str">
        <f>PoolData!A80</f>
        <v>-</v>
      </c>
      <c r="B83" s="40">
        <f>PoolData!C80</f>
        <v>0</v>
      </c>
      <c r="C83" s="40">
        <f>PoolData!D80</f>
        <v>0</v>
      </c>
      <c r="D83" s="88"/>
      <c r="E83" s="57">
        <f>VLOOKUP($A83,PoolData!$A$10:$U$32,MATCH(E$13,PoolData!$A$10:$U$10,0),0)</f>
        <v>0</v>
      </c>
      <c r="F83" s="57">
        <f>VLOOKUP($A83,PoolData!$A$10:$U$32,MATCH(F$13,PoolData!$A$10:$U$10,0),0)</f>
        <v>0</v>
      </c>
      <c r="H83" s="102">
        <f>VLOOKUP($A83,PoolData!$A$10:$U$32,MATCH(H$13,PoolData!$A$10:$U$10,0),0)</f>
        <v>0</v>
      </c>
      <c r="J83" s="42">
        <f>VLOOKUP($A83,PoolData!$A$10:$U$32,MATCH(J$13,PoolData!$A$10:$U$10,0),0)</f>
        <v>0</v>
      </c>
    </row>
    <row r="84" spans="1:10" x14ac:dyDescent="0.25">
      <c r="A84" s="40" t="str">
        <f>PoolData!A81</f>
        <v>-</v>
      </c>
      <c r="B84" s="40">
        <f>PoolData!C81</f>
        <v>0</v>
      </c>
      <c r="C84" s="40">
        <f>PoolData!D81</f>
        <v>0</v>
      </c>
      <c r="D84" s="88"/>
      <c r="E84" s="57">
        <f>VLOOKUP($A84,PoolData!$A$10:$U$32,MATCH(E$13,PoolData!$A$10:$U$10,0),0)</f>
        <v>0</v>
      </c>
      <c r="F84" s="57">
        <f>VLOOKUP($A84,PoolData!$A$10:$U$32,MATCH(F$13,PoolData!$A$10:$U$10,0),0)</f>
        <v>0</v>
      </c>
      <c r="H84" s="102">
        <f>VLOOKUP($A84,PoolData!$A$10:$U$32,MATCH(H$13,PoolData!$A$10:$U$10,0),0)</f>
        <v>0</v>
      </c>
      <c r="J84" s="42">
        <f>VLOOKUP($A84,PoolData!$A$10:$U$32,MATCH(J$13,PoolData!$A$10:$U$10,0),0)</f>
        <v>0</v>
      </c>
    </row>
    <row r="85" spans="1:10" x14ac:dyDescent="0.25">
      <c r="A85" s="40" t="str">
        <f>PoolData!A82</f>
        <v>-</v>
      </c>
      <c r="B85" s="40">
        <f>PoolData!C82</f>
        <v>0</v>
      </c>
      <c r="C85" s="40">
        <f>PoolData!D82</f>
        <v>0</v>
      </c>
      <c r="D85" s="88"/>
      <c r="E85" s="57">
        <f>VLOOKUP($A85,PoolData!$A$10:$U$32,MATCH(E$13,PoolData!$A$10:$U$10,0),0)</f>
        <v>0</v>
      </c>
      <c r="F85" s="57">
        <f>VLOOKUP($A85,PoolData!$A$10:$U$32,MATCH(F$13,PoolData!$A$10:$U$10,0),0)</f>
        <v>0</v>
      </c>
      <c r="H85" s="102">
        <f>VLOOKUP($A85,PoolData!$A$10:$U$32,MATCH(H$13,PoolData!$A$10:$U$10,0),0)</f>
        <v>0</v>
      </c>
      <c r="J85" s="42">
        <f>VLOOKUP($A85,PoolData!$A$10:$U$32,MATCH(J$13,PoolData!$A$10:$U$10,0),0)</f>
        <v>0</v>
      </c>
    </row>
    <row r="86" spans="1:10" x14ac:dyDescent="0.25">
      <c r="A86" s="40" t="str">
        <f>PoolData!A83</f>
        <v>-</v>
      </c>
      <c r="B86" s="40">
        <f>PoolData!C83</f>
        <v>0</v>
      </c>
      <c r="C86" s="40">
        <f>PoolData!D83</f>
        <v>0</v>
      </c>
      <c r="D86" s="88"/>
      <c r="E86" s="57">
        <f>VLOOKUP($A86,PoolData!$A$10:$U$32,MATCH(E$13,PoolData!$A$10:$U$10,0),0)</f>
        <v>0</v>
      </c>
      <c r="F86" s="57">
        <f>VLOOKUP($A86,PoolData!$A$10:$U$32,MATCH(F$13,PoolData!$A$10:$U$10,0),0)</f>
        <v>0</v>
      </c>
      <c r="H86" s="102">
        <f>VLOOKUP($A86,PoolData!$A$10:$U$32,MATCH(H$13,PoolData!$A$10:$U$10,0),0)</f>
        <v>0</v>
      </c>
      <c r="J86" s="42">
        <f>VLOOKUP($A86,PoolData!$A$10:$U$32,MATCH(J$13,PoolData!$A$10:$U$10,0),0)</f>
        <v>0</v>
      </c>
    </row>
    <row r="87" spans="1:10" x14ac:dyDescent="0.25">
      <c r="A87" s="40" t="str">
        <f>PoolData!A84</f>
        <v>-</v>
      </c>
      <c r="B87" s="40">
        <f>PoolData!C84</f>
        <v>0</v>
      </c>
      <c r="C87" s="40">
        <f>PoolData!D84</f>
        <v>0</v>
      </c>
      <c r="D87" s="88"/>
      <c r="E87" s="57">
        <f>VLOOKUP($A87,PoolData!$A$10:$U$32,MATCH(E$13,PoolData!$A$10:$U$10,0),0)</f>
        <v>0</v>
      </c>
      <c r="F87" s="57">
        <f>VLOOKUP($A87,PoolData!$A$10:$U$32,MATCH(F$13,PoolData!$A$10:$U$10,0),0)</f>
        <v>0</v>
      </c>
      <c r="H87" s="102">
        <f>VLOOKUP($A87,PoolData!$A$10:$U$32,MATCH(H$13,PoolData!$A$10:$U$10,0),0)</f>
        <v>0</v>
      </c>
      <c r="J87" s="42">
        <f>VLOOKUP($A87,PoolData!$A$10:$U$32,MATCH(J$13,PoolData!$A$10:$U$10,0),0)</f>
        <v>0</v>
      </c>
    </row>
    <row r="88" spans="1:10" x14ac:dyDescent="0.25">
      <c r="A88" s="40" t="str">
        <f>PoolData!A85</f>
        <v>-</v>
      </c>
      <c r="B88" s="40">
        <f>PoolData!C85</f>
        <v>0</v>
      </c>
      <c r="C88" s="40">
        <f>PoolData!D85</f>
        <v>0</v>
      </c>
      <c r="D88" s="88"/>
      <c r="E88" s="57">
        <f>VLOOKUP($A88,PoolData!$A$10:$U$32,MATCH(E$13,PoolData!$A$10:$U$10,0),0)</f>
        <v>0</v>
      </c>
      <c r="F88" s="57">
        <f>VLOOKUP($A88,PoolData!$A$10:$U$32,MATCH(F$13,PoolData!$A$10:$U$10,0),0)</f>
        <v>0</v>
      </c>
      <c r="H88" s="102">
        <f>VLOOKUP($A88,PoolData!$A$10:$U$32,MATCH(H$13,PoolData!$A$10:$U$10,0),0)</f>
        <v>0</v>
      </c>
      <c r="J88" s="42">
        <f>VLOOKUP($A88,PoolData!$A$10:$U$32,MATCH(J$13,PoolData!$A$10:$U$10,0),0)</f>
        <v>0</v>
      </c>
    </row>
    <row r="89" spans="1:10" x14ac:dyDescent="0.25">
      <c r="A89" s="40" t="str">
        <f>PoolData!A86</f>
        <v>-</v>
      </c>
      <c r="B89" s="40">
        <f>PoolData!C86</f>
        <v>0</v>
      </c>
      <c r="C89" s="40">
        <f>PoolData!D86</f>
        <v>0</v>
      </c>
      <c r="D89" s="88"/>
      <c r="E89" s="57">
        <f>VLOOKUP($A89,PoolData!$A$10:$U$32,MATCH(E$13,PoolData!$A$10:$U$10,0),0)</f>
        <v>0</v>
      </c>
      <c r="F89" s="57">
        <f>VLOOKUP($A89,PoolData!$A$10:$U$32,MATCH(F$13,PoolData!$A$10:$U$10,0),0)</f>
        <v>0</v>
      </c>
      <c r="H89" s="102">
        <f>VLOOKUP($A89,PoolData!$A$10:$U$32,MATCH(H$13,PoolData!$A$10:$U$10,0),0)</f>
        <v>0</v>
      </c>
      <c r="J89" s="42">
        <f>VLOOKUP($A89,PoolData!$A$10:$U$32,MATCH(J$13,PoolData!$A$10:$U$10,0),0)</f>
        <v>0</v>
      </c>
    </row>
    <row r="90" spans="1:10" x14ac:dyDescent="0.25">
      <c r="A90" s="40" t="str">
        <f>PoolData!A87</f>
        <v>-</v>
      </c>
      <c r="B90" s="40">
        <f>PoolData!C87</f>
        <v>0</v>
      </c>
      <c r="C90" s="40">
        <f>PoolData!D87</f>
        <v>0</v>
      </c>
      <c r="D90" s="88"/>
      <c r="E90" s="57">
        <f>VLOOKUP($A90,PoolData!$A$10:$U$32,MATCH(E$13,PoolData!$A$10:$U$10,0),0)</f>
        <v>0</v>
      </c>
      <c r="F90" s="57">
        <f>VLOOKUP($A90,PoolData!$A$10:$U$32,MATCH(F$13,PoolData!$A$10:$U$10,0),0)</f>
        <v>0</v>
      </c>
      <c r="H90" s="102">
        <f>VLOOKUP($A90,PoolData!$A$10:$U$32,MATCH(H$13,PoolData!$A$10:$U$10,0),0)</f>
        <v>0</v>
      </c>
      <c r="J90" s="42">
        <f>VLOOKUP($A90,PoolData!$A$10:$U$32,MATCH(J$13,PoolData!$A$10:$U$10,0),0)</f>
        <v>0</v>
      </c>
    </row>
    <row r="91" spans="1:10" x14ac:dyDescent="0.25">
      <c r="A91" s="40" t="str">
        <f>PoolData!A88</f>
        <v>-</v>
      </c>
      <c r="B91" s="40">
        <f>PoolData!C88</f>
        <v>0</v>
      </c>
      <c r="C91" s="40">
        <f>PoolData!D88</f>
        <v>0</v>
      </c>
      <c r="D91" s="88"/>
      <c r="E91" s="57">
        <f>VLOOKUP($A91,PoolData!$A$10:$U$32,MATCH(E$13,PoolData!$A$10:$U$10,0),0)</f>
        <v>0</v>
      </c>
      <c r="F91" s="57">
        <f>VLOOKUP($A91,PoolData!$A$10:$U$32,MATCH(F$13,PoolData!$A$10:$U$10,0),0)</f>
        <v>0</v>
      </c>
      <c r="H91" s="102">
        <f>VLOOKUP($A91,PoolData!$A$10:$U$32,MATCH(H$13,PoolData!$A$10:$U$10,0),0)</f>
        <v>0</v>
      </c>
      <c r="J91" s="42">
        <f>VLOOKUP($A91,PoolData!$A$10:$U$32,MATCH(J$13,PoolData!$A$10:$U$10,0),0)</f>
        <v>0</v>
      </c>
    </row>
    <row r="92" spans="1:10" x14ac:dyDescent="0.25">
      <c r="A92" s="40" t="str">
        <f>PoolData!A89</f>
        <v>-</v>
      </c>
      <c r="B92" s="40">
        <f>PoolData!C89</f>
        <v>0</v>
      </c>
      <c r="C92" s="40">
        <f>PoolData!D89</f>
        <v>0</v>
      </c>
      <c r="D92" s="88"/>
      <c r="E92" s="57">
        <f>VLOOKUP($A92,PoolData!$A$10:$U$32,MATCH(E$13,PoolData!$A$10:$U$10,0),0)</f>
        <v>0</v>
      </c>
      <c r="F92" s="57">
        <f>VLOOKUP($A92,PoolData!$A$10:$U$32,MATCH(F$13,PoolData!$A$10:$U$10,0),0)</f>
        <v>0</v>
      </c>
      <c r="H92" s="102">
        <f>VLOOKUP($A92,PoolData!$A$10:$U$32,MATCH(H$13,PoolData!$A$10:$U$10,0),0)</f>
        <v>0</v>
      </c>
      <c r="J92" s="42">
        <f>VLOOKUP($A92,PoolData!$A$10:$U$32,MATCH(J$13,PoolData!$A$10:$U$10,0),0)</f>
        <v>0</v>
      </c>
    </row>
    <row r="93" spans="1:10" x14ac:dyDescent="0.25">
      <c r="A93" s="40" t="str">
        <f>PoolData!A90</f>
        <v>-</v>
      </c>
      <c r="B93" s="40">
        <f>PoolData!C90</f>
        <v>0</v>
      </c>
      <c r="C93" s="40">
        <f>PoolData!D90</f>
        <v>0</v>
      </c>
      <c r="D93" s="88"/>
      <c r="E93" s="57">
        <f>VLOOKUP($A93,PoolData!$A$10:$U$32,MATCH(E$13,PoolData!$A$10:$U$10,0),0)</f>
        <v>0</v>
      </c>
      <c r="F93" s="57">
        <f>VLOOKUP($A93,PoolData!$A$10:$U$32,MATCH(F$13,PoolData!$A$10:$U$10,0),0)</f>
        <v>0</v>
      </c>
      <c r="H93" s="102">
        <f>VLOOKUP($A93,PoolData!$A$10:$U$32,MATCH(H$13,PoolData!$A$10:$U$10,0),0)</f>
        <v>0</v>
      </c>
      <c r="J93" s="42">
        <f>VLOOKUP($A93,PoolData!$A$10:$U$32,MATCH(J$13,PoolData!$A$10:$U$10,0),0)</f>
        <v>0</v>
      </c>
    </row>
    <row r="94" spans="1:10" x14ac:dyDescent="0.25">
      <c r="A94" s="40" t="str">
        <f>PoolData!A91</f>
        <v>-</v>
      </c>
      <c r="B94" s="40">
        <f>PoolData!C91</f>
        <v>0</v>
      </c>
      <c r="C94" s="40">
        <f>PoolData!D91</f>
        <v>0</v>
      </c>
      <c r="D94" s="88"/>
      <c r="E94" s="57">
        <f>VLOOKUP($A94,PoolData!$A$10:$U$32,MATCH(E$13,PoolData!$A$10:$U$10,0),0)</f>
        <v>0</v>
      </c>
      <c r="F94" s="57">
        <f>VLOOKUP($A94,PoolData!$A$10:$U$32,MATCH(F$13,PoolData!$A$10:$U$10,0),0)</f>
        <v>0</v>
      </c>
      <c r="H94" s="102">
        <f>VLOOKUP($A94,PoolData!$A$10:$U$32,MATCH(H$13,PoolData!$A$10:$U$10,0),0)</f>
        <v>0</v>
      </c>
      <c r="J94" s="42">
        <f>VLOOKUP($A94,PoolData!$A$10:$U$32,MATCH(J$13,PoolData!$A$10:$U$10,0),0)</f>
        <v>0</v>
      </c>
    </row>
    <row r="95" spans="1:10" x14ac:dyDescent="0.25">
      <c r="A95" s="40" t="str">
        <f>PoolData!A92</f>
        <v>-</v>
      </c>
      <c r="B95" s="40">
        <f>PoolData!C92</f>
        <v>0</v>
      </c>
      <c r="C95" s="40">
        <f>PoolData!D92</f>
        <v>0</v>
      </c>
      <c r="D95" s="88"/>
      <c r="E95" s="57">
        <f>VLOOKUP($A95,PoolData!$A$10:$U$32,MATCH(E$13,PoolData!$A$10:$U$10,0),0)</f>
        <v>0</v>
      </c>
      <c r="F95" s="57">
        <f>VLOOKUP($A95,PoolData!$A$10:$U$32,MATCH(F$13,PoolData!$A$10:$U$10,0),0)</f>
        <v>0</v>
      </c>
      <c r="H95" s="102">
        <f>VLOOKUP($A95,PoolData!$A$10:$U$32,MATCH(H$13,PoolData!$A$10:$U$10,0),0)</f>
        <v>0</v>
      </c>
      <c r="J95" s="42">
        <f>VLOOKUP($A95,PoolData!$A$10:$U$32,MATCH(J$13,PoolData!$A$10:$U$10,0),0)</f>
        <v>0</v>
      </c>
    </row>
    <row r="96" spans="1:10" x14ac:dyDescent="0.25">
      <c r="A96" s="40" t="str">
        <f>PoolData!A93</f>
        <v>-</v>
      </c>
      <c r="B96" s="40">
        <f>PoolData!C93</f>
        <v>0</v>
      </c>
      <c r="C96" s="40">
        <f>PoolData!D93</f>
        <v>0</v>
      </c>
      <c r="D96" s="88"/>
      <c r="E96" s="57">
        <f>VLOOKUP($A96,PoolData!$A$10:$U$32,MATCH(E$13,PoolData!$A$10:$U$10,0),0)</f>
        <v>0</v>
      </c>
      <c r="F96" s="57">
        <f>VLOOKUP($A96,PoolData!$A$10:$U$32,MATCH(F$13,PoolData!$A$10:$U$10,0),0)</f>
        <v>0</v>
      </c>
      <c r="H96" s="102">
        <f>VLOOKUP($A96,PoolData!$A$10:$U$32,MATCH(H$13,PoolData!$A$10:$U$10,0),0)</f>
        <v>0</v>
      </c>
      <c r="J96" s="42">
        <f>VLOOKUP($A96,PoolData!$A$10:$U$32,MATCH(J$13,PoolData!$A$10:$U$10,0),0)</f>
        <v>0</v>
      </c>
    </row>
    <row r="97" spans="1:10" x14ac:dyDescent="0.25">
      <c r="A97" s="40" t="str">
        <f>PoolData!A94</f>
        <v>-</v>
      </c>
      <c r="B97" s="40">
        <f>PoolData!C94</f>
        <v>0</v>
      </c>
      <c r="C97" s="40">
        <f>PoolData!D94</f>
        <v>0</v>
      </c>
      <c r="D97" s="88"/>
      <c r="E97" s="57">
        <f>VLOOKUP($A97,PoolData!$A$10:$U$32,MATCH(E$13,PoolData!$A$10:$U$10,0),0)</f>
        <v>0</v>
      </c>
      <c r="F97" s="57">
        <f>VLOOKUP($A97,PoolData!$A$10:$U$32,MATCH(F$13,PoolData!$A$10:$U$10,0),0)</f>
        <v>0</v>
      </c>
      <c r="H97" s="102">
        <f>VLOOKUP($A97,PoolData!$A$10:$U$32,MATCH(H$13,PoolData!$A$10:$U$10,0),0)</f>
        <v>0</v>
      </c>
      <c r="J97" s="42">
        <f>VLOOKUP($A97,PoolData!$A$10:$U$32,MATCH(J$13,PoolData!$A$10:$U$10,0),0)</f>
        <v>0</v>
      </c>
    </row>
    <row r="98" spans="1:10" x14ac:dyDescent="0.25">
      <c r="A98" s="40" t="str">
        <f>PoolData!A95</f>
        <v>-</v>
      </c>
      <c r="B98" s="40">
        <f>PoolData!C95</f>
        <v>0</v>
      </c>
      <c r="C98" s="40">
        <f>PoolData!D95</f>
        <v>0</v>
      </c>
      <c r="D98" s="88"/>
      <c r="E98" s="57">
        <f>VLOOKUP($A98,PoolData!$A$10:$U$32,MATCH(E$13,PoolData!$A$10:$U$10,0),0)</f>
        <v>0</v>
      </c>
      <c r="F98" s="57">
        <f>VLOOKUP($A98,PoolData!$A$10:$U$32,MATCH(F$13,PoolData!$A$10:$U$10,0),0)</f>
        <v>0</v>
      </c>
      <c r="H98" s="102">
        <f>VLOOKUP($A98,PoolData!$A$10:$U$32,MATCH(H$13,PoolData!$A$10:$U$10,0),0)</f>
        <v>0</v>
      </c>
      <c r="J98" s="42">
        <f>VLOOKUP($A98,PoolData!$A$10:$U$32,MATCH(J$13,PoolData!$A$10:$U$10,0),0)</f>
        <v>0</v>
      </c>
    </row>
    <row r="99" spans="1:10" x14ac:dyDescent="0.25">
      <c r="A99" s="40" t="str">
        <f>PoolData!A96</f>
        <v>-</v>
      </c>
      <c r="B99" s="40">
        <f>PoolData!C96</f>
        <v>0</v>
      </c>
      <c r="C99" s="40">
        <f>PoolData!D96</f>
        <v>0</v>
      </c>
      <c r="D99" s="88"/>
      <c r="E99" s="57">
        <f>VLOOKUP($A99,PoolData!$A$10:$U$32,MATCH(E$13,PoolData!$A$10:$U$10,0),0)</f>
        <v>0</v>
      </c>
      <c r="F99" s="57">
        <f>VLOOKUP($A99,PoolData!$A$10:$U$32,MATCH(F$13,PoolData!$A$10:$U$10,0),0)</f>
        <v>0</v>
      </c>
      <c r="H99" s="102">
        <f>VLOOKUP($A99,PoolData!$A$10:$U$32,MATCH(H$13,PoolData!$A$10:$U$10,0),0)</f>
        <v>0</v>
      </c>
      <c r="J99" s="42">
        <f>VLOOKUP($A99,PoolData!$A$10:$U$32,MATCH(J$13,PoolData!$A$10:$U$10,0),0)</f>
        <v>0</v>
      </c>
    </row>
    <row r="100" spans="1:10" x14ac:dyDescent="0.25">
      <c r="A100" s="40" t="str">
        <f>PoolData!A97</f>
        <v>-</v>
      </c>
      <c r="B100" s="40">
        <f>PoolData!C97</f>
        <v>0</v>
      </c>
      <c r="C100" s="40">
        <f>PoolData!D97</f>
        <v>0</v>
      </c>
      <c r="D100" s="88"/>
      <c r="E100" s="57">
        <f>VLOOKUP($A100,PoolData!$A$10:$U$32,MATCH(E$13,PoolData!$A$10:$U$10,0),0)</f>
        <v>0</v>
      </c>
      <c r="F100" s="57">
        <f>VLOOKUP($A100,PoolData!$A$10:$U$32,MATCH(F$13,PoolData!$A$10:$U$10,0),0)</f>
        <v>0</v>
      </c>
      <c r="H100" s="102">
        <f>VLOOKUP($A100,PoolData!$A$10:$U$32,MATCH(H$13,PoolData!$A$10:$U$10,0),0)</f>
        <v>0</v>
      </c>
      <c r="J100" s="42">
        <f>VLOOKUP($A100,PoolData!$A$10:$U$32,MATCH(J$13,PoolData!$A$10:$U$10,0),0)</f>
        <v>0</v>
      </c>
    </row>
  </sheetData>
  <mergeCells count="2">
    <mergeCell ref="E11:F11"/>
    <mergeCell ref="A13:C1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BE76-38FF-4372-88C5-C05986D310E0}">
  <sheetPr codeName="Sheet5">
    <tabColor theme="4" tint="0.59999389629810485"/>
  </sheetPr>
  <dimension ref="A1:BC815"/>
  <sheetViews>
    <sheetView topLeftCell="D1" zoomScale="70" zoomScaleNormal="70" workbookViewId="0">
      <pane xSplit="2" topLeftCell="J1" activePane="topRight" state="frozen"/>
      <selection activeCell="F16" sqref="F16"/>
      <selection pane="topRight" activeCell="N38" sqref="N38"/>
    </sheetView>
  </sheetViews>
  <sheetFormatPr defaultRowHeight="15" x14ac:dyDescent="0.25"/>
  <cols>
    <col min="1" max="3" width="17.7109375" hidden="1" customWidth="1"/>
    <col min="4" max="4" width="45.42578125" customWidth="1"/>
    <col min="5" max="5" width="64.28515625" bestFit="1" customWidth="1"/>
    <col min="6" max="6" width="15.7109375" hidden="1" customWidth="1"/>
    <col min="7" max="7" width="15.85546875" hidden="1" customWidth="1"/>
    <col min="8" max="8" width="17.85546875" style="3" hidden="1" customWidth="1"/>
    <col min="9" max="9" width="26.85546875" hidden="1" customWidth="1"/>
    <col min="10" max="10" width="31.140625" bestFit="1" customWidth="1"/>
    <col min="11" max="11" width="13.140625" bestFit="1" customWidth="1"/>
    <col min="12" max="12" width="23.42578125" bestFit="1" customWidth="1"/>
    <col min="13" max="13" width="13" bestFit="1" customWidth="1"/>
    <col min="14" max="14" width="59.7109375" bestFit="1" customWidth="1"/>
    <col min="15" max="15" width="11.7109375" bestFit="1" customWidth="1"/>
    <col min="16" max="16" width="8.85546875" bestFit="1" customWidth="1"/>
    <col min="17" max="17" width="55.85546875" bestFit="1" customWidth="1"/>
    <col min="18" max="18" width="3" customWidth="1"/>
    <col min="19" max="21" width="7.140625" bestFit="1" customWidth="1"/>
    <col min="22" max="22" width="13.140625" bestFit="1" customWidth="1"/>
    <col min="23" max="23" width="13.85546875" bestFit="1" customWidth="1"/>
    <col min="24" max="24" width="15" bestFit="1" customWidth="1"/>
    <col min="25" max="25" width="3" customWidth="1"/>
    <col min="26" max="27" width="17.7109375" customWidth="1"/>
  </cols>
  <sheetData>
    <row r="1" spans="1:55" ht="84" customHeight="1" x14ac:dyDescent="0.7">
      <c r="D1" s="112" t="s">
        <v>140</v>
      </c>
      <c r="E1" s="132" t="s">
        <v>176</v>
      </c>
      <c r="J1" s="10" t="str">
        <f>"ENTRY POOL SIZE "&amp;D3</f>
        <v>ENTRY POOL SIZE FSN</v>
      </c>
      <c r="K1" s="28">
        <f>VLOOKUP($D$3&amp;"-"&amp;$D$4,PoolData!$A$10:$N$1048576,MATCH("Coin 1 Pool Size",PoolData!$A$10:$N$10,0),0)</f>
        <v>4790571.7202509996</v>
      </c>
      <c r="N1" s="8" t="s">
        <v>2</v>
      </c>
      <c r="O1" s="26">
        <v>0.02</v>
      </c>
      <c r="P1" s="6"/>
      <c r="Q1" s="6"/>
      <c r="R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</row>
    <row r="2" spans="1:55" x14ac:dyDescent="0.25">
      <c r="J2" s="10" t="str">
        <f>"ENTRY POOL SIZE "&amp;D4</f>
        <v>ENTRY POOL SIZE ANY</v>
      </c>
      <c r="K2" s="28">
        <f>VLOOKUP($D$3&amp;"-"&amp;$D$4,PoolData!$A$10:$N$1048576,MATCH("Coin 2 Pool Size",PoolData!$A$10:$N$10,0),0)</f>
        <v>2095472.5930979999</v>
      </c>
      <c r="L2" s="17" t="str">
        <f>D4&amp;"  required to pool"</f>
        <v>ANY  required to pool</v>
      </c>
      <c r="P2" s="6"/>
      <c r="Q2" s="6"/>
      <c r="R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x14ac:dyDescent="0.25">
      <c r="D3" s="113" t="str">
        <f>LEFT(D1,FIND("-",D1)-1)</f>
        <v>FSN</v>
      </c>
      <c r="J3" s="27" t="s">
        <v>5</v>
      </c>
      <c r="K3" s="28">
        <f>IFERROR(VLOOKUP($D$3&amp;"-"&amp;$D$4,'Your Pooling'!$A:$B,2,0),1000)</f>
        <v>1000</v>
      </c>
      <c r="L3" s="18">
        <f>K3/(K1/K2)</f>
        <v>437.41597359661461</v>
      </c>
      <c r="P3" s="6"/>
      <c r="Q3" s="6"/>
      <c r="R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21" x14ac:dyDescent="0.35">
      <c r="D4" s="113" t="str">
        <f>RIGHT(D1,LEN(D1)-FIND("-",D1))</f>
        <v>ANY</v>
      </c>
      <c r="J4" s="40" t="s">
        <v>107</v>
      </c>
      <c r="K4" s="58">
        <f>K3/(K1)</f>
        <v>2.0874335223345858E-4</v>
      </c>
      <c r="N4" s="34" t="str">
        <f>"Starting Balance is "&amp;ROUND(K3,3)&amp;" "&amp;$D$3&amp;" and "&amp;ROUND(L3,3)&amp;" "&amp;$D$4&amp;" - equivalent of "&amp;ROUND(2*K3,0)&amp;" FSN or "&amp;ROUND(2*L3,3)&amp;" "&amp;$D$4</f>
        <v>Starting Balance is 1000 FSN and 437.416 ANY - equivalent of 2000 FSN or 874.832 ANY</v>
      </c>
      <c r="P4" s="6"/>
      <c r="Q4" s="6"/>
      <c r="R4" s="6"/>
      <c r="T4" s="6"/>
      <c r="U4" s="6"/>
      <c r="V4" s="6"/>
      <c r="W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</row>
    <row r="5" spans="1:55" x14ac:dyDescent="0.25">
      <c r="H5"/>
      <c r="J5" s="40" t="s">
        <v>109</v>
      </c>
      <c r="K5" s="73">
        <f>FSNPRICE</f>
        <v>0.46275250523054356</v>
      </c>
      <c r="N5" s="12" t="s">
        <v>7</v>
      </c>
      <c r="P5" s="6"/>
      <c r="R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x14ac:dyDescent="0.25">
      <c r="D6" s="54"/>
      <c r="H6"/>
      <c r="N6" s="142" t="s">
        <v>0</v>
      </c>
      <c r="O6" s="142"/>
      <c r="P6" s="142"/>
      <c r="Q6" s="142"/>
      <c r="R6" s="6"/>
      <c r="S6" s="142" t="s">
        <v>108</v>
      </c>
      <c r="T6" s="142"/>
      <c r="U6" s="142"/>
      <c r="V6" s="143" t="s">
        <v>12</v>
      </c>
      <c r="W6" s="143"/>
      <c r="X6" s="143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1:55" x14ac:dyDescent="0.25">
      <c r="D7" s="54"/>
      <c r="F7" s="15" t="str">
        <f>D4&amp;":"&amp;D3&amp;" Ratio"</f>
        <v>ANY:FSN Ratio</v>
      </c>
      <c r="G7" s="15" t="str">
        <f>$D$3&amp;" pool  Size"</f>
        <v>FSN pool  Size</v>
      </c>
      <c r="H7" s="16" t="str">
        <f>$D$4&amp;" Pool Size"</f>
        <v>ANY Pool Size</v>
      </c>
      <c r="I7" s="15" t="s">
        <v>1</v>
      </c>
      <c r="M7" s="83" t="str">
        <f>$D$4&amp;" Price"</f>
        <v>ANY Price</v>
      </c>
      <c r="N7" s="14" t="str">
        <f>F7</f>
        <v>ANY:FSN Ratio</v>
      </c>
      <c r="O7" s="13" t="str">
        <f>"#"&amp;$D$3</f>
        <v>#FSN</v>
      </c>
      <c r="P7" s="13" t="str">
        <f>"#"&amp;$D$4</f>
        <v>#ANY</v>
      </c>
      <c r="Q7" s="14" t="str">
        <f>"Equivalent USD Pooling at current FSN Price"</f>
        <v>Equivalent USD Pooling at current FSN Price</v>
      </c>
      <c r="R7" s="6"/>
      <c r="S7" s="13" t="str">
        <f>"HODL "&amp;ROUND(K3*2,3)&amp;" "&amp;$D$3&amp;" (at current fsn price)"</f>
        <v>HODL 2000 FSN (at current fsn price)</v>
      </c>
      <c r="T7" s="13" t="str">
        <f>"HODL "&amp;ROUND(L3*2,3)&amp;" "&amp;$D$4&amp;" (at current fsn price)"</f>
        <v>HODL 874.832 ANY (at current fsn price)</v>
      </c>
      <c r="U7" s="13" t="str">
        <f>"HODL "&amp;ROUND(K3,3)&amp;" "&amp;$D$3&amp;"&amp; "&amp;ROUND(L3,3)&amp;" "&amp;$D$4&amp;" (at current fsn price)"</f>
        <v>HODL 1000 FSN&amp; 437.416 ANY (at current fsn price)</v>
      </c>
      <c r="V7" s="13" t="str">
        <f>"HODL"&amp;$D$3</f>
        <v>HODLFSN</v>
      </c>
      <c r="W7" s="13" t="str">
        <f>"HODL "&amp;$D$4</f>
        <v>HODL ANY</v>
      </c>
      <c r="X7" s="13" t="s">
        <v>11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x14ac:dyDescent="0.25">
      <c r="A8" s="33"/>
      <c r="B8" s="33"/>
      <c r="C8" s="33"/>
      <c r="D8" s="111"/>
      <c r="E8" s="33"/>
      <c r="F8" s="5">
        <f>G8/H8</f>
        <v>11.146001633201751</v>
      </c>
      <c r="G8" s="4">
        <f>G9*(1+$O$1)</f>
        <v>10577772.369705852</v>
      </c>
      <c r="H8" s="3">
        <f t="shared" ref="H8:H47" si="0">I8/G8</f>
        <v>949019.45269743598</v>
      </c>
      <c r="I8">
        <f t="shared" ref="I8:I40" si="1">I9</f>
        <v>10038511745056.309</v>
      </c>
      <c r="J8" s="33"/>
      <c r="K8" s="33"/>
      <c r="L8" s="33"/>
      <c r="M8" s="84">
        <f>N8*$K$5</f>
        <v>5.1578401790678399</v>
      </c>
      <c r="N8" s="67">
        <f t="shared" ref="N8:N71" si="2">F8</f>
        <v>11.146001633201751</v>
      </c>
      <c r="O8" s="8">
        <f t="shared" ref="O8:O47" si="3">$O$48/$G$48*G8</f>
        <v>2208.0396636148544</v>
      </c>
      <c r="P8" s="133">
        <f t="shared" ref="P8:P47" si="4">O8/F8</f>
        <v>198.10150189082492</v>
      </c>
      <c r="Q8" s="10">
        <f>(O8+P8*N8)*$K$5</f>
        <v>2043.5517719723612</v>
      </c>
      <c r="R8" s="6"/>
      <c r="S8" s="74">
        <f>$Q$48</f>
        <v>925.50501046108718</v>
      </c>
      <c r="T8" s="74">
        <f>$P$48*2*N8*$K$5</f>
        <v>4512.2433671653926</v>
      </c>
      <c r="U8" s="74">
        <f>($O$48+N8*$P$48)*$K$5</f>
        <v>2718.8741888132399</v>
      </c>
      <c r="V8" s="1">
        <f>S8/$Q8-1</f>
        <v>-0.54710958481476402</v>
      </c>
      <c r="W8" s="1">
        <f>T8/$Q8-1</f>
        <v>1.2080396636148545</v>
      </c>
      <c r="X8" s="1">
        <f>U8/$Q8-1</f>
        <v>0.33046503940004524</v>
      </c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33"/>
      <c r="B9" s="33"/>
      <c r="C9" s="33"/>
      <c r="D9" s="33"/>
      <c r="E9" s="33"/>
      <c r="F9" s="5">
        <f t="shared" ref="F9:F72" si="5">G9/H9</f>
        <v>10.713188805461119</v>
      </c>
      <c r="G9" s="4">
        <f t="shared" ref="G9:G47" si="6">G10*(1+$O$1)</f>
        <v>10370365.06833907</v>
      </c>
      <c r="H9" s="3">
        <f t="shared" si="0"/>
        <v>967999.84175138478</v>
      </c>
      <c r="I9">
        <f t="shared" si="1"/>
        <v>10038511745056.309</v>
      </c>
      <c r="J9" s="33"/>
      <c r="K9" s="33"/>
      <c r="L9" s="33"/>
      <c r="M9" s="84">
        <f t="shared" ref="M9:M72" si="7">N9*$K$5</f>
        <v>4.9575549587349474</v>
      </c>
      <c r="N9" s="67">
        <f t="shared" si="2"/>
        <v>10.713188805461119</v>
      </c>
      <c r="O9" s="8">
        <f t="shared" si="3"/>
        <v>2164.7447682498573</v>
      </c>
      <c r="P9" s="133">
        <f t="shared" si="4"/>
        <v>202.06353192864148</v>
      </c>
      <c r="Q9" s="10">
        <f t="shared" ref="Q9:Q72" si="8">(O9+P9*N9)*$K$5</f>
        <v>2003.4821293846678</v>
      </c>
      <c r="R9" s="6"/>
      <c r="S9" s="74">
        <f t="shared" ref="S9:S72" si="9">$Q$48</f>
        <v>925.50501046108718</v>
      </c>
      <c r="T9" s="74">
        <f t="shared" ref="T9:T72" si="10">$P$48*2*N9*$K$5</f>
        <v>4337.0274578675426</v>
      </c>
      <c r="U9" s="74">
        <f t="shared" ref="U9:U72" si="11">($O$48+N9*$P$48)*$K$5</f>
        <v>2631.2662341643149</v>
      </c>
      <c r="V9" s="1">
        <f t="shared" ref="V9:V72" si="12">S9/$Q9-1</f>
        <v>-0.5380517765110594</v>
      </c>
      <c r="W9" s="1">
        <f t="shared" ref="W9:W72" si="13">T9/$Q9-1</f>
        <v>1.1647447682498568</v>
      </c>
      <c r="X9" s="1">
        <f t="shared" ref="X9:X72" si="14">U9/$Q9-1</f>
        <v>0.31334649586939878</v>
      </c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33"/>
      <c r="B10" s="33"/>
      <c r="C10" s="33"/>
      <c r="D10" s="33"/>
      <c r="E10" s="33"/>
      <c r="F10" s="5">
        <f t="shared" si="5"/>
        <v>10.297182627317492</v>
      </c>
      <c r="G10" s="4">
        <f t="shared" si="6"/>
        <v>10167024.57680301</v>
      </c>
      <c r="H10" s="3">
        <f t="shared" si="0"/>
        <v>987359.83858641249</v>
      </c>
      <c r="I10">
        <f t="shared" si="1"/>
        <v>10038511745056.309</v>
      </c>
      <c r="J10" s="33"/>
      <c r="K10" s="6"/>
      <c r="L10" s="6"/>
      <c r="M10" s="84">
        <f t="shared" si="7"/>
        <v>4.7650470576075996</v>
      </c>
      <c r="N10" s="67">
        <f t="shared" si="2"/>
        <v>10.297182627317492</v>
      </c>
      <c r="O10" s="8">
        <f t="shared" si="3"/>
        <v>2122.2987924018207</v>
      </c>
      <c r="P10" s="133">
        <f t="shared" si="4"/>
        <v>206.10480256721431</v>
      </c>
      <c r="Q10" s="10">
        <f t="shared" si="8"/>
        <v>1964.1981660633996</v>
      </c>
      <c r="R10" s="6"/>
      <c r="S10" s="74">
        <f t="shared" si="9"/>
        <v>925.50501046108718</v>
      </c>
      <c r="T10" s="74">
        <f t="shared" si="10"/>
        <v>4168.6153958742243</v>
      </c>
      <c r="U10" s="74">
        <f t="shared" si="11"/>
        <v>2547.0602031676558</v>
      </c>
      <c r="V10" s="1">
        <f t="shared" si="12"/>
        <v>-0.5288128120412805</v>
      </c>
      <c r="W10" s="1">
        <f t="shared" si="13"/>
        <v>1.1222987924018208</v>
      </c>
      <c r="X10" s="1">
        <f t="shared" si="14"/>
        <v>0.29674299018027028</v>
      </c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D11" s="33"/>
      <c r="E11" s="33"/>
      <c r="F11" s="5">
        <f t="shared" si="5"/>
        <v>9.8973304760837095</v>
      </c>
      <c r="G11" s="4">
        <f t="shared" si="6"/>
        <v>9967671.1537284404</v>
      </c>
      <c r="H11" s="3">
        <f t="shared" si="0"/>
        <v>1007107.0353581408</v>
      </c>
      <c r="I11">
        <f t="shared" si="1"/>
        <v>10038511745056.309</v>
      </c>
      <c r="J11" s="6"/>
      <c r="K11" s="6"/>
      <c r="L11" s="6"/>
      <c r="M11" s="84">
        <f t="shared" si="7"/>
        <v>4.5800144729023451</v>
      </c>
      <c r="N11" s="67">
        <f t="shared" si="2"/>
        <v>9.8973304760837095</v>
      </c>
      <c r="O11" s="8">
        <f t="shared" si="3"/>
        <v>2080.6850905900201</v>
      </c>
      <c r="P11" s="133">
        <f t="shared" si="4"/>
        <v>210.22689861855858</v>
      </c>
      <c r="Q11" s="10">
        <f t="shared" si="8"/>
        <v>1925.6844765327446</v>
      </c>
      <c r="R11" s="6"/>
      <c r="S11" s="74">
        <f t="shared" si="9"/>
        <v>925.50501046108718</v>
      </c>
      <c r="T11" s="74">
        <f t="shared" si="10"/>
        <v>4006.7429795023299</v>
      </c>
      <c r="U11" s="74">
        <f t="shared" si="11"/>
        <v>2466.1239949817086</v>
      </c>
      <c r="V11" s="1">
        <f t="shared" si="12"/>
        <v>-0.51938906828210607</v>
      </c>
      <c r="W11" s="1">
        <f t="shared" si="13"/>
        <v>1.0806850905900207</v>
      </c>
      <c r="X11" s="1">
        <f t="shared" si="14"/>
        <v>0.28064801115395732</v>
      </c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D12" s="33"/>
      <c r="E12" s="33"/>
      <c r="F12" s="5">
        <f t="shared" si="5"/>
        <v>9.5130050712069476</v>
      </c>
      <c r="G12" s="4">
        <f t="shared" si="6"/>
        <v>9772226.6213023923</v>
      </c>
      <c r="H12" s="3">
        <f t="shared" si="0"/>
        <v>1027249.1760653036</v>
      </c>
      <c r="I12">
        <f t="shared" si="1"/>
        <v>10038511745056.309</v>
      </c>
      <c r="J12" s="6"/>
      <c r="K12" s="6"/>
      <c r="L12" s="6"/>
      <c r="M12" s="84">
        <f t="shared" si="7"/>
        <v>4.4021669289718801</v>
      </c>
      <c r="N12" s="67">
        <f t="shared" si="2"/>
        <v>9.5130050712069476</v>
      </c>
      <c r="O12" s="8">
        <f t="shared" si="3"/>
        <v>2039.887343715706</v>
      </c>
      <c r="P12" s="133">
        <f t="shared" si="4"/>
        <v>214.43143659092979</v>
      </c>
      <c r="Q12" s="10">
        <f t="shared" si="8"/>
        <v>1887.9259573850438</v>
      </c>
      <c r="R12" s="6"/>
      <c r="S12" s="74">
        <f t="shared" si="9"/>
        <v>925.50501046108718</v>
      </c>
      <c r="T12" s="74">
        <f t="shared" si="10"/>
        <v>3851.1562663421082</v>
      </c>
      <c r="U12" s="74">
        <f t="shared" si="11"/>
        <v>2388.3306384015978</v>
      </c>
      <c r="V12" s="1">
        <f t="shared" si="12"/>
        <v>-0.50977684964774816</v>
      </c>
      <c r="W12" s="1">
        <f t="shared" si="13"/>
        <v>1.0398873437157059</v>
      </c>
      <c r="X12" s="1">
        <f t="shared" si="14"/>
        <v>0.26505524703397887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D13" s="33"/>
      <c r="E13" s="33"/>
      <c r="F13" s="5">
        <f t="shared" si="5"/>
        <v>9.1436034902027572</v>
      </c>
      <c r="G13" s="4">
        <f t="shared" si="6"/>
        <v>9580614.3346101884</v>
      </c>
      <c r="H13" s="3">
        <f t="shared" si="0"/>
        <v>1047794.1595866097</v>
      </c>
      <c r="I13">
        <f t="shared" si="1"/>
        <v>10038511745056.309</v>
      </c>
      <c r="J13" s="6"/>
      <c r="K13" s="6"/>
      <c r="L13" s="6"/>
      <c r="M13" s="84">
        <f t="shared" si="7"/>
        <v>4.2312254219260677</v>
      </c>
      <c r="N13" s="67">
        <f t="shared" si="2"/>
        <v>9.1436034902027572</v>
      </c>
      <c r="O13" s="8">
        <f t="shared" si="3"/>
        <v>1999.8895526624569</v>
      </c>
      <c r="P13" s="133">
        <f t="shared" si="4"/>
        <v>218.72006532274835</v>
      </c>
      <c r="Q13" s="10">
        <f t="shared" si="8"/>
        <v>1850.907801357886</v>
      </c>
      <c r="R13" s="6"/>
      <c r="S13" s="74">
        <f t="shared" si="9"/>
        <v>925.50501046108718</v>
      </c>
      <c r="T13" s="74">
        <f t="shared" si="10"/>
        <v>3701.6111748770745</v>
      </c>
      <c r="U13" s="74">
        <f t="shared" si="11"/>
        <v>2313.5580926690805</v>
      </c>
      <c r="V13" s="1">
        <f t="shared" si="12"/>
        <v>-0.4999723866407032</v>
      </c>
      <c r="W13" s="1">
        <f t="shared" si="13"/>
        <v>0.99988955266245694</v>
      </c>
      <c r="X13" s="1">
        <f t="shared" si="14"/>
        <v>0.24995858301087681</v>
      </c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F14" s="5">
        <f t="shared" si="5"/>
        <v>8.7885462228015747</v>
      </c>
      <c r="G14" s="4">
        <f t="shared" si="6"/>
        <v>9392759.1515786164</v>
      </c>
      <c r="H14" s="3">
        <f t="shared" si="0"/>
        <v>1068750.0427783418</v>
      </c>
      <c r="I14">
        <f t="shared" si="1"/>
        <v>10038511745056.309</v>
      </c>
      <c r="J14" s="6"/>
      <c r="K14" s="6"/>
      <c r="L14" s="6"/>
      <c r="M14" s="84">
        <f t="shared" si="7"/>
        <v>4.0669217819358598</v>
      </c>
      <c r="N14" s="67">
        <f t="shared" si="2"/>
        <v>8.7885462228015747</v>
      </c>
      <c r="O14" s="8">
        <f t="shared" si="3"/>
        <v>1960.6760320220167</v>
      </c>
      <c r="P14" s="133">
        <f t="shared" si="4"/>
        <v>223.09446662920331</v>
      </c>
      <c r="Q14" s="10">
        <f t="shared" si="8"/>
        <v>1814.6154915273394</v>
      </c>
      <c r="R14" s="6"/>
      <c r="S14" s="74">
        <f t="shared" si="9"/>
        <v>925.50501046108718</v>
      </c>
      <c r="T14" s="74">
        <f t="shared" si="10"/>
        <v>3557.8731015735057</v>
      </c>
      <c r="U14" s="74">
        <f t="shared" si="11"/>
        <v>2241.6890560172965</v>
      </c>
      <c r="V14" s="1">
        <f t="shared" si="12"/>
        <v>-0.48997183437351732</v>
      </c>
      <c r="W14" s="1">
        <f t="shared" si="13"/>
        <v>0.9606760320220169</v>
      </c>
      <c r="X14" s="1">
        <f t="shared" si="14"/>
        <v>0.2353520988242499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</row>
    <row r="15" spans="1:55" x14ac:dyDescent="0.25">
      <c r="F15" s="5">
        <f t="shared" si="5"/>
        <v>8.4472762618238875</v>
      </c>
      <c r="G15" s="4">
        <f t="shared" si="6"/>
        <v>9208587.4035084471</v>
      </c>
      <c r="H15" s="3">
        <f t="shared" si="0"/>
        <v>1090125.0436339087</v>
      </c>
      <c r="I15">
        <f t="shared" si="1"/>
        <v>10038511745056.309</v>
      </c>
      <c r="J15" s="6"/>
      <c r="K15" s="6"/>
      <c r="L15" s="6"/>
      <c r="M15" s="84">
        <f t="shared" si="7"/>
        <v>3.9089982525335052</v>
      </c>
      <c r="N15" s="67">
        <f t="shared" si="2"/>
        <v>8.4472762618238875</v>
      </c>
      <c r="O15" s="8">
        <f t="shared" si="3"/>
        <v>1922.2314039431535</v>
      </c>
      <c r="P15" s="133">
        <f t="shared" si="4"/>
        <v>227.55635596178743</v>
      </c>
      <c r="Q15" s="10">
        <f t="shared" si="8"/>
        <v>1779.0347956150385</v>
      </c>
      <c r="R15" s="6"/>
      <c r="S15" s="74">
        <f t="shared" si="9"/>
        <v>925.50501046108718</v>
      </c>
      <c r="T15" s="74">
        <f t="shared" si="10"/>
        <v>3419.7165528388168</v>
      </c>
      <c r="U15" s="74">
        <f t="shared" si="11"/>
        <v>2172.6107816499516</v>
      </c>
      <c r="V15" s="1">
        <f t="shared" si="12"/>
        <v>-0.4797712710609876</v>
      </c>
      <c r="W15" s="1">
        <f t="shared" si="13"/>
        <v>0.92223140394315362</v>
      </c>
      <c r="X15" s="1">
        <f t="shared" si="14"/>
        <v>0.22123006644108267</v>
      </c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F16" s="5">
        <f t="shared" si="5"/>
        <v>8.1192582293578326</v>
      </c>
      <c r="G16" s="4">
        <f t="shared" si="6"/>
        <v>9028026.8661847524</v>
      </c>
      <c r="H16" s="3">
        <f t="shared" si="0"/>
        <v>1111927.5445065869</v>
      </c>
      <c r="I16">
        <f t="shared" si="1"/>
        <v>10038511745056.309</v>
      </c>
      <c r="J16" s="6"/>
      <c r="K16" s="6"/>
      <c r="L16" s="6"/>
      <c r="M16" s="84">
        <f t="shared" si="7"/>
        <v>3.7572070862490441</v>
      </c>
      <c r="N16" s="67">
        <f t="shared" si="2"/>
        <v>8.1192582293578326</v>
      </c>
      <c r="O16" s="8">
        <f t="shared" si="3"/>
        <v>1884.5405921011309</v>
      </c>
      <c r="P16" s="133">
        <f t="shared" si="4"/>
        <v>232.10748308102313</v>
      </c>
      <c r="Q16" s="10">
        <f t="shared" si="8"/>
        <v>1744.1517604069004</v>
      </c>
      <c r="R16" s="6"/>
      <c r="S16" s="74">
        <f t="shared" si="9"/>
        <v>925.50501046108718</v>
      </c>
      <c r="T16" s="74">
        <f t="shared" si="10"/>
        <v>3286.9247912714504</v>
      </c>
      <c r="U16" s="74">
        <f t="shared" si="11"/>
        <v>2106.2149008662691</v>
      </c>
      <c r="V16" s="1">
        <f t="shared" si="12"/>
        <v>-0.4693666964822073</v>
      </c>
      <c r="W16" s="1">
        <f t="shared" si="13"/>
        <v>0.88454059210113112</v>
      </c>
      <c r="X16" s="1">
        <f t="shared" si="14"/>
        <v>0.20758694780946207</v>
      </c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6:55" x14ac:dyDescent="0.25">
      <c r="F17" s="5">
        <f t="shared" si="5"/>
        <v>7.8039775368683522</v>
      </c>
      <c r="G17" s="4">
        <f t="shared" si="6"/>
        <v>8851006.7315536793</v>
      </c>
      <c r="H17" s="3">
        <f t="shared" si="0"/>
        <v>1134166.0953967185</v>
      </c>
      <c r="I17">
        <f t="shared" si="1"/>
        <v>10038511745056.309</v>
      </c>
      <c r="K17" s="6"/>
      <c r="L17" s="6"/>
      <c r="M17" s="84">
        <f t="shared" si="7"/>
        <v>3.6113101559487166</v>
      </c>
      <c r="N17" s="67">
        <f t="shared" si="2"/>
        <v>7.8039775368683522</v>
      </c>
      <c r="O17" s="8">
        <f t="shared" si="3"/>
        <v>1847.5888157854226</v>
      </c>
      <c r="P17" s="133">
        <f t="shared" si="4"/>
        <v>236.74963274264357</v>
      </c>
      <c r="Q17" s="10">
        <f t="shared" si="8"/>
        <v>1709.9527062812751</v>
      </c>
      <c r="R17" s="6"/>
      <c r="S17" s="74">
        <f t="shared" si="9"/>
        <v>925.50501046108718</v>
      </c>
      <c r="T17" s="74">
        <f t="shared" si="10"/>
        <v>3159.2894956473001</v>
      </c>
      <c r="U17" s="74">
        <f t="shared" si="11"/>
        <v>2042.3972530541937</v>
      </c>
      <c r="V17" s="1">
        <f t="shared" si="12"/>
        <v>-0.45875403041185159</v>
      </c>
      <c r="W17" s="1">
        <f t="shared" si="13"/>
        <v>0.84758881578542278</v>
      </c>
      <c r="X17" s="1">
        <f t="shared" si="14"/>
        <v>0.1944173926867856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6:55" x14ac:dyDescent="0.25">
      <c r="F18" s="5">
        <f t="shared" si="5"/>
        <v>7.5009395779203674</v>
      </c>
      <c r="G18" s="4">
        <f t="shared" si="6"/>
        <v>8677457.5799545869</v>
      </c>
      <c r="H18" s="3">
        <f t="shared" si="0"/>
        <v>1156849.417304653</v>
      </c>
      <c r="I18">
        <f t="shared" si="1"/>
        <v>10038511745056.309</v>
      </c>
      <c r="J18" s="6"/>
      <c r="K18" s="6"/>
      <c r="L18" s="6"/>
      <c r="M18" s="84">
        <f t="shared" si="7"/>
        <v>3.4710785812655862</v>
      </c>
      <c r="N18" s="67">
        <f t="shared" si="2"/>
        <v>7.5009395779203674</v>
      </c>
      <c r="O18" s="8">
        <f t="shared" si="3"/>
        <v>1811.3615841033554</v>
      </c>
      <c r="P18" s="133">
        <f t="shared" si="4"/>
        <v>241.4846253974965</v>
      </c>
      <c r="Q18" s="10">
        <f t="shared" si="8"/>
        <v>1676.4242218443874</v>
      </c>
      <c r="R18" s="6"/>
      <c r="S18" s="74">
        <f t="shared" si="9"/>
        <v>925.50501046108718</v>
      </c>
      <c r="T18" s="74">
        <f t="shared" si="10"/>
        <v>3036.6104341092841</v>
      </c>
      <c r="U18" s="74">
        <f t="shared" si="11"/>
        <v>1981.0577222851855</v>
      </c>
      <c r="V18" s="1">
        <f t="shared" si="12"/>
        <v>-0.44792911102008859</v>
      </c>
      <c r="W18" s="1">
        <f t="shared" si="13"/>
        <v>0.81136158410335524</v>
      </c>
      <c r="X18" s="1">
        <f t="shared" si="14"/>
        <v>0.18171623654163316</v>
      </c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6:55" x14ac:dyDescent="0.25">
      <c r="F19" s="5">
        <f t="shared" si="5"/>
        <v>7.2096689522494861</v>
      </c>
      <c r="G19" s="4">
        <f t="shared" si="6"/>
        <v>8507311.3528966531</v>
      </c>
      <c r="H19" s="3">
        <f>I19/G19</f>
        <v>1179986.4056507463</v>
      </c>
      <c r="I19">
        <f t="shared" si="1"/>
        <v>10038511745056.309</v>
      </c>
      <c r="J19" s="6"/>
      <c r="K19" s="6"/>
      <c r="L19" s="6"/>
      <c r="M19" s="84">
        <f t="shared" si="7"/>
        <v>3.3362923695363178</v>
      </c>
      <c r="N19" s="67">
        <f t="shared" si="2"/>
        <v>7.2096689522494861</v>
      </c>
      <c r="O19" s="8">
        <f t="shared" si="3"/>
        <v>1775.8446902974072</v>
      </c>
      <c r="P19" s="133">
        <f t="shared" si="4"/>
        <v>246.31431790544647</v>
      </c>
      <c r="Q19" s="10">
        <f t="shared" si="8"/>
        <v>1643.5531586709678</v>
      </c>
      <c r="R19" s="6"/>
      <c r="S19" s="74">
        <f t="shared" si="9"/>
        <v>925.50501046108718</v>
      </c>
      <c r="T19" s="74">
        <f t="shared" si="10"/>
        <v>2918.6951500473697</v>
      </c>
      <c r="U19" s="74">
        <f t="shared" si="11"/>
        <v>1922.1000802542287</v>
      </c>
      <c r="V19" s="1">
        <f t="shared" si="12"/>
        <v>-0.43688769324049026</v>
      </c>
      <c r="W19" s="1">
        <f t="shared" si="13"/>
        <v>0.77584469029740677</v>
      </c>
      <c r="X19" s="1">
        <f t="shared" si="14"/>
        <v>0.16947849852845853</v>
      </c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6:55" x14ac:dyDescent="0.25">
      <c r="F20" s="5">
        <f t="shared" si="5"/>
        <v>6.9297087199629832</v>
      </c>
      <c r="G20" s="4">
        <f t="shared" si="6"/>
        <v>8340501.3263692679</v>
      </c>
      <c r="H20" s="3">
        <f t="shared" si="0"/>
        <v>1203586.133763761</v>
      </c>
      <c r="I20">
        <f>I21</f>
        <v>10038511745056.309</v>
      </c>
      <c r="J20" s="6"/>
      <c r="K20" s="6"/>
      <c r="L20" s="6"/>
      <c r="M20" s="84">
        <f t="shared" si="7"/>
        <v>3.2067400706808136</v>
      </c>
      <c r="N20" s="67">
        <f t="shared" si="2"/>
        <v>6.9297087199629832</v>
      </c>
      <c r="O20" s="8">
        <f t="shared" si="3"/>
        <v>1741.0242061739286</v>
      </c>
      <c r="P20" s="133">
        <f t="shared" si="4"/>
        <v>251.24060426355535</v>
      </c>
      <c r="Q20" s="10">
        <f t="shared" si="8"/>
        <v>1611.3266261480078</v>
      </c>
      <c r="R20" s="6"/>
      <c r="S20" s="74">
        <f t="shared" si="9"/>
        <v>925.50501046108718</v>
      </c>
      <c r="T20" s="74">
        <f t="shared" si="10"/>
        <v>2805.3586601762499</v>
      </c>
      <c r="U20" s="74">
        <f t="shared" si="11"/>
        <v>1865.4318353186684</v>
      </c>
      <c r="V20" s="1">
        <f t="shared" si="12"/>
        <v>-0.42562544710530015</v>
      </c>
      <c r="W20" s="1">
        <f t="shared" si="13"/>
        <v>0.74102420617392872</v>
      </c>
      <c r="X20" s="1">
        <f t="shared" si="14"/>
        <v>0.15769937953431423</v>
      </c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6:55" x14ac:dyDescent="0.25">
      <c r="F21" s="5">
        <f t="shared" si="5"/>
        <v>6.660619684701059</v>
      </c>
      <c r="G21" s="4">
        <f t="shared" si="6"/>
        <v>8176962.0846757526</v>
      </c>
      <c r="H21" s="3">
        <f t="shared" si="0"/>
        <v>1227657.8564390363</v>
      </c>
      <c r="I21">
        <f t="shared" si="1"/>
        <v>10038511745056.309</v>
      </c>
      <c r="J21" s="6"/>
      <c r="K21" s="6"/>
      <c r="L21" s="6"/>
      <c r="M21" s="84">
        <f t="shared" si="7"/>
        <v>3.0822184454832882</v>
      </c>
      <c r="N21" s="67">
        <f t="shared" si="2"/>
        <v>6.660619684701059</v>
      </c>
      <c r="O21" s="8">
        <f t="shared" si="3"/>
        <v>1706.8864766411064</v>
      </c>
      <c r="P21" s="133">
        <f t="shared" si="4"/>
        <v>256.26541634882648</v>
      </c>
      <c r="Q21" s="10">
        <f t="shared" si="8"/>
        <v>1579.7319864196152</v>
      </c>
      <c r="R21" s="6"/>
      <c r="S21" s="74">
        <f t="shared" si="9"/>
        <v>925.50501046108718</v>
      </c>
      <c r="T21" s="74">
        <f t="shared" si="10"/>
        <v>2696.4231643370331</v>
      </c>
      <c r="U21" s="74">
        <f t="shared" si="11"/>
        <v>1810.9640873990602</v>
      </c>
      <c r="V21" s="1">
        <f t="shared" si="12"/>
        <v>-0.414137956047406</v>
      </c>
      <c r="W21" s="1">
        <f t="shared" si="13"/>
        <v>0.70688647664110649</v>
      </c>
      <c r="X21" s="1">
        <f t="shared" si="14"/>
        <v>0.1463742602968503</v>
      </c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6:55" x14ac:dyDescent="0.25">
      <c r="F22" s="5">
        <f t="shared" si="5"/>
        <v>6.4019797046338507</v>
      </c>
      <c r="G22" s="4">
        <f t="shared" si="6"/>
        <v>8016629.4947801493</v>
      </c>
      <c r="H22" s="3">
        <f t="shared" si="0"/>
        <v>1252211.0135678172</v>
      </c>
      <c r="I22">
        <f t="shared" si="1"/>
        <v>10038511745056.309</v>
      </c>
      <c r="J22" s="6"/>
      <c r="K22" s="6"/>
      <c r="L22" s="6"/>
      <c r="M22" s="84">
        <f t="shared" si="7"/>
        <v>2.9625321467544099</v>
      </c>
      <c r="N22" s="67">
        <f t="shared" si="2"/>
        <v>6.4019797046338507</v>
      </c>
      <c r="O22" s="8">
        <f t="shared" si="3"/>
        <v>1673.4181143540259</v>
      </c>
      <c r="P22" s="133">
        <f t="shared" si="4"/>
        <v>261.39072467580309</v>
      </c>
      <c r="Q22" s="10">
        <f t="shared" si="8"/>
        <v>1548.7568494309953</v>
      </c>
      <c r="R22" s="6"/>
      <c r="S22" s="74">
        <f t="shared" si="9"/>
        <v>925.50501046108718</v>
      </c>
      <c r="T22" s="74">
        <f t="shared" si="10"/>
        <v>2591.7177665676977</v>
      </c>
      <c r="U22" s="74">
        <f t="shared" si="11"/>
        <v>1758.6113885143925</v>
      </c>
      <c r="V22" s="1">
        <f t="shared" si="12"/>
        <v>-0.4024207151683542</v>
      </c>
      <c r="W22" s="1">
        <f t="shared" si="13"/>
        <v>0.67341811435402565</v>
      </c>
      <c r="X22" s="1">
        <f t="shared" si="14"/>
        <v>0.13549869959283578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6:55" x14ac:dyDescent="0.25">
      <c r="F23" s="5">
        <f t="shared" si="5"/>
        <v>6.1533830302132353</v>
      </c>
      <c r="G23" s="4">
        <f t="shared" si="6"/>
        <v>7859440.6811570087</v>
      </c>
      <c r="H23" s="3">
        <f t="shared" si="0"/>
        <v>1277255.2338391736</v>
      </c>
      <c r="I23">
        <f t="shared" si="1"/>
        <v>10038511745056.309</v>
      </c>
      <c r="J23" s="6"/>
      <c r="K23" s="6"/>
      <c r="L23" s="6"/>
      <c r="M23" s="84">
        <f t="shared" si="7"/>
        <v>2.8474934128742881</v>
      </c>
      <c r="N23" s="67">
        <f t="shared" si="2"/>
        <v>6.1533830302132353</v>
      </c>
      <c r="O23" s="8">
        <f t="shared" si="3"/>
        <v>1640.6059944647311</v>
      </c>
      <c r="P23" s="133">
        <f t="shared" si="4"/>
        <v>266.61853916931915</v>
      </c>
      <c r="Q23" s="10">
        <f t="shared" si="8"/>
        <v>1518.3890680696034</v>
      </c>
      <c r="R23" s="6"/>
      <c r="S23" s="74">
        <f t="shared" si="9"/>
        <v>925.50501046108718</v>
      </c>
      <c r="T23" s="74">
        <f t="shared" si="10"/>
        <v>2491.0782070047076</v>
      </c>
      <c r="U23" s="74">
        <f t="shared" si="11"/>
        <v>1708.2916087328972</v>
      </c>
      <c r="V23" s="1">
        <f t="shared" si="12"/>
        <v>-0.3904691294717213</v>
      </c>
      <c r="W23" s="1">
        <f t="shared" si="13"/>
        <v>0.64060599446473088</v>
      </c>
      <c r="X23" s="1">
        <f t="shared" si="14"/>
        <v>0.12506843249650479</v>
      </c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6:55" x14ac:dyDescent="0.25">
      <c r="F24" s="5">
        <f t="shared" si="5"/>
        <v>5.9144396676405568</v>
      </c>
      <c r="G24" s="4">
        <f t="shared" si="6"/>
        <v>7705334.001134322</v>
      </c>
      <c r="H24" s="3">
        <f t="shared" si="0"/>
        <v>1302800.3385159571</v>
      </c>
      <c r="I24">
        <f t="shared" si="1"/>
        <v>10038511745056.309</v>
      </c>
      <c r="J24" s="6"/>
      <c r="K24" s="6"/>
      <c r="L24" s="6"/>
      <c r="M24" s="84">
        <f t="shared" si="7"/>
        <v>2.7369217732355713</v>
      </c>
      <c r="N24" s="67">
        <f t="shared" si="2"/>
        <v>5.9144396676405568</v>
      </c>
      <c r="O24" s="8">
        <f t="shared" si="3"/>
        <v>1608.4372494752265</v>
      </c>
      <c r="P24" s="133">
        <f t="shared" si="4"/>
        <v>271.9509099527055</v>
      </c>
      <c r="Q24" s="10">
        <f t="shared" si="8"/>
        <v>1488.6167334015718</v>
      </c>
      <c r="R24" s="6"/>
      <c r="S24" s="74">
        <f t="shared" si="9"/>
        <v>925.50501046108718</v>
      </c>
      <c r="T24" s="74">
        <f t="shared" si="10"/>
        <v>2394.3466041952202</v>
      </c>
      <c r="U24" s="74">
        <f t="shared" si="11"/>
        <v>1659.9258073281537</v>
      </c>
      <c r="V24" s="1">
        <f t="shared" si="12"/>
        <v>-0.37827851206115559</v>
      </c>
      <c r="W24" s="1">
        <f t="shared" si="13"/>
        <v>0.60843724947522615</v>
      </c>
      <c r="X24" s="1">
        <f t="shared" si="14"/>
        <v>0.11507936870703528</v>
      </c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6:55" x14ac:dyDescent="0.25">
      <c r="F25" s="5">
        <f t="shared" si="5"/>
        <v>5.6847747670516693</v>
      </c>
      <c r="G25" s="4">
        <f t="shared" si="6"/>
        <v>7554249.0207199231</v>
      </c>
      <c r="H25" s="3">
        <f t="shared" si="0"/>
        <v>1328856.3452862762</v>
      </c>
      <c r="I25">
        <f t="shared" si="1"/>
        <v>10038511745056.309</v>
      </c>
      <c r="J25" s="6"/>
      <c r="K25" s="6"/>
      <c r="L25" s="6"/>
      <c r="M25" s="84">
        <f t="shared" si="7"/>
        <v>2.6306437651245398</v>
      </c>
      <c r="N25" s="67">
        <f t="shared" si="2"/>
        <v>5.6847747670516693</v>
      </c>
      <c r="O25" s="8">
        <f t="shared" si="3"/>
        <v>1576.8992641913985</v>
      </c>
      <c r="P25" s="133">
        <f t="shared" si="4"/>
        <v>277.38992815175959</v>
      </c>
      <c r="Q25" s="10">
        <f t="shared" si="8"/>
        <v>1459.4281700015408</v>
      </c>
      <c r="R25" s="6"/>
      <c r="S25" s="74">
        <f t="shared" si="9"/>
        <v>925.50501046108718</v>
      </c>
      <c r="T25" s="74">
        <f t="shared" si="10"/>
        <v>2301.3712074156292</v>
      </c>
      <c r="U25" s="74">
        <f t="shared" si="11"/>
        <v>1613.438108938358</v>
      </c>
      <c r="V25" s="1">
        <f t="shared" si="12"/>
        <v>-0.36584408230237875</v>
      </c>
      <c r="W25" s="1">
        <f t="shared" si="13"/>
        <v>0.57689926419139859</v>
      </c>
      <c r="X25" s="1">
        <f t="shared" si="14"/>
        <v>0.10552759094450992</v>
      </c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6:55" x14ac:dyDescent="0.25">
      <c r="F26" s="5">
        <f t="shared" si="5"/>
        <v>5.4640280344595054</v>
      </c>
      <c r="G26" s="4">
        <f t="shared" si="6"/>
        <v>7406126.4909018856</v>
      </c>
      <c r="H26" s="3">
        <f t="shared" si="0"/>
        <v>1355433.4721920018</v>
      </c>
      <c r="I26">
        <f t="shared" si="1"/>
        <v>10038511745056.309</v>
      </c>
      <c r="J26" s="6"/>
      <c r="K26" s="6"/>
      <c r="L26" s="6"/>
      <c r="M26" s="84">
        <f t="shared" si="7"/>
        <v>2.5284926615960588</v>
      </c>
      <c r="N26" s="67">
        <f t="shared" si="2"/>
        <v>5.4640280344595054</v>
      </c>
      <c r="O26" s="8">
        <f t="shared" si="3"/>
        <v>1545.9796707758808</v>
      </c>
      <c r="P26" s="133">
        <f t="shared" si="4"/>
        <v>282.93772671479479</v>
      </c>
      <c r="Q26" s="10">
        <f t="shared" si="8"/>
        <v>1430.8119313740597</v>
      </c>
      <c r="R26" s="6"/>
      <c r="S26" s="74">
        <f t="shared" si="9"/>
        <v>925.50501046108718</v>
      </c>
      <c r="T26" s="74">
        <f t="shared" si="10"/>
        <v>2212.0061586078709</v>
      </c>
      <c r="U26" s="74">
        <f t="shared" si="11"/>
        <v>1568.7555845344791</v>
      </c>
      <c r="V26" s="1">
        <f t="shared" si="12"/>
        <v>-0.35316096394842633</v>
      </c>
      <c r="W26" s="1">
        <f t="shared" si="13"/>
        <v>0.54597967077588083</v>
      </c>
      <c r="X26" s="1">
        <f t="shared" si="14"/>
        <v>9.6409353413727361E-2</v>
      </c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6:55" x14ac:dyDescent="0.25">
      <c r="F27" s="5">
        <f t="shared" si="5"/>
        <v>5.2518531665316281</v>
      </c>
      <c r="G27" s="4">
        <f t="shared" si="6"/>
        <v>7260908.3244136134</v>
      </c>
      <c r="H27" s="3">
        <f t="shared" si="0"/>
        <v>1382542.1416358417</v>
      </c>
      <c r="I27">
        <f t="shared" si="1"/>
        <v>10038511745056.309</v>
      </c>
      <c r="J27" s="6"/>
      <c r="K27" s="6"/>
      <c r="L27" s="6"/>
      <c r="M27" s="84">
        <f t="shared" si="7"/>
        <v>2.430308209915474</v>
      </c>
      <c r="N27" s="67">
        <f t="shared" si="2"/>
        <v>5.2518531665316281</v>
      </c>
      <c r="O27" s="8">
        <f t="shared" si="3"/>
        <v>1515.6663438979224</v>
      </c>
      <c r="P27" s="133">
        <f t="shared" si="4"/>
        <v>288.59648124909063</v>
      </c>
      <c r="Q27" s="10">
        <f t="shared" si="8"/>
        <v>1402.7567954647641</v>
      </c>
      <c r="R27" s="6"/>
      <c r="S27" s="74">
        <f t="shared" si="9"/>
        <v>925.50501046108718</v>
      </c>
      <c r="T27" s="74">
        <f t="shared" si="10"/>
        <v>2126.1112635600452</v>
      </c>
      <c r="U27" s="74">
        <f t="shared" si="11"/>
        <v>1525.8081370105663</v>
      </c>
      <c r="V27" s="1">
        <f t="shared" si="12"/>
        <v>-0.34022418322739467</v>
      </c>
      <c r="W27" s="1">
        <f t="shared" si="13"/>
        <v>0.51566634389792276</v>
      </c>
      <c r="X27" s="1">
        <f t="shared" si="14"/>
        <v>8.7721080335264157E-2</v>
      </c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6:55" x14ac:dyDescent="0.25">
      <c r="F28" s="5">
        <f t="shared" si="5"/>
        <v>5.0479173073160579</v>
      </c>
      <c r="G28" s="4">
        <f t="shared" si="6"/>
        <v>7118537.5729545224</v>
      </c>
      <c r="H28" s="3">
        <f t="shared" si="0"/>
        <v>1410192.9844685588</v>
      </c>
      <c r="I28">
        <f t="shared" si="1"/>
        <v>10038511745056.309</v>
      </c>
      <c r="J28" s="6"/>
      <c r="K28" s="6"/>
      <c r="L28" s="6"/>
      <c r="M28" s="84">
        <f t="shared" si="7"/>
        <v>2.3359363801571256</v>
      </c>
      <c r="N28" s="67">
        <f t="shared" si="2"/>
        <v>5.0479173073160579</v>
      </c>
      <c r="O28" s="8">
        <f t="shared" si="3"/>
        <v>1485.9473959783552</v>
      </c>
      <c r="P28" s="133">
        <f t="shared" si="4"/>
        <v>294.36841087407254</v>
      </c>
      <c r="Q28" s="10">
        <f t="shared" si="8"/>
        <v>1375.2517602595728</v>
      </c>
      <c r="R28" s="6"/>
      <c r="S28" s="74">
        <f t="shared" si="9"/>
        <v>925.50501046108718</v>
      </c>
      <c r="T28" s="74">
        <f t="shared" si="10"/>
        <v>2043.5517719723616</v>
      </c>
      <c r="U28" s="74">
        <f t="shared" si="11"/>
        <v>1484.5283912167242</v>
      </c>
      <c r="V28" s="1">
        <f t="shared" si="12"/>
        <v>-0.32702866689194265</v>
      </c>
      <c r="W28" s="1">
        <f t="shared" si="13"/>
        <v>0.48594739597835535</v>
      </c>
      <c r="X28" s="1">
        <f t="shared" si="14"/>
        <v>7.9459364543206235E-2</v>
      </c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6:55" x14ac:dyDescent="0.25">
      <c r="F29" s="5">
        <f t="shared" si="5"/>
        <v>4.8519005260631083</v>
      </c>
      <c r="G29" s="4">
        <f t="shared" si="6"/>
        <v>6978958.4048573747</v>
      </c>
      <c r="H29" s="3">
        <f t="shared" si="0"/>
        <v>1438396.84415793</v>
      </c>
      <c r="I29">
        <f t="shared" si="1"/>
        <v>10038511745056.309</v>
      </c>
      <c r="J29" s="6"/>
      <c r="K29" s="6"/>
      <c r="L29" s="6"/>
      <c r="M29" s="84">
        <f t="shared" si="7"/>
        <v>2.2452291235650956</v>
      </c>
      <c r="N29" s="67">
        <f t="shared" si="2"/>
        <v>4.8519005260631083</v>
      </c>
      <c r="O29" s="8">
        <f t="shared" si="3"/>
        <v>1456.8111725277993</v>
      </c>
      <c r="P29" s="133">
        <f t="shared" si="4"/>
        <v>300.25577909155402</v>
      </c>
      <c r="Q29" s="10">
        <f t="shared" si="8"/>
        <v>1348.2860394701695</v>
      </c>
      <c r="R29" s="6"/>
      <c r="S29" s="74">
        <f t="shared" si="9"/>
        <v>925.50501046108718</v>
      </c>
      <c r="T29" s="74">
        <f t="shared" si="10"/>
        <v>1964.1981660634001</v>
      </c>
      <c r="U29" s="74">
        <f t="shared" si="11"/>
        <v>1444.8515882622437</v>
      </c>
      <c r="V29" s="1">
        <f t="shared" si="12"/>
        <v>-0.31356924022978161</v>
      </c>
      <c r="W29" s="1">
        <f t="shared" si="13"/>
        <v>0.45681117252779924</v>
      </c>
      <c r="X29" s="1">
        <f t="shared" si="14"/>
        <v>7.1620966149008813E-2</v>
      </c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6:55" x14ac:dyDescent="0.25">
      <c r="F30" s="5">
        <f t="shared" si="5"/>
        <v>4.6634953153240177</v>
      </c>
      <c r="G30" s="4">
        <f t="shared" si="6"/>
        <v>6842116.0831935043</v>
      </c>
      <c r="H30" s="3">
        <f t="shared" si="0"/>
        <v>1467164.7810410885</v>
      </c>
      <c r="I30">
        <f t="shared" si="1"/>
        <v>10038511745056.309</v>
      </c>
      <c r="J30" s="6"/>
      <c r="K30" s="6"/>
      <c r="L30" s="6"/>
      <c r="M30" s="84">
        <f t="shared" si="7"/>
        <v>2.1580441402970929</v>
      </c>
      <c r="N30" s="67">
        <f t="shared" si="2"/>
        <v>4.6634953153240177</v>
      </c>
      <c r="O30" s="8">
        <f t="shared" si="3"/>
        <v>1428.2462475762736</v>
      </c>
      <c r="P30" s="133">
        <f t="shared" si="4"/>
        <v>306.26089467338505</v>
      </c>
      <c r="Q30" s="10">
        <f t="shared" si="8"/>
        <v>1321.8490583040875</v>
      </c>
      <c r="R30" s="6"/>
      <c r="S30" s="74">
        <f t="shared" si="9"/>
        <v>925.50501046108718</v>
      </c>
      <c r="T30" s="74">
        <f t="shared" si="10"/>
        <v>1887.9259573850443</v>
      </c>
      <c r="U30" s="74">
        <f t="shared" si="11"/>
        <v>1406.7154839230654</v>
      </c>
      <c r="V30" s="1">
        <f t="shared" si="12"/>
        <v>-0.29984062503437703</v>
      </c>
      <c r="W30" s="1">
        <f t="shared" si="13"/>
        <v>0.42824624757627383</v>
      </c>
      <c r="X30" s="1">
        <f t="shared" si="14"/>
        <v>6.420281127094829E-2</v>
      </c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6:55" x14ac:dyDescent="0.25">
      <c r="F31" s="5">
        <f t="shared" si="5"/>
        <v>4.4824061085390401</v>
      </c>
      <c r="G31" s="4">
        <f t="shared" si="6"/>
        <v>6707956.9443073571</v>
      </c>
      <c r="H31" s="3">
        <f t="shared" si="0"/>
        <v>1496508.0766619104</v>
      </c>
      <c r="I31">
        <f t="shared" si="1"/>
        <v>10038511745056.309</v>
      </c>
      <c r="J31" s="6"/>
      <c r="K31" s="6"/>
      <c r="L31" s="6"/>
      <c r="M31" s="84">
        <f t="shared" si="7"/>
        <v>2.0742446561871324</v>
      </c>
      <c r="N31" s="67">
        <f t="shared" si="2"/>
        <v>4.4824061085390401</v>
      </c>
      <c r="O31" s="8">
        <f t="shared" si="3"/>
        <v>1400.2414191924252</v>
      </c>
      <c r="P31" s="133">
        <f t="shared" si="4"/>
        <v>312.38611256685277</v>
      </c>
      <c r="Q31" s="10">
        <f t="shared" si="8"/>
        <v>1295.9304493177328</v>
      </c>
      <c r="R31" s="6"/>
      <c r="S31" s="74">
        <f t="shared" si="9"/>
        <v>925.50501046108718</v>
      </c>
      <c r="T31" s="74">
        <f t="shared" si="10"/>
        <v>1814.6154915273394</v>
      </c>
      <c r="U31" s="74">
        <f t="shared" si="11"/>
        <v>1370.0602509942132</v>
      </c>
      <c r="V31" s="1">
        <f t="shared" si="12"/>
        <v>-0.28583743753506463</v>
      </c>
      <c r="W31" s="1">
        <f t="shared" si="13"/>
        <v>0.40024141919242506</v>
      </c>
      <c r="X31" s="1">
        <f t="shared" si="14"/>
        <v>5.7201990828680271E-2</v>
      </c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6:55" x14ac:dyDescent="0.25">
      <c r="F32" s="5">
        <f t="shared" si="5"/>
        <v>4.3083488163581691</v>
      </c>
      <c r="G32" s="4">
        <f t="shared" si="6"/>
        <v>6576428.3767719185</v>
      </c>
      <c r="H32" s="3">
        <f t="shared" si="0"/>
        <v>1526438.2381951488</v>
      </c>
      <c r="I32">
        <f t="shared" si="1"/>
        <v>10038511745056.309</v>
      </c>
      <c r="J32" s="6"/>
      <c r="K32" s="6"/>
      <c r="L32" s="6"/>
      <c r="M32" s="84">
        <f t="shared" si="7"/>
        <v>1.9936992081767899</v>
      </c>
      <c r="N32" s="67">
        <f t="shared" si="2"/>
        <v>4.3083488163581691</v>
      </c>
      <c r="O32" s="8">
        <f t="shared" si="3"/>
        <v>1372.7857050906127</v>
      </c>
      <c r="P32" s="133">
        <f t="shared" si="4"/>
        <v>318.63383481818988</v>
      </c>
      <c r="Q32" s="10">
        <f t="shared" si="8"/>
        <v>1270.5200483507185</v>
      </c>
      <c r="R32" s="6"/>
      <c r="S32" s="74">
        <f t="shared" si="9"/>
        <v>925.50501046108718</v>
      </c>
      <c r="T32" s="74">
        <f t="shared" si="10"/>
        <v>1744.1517604069002</v>
      </c>
      <c r="U32" s="74">
        <f t="shared" si="11"/>
        <v>1334.8283854339936</v>
      </c>
      <c r="V32" s="1">
        <f t="shared" si="12"/>
        <v>-0.27155418628576589</v>
      </c>
      <c r="W32" s="1">
        <f t="shared" si="13"/>
        <v>0.37278570509061248</v>
      </c>
      <c r="X32" s="1">
        <f t="shared" si="14"/>
        <v>5.0615759402423244E-2</v>
      </c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4:55" x14ac:dyDescent="0.25">
      <c r="F33" s="5">
        <f t="shared" si="5"/>
        <v>4.1410503809670978</v>
      </c>
      <c r="G33" s="4">
        <f t="shared" si="6"/>
        <v>6447478.8007567823</v>
      </c>
      <c r="H33" s="3">
        <f t="shared" si="0"/>
        <v>1556967.0029590519</v>
      </c>
      <c r="I33">
        <f t="shared" si="1"/>
        <v>10038511745056.309</v>
      </c>
      <c r="J33" s="6"/>
      <c r="K33" s="6"/>
      <c r="L33" s="6"/>
      <c r="M33" s="84">
        <f t="shared" si="7"/>
        <v>1.9162814380784214</v>
      </c>
      <c r="N33" s="67">
        <f t="shared" si="2"/>
        <v>4.1410503809670978</v>
      </c>
      <c r="O33" s="8">
        <f t="shared" si="3"/>
        <v>1345.86833832413</v>
      </c>
      <c r="P33" s="133">
        <f t="shared" si="4"/>
        <v>325.00651151455372</v>
      </c>
      <c r="Q33" s="10">
        <f t="shared" si="8"/>
        <v>1245.6078905399199</v>
      </c>
      <c r="R33" s="6"/>
      <c r="S33" s="74">
        <f t="shared" si="9"/>
        <v>925.50501046108718</v>
      </c>
      <c r="T33" s="74">
        <f t="shared" si="10"/>
        <v>1676.4242218443869</v>
      </c>
      <c r="U33" s="74">
        <f t="shared" si="11"/>
        <v>1300.9646161527371</v>
      </c>
      <c r="V33" s="1">
        <f t="shared" si="12"/>
        <v>-0.25698527001148108</v>
      </c>
      <c r="W33" s="1">
        <f t="shared" si="13"/>
        <v>0.34586833832413011</v>
      </c>
      <c r="X33" s="1">
        <f t="shared" si="14"/>
        <v>4.4441534156324458E-2</v>
      </c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4:55" x14ac:dyDescent="0.25">
      <c r="F34" s="5">
        <f t="shared" si="5"/>
        <v>3.9802483477192405</v>
      </c>
      <c r="G34" s="4">
        <f t="shared" si="6"/>
        <v>6321057.6478007669</v>
      </c>
      <c r="H34" s="3">
        <f t="shared" si="0"/>
        <v>1588106.3430182328</v>
      </c>
      <c r="I34">
        <f t="shared" si="1"/>
        <v>10038511745056.309</v>
      </c>
      <c r="J34" s="6"/>
      <c r="K34" s="6"/>
      <c r="L34" s="6"/>
      <c r="M34" s="84">
        <f t="shared" si="7"/>
        <v>1.8418698943468101</v>
      </c>
      <c r="N34" s="67">
        <f t="shared" si="2"/>
        <v>3.9802483477192405</v>
      </c>
      <c r="O34" s="8">
        <f t="shared" si="3"/>
        <v>1319.4787630628725</v>
      </c>
      <c r="P34" s="133">
        <f t="shared" si="4"/>
        <v>331.50664174484473</v>
      </c>
      <c r="Q34" s="10">
        <f t="shared" si="8"/>
        <v>1221.1842064116861</v>
      </c>
      <c r="R34" s="6"/>
      <c r="S34" s="74">
        <f t="shared" si="9"/>
        <v>925.50501046108718</v>
      </c>
      <c r="T34" s="74">
        <f t="shared" si="10"/>
        <v>1611.3266261480073</v>
      </c>
      <c r="U34" s="74">
        <f t="shared" si="11"/>
        <v>1268.4158183045472</v>
      </c>
      <c r="V34" s="1">
        <f t="shared" si="12"/>
        <v>-0.24212497541171063</v>
      </c>
      <c r="W34" s="1">
        <f t="shared" si="13"/>
        <v>0.31947876306287259</v>
      </c>
      <c r="X34" s="1">
        <f t="shared" si="14"/>
        <v>3.8676893825581038E-2</v>
      </c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4:55" x14ac:dyDescent="0.25">
      <c r="F35" s="5">
        <f t="shared" si="5"/>
        <v>3.825690453401807</v>
      </c>
      <c r="G35" s="4">
        <f t="shared" si="6"/>
        <v>6197115.3409811435</v>
      </c>
      <c r="H35" s="3">
        <f t="shared" si="0"/>
        <v>1619868.4698785977</v>
      </c>
      <c r="I35">
        <f t="shared" si="1"/>
        <v>10038511745056.309</v>
      </c>
      <c r="J35" s="6"/>
      <c r="K35" s="6"/>
      <c r="L35" s="6"/>
      <c r="M35" s="84">
        <f t="shared" si="7"/>
        <v>1.7703478415482603</v>
      </c>
      <c r="N35" s="67">
        <f t="shared" si="2"/>
        <v>3.825690453401807</v>
      </c>
      <c r="O35" s="8">
        <f t="shared" si="3"/>
        <v>1293.6066304537967</v>
      </c>
      <c r="P35" s="133">
        <f t="shared" si="4"/>
        <v>338.13677457974171</v>
      </c>
      <c r="Q35" s="10">
        <f t="shared" si="8"/>
        <v>1197.2394180506728</v>
      </c>
      <c r="R35" s="6"/>
      <c r="S35" s="74">
        <f t="shared" si="9"/>
        <v>925.50501046108718</v>
      </c>
      <c r="T35" s="74">
        <f t="shared" si="10"/>
        <v>1548.7568494309951</v>
      </c>
      <c r="U35" s="74">
        <f t="shared" si="11"/>
        <v>1237.1309299460411</v>
      </c>
      <c r="V35" s="1">
        <f t="shared" si="12"/>
        <v>-0.22696747491994507</v>
      </c>
      <c r="W35" s="1">
        <f t="shared" si="13"/>
        <v>0.29360663045379654</v>
      </c>
      <c r="X35" s="1">
        <f t="shared" si="14"/>
        <v>3.3319577766925734E-2</v>
      </c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4:55" x14ac:dyDescent="0.25">
      <c r="F36" s="5">
        <f t="shared" si="5"/>
        <v>3.6771342304900112</v>
      </c>
      <c r="G36" s="4">
        <f t="shared" si="6"/>
        <v>6075603.2754717097</v>
      </c>
      <c r="H36" s="3">
        <f t="shared" si="0"/>
        <v>1652265.8392761694</v>
      </c>
      <c r="I36">
        <f t="shared" si="1"/>
        <v>10038511745056.309</v>
      </c>
      <c r="J36" s="6"/>
      <c r="K36" s="6"/>
      <c r="L36" s="6"/>
      <c r="M36" s="84">
        <f t="shared" si="7"/>
        <v>1.7016030772282398</v>
      </c>
      <c r="N36" s="67">
        <f t="shared" si="2"/>
        <v>3.6771342304900112</v>
      </c>
      <c r="O36" s="8">
        <f t="shared" si="3"/>
        <v>1268.2417945625457</v>
      </c>
      <c r="P36" s="133">
        <f t="shared" si="4"/>
        <v>344.89951007133646</v>
      </c>
      <c r="Q36" s="10">
        <f t="shared" si="8"/>
        <v>1173.7641353437969</v>
      </c>
      <c r="R36" s="6"/>
      <c r="S36" s="74">
        <f t="shared" si="9"/>
        <v>925.50501046108718</v>
      </c>
      <c r="T36" s="74">
        <f t="shared" si="10"/>
        <v>1488.6167334015718</v>
      </c>
      <c r="U36" s="74">
        <f t="shared" si="11"/>
        <v>1207.0608719313295</v>
      </c>
      <c r="V36" s="1">
        <f t="shared" si="12"/>
        <v>-0.2115068244183439</v>
      </c>
      <c r="W36" s="1">
        <f t="shared" si="13"/>
        <v>0.26824179456254571</v>
      </c>
      <c r="X36" s="1">
        <f t="shared" si="14"/>
        <v>2.8367485072100962E-2</v>
      </c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4:55" x14ac:dyDescent="0.25">
      <c r="F37" s="5">
        <f t="shared" si="5"/>
        <v>3.5343466267685608</v>
      </c>
      <c r="G37" s="4">
        <f t="shared" si="6"/>
        <v>5956473.799482068</v>
      </c>
      <c r="H37" s="3">
        <f t="shared" si="0"/>
        <v>1685311.1560616929</v>
      </c>
      <c r="I37">
        <f t="shared" si="1"/>
        <v>10038511745056.309</v>
      </c>
      <c r="J37" s="6"/>
      <c r="K37" s="6"/>
      <c r="L37" s="6"/>
      <c r="M37" s="84">
        <f t="shared" si="7"/>
        <v>1.6355277558902725</v>
      </c>
      <c r="N37" s="67">
        <f t="shared" si="2"/>
        <v>3.5343466267685608</v>
      </c>
      <c r="O37" s="8">
        <f t="shared" si="3"/>
        <v>1243.3743083946526</v>
      </c>
      <c r="P37" s="133">
        <f t="shared" si="4"/>
        <v>351.79750027276327</v>
      </c>
      <c r="Q37" s="10">
        <f t="shared" si="8"/>
        <v>1150.7491522978401</v>
      </c>
      <c r="R37" s="6"/>
      <c r="S37" s="74">
        <f t="shared" si="9"/>
        <v>925.50501046108718</v>
      </c>
      <c r="T37" s="74">
        <f t="shared" si="10"/>
        <v>1430.8119313740597</v>
      </c>
      <c r="U37" s="74">
        <f t="shared" si="11"/>
        <v>1178.1584709175731</v>
      </c>
      <c r="V37" s="1">
        <f t="shared" si="12"/>
        <v>-0.19573696090671078</v>
      </c>
      <c r="W37" s="1">
        <f t="shared" si="13"/>
        <v>0.24337430839465268</v>
      </c>
      <c r="X37" s="1">
        <f t="shared" si="14"/>
        <v>2.3818673743970731E-2</v>
      </c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4:55" x14ac:dyDescent="0.25">
      <c r="F38" s="5">
        <f t="shared" si="5"/>
        <v>3.3971036397237229</v>
      </c>
      <c r="G38" s="4">
        <f t="shared" si="6"/>
        <v>5839680.1955706552</v>
      </c>
      <c r="H38" s="3">
        <f t="shared" si="0"/>
        <v>1719017.3791829266</v>
      </c>
      <c r="I38">
        <f t="shared" si="1"/>
        <v>10038511745056.309</v>
      </c>
      <c r="J38" s="6"/>
      <c r="K38" s="6"/>
      <c r="L38" s="6"/>
      <c r="M38" s="84">
        <f t="shared" si="7"/>
        <v>1.5720182198099506</v>
      </c>
      <c r="N38" s="67">
        <f t="shared" si="2"/>
        <v>3.3971036397237229</v>
      </c>
      <c r="O38" s="8">
        <f t="shared" si="3"/>
        <v>1218.9944199947574</v>
      </c>
      <c r="P38" s="133">
        <f t="shared" si="4"/>
        <v>358.83345027821844</v>
      </c>
      <c r="Q38" s="10">
        <f t="shared" si="8"/>
        <v>1128.1854434292547</v>
      </c>
      <c r="R38" s="6"/>
      <c r="S38" s="74">
        <f t="shared" si="9"/>
        <v>925.50501046108718</v>
      </c>
      <c r="T38" s="74">
        <f t="shared" si="10"/>
        <v>1375.2517602595731</v>
      </c>
      <c r="U38" s="74">
        <f t="shared" si="11"/>
        <v>1150.37838536033</v>
      </c>
      <c r="V38" s="1">
        <f t="shared" si="12"/>
        <v>-0.17965170012484488</v>
      </c>
      <c r="W38" s="1">
        <f t="shared" si="13"/>
        <v>0.21899441999475777</v>
      </c>
      <c r="X38" s="1">
        <f t="shared" si="14"/>
        <v>1.9671359934956278E-2</v>
      </c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4:55" x14ac:dyDescent="0.25">
      <c r="F39" s="5">
        <f t="shared" si="5"/>
        <v>3.2651899651323744</v>
      </c>
      <c r="G39" s="4">
        <f t="shared" si="6"/>
        <v>5725176.6623241715</v>
      </c>
      <c r="H39" s="3">
        <f t="shared" si="0"/>
        <v>1753397.7267665854</v>
      </c>
      <c r="I39">
        <f t="shared" si="1"/>
        <v>10038511745056.309</v>
      </c>
      <c r="J39" s="6"/>
      <c r="K39" s="6"/>
      <c r="L39" s="6"/>
      <c r="M39" s="84">
        <f t="shared" si="7"/>
        <v>1.5109748364186375</v>
      </c>
      <c r="N39" s="67">
        <f t="shared" si="2"/>
        <v>3.2651899651323744</v>
      </c>
      <c r="O39" s="8">
        <f t="shared" si="3"/>
        <v>1195.0925686223113</v>
      </c>
      <c r="P39" s="133">
        <f t="shared" si="4"/>
        <v>366.0101192837829</v>
      </c>
      <c r="Q39" s="10">
        <f t="shared" si="8"/>
        <v>1106.0641602247597</v>
      </c>
      <c r="R39" s="6"/>
      <c r="S39" s="74">
        <f t="shared" si="9"/>
        <v>925.50501046108718</v>
      </c>
      <c r="T39" s="74">
        <f t="shared" si="10"/>
        <v>1321.8490583040875</v>
      </c>
      <c r="U39" s="74">
        <f t="shared" si="11"/>
        <v>1123.6770343825874</v>
      </c>
      <c r="V39" s="1">
        <f t="shared" si="12"/>
        <v>-0.16324473412734186</v>
      </c>
      <c r="W39" s="1">
        <f t="shared" si="13"/>
        <v>0.19509256862231106</v>
      </c>
      <c r="X39" s="1">
        <f t="shared" si="14"/>
        <v>1.5923917247484765E-2</v>
      </c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4:55" x14ac:dyDescent="0.25">
      <c r="F40" s="5">
        <f t="shared" si="5"/>
        <v>3.1383986592967839</v>
      </c>
      <c r="G40" s="4">
        <f t="shared" si="6"/>
        <v>5612918.2963962462</v>
      </c>
      <c r="H40" s="3">
        <f t="shared" si="0"/>
        <v>1788465.6813019172</v>
      </c>
      <c r="I40">
        <f t="shared" si="1"/>
        <v>10038511745056.309</v>
      </c>
      <c r="J40" s="6"/>
      <c r="K40" s="6"/>
      <c r="L40" s="6"/>
      <c r="M40" s="84">
        <f t="shared" si="7"/>
        <v>1.4523018420017659</v>
      </c>
      <c r="N40" s="67">
        <f t="shared" si="2"/>
        <v>3.1383986592967839</v>
      </c>
      <c r="O40" s="8">
        <f t="shared" si="3"/>
        <v>1171.6593810022659</v>
      </c>
      <c r="P40" s="133">
        <f t="shared" si="4"/>
        <v>373.33032166945861</v>
      </c>
      <c r="Q40" s="10">
        <f t="shared" si="8"/>
        <v>1084.3766276713329</v>
      </c>
      <c r="R40" s="6"/>
      <c r="S40" s="74">
        <f t="shared" si="9"/>
        <v>925.50501046108718</v>
      </c>
      <c r="T40" s="74">
        <f t="shared" si="10"/>
        <v>1270.5200483507185</v>
      </c>
      <c r="U40" s="74">
        <f t="shared" si="11"/>
        <v>1098.0125294059028</v>
      </c>
      <c r="V40" s="1">
        <f t="shared" si="12"/>
        <v>-0.1465096288098886</v>
      </c>
      <c r="W40" s="1">
        <f t="shared" si="13"/>
        <v>0.17165938100226596</v>
      </c>
      <c r="X40" s="1">
        <f t="shared" si="14"/>
        <v>1.257487609618857E-2</v>
      </c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4:55" x14ac:dyDescent="0.25">
      <c r="F41" s="5">
        <f t="shared" si="5"/>
        <v>3.016530814395217</v>
      </c>
      <c r="G41" s="4">
        <f t="shared" si="6"/>
        <v>5502861.0748982802</v>
      </c>
      <c r="H41" s="3">
        <f t="shared" si="0"/>
        <v>1824234.9949279556</v>
      </c>
      <c r="I41">
        <f>I42</f>
        <v>10038511745056.309</v>
      </c>
      <c r="J41" s="6"/>
      <c r="K41" s="6"/>
      <c r="L41" s="6"/>
      <c r="M41" s="84">
        <f t="shared" si="7"/>
        <v>1.3959071914665184</v>
      </c>
      <c r="N41" s="67">
        <f t="shared" si="2"/>
        <v>3.016530814395217</v>
      </c>
      <c r="O41" s="8">
        <f t="shared" si="3"/>
        <v>1148.6856676492803</v>
      </c>
      <c r="P41" s="133">
        <f t="shared" si="4"/>
        <v>380.79692810284774</v>
      </c>
      <c r="Q41" s="10">
        <f t="shared" si="8"/>
        <v>1063.114340854248</v>
      </c>
      <c r="R41" s="6"/>
      <c r="S41" s="74">
        <f t="shared" si="9"/>
        <v>925.50501046108718</v>
      </c>
      <c r="T41" s="74">
        <f t="shared" si="10"/>
        <v>1221.1842064116861</v>
      </c>
      <c r="U41" s="74">
        <f t="shared" si="11"/>
        <v>1073.3446084363866</v>
      </c>
      <c r="V41" s="1">
        <f t="shared" si="12"/>
        <v>-0.12943982138608634</v>
      </c>
      <c r="W41" s="1">
        <f t="shared" si="13"/>
        <v>0.14868566764928004</v>
      </c>
      <c r="X41" s="1">
        <f t="shared" si="14"/>
        <v>9.622923131596739E-3</v>
      </c>
      <c r="Y41" s="6"/>
      <c r="Z41" s="2"/>
      <c r="AA41" s="2"/>
      <c r="AB41" s="2"/>
    </row>
    <row r="42" spans="4:55" x14ac:dyDescent="0.25">
      <c r="F42" s="5">
        <f t="shared" si="5"/>
        <v>2.8993952464390778</v>
      </c>
      <c r="G42" s="4">
        <f t="shared" si="6"/>
        <v>5394961.8381355684</v>
      </c>
      <c r="H42" s="3">
        <f t="shared" si="0"/>
        <v>1860719.6948265149</v>
      </c>
      <c r="I42">
        <f t="shared" ref="I42:I46" si="15">I43</f>
        <v>10038511745056.309</v>
      </c>
      <c r="J42" s="6"/>
      <c r="K42" s="6"/>
      <c r="L42" s="6"/>
      <c r="M42" s="84">
        <f t="shared" si="7"/>
        <v>1.3417024139432125</v>
      </c>
      <c r="N42" s="67">
        <f t="shared" si="2"/>
        <v>2.8993952464390778</v>
      </c>
      <c r="O42" s="8">
        <f t="shared" si="3"/>
        <v>1126.1624192640002</v>
      </c>
      <c r="P42" s="133">
        <f t="shared" si="4"/>
        <v>388.41286666490475</v>
      </c>
      <c r="Q42" s="10">
        <f t="shared" si="8"/>
        <v>1042.2689616218117</v>
      </c>
      <c r="R42" s="6"/>
      <c r="S42" s="74">
        <f t="shared" si="9"/>
        <v>925.50501046108718</v>
      </c>
      <c r="T42" s="74">
        <f t="shared" si="10"/>
        <v>1173.7641353437966</v>
      </c>
      <c r="U42" s="74">
        <f t="shared" si="11"/>
        <v>1049.634572902442</v>
      </c>
      <c r="V42" s="1">
        <f t="shared" si="12"/>
        <v>-0.11202861781380813</v>
      </c>
      <c r="W42" s="1">
        <f t="shared" si="13"/>
        <v>0.12616241926399985</v>
      </c>
      <c r="X42" s="1">
        <f t="shared" si="14"/>
        <v>7.0669007250960814E-3</v>
      </c>
      <c r="Y42" s="6"/>
      <c r="Z42" s="2"/>
      <c r="AA42" s="2"/>
      <c r="AB42" s="2"/>
    </row>
    <row r="43" spans="4:55" x14ac:dyDescent="0.25">
      <c r="F43" s="5">
        <f t="shared" si="5"/>
        <v>2.7868081953470569</v>
      </c>
      <c r="G43" s="4">
        <f t="shared" si="6"/>
        <v>5289178.2726819301</v>
      </c>
      <c r="H43" s="3">
        <f t="shared" si="0"/>
        <v>1897934.0887230451</v>
      </c>
      <c r="I43">
        <f t="shared" si="15"/>
        <v>10038511745056.309</v>
      </c>
      <c r="J43" s="6"/>
      <c r="K43" s="6"/>
      <c r="L43" s="6"/>
      <c r="M43" s="84">
        <f t="shared" si="7"/>
        <v>1.2896024739938607</v>
      </c>
      <c r="N43" s="67">
        <f t="shared" si="2"/>
        <v>2.7868081953470569</v>
      </c>
      <c r="O43" s="8">
        <f t="shared" si="3"/>
        <v>1104.0808032000002</v>
      </c>
      <c r="P43" s="133">
        <f t="shared" si="4"/>
        <v>396.18112399820285</v>
      </c>
      <c r="Q43" s="10">
        <f t="shared" si="8"/>
        <v>1021.8323153155017</v>
      </c>
      <c r="R43" s="6"/>
      <c r="S43" s="74">
        <f t="shared" si="9"/>
        <v>925.50501046108718</v>
      </c>
      <c r="T43" s="74">
        <f t="shared" si="10"/>
        <v>1128.1854434292547</v>
      </c>
      <c r="U43" s="74">
        <f t="shared" si="11"/>
        <v>1026.8452269451711</v>
      </c>
      <c r="V43" s="1">
        <f t="shared" si="12"/>
        <v>-9.4269190170084172E-2</v>
      </c>
      <c r="W43" s="1">
        <f t="shared" si="13"/>
        <v>0.10408080320000002</v>
      </c>
      <c r="X43" s="1">
        <f t="shared" si="14"/>
        <v>4.9058065149580887E-3</v>
      </c>
      <c r="Y43" s="6"/>
      <c r="Z43" s="2"/>
      <c r="AA43" s="2"/>
      <c r="AB43" s="2"/>
    </row>
    <row r="44" spans="4:55" x14ac:dyDescent="0.25">
      <c r="F44" s="5">
        <f t="shared" si="5"/>
        <v>2.67859303666576</v>
      </c>
      <c r="G44" s="4">
        <f t="shared" si="6"/>
        <v>5185468.8947862061</v>
      </c>
      <c r="H44" s="3">
        <f t="shared" si="0"/>
        <v>1935892.770497506</v>
      </c>
      <c r="I44">
        <f t="shared" si="15"/>
        <v>10038511745056.309</v>
      </c>
      <c r="J44" s="6"/>
      <c r="K44" s="6"/>
      <c r="L44" s="6"/>
      <c r="M44" s="84">
        <f t="shared" si="7"/>
        <v>1.2395256382101696</v>
      </c>
      <c r="N44" s="67">
        <f t="shared" si="2"/>
        <v>2.67859303666576</v>
      </c>
      <c r="O44" s="8">
        <f t="shared" si="3"/>
        <v>1082.4321600000001</v>
      </c>
      <c r="P44" s="133">
        <f t="shared" si="4"/>
        <v>404.10474647816687</v>
      </c>
      <c r="Q44" s="10">
        <f t="shared" si="8"/>
        <v>1001.7963875642172</v>
      </c>
      <c r="R44" s="6"/>
      <c r="S44" s="74">
        <f t="shared" si="9"/>
        <v>925.50501046108718</v>
      </c>
      <c r="T44" s="74">
        <f t="shared" si="10"/>
        <v>1084.3766276713327</v>
      </c>
      <c r="U44" s="74">
        <f t="shared" si="11"/>
        <v>1004.9408190662101</v>
      </c>
      <c r="V44" s="1">
        <f t="shared" si="12"/>
        <v>-7.6154573973485795E-2</v>
      </c>
      <c r="W44" s="1">
        <f t="shared" si="13"/>
        <v>8.2432159999999977E-2</v>
      </c>
      <c r="X44" s="1">
        <f t="shared" si="14"/>
        <v>3.1387930132573683E-3</v>
      </c>
      <c r="Y44" s="6"/>
      <c r="Z44" s="2"/>
      <c r="AA44" s="2"/>
      <c r="AB44" s="2"/>
    </row>
    <row r="45" spans="4:55" x14ac:dyDescent="0.25">
      <c r="F45" s="5">
        <f t="shared" si="5"/>
        <v>2.574580004484583</v>
      </c>
      <c r="G45" s="4">
        <f t="shared" si="6"/>
        <v>5083793.0341041237</v>
      </c>
      <c r="H45" s="3">
        <f t="shared" si="0"/>
        <v>1974610.625907456</v>
      </c>
      <c r="I45">
        <f t="shared" si="15"/>
        <v>10038511745056.309</v>
      </c>
      <c r="J45" s="6"/>
      <c r="K45" s="6"/>
      <c r="L45" s="6"/>
      <c r="M45" s="84">
        <f t="shared" si="7"/>
        <v>1.1913933469917048</v>
      </c>
      <c r="N45" s="67">
        <f t="shared" si="2"/>
        <v>2.574580004484583</v>
      </c>
      <c r="O45" s="8">
        <f t="shared" si="3"/>
        <v>1061.2080000000001</v>
      </c>
      <c r="P45" s="133">
        <f t="shared" si="4"/>
        <v>412.18684140773018</v>
      </c>
      <c r="Q45" s="10">
        <f t="shared" si="8"/>
        <v>982.15332114138948</v>
      </c>
      <c r="R45" s="9"/>
      <c r="S45" s="74">
        <f t="shared" si="9"/>
        <v>925.50501046108718</v>
      </c>
      <c r="T45" s="74">
        <f t="shared" si="10"/>
        <v>1042.268961621812</v>
      </c>
      <c r="U45" s="74">
        <f t="shared" si="11"/>
        <v>983.8869860414494</v>
      </c>
      <c r="V45" s="1">
        <f t="shared" si="12"/>
        <v>-5.7677665452955607E-2</v>
      </c>
      <c r="W45" s="1">
        <f t="shared" si="13"/>
        <v>6.1208000000000373E-2</v>
      </c>
      <c r="X45" s="1">
        <f t="shared" si="14"/>
        <v>1.7651672735221613E-3</v>
      </c>
      <c r="Y45" s="6"/>
      <c r="Z45" s="2"/>
      <c r="AA45" s="2"/>
      <c r="AB45" s="2"/>
    </row>
    <row r="46" spans="4:55" x14ac:dyDescent="0.25">
      <c r="F46" s="5">
        <f t="shared" si="5"/>
        <v>2.4746059251101338</v>
      </c>
      <c r="G46" s="4">
        <f t="shared" si="6"/>
        <v>4984110.8177491408</v>
      </c>
      <c r="H46" s="3">
        <f t="shared" si="0"/>
        <v>2014102.8384256051</v>
      </c>
      <c r="I46">
        <f t="shared" si="15"/>
        <v>10038511745056.309</v>
      </c>
      <c r="J46" s="6"/>
      <c r="K46" s="6"/>
      <c r="L46" s="6"/>
      <c r="M46" s="84">
        <f t="shared" si="7"/>
        <v>1.1451300913030613</v>
      </c>
      <c r="N46" s="67">
        <f t="shared" si="2"/>
        <v>2.4746059251101338</v>
      </c>
      <c r="O46" s="8">
        <f t="shared" si="3"/>
        <v>1040.4000000000001</v>
      </c>
      <c r="P46" s="133">
        <f t="shared" si="4"/>
        <v>420.43057823588475</v>
      </c>
      <c r="Q46" s="10">
        <f t="shared" si="8"/>
        <v>962.89541288371515</v>
      </c>
      <c r="R46" s="9"/>
      <c r="S46" s="74">
        <f t="shared" si="9"/>
        <v>925.50501046108718</v>
      </c>
      <c r="T46" s="74">
        <f t="shared" si="10"/>
        <v>1001.7963875642174</v>
      </c>
      <c r="U46" s="74">
        <f t="shared" si="11"/>
        <v>963.65069901265224</v>
      </c>
      <c r="V46" s="1">
        <f t="shared" si="12"/>
        <v>-3.8831218762014674E-2</v>
      </c>
      <c r="W46" s="1">
        <f t="shared" si="13"/>
        <v>4.0400000000000214E-2</v>
      </c>
      <c r="X46" s="1">
        <f t="shared" si="14"/>
        <v>7.8439061899260309E-4</v>
      </c>
      <c r="Y46" s="6"/>
      <c r="Z46" s="2"/>
      <c r="AA46" s="2"/>
      <c r="AB46" s="2"/>
    </row>
    <row r="47" spans="4:55" x14ac:dyDescent="0.25">
      <c r="F47" s="5">
        <f t="shared" si="5"/>
        <v>2.3785139610824042</v>
      </c>
      <c r="G47" s="4">
        <f t="shared" si="6"/>
        <v>4886383.15465602</v>
      </c>
      <c r="H47" s="3">
        <f t="shared" si="0"/>
        <v>2054384.8951941174</v>
      </c>
      <c r="I47">
        <f>I48</f>
        <v>10038511745056.309</v>
      </c>
      <c r="J47" s="6"/>
      <c r="K47" s="6"/>
      <c r="L47" s="6"/>
      <c r="M47" s="84">
        <f t="shared" si="7"/>
        <v>1.1006632942167061</v>
      </c>
      <c r="N47" s="67">
        <f t="shared" si="2"/>
        <v>2.3785139610824042</v>
      </c>
      <c r="O47" s="8">
        <f t="shared" si="3"/>
        <v>1020.0000000000001</v>
      </c>
      <c r="P47" s="133">
        <f t="shared" si="4"/>
        <v>428.83918980060253</v>
      </c>
      <c r="Q47" s="10">
        <f t="shared" si="8"/>
        <v>944.01511067030901</v>
      </c>
      <c r="R47" s="9"/>
      <c r="S47" s="74">
        <f t="shared" si="9"/>
        <v>925.50501046108718</v>
      </c>
      <c r="T47" s="74">
        <f t="shared" si="10"/>
        <v>962.89541288371515</v>
      </c>
      <c r="U47" s="74">
        <f t="shared" si="11"/>
        <v>944.20021167240111</v>
      </c>
      <c r="V47" s="1">
        <f t="shared" si="12"/>
        <v>-1.9607843137254943E-2</v>
      </c>
      <c r="W47" s="1">
        <f t="shared" si="13"/>
        <v>2.0000000000000018E-2</v>
      </c>
      <c r="X47" s="1">
        <f t="shared" si="14"/>
        <v>1.9607843137237069E-4</v>
      </c>
      <c r="Y47" s="6"/>
      <c r="Z47" s="2"/>
      <c r="AA47" s="2"/>
      <c r="AB47" s="2"/>
    </row>
    <row r="48" spans="4:55" s="53" customFormat="1" ht="18.75" x14ac:dyDescent="0.3">
      <c r="D48" s="24" t="s">
        <v>4</v>
      </c>
      <c r="E48" s="24"/>
      <c r="F48" s="78">
        <f t="shared" si="5"/>
        <v>2.2861533651311072</v>
      </c>
      <c r="G48" s="19">
        <f>K1</f>
        <v>4790571.7202509996</v>
      </c>
      <c r="H48" s="20">
        <f>K2</f>
        <v>2095472.5930979999</v>
      </c>
      <c r="I48" s="21">
        <f>G48*H48</f>
        <v>10038511745056.309</v>
      </c>
      <c r="J48" s="22"/>
      <c r="K48" s="22"/>
      <c r="L48" s="22"/>
      <c r="M48" s="84">
        <f t="shared" si="7"/>
        <v>1.0579231970556575</v>
      </c>
      <c r="N48" s="68">
        <f>F48</f>
        <v>2.2861533651311072</v>
      </c>
      <c r="O48" s="11">
        <f>K3</f>
        <v>1000</v>
      </c>
      <c r="P48" s="134">
        <f>O48/F48</f>
        <v>437.41597359661461</v>
      </c>
      <c r="Q48" s="11">
        <f t="shared" si="8"/>
        <v>925.50501046108718</v>
      </c>
      <c r="R48" s="23"/>
      <c r="S48" s="79">
        <f t="shared" si="9"/>
        <v>925.50501046108718</v>
      </c>
      <c r="T48" s="79">
        <f t="shared" si="10"/>
        <v>925.50501046108718</v>
      </c>
      <c r="U48" s="79">
        <f t="shared" si="11"/>
        <v>925.50501046108718</v>
      </c>
      <c r="V48" s="39">
        <f t="shared" si="12"/>
        <v>0</v>
      </c>
      <c r="W48" s="39">
        <f t="shared" si="13"/>
        <v>0</v>
      </c>
      <c r="X48" s="39">
        <f t="shared" si="14"/>
        <v>0</v>
      </c>
      <c r="Y48" s="80"/>
      <c r="Z48" s="81"/>
      <c r="AA48" s="81"/>
      <c r="AB48" s="81"/>
    </row>
    <row r="49" spans="6:28" x14ac:dyDescent="0.25">
      <c r="F49" s="5">
        <f t="shared" si="5"/>
        <v>2.1956216918719149</v>
      </c>
      <c r="G49" s="4">
        <f>G48*(1-$O$1)</f>
        <v>4694760.2858459791</v>
      </c>
      <c r="H49" s="3">
        <f>I49/G49</f>
        <v>2138237.3398959185</v>
      </c>
      <c r="I49">
        <f>I48</f>
        <v>10038511745056.309</v>
      </c>
      <c r="J49" s="6"/>
      <c r="K49" s="6"/>
      <c r="L49" s="6"/>
      <c r="M49" s="84">
        <f t="shared" si="7"/>
        <v>1.0160294384522532</v>
      </c>
      <c r="N49" s="67">
        <f t="shared" si="2"/>
        <v>2.1956216918719149</v>
      </c>
      <c r="O49" s="8">
        <f t="shared" ref="O49:O100" si="16">$O$48/$G$48*G49</f>
        <v>979.99999999999989</v>
      </c>
      <c r="P49" s="133">
        <f t="shared" ref="P49:P100" si="17">O49/F49</f>
        <v>446.34283020062719</v>
      </c>
      <c r="Q49" s="10">
        <f t="shared" si="8"/>
        <v>906.99491025186524</v>
      </c>
      <c r="R49" s="9"/>
      <c r="S49" s="74">
        <f t="shared" si="9"/>
        <v>925.50501046108718</v>
      </c>
      <c r="T49" s="74">
        <f t="shared" si="10"/>
        <v>888.85501204682794</v>
      </c>
      <c r="U49" s="74">
        <f t="shared" si="11"/>
        <v>907.18001125395756</v>
      </c>
      <c r="V49" s="1">
        <f t="shared" si="12"/>
        <v>2.0408163265306367E-2</v>
      </c>
      <c r="W49" s="1">
        <f t="shared" si="13"/>
        <v>-2.0000000000000018E-2</v>
      </c>
      <c r="X49" s="1">
        <f t="shared" si="14"/>
        <v>2.0408163265317469E-4</v>
      </c>
      <c r="Y49" s="6"/>
      <c r="Z49" s="2"/>
      <c r="AA49" s="2"/>
      <c r="AB49" s="2"/>
    </row>
    <row r="50" spans="6:28" x14ac:dyDescent="0.25">
      <c r="F50" s="5">
        <f t="shared" si="5"/>
        <v>2.1086750728737864</v>
      </c>
      <c r="G50" s="4">
        <f t="shared" ref="G50:G113" si="18">G49*(1-$O$1)</f>
        <v>4600865.080129059</v>
      </c>
      <c r="H50" s="3">
        <f t="shared" ref="H50:H113" si="19">I50/G50</f>
        <v>2181874.8366284887</v>
      </c>
      <c r="I50">
        <f>I49</f>
        <v>10038511745056.309</v>
      </c>
      <c r="J50" s="6"/>
      <c r="K50" s="6"/>
      <c r="L50" s="6"/>
      <c r="M50" s="84">
        <f t="shared" si="7"/>
        <v>0.97579467268954367</v>
      </c>
      <c r="N50" s="67">
        <f t="shared" si="2"/>
        <v>2.1086750728737864</v>
      </c>
      <c r="O50" s="8">
        <f t="shared" si="16"/>
        <v>960.39999999999975</v>
      </c>
      <c r="P50" s="133">
        <f t="shared" si="17"/>
        <v>455.45186755166048</v>
      </c>
      <c r="Q50" s="10">
        <f t="shared" si="8"/>
        <v>888.85501204682782</v>
      </c>
      <c r="R50" s="9"/>
      <c r="S50" s="74">
        <f t="shared" si="9"/>
        <v>925.50501046108718</v>
      </c>
      <c r="T50" s="74">
        <f t="shared" si="10"/>
        <v>853.65635356977327</v>
      </c>
      <c r="U50" s="74">
        <f t="shared" si="11"/>
        <v>889.58068201543017</v>
      </c>
      <c r="V50" s="1">
        <f t="shared" si="12"/>
        <v>4.1232819658475917E-2</v>
      </c>
      <c r="W50" s="1">
        <f t="shared" si="13"/>
        <v>-3.9600000000000191E-2</v>
      </c>
      <c r="X50" s="1">
        <f t="shared" si="14"/>
        <v>8.1640982923780747E-4</v>
      </c>
      <c r="Y50" s="6"/>
      <c r="Z50" s="2"/>
      <c r="AA50" s="2"/>
      <c r="AB50" s="2"/>
    </row>
    <row r="51" spans="6:28" x14ac:dyDescent="0.25">
      <c r="F51" s="5">
        <f t="shared" si="5"/>
        <v>2.0251715399879839</v>
      </c>
      <c r="G51" s="4">
        <f t="shared" si="18"/>
        <v>4508847.7785264775</v>
      </c>
      <c r="H51" s="3">
        <f t="shared" si="19"/>
        <v>2226402.8945188662</v>
      </c>
      <c r="I51">
        <f t="shared" ref="I51:I113" si="20">I50</f>
        <v>10038511745056.309</v>
      </c>
      <c r="J51" s="6"/>
      <c r="K51" s="6"/>
      <c r="L51" s="6"/>
      <c r="M51" s="84">
        <f t="shared" si="7"/>
        <v>0.93715320365103749</v>
      </c>
      <c r="N51" s="67">
        <f t="shared" si="2"/>
        <v>2.0251715399879839</v>
      </c>
      <c r="O51" s="8">
        <f t="shared" si="16"/>
        <v>941.19199999999978</v>
      </c>
      <c r="P51" s="133">
        <f t="shared" si="17"/>
        <v>464.74680362414347</v>
      </c>
      <c r="Q51" s="10">
        <f t="shared" si="8"/>
        <v>871.07791180589129</v>
      </c>
      <c r="R51" s="9"/>
      <c r="S51" s="74">
        <f t="shared" si="9"/>
        <v>925.50501046108718</v>
      </c>
      <c r="T51" s="74">
        <f t="shared" si="10"/>
        <v>819.85156196841001</v>
      </c>
      <c r="U51" s="74">
        <f t="shared" si="11"/>
        <v>872.6782862147486</v>
      </c>
      <c r="V51" s="1">
        <f t="shared" si="12"/>
        <v>6.2482469039261135E-2</v>
      </c>
      <c r="W51" s="1">
        <f t="shared" si="13"/>
        <v>-5.8808000000000527E-2</v>
      </c>
      <c r="X51" s="1">
        <f t="shared" si="14"/>
        <v>1.8372345196302486E-3</v>
      </c>
      <c r="Y51" s="6"/>
      <c r="Z51" s="2"/>
      <c r="AA51" s="2"/>
      <c r="AB51" s="2"/>
    </row>
    <row r="52" spans="6:28" x14ac:dyDescent="0.25">
      <c r="F52" s="5">
        <f t="shared" si="5"/>
        <v>1.9449747470044605</v>
      </c>
      <c r="G52" s="4">
        <f t="shared" si="18"/>
        <v>4418670.8229559483</v>
      </c>
      <c r="H52" s="3">
        <f t="shared" si="19"/>
        <v>2271839.6882845568</v>
      </c>
      <c r="I52">
        <f t="shared" si="20"/>
        <v>10038511745056.309</v>
      </c>
      <c r="J52" s="6"/>
      <c r="K52" s="6"/>
      <c r="L52" s="6"/>
      <c r="M52" s="84">
        <f t="shared" si="7"/>
        <v>0.90004193678645672</v>
      </c>
      <c r="N52" s="67">
        <f t="shared" si="2"/>
        <v>1.9449747470044605</v>
      </c>
      <c r="O52" s="8">
        <f t="shared" si="16"/>
        <v>922.36815999999976</v>
      </c>
      <c r="P52" s="133">
        <f t="shared" si="17"/>
        <v>474.23143226953397</v>
      </c>
      <c r="Q52" s="10">
        <f t="shared" si="8"/>
        <v>853.6563535697735</v>
      </c>
      <c r="R52" s="9"/>
      <c r="S52" s="74">
        <f t="shared" si="9"/>
        <v>925.50501046108718</v>
      </c>
      <c r="T52" s="74">
        <f t="shared" si="10"/>
        <v>787.38544011446118</v>
      </c>
      <c r="U52" s="74">
        <f t="shared" si="11"/>
        <v>856.44522528777418</v>
      </c>
      <c r="V52" s="1">
        <f t="shared" si="12"/>
        <v>8.4165784733939875E-2</v>
      </c>
      <c r="W52" s="1">
        <f t="shared" si="13"/>
        <v>-7.763184000000023E-2</v>
      </c>
      <c r="X52" s="1">
        <f t="shared" si="14"/>
        <v>3.2669723669698225E-3</v>
      </c>
      <c r="Y52" s="6"/>
      <c r="Z52" s="2"/>
      <c r="AA52" s="2"/>
      <c r="AB52" s="2"/>
    </row>
    <row r="53" spans="6:28" x14ac:dyDescent="0.25">
      <c r="F53" s="5">
        <f t="shared" si="5"/>
        <v>1.8679537470230836</v>
      </c>
      <c r="G53" s="4">
        <f t="shared" si="18"/>
        <v>4330297.4064968294</v>
      </c>
      <c r="H53" s="3">
        <f t="shared" si="19"/>
        <v>2318203.7635556706</v>
      </c>
      <c r="I53">
        <f t="shared" si="20"/>
        <v>10038511745056.309</v>
      </c>
      <c r="J53" s="6"/>
      <c r="K53" s="6"/>
      <c r="L53" s="6"/>
      <c r="M53" s="84">
        <f t="shared" si="7"/>
        <v>0.86440027608971293</v>
      </c>
      <c r="N53" s="67">
        <f t="shared" si="2"/>
        <v>1.8679537470230836</v>
      </c>
      <c r="O53" s="8">
        <f t="shared" si="16"/>
        <v>903.92079679999983</v>
      </c>
      <c r="P53" s="133">
        <f t="shared" si="17"/>
        <v>483.90962476483065</v>
      </c>
      <c r="Q53" s="10">
        <f t="shared" si="8"/>
        <v>836.58322649837805</v>
      </c>
      <c r="R53" s="9"/>
      <c r="S53" s="74">
        <f t="shared" si="9"/>
        <v>925.50501046108718</v>
      </c>
      <c r="T53" s="74">
        <f t="shared" si="10"/>
        <v>756.2049766859285</v>
      </c>
      <c r="U53" s="74">
        <f t="shared" si="11"/>
        <v>840.85499357350784</v>
      </c>
      <c r="V53" s="1">
        <f t="shared" si="12"/>
        <v>0.10629161707544887</v>
      </c>
      <c r="W53" s="1">
        <f t="shared" si="13"/>
        <v>-9.6079203200000296E-2</v>
      </c>
      <c r="X53" s="1">
        <f t="shared" si="14"/>
        <v>5.1062069377243446E-3</v>
      </c>
      <c r="Y53" s="6"/>
      <c r="Z53" s="2"/>
      <c r="AA53" s="2"/>
      <c r="AB53" s="2"/>
    </row>
    <row r="54" spans="6:28" x14ac:dyDescent="0.25">
      <c r="F54" s="5">
        <f t="shared" si="5"/>
        <v>1.7939827786409692</v>
      </c>
      <c r="G54" s="4">
        <f t="shared" si="18"/>
        <v>4243691.4583668923</v>
      </c>
      <c r="H54" s="3">
        <f t="shared" si="19"/>
        <v>2365514.0444445619</v>
      </c>
      <c r="I54">
        <f t="shared" si="20"/>
        <v>10038511745056.309</v>
      </c>
      <c r="J54" s="6"/>
      <c r="K54" s="6"/>
      <c r="L54" s="6"/>
      <c r="M54" s="84">
        <f t="shared" si="7"/>
        <v>0.83017002515656024</v>
      </c>
      <c r="N54" s="67">
        <f t="shared" si="2"/>
        <v>1.7939827786409692</v>
      </c>
      <c r="O54" s="8">
        <f t="shared" si="16"/>
        <v>885.84238086399967</v>
      </c>
      <c r="P54" s="133">
        <f t="shared" si="17"/>
        <v>493.78533139268433</v>
      </c>
      <c r="Q54" s="10">
        <f t="shared" si="8"/>
        <v>819.85156196841035</v>
      </c>
      <c r="R54" s="9"/>
      <c r="S54" s="74">
        <f t="shared" si="9"/>
        <v>925.50501046108718</v>
      </c>
      <c r="T54" s="74">
        <f t="shared" si="10"/>
        <v>726.25925960916561</v>
      </c>
      <c r="U54" s="74">
        <f t="shared" si="11"/>
        <v>825.88213503512634</v>
      </c>
      <c r="V54" s="1">
        <f t="shared" si="12"/>
        <v>0.12886899701576437</v>
      </c>
      <c r="W54" s="1">
        <f t="shared" si="13"/>
        <v>-0.11415761913600031</v>
      </c>
      <c r="X54" s="1">
        <f t="shared" si="14"/>
        <v>7.3556889398820324E-3</v>
      </c>
      <c r="Y54" s="6"/>
      <c r="Z54" s="2"/>
      <c r="AA54" s="2"/>
      <c r="AB54" s="2"/>
    </row>
    <row r="55" spans="6:28" x14ac:dyDescent="0.25">
      <c r="F55" s="5">
        <f t="shared" si="5"/>
        <v>1.7229410606067868</v>
      </c>
      <c r="G55" s="4">
        <f t="shared" si="18"/>
        <v>4158817.6291995542</v>
      </c>
      <c r="H55" s="3">
        <f t="shared" si="19"/>
        <v>2413789.8412699611</v>
      </c>
      <c r="I55">
        <f t="shared" si="20"/>
        <v>10038511745056.309</v>
      </c>
      <c r="J55" s="6"/>
      <c r="K55" s="6"/>
      <c r="L55" s="6"/>
      <c r="M55" s="84">
        <f t="shared" si="7"/>
        <v>0.79729529216036032</v>
      </c>
      <c r="N55" s="67">
        <f t="shared" si="2"/>
        <v>1.7229410606067868</v>
      </c>
      <c r="O55" s="8">
        <f t="shared" si="16"/>
        <v>868.12553324671967</v>
      </c>
      <c r="P55" s="133">
        <f t="shared" si="17"/>
        <v>503.86258305375958</v>
      </c>
      <c r="Q55" s="10">
        <f t="shared" si="8"/>
        <v>803.45453072904218</v>
      </c>
      <c r="R55" s="9"/>
      <c r="S55" s="74">
        <f t="shared" si="9"/>
        <v>925.50501046108718</v>
      </c>
      <c r="T55" s="74">
        <f t="shared" si="10"/>
        <v>697.49939292864258</v>
      </c>
      <c r="U55" s="74">
        <f t="shared" si="11"/>
        <v>811.50220169486488</v>
      </c>
      <c r="V55" s="1">
        <f t="shared" si="12"/>
        <v>0.15190713981200443</v>
      </c>
      <c r="W55" s="1">
        <f t="shared" si="13"/>
        <v>-0.13187446675328041</v>
      </c>
      <c r="X55" s="1">
        <f t="shared" si="14"/>
        <v>1.0016336529361958E-2</v>
      </c>
      <c r="Y55" s="6"/>
      <c r="Z55" s="2"/>
      <c r="AA55" s="2"/>
      <c r="AB55" s="2"/>
    </row>
    <row r="56" spans="6:28" x14ac:dyDescent="0.25">
      <c r="F56" s="5">
        <f t="shared" si="5"/>
        <v>1.6547125946067576</v>
      </c>
      <c r="G56" s="4">
        <f t="shared" si="18"/>
        <v>4075641.2766155628</v>
      </c>
      <c r="H56" s="3">
        <f t="shared" si="19"/>
        <v>2463050.8584387363</v>
      </c>
      <c r="I56">
        <f t="shared" si="20"/>
        <v>10038511745056.309</v>
      </c>
      <c r="J56" s="6"/>
      <c r="K56" s="6"/>
      <c r="L56" s="6"/>
      <c r="M56" s="84">
        <f t="shared" si="7"/>
        <v>0.76572239859080993</v>
      </c>
      <c r="N56" s="67">
        <f t="shared" si="2"/>
        <v>1.6547125946067576</v>
      </c>
      <c r="O56" s="8">
        <f t="shared" si="16"/>
        <v>850.76302258178521</v>
      </c>
      <c r="P56" s="133">
        <f t="shared" si="17"/>
        <v>514.14549291199967</v>
      </c>
      <c r="Q56" s="10">
        <f t="shared" si="8"/>
        <v>787.38544011446118</v>
      </c>
      <c r="R56" s="9"/>
      <c r="S56" s="74">
        <f t="shared" si="9"/>
        <v>925.50501046108718</v>
      </c>
      <c r="T56" s="74">
        <f t="shared" si="10"/>
        <v>669.87841696866826</v>
      </c>
      <c r="U56" s="74">
        <f t="shared" si="11"/>
        <v>797.69171371487766</v>
      </c>
      <c r="V56" s="1">
        <f t="shared" si="12"/>
        <v>0.17541544878775994</v>
      </c>
      <c r="W56" s="1">
        <f t="shared" si="13"/>
        <v>-0.14923697741821473</v>
      </c>
      <c r="X56" s="1">
        <f t="shared" si="14"/>
        <v>1.3089235684772493E-2</v>
      </c>
      <c r="Y56" s="6"/>
      <c r="Z56" s="2"/>
      <c r="AA56" s="2"/>
      <c r="AB56" s="2"/>
    </row>
    <row r="57" spans="6:28" x14ac:dyDescent="0.25">
      <c r="F57" s="5">
        <f t="shared" si="5"/>
        <v>1.5891859758603302</v>
      </c>
      <c r="G57" s="4">
        <f t="shared" si="18"/>
        <v>3994128.4510832517</v>
      </c>
      <c r="H57" s="3">
        <f t="shared" si="19"/>
        <v>2513317.2024885062</v>
      </c>
      <c r="I57">
        <f t="shared" si="20"/>
        <v>10038511745056.309</v>
      </c>
      <c r="J57" s="6"/>
      <c r="K57" s="6"/>
      <c r="L57" s="6"/>
      <c r="M57" s="84">
        <f t="shared" si="7"/>
        <v>0.73539979160661395</v>
      </c>
      <c r="N57" s="67">
        <f t="shared" si="2"/>
        <v>1.5891859758603302</v>
      </c>
      <c r="O57" s="8">
        <f t="shared" si="16"/>
        <v>833.74776213014957</v>
      </c>
      <c r="P57" s="133">
        <f t="shared" si="17"/>
        <v>524.63825807346905</v>
      </c>
      <c r="Q57" s="10">
        <f t="shared" si="8"/>
        <v>771.63773131217204</v>
      </c>
      <c r="R57" s="9"/>
      <c r="S57" s="74">
        <f t="shared" si="9"/>
        <v>925.50501046108718</v>
      </c>
      <c r="T57" s="74">
        <f t="shared" si="10"/>
        <v>643.35123165670905</v>
      </c>
      <c r="U57" s="74">
        <f t="shared" si="11"/>
        <v>784.42812105889811</v>
      </c>
      <c r="V57" s="1">
        <f t="shared" si="12"/>
        <v>0.19940351917118337</v>
      </c>
      <c r="W57" s="1">
        <f t="shared" si="13"/>
        <v>-0.16625223786985044</v>
      </c>
      <c r="X57" s="1">
        <f t="shared" si="14"/>
        <v>1.6575640650666523E-2</v>
      </c>
      <c r="Y57" s="6"/>
      <c r="Z57" s="2"/>
      <c r="AA57" s="2"/>
      <c r="AB57" s="2"/>
    </row>
    <row r="58" spans="6:28" x14ac:dyDescent="0.25">
      <c r="F58" s="5">
        <f t="shared" si="5"/>
        <v>1.5262542112162611</v>
      </c>
      <c r="G58" s="4">
        <f t="shared" si="18"/>
        <v>3914245.8820615867</v>
      </c>
      <c r="H58" s="3">
        <f t="shared" si="19"/>
        <v>2564609.390294394</v>
      </c>
      <c r="I58">
        <f t="shared" si="20"/>
        <v>10038511745056.309</v>
      </c>
      <c r="J58" s="6"/>
      <c r="K58" s="6"/>
      <c r="L58" s="6"/>
      <c r="M58" s="84">
        <f t="shared" si="7"/>
        <v>0.706277959858992</v>
      </c>
      <c r="N58" s="67">
        <f t="shared" si="2"/>
        <v>1.5262542112162611</v>
      </c>
      <c r="O58" s="8">
        <f t="shared" si="16"/>
        <v>817.07280688754656</v>
      </c>
      <c r="P58" s="133">
        <f t="shared" si="17"/>
        <v>535.34516129945814</v>
      </c>
      <c r="Q58" s="10">
        <f t="shared" si="8"/>
        <v>756.20497668592861</v>
      </c>
      <c r="R58" s="9"/>
      <c r="S58" s="74">
        <f t="shared" si="9"/>
        <v>925.50501046108718</v>
      </c>
      <c r="T58" s="74">
        <f t="shared" si="10"/>
        <v>617.8745228831034</v>
      </c>
      <c r="U58" s="74">
        <f t="shared" si="11"/>
        <v>771.68976667209517</v>
      </c>
      <c r="V58" s="1">
        <f t="shared" si="12"/>
        <v>0.22388114201141152</v>
      </c>
      <c r="W58" s="1">
        <f t="shared" si="13"/>
        <v>-0.18292719311245342</v>
      </c>
      <c r="X58" s="1">
        <f t="shared" si="14"/>
        <v>2.0476974449478824E-2</v>
      </c>
      <c r="Y58" s="6"/>
      <c r="Z58" s="2"/>
      <c r="AA58" s="2"/>
      <c r="AB58" s="2"/>
    </row>
    <row r="59" spans="6:28" x14ac:dyDescent="0.25">
      <c r="F59" s="5">
        <f t="shared" si="5"/>
        <v>1.4658145444520971</v>
      </c>
      <c r="G59" s="4">
        <f t="shared" si="18"/>
        <v>3835960.9644203549</v>
      </c>
      <c r="H59" s="3">
        <f t="shared" si="19"/>
        <v>2616948.3574432591</v>
      </c>
      <c r="I59">
        <f t="shared" si="20"/>
        <v>10038511745056.309</v>
      </c>
      <c r="J59" s="6"/>
      <c r="K59" s="6"/>
      <c r="L59" s="6"/>
      <c r="M59" s="84">
        <f t="shared" si="7"/>
        <v>0.67830935264857595</v>
      </c>
      <c r="N59" s="67">
        <f t="shared" si="2"/>
        <v>1.4658145444520971</v>
      </c>
      <c r="O59" s="8">
        <f t="shared" si="16"/>
        <v>800.73135074979564</v>
      </c>
      <c r="P59" s="133">
        <f t="shared" si="17"/>
        <v>546.27057275454911</v>
      </c>
      <c r="Q59" s="10">
        <f t="shared" si="8"/>
        <v>741.08087715221006</v>
      </c>
      <c r="R59" s="9"/>
      <c r="S59" s="74">
        <f t="shared" si="9"/>
        <v>925.50501046108718</v>
      </c>
      <c r="T59" s="74">
        <f t="shared" si="10"/>
        <v>593.40669177693246</v>
      </c>
      <c r="U59" s="74">
        <f t="shared" si="11"/>
        <v>759.45585111900982</v>
      </c>
      <c r="V59" s="1">
        <f t="shared" si="12"/>
        <v>0.24885830817490984</v>
      </c>
      <c r="W59" s="1">
        <f t="shared" si="13"/>
        <v>-0.19926864925020449</v>
      </c>
      <c r="X59" s="1">
        <f t="shared" si="14"/>
        <v>2.4794829462352563E-2</v>
      </c>
      <c r="Y59" s="6"/>
      <c r="Z59" s="2"/>
      <c r="AA59" s="2"/>
      <c r="AB59" s="2"/>
    </row>
    <row r="60" spans="6:28" x14ac:dyDescent="0.25">
      <c r="F60" s="5">
        <f t="shared" si="5"/>
        <v>1.4077682884917939</v>
      </c>
      <c r="G60" s="4">
        <f t="shared" si="18"/>
        <v>3759241.7451319476</v>
      </c>
      <c r="H60" s="3">
        <f t="shared" si="19"/>
        <v>2670355.4667788362</v>
      </c>
      <c r="I60">
        <f t="shared" si="20"/>
        <v>10038511745056.309</v>
      </c>
      <c r="J60" s="6"/>
      <c r="K60" s="6"/>
      <c r="L60" s="6"/>
      <c r="M60" s="84">
        <f t="shared" si="7"/>
        <v>0.65144830228369222</v>
      </c>
      <c r="N60" s="67">
        <f t="shared" si="2"/>
        <v>1.4077682884917939</v>
      </c>
      <c r="O60" s="8">
        <f t="shared" si="16"/>
        <v>784.71672373479964</v>
      </c>
      <c r="P60" s="133">
        <f t="shared" si="17"/>
        <v>557.41895179035623</v>
      </c>
      <c r="Q60" s="10">
        <f t="shared" si="8"/>
        <v>726.25925960916572</v>
      </c>
      <c r="R60" s="9"/>
      <c r="S60" s="74">
        <f t="shared" si="9"/>
        <v>925.50501046108718</v>
      </c>
      <c r="T60" s="74">
        <f t="shared" si="10"/>
        <v>569.90778678256584</v>
      </c>
      <c r="U60" s="74">
        <f t="shared" si="11"/>
        <v>747.70639862182645</v>
      </c>
      <c r="V60" s="1">
        <f t="shared" si="12"/>
        <v>0.27434521242337762</v>
      </c>
      <c r="W60" s="1">
        <f t="shared" si="13"/>
        <v>-0.21528327626520039</v>
      </c>
      <c r="X60" s="1">
        <f t="shared" si="14"/>
        <v>2.9530968079088504E-2</v>
      </c>
      <c r="Y60" s="6"/>
      <c r="Z60" s="2"/>
      <c r="AA60" s="2"/>
      <c r="AB60" s="2"/>
    </row>
    <row r="61" spans="6:28" x14ac:dyDescent="0.25">
      <c r="F61" s="5">
        <f t="shared" si="5"/>
        <v>1.3520206642675188</v>
      </c>
      <c r="G61" s="4">
        <f t="shared" si="18"/>
        <v>3684056.9102293085</v>
      </c>
      <c r="H61" s="3">
        <f t="shared" si="19"/>
        <v>2724852.5171212615</v>
      </c>
      <c r="I61">
        <f t="shared" si="20"/>
        <v>10038511745056.309</v>
      </c>
      <c r="J61" s="6"/>
      <c r="K61" s="6"/>
      <c r="L61" s="6"/>
      <c r="M61" s="84">
        <f t="shared" si="7"/>
        <v>0.62565094951325795</v>
      </c>
      <c r="N61" s="67">
        <f t="shared" si="2"/>
        <v>1.3520206642675188</v>
      </c>
      <c r="O61" s="8">
        <f t="shared" si="16"/>
        <v>769.02238926010364</v>
      </c>
      <c r="P61" s="133">
        <f t="shared" si="17"/>
        <v>568.79484876566971</v>
      </c>
      <c r="Q61" s="10">
        <f t="shared" si="8"/>
        <v>711.73407441698248</v>
      </c>
      <c r="R61" s="9"/>
      <c r="S61" s="74">
        <f t="shared" si="9"/>
        <v>925.50501046108718</v>
      </c>
      <c r="T61" s="74">
        <f t="shared" si="10"/>
        <v>547.33943842597625</v>
      </c>
      <c r="U61" s="74">
        <f t="shared" si="11"/>
        <v>736.42222444353172</v>
      </c>
      <c r="V61" s="1">
        <f t="shared" si="12"/>
        <v>0.30035225757487494</v>
      </c>
      <c r="W61" s="1">
        <f t="shared" si="13"/>
        <v>-0.23097761073989642</v>
      </c>
      <c r="X61" s="1">
        <f t="shared" si="14"/>
        <v>3.4687323417489146E-2</v>
      </c>
      <c r="Y61" s="6"/>
      <c r="Z61" s="2"/>
      <c r="AA61" s="2"/>
      <c r="AB61" s="2"/>
    </row>
    <row r="62" spans="6:28" x14ac:dyDescent="0.25">
      <c r="F62" s="5">
        <f t="shared" si="5"/>
        <v>1.2984806459625251</v>
      </c>
      <c r="G62" s="4">
        <f t="shared" si="18"/>
        <v>3610375.7720247223</v>
      </c>
      <c r="H62" s="3">
        <f t="shared" si="19"/>
        <v>2780461.7521645525</v>
      </c>
      <c r="I62">
        <f t="shared" si="20"/>
        <v>10038511745056.309</v>
      </c>
      <c r="J62" s="6"/>
      <c r="K62" s="6"/>
      <c r="L62" s="6"/>
      <c r="M62" s="84">
        <f t="shared" si="7"/>
        <v>0.60087517191253303</v>
      </c>
      <c r="N62" s="67">
        <f t="shared" si="2"/>
        <v>1.2984806459625251</v>
      </c>
      <c r="O62" s="8">
        <f t="shared" si="16"/>
        <v>753.6419414749015</v>
      </c>
      <c r="P62" s="133">
        <f t="shared" si="17"/>
        <v>580.40290690374457</v>
      </c>
      <c r="Q62" s="10">
        <f t="shared" si="8"/>
        <v>697.49939292864281</v>
      </c>
      <c r="R62" s="9"/>
      <c r="S62" s="74">
        <f t="shared" si="9"/>
        <v>925.50501046108718</v>
      </c>
      <c r="T62" s="74">
        <f t="shared" si="10"/>
        <v>525.66479666430757</v>
      </c>
      <c r="U62" s="74">
        <f t="shared" si="11"/>
        <v>725.58490356269726</v>
      </c>
      <c r="V62" s="1">
        <f t="shared" si="12"/>
        <v>0.32689005874987243</v>
      </c>
      <c r="W62" s="1">
        <f t="shared" si="13"/>
        <v>-0.24635805852509851</v>
      </c>
      <c r="X62" s="1">
        <f t="shared" si="14"/>
        <v>4.0266000112386902E-2</v>
      </c>
      <c r="Y62" s="6"/>
      <c r="Z62" s="2"/>
      <c r="AA62" s="2"/>
      <c r="AB62" s="2"/>
    </row>
    <row r="63" spans="6:28" x14ac:dyDescent="0.25">
      <c r="F63" s="5">
        <f t="shared" si="5"/>
        <v>1.2470608123824092</v>
      </c>
      <c r="G63" s="4">
        <f t="shared" si="18"/>
        <v>3538168.256584228</v>
      </c>
      <c r="H63" s="3">
        <f t="shared" si="19"/>
        <v>2837205.8695556656</v>
      </c>
      <c r="I63">
        <f t="shared" si="20"/>
        <v>10038511745056.309</v>
      </c>
      <c r="J63" s="6"/>
      <c r="K63" s="6"/>
      <c r="L63" s="6"/>
      <c r="M63" s="84">
        <f t="shared" si="7"/>
        <v>0.57708051510479674</v>
      </c>
      <c r="N63" s="67">
        <f t="shared" si="2"/>
        <v>1.2470608123824092</v>
      </c>
      <c r="O63" s="8">
        <f t="shared" si="16"/>
        <v>738.56910264540352</v>
      </c>
      <c r="P63" s="133">
        <f t="shared" si="17"/>
        <v>592.24786418749443</v>
      </c>
      <c r="Q63" s="10">
        <f t="shared" si="8"/>
        <v>683.54940507006995</v>
      </c>
      <c r="R63" s="9"/>
      <c r="S63" s="74">
        <f t="shared" si="9"/>
        <v>925.50501046108718</v>
      </c>
      <c r="T63" s="74">
        <f t="shared" si="10"/>
        <v>504.84847071640104</v>
      </c>
      <c r="U63" s="74">
        <f t="shared" si="11"/>
        <v>715.17674058874411</v>
      </c>
      <c r="V63" s="1">
        <f t="shared" si="12"/>
        <v>0.35396944770395145</v>
      </c>
      <c r="W63" s="1">
        <f t="shared" si="13"/>
        <v>-0.26143089735459646</v>
      </c>
      <c r="X63" s="1">
        <f t="shared" si="14"/>
        <v>4.6269275174677604E-2</v>
      </c>
      <c r="Y63" s="6"/>
      <c r="Z63" s="2"/>
      <c r="AA63" s="2"/>
      <c r="AB63" s="2"/>
    </row>
    <row r="64" spans="6:28" x14ac:dyDescent="0.25">
      <c r="F64" s="5">
        <f t="shared" si="5"/>
        <v>1.1976772042120658</v>
      </c>
      <c r="G64" s="4">
        <f t="shared" si="18"/>
        <v>3467404.8914525434</v>
      </c>
      <c r="H64" s="3">
        <f t="shared" si="19"/>
        <v>2895108.0301588424</v>
      </c>
      <c r="I64">
        <f t="shared" si="20"/>
        <v>10038511745056.309</v>
      </c>
      <c r="J64" s="6"/>
      <c r="K64" s="6"/>
      <c r="L64" s="6"/>
      <c r="M64" s="84">
        <f t="shared" si="7"/>
        <v>0.55422812670664678</v>
      </c>
      <c r="N64" s="67">
        <f t="shared" si="2"/>
        <v>1.1976772042120658</v>
      </c>
      <c r="O64" s="8">
        <f t="shared" si="16"/>
        <v>723.79772059249547</v>
      </c>
      <c r="P64" s="133">
        <f t="shared" si="17"/>
        <v>604.33455529336163</v>
      </c>
      <c r="Q64" s="10">
        <f t="shared" si="8"/>
        <v>669.87841696866849</v>
      </c>
      <c r="R64" s="9"/>
      <c r="S64" s="74">
        <f t="shared" si="9"/>
        <v>925.50501046108718</v>
      </c>
      <c r="T64" s="74">
        <f t="shared" si="10"/>
        <v>484.85647127603158</v>
      </c>
      <c r="U64" s="74">
        <f t="shared" si="11"/>
        <v>705.18074086855938</v>
      </c>
      <c r="V64" s="1">
        <f t="shared" si="12"/>
        <v>0.38160147724893023</v>
      </c>
      <c r="W64" s="1">
        <f t="shared" si="13"/>
        <v>-0.27620227940750441</v>
      </c>
      <c r="X64" s="1">
        <f t="shared" si="14"/>
        <v>5.2699598920712853E-2</v>
      </c>
      <c r="Y64" s="6"/>
      <c r="Z64" s="2"/>
      <c r="AA64" s="2"/>
      <c r="AB64" s="2"/>
    </row>
    <row r="65" spans="6:28" x14ac:dyDescent="0.25">
      <c r="F65" s="5">
        <f t="shared" si="5"/>
        <v>1.1502491869252678</v>
      </c>
      <c r="G65" s="4">
        <f t="shared" si="18"/>
        <v>3398056.7936234926</v>
      </c>
      <c r="H65" s="3">
        <f t="shared" si="19"/>
        <v>2954191.8675090233</v>
      </c>
      <c r="I65">
        <f t="shared" si="20"/>
        <v>10038511745056.309</v>
      </c>
      <c r="J65" s="6"/>
      <c r="K65" s="6"/>
      <c r="L65" s="6"/>
      <c r="M65" s="84">
        <f t="shared" si="7"/>
        <v>0.53228069288906343</v>
      </c>
      <c r="N65" s="67">
        <f t="shared" si="2"/>
        <v>1.1502491869252678</v>
      </c>
      <c r="O65" s="8">
        <f t="shared" si="16"/>
        <v>709.32176618064557</v>
      </c>
      <c r="P65" s="133">
        <f t="shared" si="17"/>
        <v>616.6679135646549</v>
      </c>
      <c r="Q65" s="10">
        <f t="shared" si="8"/>
        <v>656.48084862929522</v>
      </c>
      <c r="R65" s="9"/>
      <c r="S65" s="74">
        <f t="shared" si="9"/>
        <v>925.50501046108718</v>
      </c>
      <c r="T65" s="74">
        <f t="shared" si="10"/>
        <v>465.65615501350061</v>
      </c>
      <c r="U65" s="74">
        <f t="shared" si="11"/>
        <v>695.58058273729387</v>
      </c>
      <c r="V65" s="1">
        <f t="shared" si="12"/>
        <v>0.4097974257642143</v>
      </c>
      <c r="W65" s="1">
        <f t="shared" si="13"/>
        <v>-0.29067823381935465</v>
      </c>
      <c r="X65" s="1">
        <f t="shared" si="14"/>
        <v>5.9559595972429769E-2</v>
      </c>
      <c r="Y65" s="6"/>
      <c r="Z65" s="2"/>
      <c r="AA65" s="2"/>
      <c r="AB65" s="2"/>
    </row>
    <row r="66" spans="6:28" x14ac:dyDescent="0.25">
      <c r="F66" s="5">
        <f t="shared" si="5"/>
        <v>1.1046993191230272</v>
      </c>
      <c r="G66" s="4">
        <f t="shared" si="18"/>
        <v>3330095.6577510228</v>
      </c>
      <c r="H66" s="3">
        <f t="shared" si="19"/>
        <v>3014481.4974581869</v>
      </c>
      <c r="I66">
        <f t="shared" si="20"/>
        <v>10038511745056.309</v>
      </c>
      <c r="J66" s="6"/>
      <c r="K66" s="6"/>
      <c r="L66" s="6"/>
      <c r="M66" s="84">
        <f t="shared" si="7"/>
        <v>0.51120237745065655</v>
      </c>
      <c r="N66" s="67">
        <f t="shared" si="2"/>
        <v>1.1046993191230272</v>
      </c>
      <c r="O66" s="8">
        <f t="shared" si="16"/>
        <v>695.13533085703273</v>
      </c>
      <c r="P66" s="133">
        <f t="shared" si="17"/>
        <v>629.2529730251581</v>
      </c>
      <c r="Q66" s="10">
        <f t="shared" si="8"/>
        <v>643.35123165670939</v>
      </c>
      <c r="R66" s="9"/>
      <c r="S66" s="74">
        <f t="shared" si="9"/>
        <v>925.50501046108718</v>
      </c>
      <c r="T66" s="74">
        <f t="shared" si="10"/>
        <v>447.21617127496603</v>
      </c>
      <c r="U66" s="74">
        <f t="shared" si="11"/>
        <v>686.36059086802652</v>
      </c>
      <c r="V66" s="1">
        <f t="shared" si="12"/>
        <v>0.43856880180021851</v>
      </c>
      <c r="W66" s="1">
        <f t="shared" si="13"/>
        <v>-0.3048646691429675</v>
      </c>
      <c r="X66" s="1">
        <f t="shared" si="14"/>
        <v>6.6852066328625392E-2</v>
      </c>
      <c r="Y66" s="6"/>
      <c r="Z66" s="2"/>
      <c r="AA66" s="2"/>
      <c r="AB66" s="2"/>
    </row>
    <row r="67" spans="6:28" x14ac:dyDescent="0.25">
      <c r="F67" s="5">
        <f t="shared" si="5"/>
        <v>1.0609532260857555</v>
      </c>
      <c r="G67" s="4">
        <f t="shared" si="18"/>
        <v>3263493.7445960022</v>
      </c>
      <c r="H67" s="3">
        <f t="shared" si="19"/>
        <v>3076001.5280185579</v>
      </c>
      <c r="I67">
        <f t="shared" si="20"/>
        <v>10038511745056.309</v>
      </c>
      <c r="J67" s="6"/>
      <c r="K67" s="6"/>
      <c r="L67" s="6"/>
      <c r="M67" s="84">
        <f t="shared" si="7"/>
        <v>0.49095876330361066</v>
      </c>
      <c r="N67" s="67">
        <f t="shared" si="2"/>
        <v>1.0609532260857555</v>
      </c>
      <c r="O67" s="8">
        <f t="shared" si="16"/>
        <v>681.23262423989195</v>
      </c>
      <c r="P67" s="133">
        <f t="shared" si="17"/>
        <v>642.09487043383456</v>
      </c>
      <c r="Q67" s="10">
        <f t="shared" si="8"/>
        <v>630.48420702357498</v>
      </c>
      <c r="R67" s="9"/>
      <c r="S67" s="74">
        <f t="shared" si="9"/>
        <v>925.50501046108718</v>
      </c>
      <c r="T67" s="74">
        <f t="shared" si="10"/>
        <v>429.50641089247745</v>
      </c>
      <c r="U67" s="74">
        <f t="shared" si="11"/>
        <v>677.5057106767822</v>
      </c>
      <c r="V67" s="1">
        <f t="shared" si="12"/>
        <v>0.46792734877573361</v>
      </c>
      <c r="W67" s="1">
        <f t="shared" si="13"/>
        <v>-0.31876737576010783</v>
      </c>
      <c r="X67" s="1">
        <f t="shared" si="14"/>
        <v>7.4579986507812723E-2</v>
      </c>
      <c r="Y67" s="6"/>
      <c r="Z67" s="2"/>
      <c r="AA67" s="2"/>
      <c r="AB67" s="2"/>
    </row>
    <row r="68" spans="6:28" x14ac:dyDescent="0.25">
      <c r="F68" s="5">
        <f t="shared" si="5"/>
        <v>1.0189394783327594</v>
      </c>
      <c r="G68" s="4">
        <f t="shared" si="18"/>
        <v>3198223.8697040821</v>
      </c>
      <c r="H68" s="3">
        <f t="shared" si="19"/>
        <v>3138777.0694066919</v>
      </c>
      <c r="I68">
        <f t="shared" si="20"/>
        <v>10038511745056.309</v>
      </c>
      <c r="J68" s="6"/>
      <c r="K68" s="6"/>
      <c r="L68" s="6"/>
      <c r="M68" s="84">
        <f t="shared" si="7"/>
        <v>0.47151679627678761</v>
      </c>
      <c r="N68" s="67">
        <f t="shared" si="2"/>
        <v>1.0189394783327594</v>
      </c>
      <c r="O68" s="8">
        <f t="shared" si="16"/>
        <v>667.60797175509413</v>
      </c>
      <c r="P68" s="133">
        <f t="shared" si="17"/>
        <v>655.19884738146391</v>
      </c>
      <c r="Q68" s="10">
        <f t="shared" si="8"/>
        <v>617.87452288310351</v>
      </c>
      <c r="R68" s="9"/>
      <c r="S68" s="74">
        <f t="shared" si="9"/>
        <v>925.50501046108718</v>
      </c>
      <c r="T68" s="74">
        <f t="shared" si="10"/>
        <v>412.49795702113522</v>
      </c>
      <c r="U68" s="74">
        <f t="shared" si="11"/>
        <v>669.0014837411112</v>
      </c>
      <c r="V68" s="1">
        <f t="shared" si="12"/>
        <v>0.49788504977115666</v>
      </c>
      <c r="W68" s="1">
        <f t="shared" si="13"/>
        <v>-0.33239202824490588</v>
      </c>
      <c r="X68" s="1">
        <f t="shared" si="14"/>
        <v>8.2746510763125336E-2</v>
      </c>
      <c r="Y68" s="6"/>
      <c r="Z68" s="2"/>
      <c r="AA68" s="2"/>
      <c r="AB68" s="2"/>
    </row>
    <row r="69" spans="6:28" x14ac:dyDescent="0.25">
      <c r="F69" s="5">
        <f t="shared" si="5"/>
        <v>0.97858947499078219</v>
      </c>
      <c r="G69" s="4">
        <f t="shared" si="18"/>
        <v>3134259.3923100005</v>
      </c>
      <c r="H69" s="3">
        <f t="shared" si="19"/>
        <v>3202833.7442925428</v>
      </c>
      <c r="I69">
        <f t="shared" si="20"/>
        <v>10038511745056.309</v>
      </c>
      <c r="J69" s="6"/>
      <c r="K69" s="6"/>
      <c r="L69" s="6"/>
      <c r="M69" s="84">
        <f t="shared" si="7"/>
        <v>0.4528447311442268</v>
      </c>
      <c r="N69" s="67">
        <f t="shared" si="2"/>
        <v>0.97858947499078219</v>
      </c>
      <c r="O69" s="8">
        <f t="shared" si="16"/>
        <v>654.25581231999229</v>
      </c>
      <c r="P69" s="133">
        <f t="shared" si="17"/>
        <v>668.57025243006524</v>
      </c>
      <c r="Q69" s="10">
        <f t="shared" si="8"/>
        <v>605.51703242544147</v>
      </c>
      <c r="R69" s="9"/>
      <c r="S69" s="74">
        <f t="shared" si="9"/>
        <v>925.50501046108718</v>
      </c>
      <c r="T69" s="74">
        <f t="shared" si="10"/>
        <v>396.16303792309833</v>
      </c>
      <c r="U69" s="74">
        <f t="shared" si="11"/>
        <v>660.83402419209267</v>
      </c>
      <c r="V69" s="1">
        <f t="shared" si="12"/>
        <v>0.52845413241954753</v>
      </c>
      <c r="W69" s="1">
        <f t="shared" si="13"/>
        <v>-0.3457441876800077</v>
      </c>
      <c r="X69" s="1">
        <f t="shared" si="14"/>
        <v>9.1354972369769749E-2</v>
      </c>
      <c r="Y69" s="6"/>
      <c r="Z69" s="2"/>
      <c r="AA69" s="2"/>
      <c r="AB69" s="2"/>
    </row>
    <row r="70" spans="6:28" x14ac:dyDescent="0.25">
      <c r="F70" s="5">
        <f t="shared" si="5"/>
        <v>0.93983733178114715</v>
      </c>
      <c r="G70" s="4">
        <f t="shared" si="18"/>
        <v>3071574.2044638004</v>
      </c>
      <c r="H70" s="3">
        <f t="shared" si="19"/>
        <v>3268197.6982576968</v>
      </c>
      <c r="I70">
        <f t="shared" si="20"/>
        <v>10038511745056.309</v>
      </c>
      <c r="J70" s="6"/>
      <c r="K70" s="6"/>
      <c r="L70" s="6"/>
      <c r="M70" s="84">
        <f t="shared" si="7"/>
        <v>0.4349120797909154</v>
      </c>
      <c r="N70" s="67">
        <f t="shared" si="2"/>
        <v>0.93983733178114715</v>
      </c>
      <c r="O70" s="8">
        <f t="shared" si="16"/>
        <v>641.17069607359235</v>
      </c>
      <c r="P70" s="133">
        <f t="shared" si="17"/>
        <v>682.21454329598487</v>
      </c>
      <c r="Q70" s="10">
        <f t="shared" si="8"/>
        <v>593.40669177693258</v>
      </c>
      <c r="R70" s="9"/>
      <c r="S70" s="74">
        <f t="shared" si="9"/>
        <v>925.50501046108718</v>
      </c>
      <c r="T70" s="74">
        <f t="shared" si="10"/>
        <v>380.4749816213436</v>
      </c>
      <c r="U70" s="74">
        <f t="shared" si="11"/>
        <v>652.98999604121536</v>
      </c>
      <c r="V70" s="1">
        <f t="shared" si="12"/>
        <v>0.55964707389749768</v>
      </c>
      <c r="W70" s="1">
        <f t="shared" si="13"/>
        <v>-0.35882930392640755</v>
      </c>
      <c r="X70" s="1">
        <f t="shared" si="14"/>
        <v>0.10040888498554512</v>
      </c>
      <c r="Y70" s="6"/>
      <c r="Z70" s="2"/>
      <c r="AA70" s="2"/>
      <c r="AB70" s="2"/>
    </row>
    <row r="71" spans="6:28" x14ac:dyDescent="0.25">
      <c r="F71" s="5">
        <f t="shared" si="5"/>
        <v>0.90261977344261357</v>
      </c>
      <c r="G71" s="4">
        <f t="shared" si="18"/>
        <v>3010142.7203745241</v>
      </c>
      <c r="H71" s="3">
        <f t="shared" si="19"/>
        <v>3334895.6104670377</v>
      </c>
      <c r="I71">
        <f t="shared" si="20"/>
        <v>10038511745056.309</v>
      </c>
      <c r="J71" s="6"/>
      <c r="K71" s="6"/>
      <c r="L71" s="6"/>
      <c r="M71" s="84">
        <f t="shared" si="7"/>
        <v>0.41768956143119507</v>
      </c>
      <c r="N71" s="69">
        <f t="shared" si="2"/>
        <v>0.90261977344261357</v>
      </c>
      <c r="O71" s="28">
        <f t="shared" si="16"/>
        <v>628.34728215212044</v>
      </c>
      <c r="P71" s="135">
        <f t="shared" si="17"/>
        <v>696.13728907753568</v>
      </c>
      <c r="Q71" s="10">
        <f t="shared" si="8"/>
        <v>581.53855794139395</v>
      </c>
      <c r="R71" s="9"/>
      <c r="S71" s="74">
        <f t="shared" si="9"/>
        <v>925.50501046108718</v>
      </c>
      <c r="T71" s="74">
        <f t="shared" si="10"/>
        <v>365.40817234913834</v>
      </c>
      <c r="U71" s="74">
        <f t="shared" si="11"/>
        <v>645.4565914051127</v>
      </c>
      <c r="V71" s="1">
        <f t="shared" si="12"/>
        <v>0.59147660601785468</v>
      </c>
      <c r="W71" s="1">
        <f t="shared" si="13"/>
        <v>-0.37165271784787945</v>
      </c>
      <c r="X71" s="1">
        <f t="shared" si="14"/>
        <v>0.10991194408498761</v>
      </c>
      <c r="Y71" s="6"/>
      <c r="Z71" s="2"/>
      <c r="AA71" s="2"/>
      <c r="AB71" s="2"/>
    </row>
    <row r="72" spans="6:28" x14ac:dyDescent="0.25">
      <c r="F72" s="5">
        <f t="shared" si="5"/>
        <v>0.86687603041428596</v>
      </c>
      <c r="G72" s="4">
        <f t="shared" si="18"/>
        <v>2949939.8659670334</v>
      </c>
      <c r="H72" s="3">
        <f t="shared" si="19"/>
        <v>3402954.7045582021</v>
      </c>
      <c r="I72">
        <f t="shared" si="20"/>
        <v>10038511745056.309</v>
      </c>
      <c r="J72" s="6"/>
      <c r="K72" s="6"/>
      <c r="L72" s="6"/>
      <c r="M72" s="84">
        <f t="shared" si="7"/>
        <v>0.4011490547985197</v>
      </c>
      <c r="N72" s="69">
        <f t="shared" ref="N72:N100" si="21">F72</f>
        <v>0.86687603041428596</v>
      </c>
      <c r="O72" s="28">
        <f t="shared" si="16"/>
        <v>615.7803365090781</v>
      </c>
      <c r="P72" s="135">
        <f t="shared" si="17"/>
        <v>710.34417252809783</v>
      </c>
      <c r="Q72" s="10">
        <f t="shared" si="8"/>
        <v>569.90778678256606</v>
      </c>
      <c r="R72" s="9"/>
      <c r="S72" s="74">
        <f t="shared" si="9"/>
        <v>925.50501046108718</v>
      </c>
      <c r="T72" s="74">
        <f t="shared" si="10"/>
        <v>350.93800872411242</v>
      </c>
      <c r="U72" s="74">
        <f t="shared" si="11"/>
        <v>638.22150959259977</v>
      </c>
      <c r="V72" s="1">
        <f t="shared" si="12"/>
        <v>0.62395572042638237</v>
      </c>
      <c r="W72" s="1">
        <f t="shared" si="13"/>
        <v>-0.38421966349092196</v>
      </c>
      <c r="X72" s="1">
        <f t="shared" si="14"/>
        <v>0.11986802846773004</v>
      </c>
      <c r="Y72" s="6"/>
      <c r="Z72" s="2"/>
      <c r="AA72" s="2"/>
      <c r="AB72" s="2"/>
    </row>
    <row r="73" spans="6:28" x14ac:dyDescent="0.25">
      <c r="F73" s="5">
        <f t="shared" ref="F73:F136" si="22">G73/H73</f>
        <v>0.83254773960988027</v>
      </c>
      <c r="G73" s="4">
        <f t="shared" si="18"/>
        <v>2890941.0686476929</v>
      </c>
      <c r="H73" s="3">
        <f t="shared" si="19"/>
        <v>3472402.7597532673</v>
      </c>
      <c r="I73">
        <f t="shared" si="20"/>
        <v>10038511745056.309</v>
      </c>
      <c r="J73" s="6"/>
      <c r="K73" s="6"/>
      <c r="L73" s="6"/>
      <c r="M73" s="84">
        <f t="shared" ref="M73:M100" si="23">N73*$K$5</f>
        <v>0.38526355222849834</v>
      </c>
      <c r="N73" s="69">
        <f t="shared" si="21"/>
        <v>0.83254773960988027</v>
      </c>
      <c r="O73" s="28">
        <f t="shared" si="16"/>
        <v>603.46472977889653</v>
      </c>
      <c r="P73" s="135">
        <f t="shared" si="17"/>
        <v>724.84099237560997</v>
      </c>
      <c r="Q73" s="10">
        <f t="shared" ref="Q73:Q100" si="24">(O73+P73*N73)*$K$5</f>
        <v>558.50963104691471</v>
      </c>
      <c r="R73" s="9"/>
      <c r="S73" s="74">
        <f t="shared" ref="S73:S100" si="25">$Q$48</f>
        <v>925.50501046108718</v>
      </c>
      <c r="T73" s="74">
        <f t="shared" ref="T73:T100" si="26">$P$48*2*N73*$K$5</f>
        <v>337.04086357863753</v>
      </c>
      <c r="U73" s="74">
        <f t="shared" ref="U73:U100" si="27">($O$48+N73*$P$48)*$K$5</f>
        <v>631.27293701986241</v>
      </c>
      <c r="V73" s="1">
        <f t="shared" ref="V73:V100" si="28">S73/$Q73-1</f>
        <v>0.65709767390447182</v>
      </c>
      <c r="W73" s="1">
        <f t="shared" ref="W73:W100" si="29">T73/$Q73-1</f>
        <v>-0.39653527022110358</v>
      </c>
      <c r="X73" s="1">
        <f t="shared" ref="X73:X100" si="30">U73/$Q73-1</f>
        <v>0.13028120184168435</v>
      </c>
      <c r="Y73" s="6"/>
      <c r="Z73" s="2"/>
      <c r="AA73" s="2"/>
      <c r="AB73" s="2"/>
    </row>
    <row r="74" spans="6:28" x14ac:dyDescent="0.25">
      <c r="F74" s="5">
        <f t="shared" si="22"/>
        <v>0.79957884912132915</v>
      </c>
      <c r="G74" s="4">
        <f t="shared" si="18"/>
        <v>2833122.2472747392</v>
      </c>
      <c r="H74" s="3">
        <f t="shared" si="19"/>
        <v>3543268.1221972113</v>
      </c>
      <c r="I74">
        <f t="shared" si="20"/>
        <v>10038511745056.309</v>
      </c>
      <c r="J74" s="6"/>
      <c r="K74" s="6"/>
      <c r="L74" s="6"/>
      <c r="M74" s="84">
        <f t="shared" si="23"/>
        <v>0.37000711556024984</v>
      </c>
      <c r="N74" s="69">
        <f t="shared" si="21"/>
        <v>0.79957884912132915</v>
      </c>
      <c r="O74" s="28">
        <f t="shared" si="16"/>
        <v>591.39543518331857</v>
      </c>
      <c r="P74" s="135">
        <f t="shared" si="17"/>
        <v>739.63366568939773</v>
      </c>
      <c r="Q74" s="10">
        <f t="shared" si="24"/>
        <v>547.33943842597648</v>
      </c>
      <c r="R74" s="9"/>
      <c r="S74" s="74">
        <f t="shared" si="25"/>
        <v>925.50501046108718</v>
      </c>
      <c r="T74" s="74">
        <f t="shared" si="26"/>
        <v>323.69404538092357</v>
      </c>
      <c r="U74" s="74">
        <f t="shared" si="27"/>
        <v>624.59952792100535</v>
      </c>
      <c r="V74" s="1">
        <f t="shared" si="28"/>
        <v>0.69091599378007307</v>
      </c>
      <c r="W74" s="1">
        <f t="shared" si="29"/>
        <v>-0.40860456481668139</v>
      </c>
      <c r="X74" s="1">
        <f t="shared" si="30"/>
        <v>0.14115571448169573</v>
      </c>
      <c r="Y74" s="6"/>
      <c r="Z74" s="2"/>
      <c r="AA74" s="2"/>
      <c r="AB74" s="2"/>
    </row>
    <row r="75" spans="6:28" x14ac:dyDescent="0.25">
      <c r="F75" s="5">
        <f t="shared" si="22"/>
        <v>0.76791552669612451</v>
      </c>
      <c r="G75" s="4">
        <f t="shared" si="18"/>
        <v>2776459.8023292446</v>
      </c>
      <c r="H75" s="3">
        <f t="shared" si="19"/>
        <v>3615579.7165277665</v>
      </c>
      <c r="I75">
        <f t="shared" si="20"/>
        <v>10038511745056.309</v>
      </c>
      <c r="J75" s="6"/>
      <c r="K75" s="6"/>
      <c r="L75" s="6"/>
      <c r="M75" s="84">
        <f t="shared" si="23"/>
        <v>0.35535483378406396</v>
      </c>
      <c r="N75" s="69">
        <f t="shared" si="21"/>
        <v>0.76791552669612451</v>
      </c>
      <c r="O75" s="28">
        <f t="shared" si="16"/>
        <v>579.56752647965232</v>
      </c>
      <c r="P75" s="135">
        <f t="shared" si="17"/>
        <v>754.728230295304</v>
      </c>
      <c r="Q75" s="10">
        <f t="shared" si="24"/>
        <v>536.39264965745701</v>
      </c>
      <c r="R75" s="9"/>
      <c r="S75" s="74">
        <f t="shared" si="25"/>
        <v>925.50501046108718</v>
      </c>
      <c r="T75" s="74">
        <f t="shared" si="26"/>
        <v>310.87576118383896</v>
      </c>
      <c r="U75" s="74">
        <f t="shared" si="27"/>
        <v>618.1903858224631</v>
      </c>
      <c r="V75" s="1">
        <f t="shared" si="28"/>
        <v>0.72542448344905397</v>
      </c>
      <c r="W75" s="1">
        <f t="shared" si="29"/>
        <v>-0.42043247352034796</v>
      </c>
      <c r="X75" s="1">
        <f t="shared" si="30"/>
        <v>0.15249600496435312</v>
      </c>
      <c r="Y75" s="6"/>
      <c r="Z75" s="2"/>
      <c r="AA75" s="2"/>
      <c r="AB75" s="2"/>
    </row>
    <row r="76" spans="6:28" x14ac:dyDescent="0.25">
      <c r="F76" s="5">
        <f t="shared" si="22"/>
        <v>0.73750607183895811</v>
      </c>
      <c r="G76" s="4">
        <f t="shared" si="18"/>
        <v>2720930.6062826598</v>
      </c>
      <c r="H76" s="3">
        <f t="shared" si="19"/>
        <v>3689367.0576813943</v>
      </c>
      <c r="I76">
        <f t="shared" si="20"/>
        <v>10038511745056.309</v>
      </c>
      <c r="J76" s="6"/>
      <c r="K76" s="6"/>
      <c r="L76" s="6"/>
      <c r="M76" s="84">
        <f t="shared" si="23"/>
        <v>0.34128278236621512</v>
      </c>
      <c r="N76" s="69">
        <f t="shared" si="21"/>
        <v>0.73750607183895811</v>
      </c>
      <c r="O76" s="28">
        <f t="shared" si="16"/>
        <v>567.9761759500592</v>
      </c>
      <c r="P76" s="135">
        <f t="shared" si="17"/>
        <v>770.13084724010582</v>
      </c>
      <c r="Q76" s="10">
        <f t="shared" si="24"/>
        <v>525.6647966643078</v>
      </c>
      <c r="R76" s="9"/>
      <c r="S76" s="74">
        <f t="shared" si="25"/>
        <v>925.50501046108718</v>
      </c>
      <c r="T76" s="74">
        <f t="shared" si="26"/>
        <v>298.56508104095906</v>
      </c>
      <c r="U76" s="74">
        <f t="shared" si="27"/>
        <v>612.03504575102306</v>
      </c>
      <c r="V76" s="1">
        <f t="shared" si="28"/>
        <v>0.76063722800923905</v>
      </c>
      <c r="W76" s="1">
        <f t="shared" si="29"/>
        <v>-0.43202382404994066</v>
      </c>
      <c r="X76" s="1">
        <f t="shared" si="30"/>
        <v>0.16430670197964914</v>
      </c>
      <c r="Y76" s="6"/>
      <c r="Z76" s="2"/>
      <c r="AA76" s="2"/>
      <c r="AB76" s="2"/>
    </row>
    <row r="77" spans="6:28" x14ac:dyDescent="0.25">
      <c r="F77" s="5">
        <f t="shared" si="22"/>
        <v>0.70830083139413536</v>
      </c>
      <c r="G77" s="4">
        <f t="shared" si="18"/>
        <v>2666511.9941570065</v>
      </c>
      <c r="H77" s="3">
        <f t="shared" si="19"/>
        <v>3764660.2629401982</v>
      </c>
      <c r="I77">
        <f t="shared" si="20"/>
        <v>10038511745056.309</v>
      </c>
      <c r="J77" s="6"/>
      <c r="K77" s="6"/>
      <c r="L77" s="6"/>
      <c r="M77" s="84">
        <f t="shared" si="23"/>
        <v>0.32776798418451297</v>
      </c>
      <c r="N77" s="69">
        <f t="shared" si="21"/>
        <v>0.70830083139413536</v>
      </c>
      <c r="O77" s="28">
        <f t="shared" si="16"/>
        <v>556.61665243105801</v>
      </c>
      <c r="P77" s="135">
        <f t="shared" si="17"/>
        <v>785.8478033062305</v>
      </c>
      <c r="Q77" s="10">
        <f t="shared" si="24"/>
        <v>515.15150073102166</v>
      </c>
      <c r="R77" s="9"/>
      <c r="S77" s="74">
        <f t="shared" si="25"/>
        <v>925.50501046108718</v>
      </c>
      <c r="T77" s="74">
        <f t="shared" si="26"/>
        <v>286.74190383173703</v>
      </c>
      <c r="U77" s="74">
        <f t="shared" si="27"/>
        <v>606.12345714641219</v>
      </c>
      <c r="V77" s="1">
        <f t="shared" si="28"/>
        <v>0.79656860000942764</v>
      </c>
      <c r="W77" s="1">
        <f t="shared" si="29"/>
        <v>-0.44338334756894193</v>
      </c>
      <c r="X77" s="1">
        <f t="shared" si="30"/>
        <v>0.17659262622024308</v>
      </c>
      <c r="Y77" s="6"/>
      <c r="Z77" s="2"/>
      <c r="AA77" s="2"/>
      <c r="AB77" s="2"/>
    </row>
    <row r="78" spans="6:28" x14ac:dyDescent="0.25">
      <c r="F78" s="5">
        <f t="shared" si="22"/>
        <v>0.68025211847092759</v>
      </c>
      <c r="G78" s="4">
        <f t="shared" si="18"/>
        <v>2613181.7542738663</v>
      </c>
      <c r="H78" s="3">
        <f t="shared" si="19"/>
        <v>3841490.0642246921</v>
      </c>
      <c r="I78">
        <f t="shared" si="20"/>
        <v>10038511745056.309</v>
      </c>
      <c r="J78" s="6"/>
      <c r="K78" s="6"/>
      <c r="L78" s="6"/>
      <c r="M78" s="84">
        <f t="shared" si="23"/>
        <v>0.31478837201080628</v>
      </c>
      <c r="N78" s="69">
        <f t="shared" si="21"/>
        <v>0.68025211847092759</v>
      </c>
      <c r="O78" s="28">
        <f t="shared" si="16"/>
        <v>545.48431938243687</v>
      </c>
      <c r="P78" s="135">
        <f t="shared" si="17"/>
        <v>801.88551357778624</v>
      </c>
      <c r="Q78" s="10">
        <f t="shared" si="24"/>
        <v>504.84847071640121</v>
      </c>
      <c r="R78" s="9"/>
      <c r="S78" s="74">
        <f t="shared" si="25"/>
        <v>925.50501046108718</v>
      </c>
      <c r="T78" s="74">
        <f t="shared" si="26"/>
        <v>275.38692444000026</v>
      </c>
      <c r="U78" s="74">
        <f t="shared" si="27"/>
        <v>600.44596745054366</v>
      </c>
      <c r="V78" s="1">
        <f t="shared" si="28"/>
        <v>0.83323326531574238</v>
      </c>
      <c r="W78" s="1">
        <f t="shared" si="29"/>
        <v>-0.45451568061756309</v>
      </c>
      <c r="X78" s="1">
        <f t="shared" si="30"/>
        <v>0.18935879234908959</v>
      </c>
      <c r="Y78" s="6"/>
      <c r="Z78" s="2"/>
      <c r="AA78" s="2"/>
      <c r="AB78" s="2"/>
    </row>
    <row r="79" spans="6:28" x14ac:dyDescent="0.25">
      <c r="F79" s="5">
        <f t="shared" si="22"/>
        <v>0.65331413457947873</v>
      </c>
      <c r="G79" s="4">
        <f t="shared" si="18"/>
        <v>2560918.1191883888</v>
      </c>
      <c r="H79" s="3">
        <f t="shared" si="19"/>
        <v>3919887.8206374412</v>
      </c>
      <c r="I79">
        <f t="shared" si="20"/>
        <v>10038511745056.309</v>
      </c>
      <c r="J79" s="6"/>
      <c r="K79" s="6"/>
      <c r="L79" s="6"/>
      <c r="M79" s="84">
        <f t="shared" si="23"/>
        <v>0.30232275247917828</v>
      </c>
      <c r="N79" s="69">
        <f t="shared" si="21"/>
        <v>0.65331413457947873</v>
      </c>
      <c r="O79" s="28">
        <f t="shared" si="16"/>
        <v>534.57463299478809</v>
      </c>
      <c r="P79" s="135">
        <f t="shared" si="17"/>
        <v>818.25052405896565</v>
      </c>
      <c r="Q79" s="10">
        <f t="shared" si="24"/>
        <v>494.75150130207317</v>
      </c>
      <c r="R79" s="9"/>
      <c r="S79" s="74">
        <f t="shared" si="25"/>
        <v>925.50501046108718</v>
      </c>
      <c r="T79" s="74">
        <f t="shared" si="26"/>
        <v>264.48160223217621</v>
      </c>
      <c r="U79" s="74">
        <f t="shared" si="27"/>
        <v>594.99330634663158</v>
      </c>
      <c r="V79" s="1">
        <f t="shared" si="28"/>
        <v>0.87064618909769642</v>
      </c>
      <c r="W79" s="1">
        <f t="shared" si="29"/>
        <v>-0.46542536700521187</v>
      </c>
      <c r="X79" s="1">
        <f t="shared" si="30"/>
        <v>0.20261041104624211</v>
      </c>
      <c r="Y79" s="6"/>
      <c r="Z79" s="2"/>
      <c r="AA79" s="2"/>
      <c r="AB79" s="2"/>
    </row>
    <row r="80" spans="6:28" x14ac:dyDescent="0.25">
      <c r="F80" s="5">
        <f t="shared" si="22"/>
        <v>0.62744289485013127</v>
      </c>
      <c r="G80" s="4">
        <f t="shared" si="18"/>
        <v>2509699.7568046208</v>
      </c>
      <c r="H80" s="3">
        <f t="shared" si="19"/>
        <v>3999885.5312626953</v>
      </c>
      <c r="I80">
        <f t="shared" si="20"/>
        <v>10038511745056.309</v>
      </c>
      <c r="J80" s="6"/>
      <c r="K80" s="6"/>
      <c r="L80" s="6"/>
      <c r="M80" s="84">
        <f t="shared" si="23"/>
        <v>0.29035077148100275</v>
      </c>
      <c r="N80" s="69">
        <f t="shared" si="21"/>
        <v>0.62744289485013127</v>
      </c>
      <c r="O80" s="28">
        <f t="shared" si="16"/>
        <v>523.88314033489235</v>
      </c>
      <c r="P80" s="135">
        <f t="shared" si="17"/>
        <v>834.94951434588347</v>
      </c>
      <c r="Q80" s="10">
        <f t="shared" si="24"/>
        <v>484.8564712760317</v>
      </c>
      <c r="R80" s="9"/>
      <c r="S80" s="74">
        <f t="shared" si="25"/>
        <v>925.50501046108718</v>
      </c>
      <c r="T80" s="74">
        <f t="shared" si="26"/>
        <v>254.00813078378201</v>
      </c>
      <c r="U80" s="74">
        <f t="shared" si="27"/>
        <v>589.75657062243454</v>
      </c>
      <c r="V80" s="1">
        <f t="shared" si="28"/>
        <v>0.90882264193642492</v>
      </c>
      <c r="W80" s="1">
        <f t="shared" si="29"/>
        <v>-0.47611685966510764</v>
      </c>
      <c r="X80" s="1">
        <f t="shared" si="30"/>
        <v>0.21635289113565848</v>
      </c>
      <c r="Y80" s="6"/>
      <c r="Z80" s="2"/>
      <c r="AA80" s="2"/>
      <c r="AB80" s="2"/>
    </row>
    <row r="81" spans="6:28" x14ac:dyDescent="0.25">
      <c r="F81" s="5">
        <f t="shared" si="22"/>
        <v>0.60259615621406604</v>
      </c>
      <c r="G81" s="4">
        <f t="shared" si="18"/>
        <v>2459505.7616685284</v>
      </c>
      <c r="H81" s="3">
        <f t="shared" si="19"/>
        <v>4081515.8482272401</v>
      </c>
      <c r="I81">
        <f t="shared" si="20"/>
        <v>10038511745056.309</v>
      </c>
      <c r="J81" s="6"/>
      <c r="K81" s="6"/>
      <c r="L81" s="6"/>
      <c r="M81" s="84">
        <f t="shared" si="23"/>
        <v>0.27885288093035504</v>
      </c>
      <c r="N81" s="69">
        <f t="shared" si="21"/>
        <v>0.60259615621406604</v>
      </c>
      <c r="O81" s="28">
        <f t="shared" si="16"/>
        <v>513.40547752819441</v>
      </c>
      <c r="P81" s="135">
        <f t="shared" si="17"/>
        <v>851.98930035294222</v>
      </c>
      <c r="Q81" s="10">
        <f t="shared" si="24"/>
        <v>475.159341850511</v>
      </c>
      <c r="R81" s="9"/>
      <c r="S81" s="74">
        <f t="shared" si="25"/>
        <v>925.50501046108718</v>
      </c>
      <c r="T81" s="74">
        <f t="shared" si="26"/>
        <v>243.94940880474417</v>
      </c>
      <c r="U81" s="74">
        <f t="shared" si="27"/>
        <v>584.72720963291567</v>
      </c>
      <c r="V81" s="1">
        <f t="shared" si="28"/>
        <v>0.94777820605757679</v>
      </c>
      <c r="W81" s="1">
        <f t="shared" si="29"/>
        <v>-0.48659452247180557</v>
      </c>
      <c r="X81" s="1">
        <f t="shared" si="30"/>
        <v>0.23059184179288561</v>
      </c>
      <c r="Y81" s="6"/>
      <c r="Z81" s="2"/>
      <c r="AA81" s="2"/>
      <c r="AB81" s="2"/>
    </row>
    <row r="82" spans="6:28" x14ac:dyDescent="0.25">
      <c r="F82" s="5">
        <f t="shared" si="22"/>
        <v>0.57873334842798907</v>
      </c>
      <c r="G82" s="4">
        <f t="shared" si="18"/>
        <v>2410315.6464351579</v>
      </c>
      <c r="H82" s="3">
        <f t="shared" si="19"/>
        <v>4164812.0900277961</v>
      </c>
      <c r="I82">
        <f t="shared" si="20"/>
        <v>10038511745056.309</v>
      </c>
      <c r="J82" s="6"/>
      <c r="K82" s="6"/>
      <c r="L82" s="6"/>
      <c r="M82" s="84">
        <f t="shared" si="23"/>
        <v>0.26781030684551299</v>
      </c>
      <c r="N82" s="69">
        <f t="shared" si="21"/>
        <v>0.57873334842798907</v>
      </c>
      <c r="O82" s="28">
        <f t="shared" si="16"/>
        <v>503.13736797763056</v>
      </c>
      <c r="P82" s="135">
        <f t="shared" si="17"/>
        <v>869.37683709483906</v>
      </c>
      <c r="Q82" s="10">
        <f t="shared" si="24"/>
        <v>465.65615501350084</v>
      </c>
      <c r="R82" s="9"/>
      <c r="S82" s="74">
        <f t="shared" si="25"/>
        <v>925.50501046108718</v>
      </c>
      <c r="T82" s="74">
        <f t="shared" si="26"/>
        <v>234.28901221607634</v>
      </c>
      <c r="U82" s="74">
        <f t="shared" si="27"/>
        <v>579.89701133858171</v>
      </c>
      <c r="V82" s="1">
        <f t="shared" si="28"/>
        <v>0.98752878169140468</v>
      </c>
      <c r="W82" s="1">
        <f t="shared" si="29"/>
        <v>-0.49686263202236947</v>
      </c>
      <c r="X82" s="1">
        <f t="shared" si="30"/>
        <v>0.24533307483451749</v>
      </c>
      <c r="Y82" s="6"/>
      <c r="Z82" s="2"/>
      <c r="AA82" s="2"/>
      <c r="AB82" s="2"/>
    </row>
    <row r="83" spans="6:28" x14ac:dyDescent="0.25">
      <c r="F83" s="5">
        <f t="shared" si="22"/>
        <v>0.55581550783024058</v>
      </c>
      <c r="G83" s="4">
        <f t="shared" si="18"/>
        <v>2362109.3335064547</v>
      </c>
      <c r="H83" s="3">
        <f t="shared" si="19"/>
        <v>4249808.2551304046</v>
      </c>
      <c r="I83">
        <f t="shared" si="20"/>
        <v>10038511745056.309</v>
      </c>
      <c r="J83" s="6"/>
      <c r="K83" s="6"/>
      <c r="L83" s="6"/>
      <c r="M83" s="84">
        <f t="shared" si="23"/>
        <v>0.25720501869443063</v>
      </c>
      <c r="N83" s="69">
        <f t="shared" si="21"/>
        <v>0.55581550783024058</v>
      </c>
      <c r="O83" s="28">
        <f t="shared" si="16"/>
        <v>493.07462061807797</v>
      </c>
      <c r="P83" s="135">
        <f t="shared" si="17"/>
        <v>887.11922152534612</v>
      </c>
      <c r="Q83" s="10">
        <f t="shared" si="24"/>
        <v>456.34303191323085</v>
      </c>
      <c r="R83" s="9"/>
      <c r="S83" s="74">
        <f t="shared" si="25"/>
        <v>925.50501046108718</v>
      </c>
      <c r="T83" s="74">
        <f t="shared" si="26"/>
        <v>225.01116733231967</v>
      </c>
      <c r="U83" s="74">
        <f t="shared" si="27"/>
        <v>575.25808889670338</v>
      </c>
      <c r="V83" s="1">
        <f t="shared" si="28"/>
        <v>1.0280905935626579</v>
      </c>
      <c r="W83" s="1">
        <f t="shared" si="29"/>
        <v>-0.50692537938192217</v>
      </c>
      <c r="X83" s="1">
        <f t="shared" si="30"/>
        <v>0.26058260709036762</v>
      </c>
      <c r="Y83" s="6"/>
      <c r="Z83" s="2"/>
      <c r="AA83" s="2"/>
      <c r="AB83" s="2"/>
    </row>
    <row r="84" spans="6:28" x14ac:dyDescent="0.25">
      <c r="F84" s="5">
        <f t="shared" si="22"/>
        <v>0.5338052137201631</v>
      </c>
      <c r="G84" s="4">
        <f t="shared" si="18"/>
        <v>2314867.1468363255</v>
      </c>
      <c r="H84" s="3">
        <f t="shared" si="19"/>
        <v>4336539.0358473519</v>
      </c>
      <c r="I84">
        <f t="shared" si="20"/>
        <v>10038511745056.309</v>
      </c>
      <c r="J84" s="6"/>
      <c r="K84" s="6"/>
      <c r="L84" s="6"/>
      <c r="M84" s="84">
        <f t="shared" si="23"/>
        <v>0.2470196999541312</v>
      </c>
      <c r="N84" s="69">
        <f t="shared" si="21"/>
        <v>0.5338052137201631</v>
      </c>
      <c r="O84" s="28">
        <f t="shared" si="16"/>
        <v>483.21312820571637</v>
      </c>
      <c r="P84" s="135">
        <f t="shared" si="17"/>
        <v>905.22369543402658</v>
      </c>
      <c r="Q84" s="10">
        <f t="shared" si="24"/>
        <v>447.21617127496614</v>
      </c>
      <c r="R84" s="9"/>
      <c r="S84" s="74">
        <f t="shared" si="25"/>
        <v>925.50501046108718</v>
      </c>
      <c r="T84" s="74">
        <f t="shared" si="26"/>
        <v>216.10072510595984</v>
      </c>
      <c r="U84" s="74">
        <f t="shared" si="27"/>
        <v>570.80286778352354</v>
      </c>
      <c r="V84" s="1">
        <f t="shared" si="28"/>
        <v>1.0694801975129162</v>
      </c>
      <c r="W84" s="1">
        <f t="shared" si="29"/>
        <v>-0.51678687179428362</v>
      </c>
      <c r="X84" s="1">
        <f t="shared" si="30"/>
        <v>0.27634666285931653</v>
      </c>
      <c r="Y84" s="6"/>
      <c r="Z84" s="2"/>
      <c r="AA84" s="2"/>
      <c r="AB84" s="2"/>
    </row>
    <row r="85" spans="6:28" x14ac:dyDescent="0.25">
      <c r="F85" s="5">
        <f t="shared" si="22"/>
        <v>0.51266652725684458</v>
      </c>
      <c r="G85" s="4">
        <f t="shared" si="18"/>
        <v>2268569.8038995988</v>
      </c>
      <c r="H85" s="3">
        <f t="shared" si="19"/>
        <v>4425039.8324972978</v>
      </c>
      <c r="I85">
        <f t="shared" si="20"/>
        <v>10038511745056.309</v>
      </c>
      <c r="J85" s="6"/>
      <c r="K85" s="6"/>
      <c r="L85" s="6"/>
      <c r="M85" s="84">
        <f t="shared" si="23"/>
        <v>0.23723771983594757</v>
      </c>
      <c r="N85" s="69">
        <f t="shared" si="21"/>
        <v>0.51266652725684458</v>
      </c>
      <c r="O85" s="28">
        <f t="shared" si="16"/>
        <v>473.54886564160199</v>
      </c>
      <c r="P85" s="135">
        <f t="shared" si="17"/>
        <v>923.6976484020679</v>
      </c>
      <c r="Q85" s="10">
        <f t="shared" si="24"/>
        <v>438.27184784946678</v>
      </c>
      <c r="R85" s="9"/>
      <c r="S85" s="74">
        <f t="shared" si="25"/>
        <v>925.50501046108718</v>
      </c>
      <c r="T85" s="74">
        <f t="shared" si="26"/>
        <v>207.5431363917638</v>
      </c>
      <c r="U85" s="74">
        <f t="shared" si="27"/>
        <v>566.5240734264255</v>
      </c>
      <c r="V85" s="1">
        <f t="shared" si="28"/>
        <v>1.111714487258078</v>
      </c>
      <c r="W85" s="1">
        <f t="shared" si="29"/>
        <v>-0.52645113435839797</v>
      </c>
      <c r="X85" s="1">
        <f t="shared" si="30"/>
        <v>0.29263167644984023</v>
      </c>
      <c r="Y85" s="6"/>
      <c r="Z85" s="2"/>
      <c r="AA85" s="2"/>
      <c r="AB85" s="2"/>
    </row>
    <row r="86" spans="6:28" x14ac:dyDescent="0.25">
      <c r="F86" s="5">
        <f t="shared" si="22"/>
        <v>0.49236493277747345</v>
      </c>
      <c r="G86" s="4">
        <f t="shared" si="18"/>
        <v>2223198.4078216068</v>
      </c>
      <c r="H86" s="3">
        <f t="shared" si="19"/>
        <v>4515346.767854386</v>
      </c>
      <c r="I86">
        <f t="shared" si="20"/>
        <v>10038511745056.309</v>
      </c>
      <c r="J86" s="6"/>
      <c r="K86" s="6"/>
      <c r="L86" s="6"/>
      <c r="M86" s="84">
        <f t="shared" si="23"/>
        <v>0.22784310613044401</v>
      </c>
      <c r="N86" s="69">
        <f t="shared" si="21"/>
        <v>0.49236493277747345</v>
      </c>
      <c r="O86" s="28">
        <f t="shared" si="16"/>
        <v>464.07788832876997</v>
      </c>
      <c r="P86" s="135">
        <f t="shared" si="17"/>
        <v>942.5486208184368</v>
      </c>
      <c r="Q86" s="10">
        <f t="shared" si="24"/>
        <v>429.5064108924775</v>
      </c>
      <c r="R86" s="9"/>
      <c r="S86" s="74">
        <f t="shared" si="25"/>
        <v>925.50501046108718</v>
      </c>
      <c r="T86" s="74">
        <f t="shared" si="26"/>
        <v>199.32442819064994</v>
      </c>
      <c r="U86" s="74">
        <f t="shared" si="27"/>
        <v>562.41471932586853</v>
      </c>
      <c r="V86" s="1">
        <f t="shared" si="28"/>
        <v>1.1548107012837527</v>
      </c>
      <c r="W86" s="1">
        <f t="shared" si="29"/>
        <v>-0.53592211167123005</v>
      </c>
      <c r="X86" s="1">
        <f t="shared" si="30"/>
        <v>0.30944429480626146</v>
      </c>
      <c r="Y86" s="6"/>
      <c r="Z86" s="2"/>
      <c r="AA86" s="2"/>
      <c r="AB86" s="2"/>
    </row>
    <row r="87" spans="6:28" x14ac:dyDescent="0.25">
      <c r="F87" s="5">
        <f t="shared" si="22"/>
        <v>0.47286728143948548</v>
      </c>
      <c r="G87" s="4">
        <f t="shared" si="18"/>
        <v>2178734.4396651746</v>
      </c>
      <c r="H87" s="3">
        <f t="shared" si="19"/>
        <v>4607496.7018922307</v>
      </c>
      <c r="I87">
        <f t="shared" si="20"/>
        <v>10038511745056.309</v>
      </c>
      <c r="J87" s="6"/>
      <c r="K87" s="6"/>
      <c r="L87" s="6"/>
      <c r="M87" s="84">
        <f t="shared" si="23"/>
        <v>0.21882051912767841</v>
      </c>
      <c r="N87" s="69">
        <f t="shared" si="21"/>
        <v>0.47286728143948548</v>
      </c>
      <c r="O87" s="28">
        <f t="shared" si="16"/>
        <v>454.79633056219456</v>
      </c>
      <c r="P87" s="135">
        <f t="shared" si="17"/>
        <v>961.78430695758868</v>
      </c>
      <c r="Q87" s="10">
        <f t="shared" si="24"/>
        <v>420.91628267462789</v>
      </c>
      <c r="R87" s="9"/>
      <c r="S87" s="74">
        <f t="shared" si="25"/>
        <v>925.50501046108718</v>
      </c>
      <c r="T87" s="74">
        <f t="shared" si="26"/>
        <v>191.43118083430016</v>
      </c>
      <c r="U87" s="74">
        <f t="shared" si="27"/>
        <v>558.46809564769364</v>
      </c>
      <c r="V87" s="1">
        <f t="shared" si="28"/>
        <v>1.1987864298813808</v>
      </c>
      <c r="W87" s="1">
        <f t="shared" si="29"/>
        <v>-0.54520366943780552</v>
      </c>
      <c r="X87" s="1">
        <f t="shared" si="30"/>
        <v>0.32679138022178766</v>
      </c>
      <c r="Y87" s="6"/>
      <c r="Z87" s="2"/>
      <c r="AA87" s="2"/>
      <c r="AB87" s="2"/>
    </row>
    <row r="88" spans="6:28" x14ac:dyDescent="0.25">
      <c r="F88" s="5">
        <f t="shared" si="22"/>
        <v>0.45414173709448191</v>
      </c>
      <c r="G88" s="4">
        <f t="shared" si="18"/>
        <v>2135159.7508718711</v>
      </c>
      <c r="H88" s="3">
        <f t="shared" si="19"/>
        <v>4701527.2468288066</v>
      </c>
      <c r="I88">
        <f t="shared" si="20"/>
        <v>10038511745056.309</v>
      </c>
      <c r="J88" s="6"/>
      <c r="K88" s="6"/>
      <c r="L88" s="6"/>
      <c r="M88" s="84">
        <f t="shared" si="23"/>
        <v>0.21015522657022237</v>
      </c>
      <c r="N88" s="69">
        <f t="shared" si="21"/>
        <v>0.45414173709448191</v>
      </c>
      <c r="O88" s="28">
        <f t="shared" si="16"/>
        <v>445.70040395095066</v>
      </c>
      <c r="P88" s="135">
        <f t="shared" si="17"/>
        <v>981.41255811998826</v>
      </c>
      <c r="Q88" s="10">
        <f t="shared" si="24"/>
        <v>412.49795702113533</v>
      </c>
      <c r="R88" s="9"/>
      <c r="S88" s="74">
        <f t="shared" si="25"/>
        <v>925.50501046108718</v>
      </c>
      <c r="T88" s="74">
        <f t="shared" si="26"/>
        <v>183.8505060732619</v>
      </c>
      <c r="U88" s="74">
        <f t="shared" si="27"/>
        <v>554.67775826717445</v>
      </c>
      <c r="V88" s="1">
        <f t="shared" si="28"/>
        <v>1.2436596223279395</v>
      </c>
      <c r="W88" s="1">
        <f t="shared" si="29"/>
        <v>-0.55429959604904933</v>
      </c>
      <c r="X88" s="1">
        <f t="shared" si="30"/>
        <v>0.34468001313944496</v>
      </c>
      <c r="Y88" s="6"/>
      <c r="Z88" s="2"/>
      <c r="AA88" s="2"/>
      <c r="AB88" s="2"/>
    </row>
    <row r="89" spans="6:28" x14ac:dyDescent="0.25">
      <c r="F89" s="5">
        <f t="shared" si="22"/>
        <v>0.43615772430554034</v>
      </c>
      <c r="G89" s="4">
        <f t="shared" si="18"/>
        <v>2092456.5558544337</v>
      </c>
      <c r="H89" s="3">
        <f t="shared" si="19"/>
        <v>4797476.7824783744</v>
      </c>
      <c r="I89">
        <f t="shared" si="20"/>
        <v>10038511745056.309</v>
      </c>
      <c r="J89" s="6"/>
      <c r="K89" s="6"/>
      <c r="L89" s="6"/>
      <c r="M89" s="84">
        <f t="shared" si="23"/>
        <v>0.20183307959804153</v>
      </c>
      <c r="N89" s="69">
        <f t="shared" si="21"/>
        <v>0.43615772430554034</v>
      </c>
      <c r="O89" s="28">
        <f t="shared" si="16"/>
        <v>436.78639587193163</v>
      </c>
      <c r="P89" s="135">
        <f t="shared" si="17"/>
        <v>1001.4413858367229</v>
      </c>
      <c r="Q89" s="10">
        <f t="shared" si="24"/>
        <v>404.2479978807126</v>
      </c>
      <c r="R89" s="9"/>
      <c r="S89" s="74">
        <f t="shared" si="25"/>
        <v>925.50501046108718</v>
      </c>
      <c r="T89" s="74">
        <f t="shared" si="26"/>
        <v>176.57002603276069</v>
      </c>
      <c r="U89" s="74">
        <f t="shared" si="27"/>
        <v>551.03751824692392</v>
      </c>
      <c r="V89" s="1">
        <f t="shared" si="28"/>
        <v>1.2894485942121836</v>
      </c>
      <c r="W89" s="1">
        <f t="shared" si="29"/>
        <v>-0.56321360412806842</v>
      </c>
      <c r="X89" s="1">
        <f t="shared" si="30"/>
        <v>0.36311749504205748</v>
      </c>
      <c r="Y89" s="6"/>
      <c r="Z89" s="2"/>
      <c r="AA89" s="2"/>
      <c r="AB89" s="2"/>
    </row>
    <row r="90" spans="6:28" x14ac:dyDescent="0.25">
      <c r="F90" s="5">
        <f t="shared" si="22"/>
        <v>0.41888587842304098</v>
      </c>
      <c r="G90" s="4">
        <f t="shared" si="18"/>
        <v>2050607.424737345</v>
      </c>
      <c r="H90" s="3">
        <f t="shared" si="19"/>
        <v>4895384.4719167082</v>
      </c>
      <c r="I90">
        <f t="shared" si="20"/>
        <v>10038511745056.309</v>
      </c>
      <c r="J90" s="6"/>
      <c r="K90" s="6"/>
      <c r="L90" s="6"/>
      <c r="M90" s="84">
        <f t="shared" si="23"/>
        <v>0.1938404896459591</v>
      </c>
      <c r="N90" s="69">
        <f t="shared" si="21"/>
        <v>0.41888587842304098</v>
      </c>
      <c r="O90" s="28">
        <f t="shared" si="16"/>
        <v>428.05066795449301</v>
      </c>
      <c r="P90" s="135">
        <f t="shared" si="17"/>
        <v>1021.8789651395131</v>
      </c>
      <c r="Q90" s="10">
        <f t="shared" si="24"/>
        <v>396.16303792309839</v>
      </c>
      <c r="R90" s="9"/>
      <c r="S90" s="74">
        <f t="shared" si="25"/>
        <v>925.50501046108718</v>
      </c>
      <c r="T90" s="74">
        <f t="shared" si="26"/>
        <v>169.57785300186339</v>
      </c>
      <c r="U90" s="74">
        <f t="shared" si="27"/>
        <v>547.5414317314752</v>
      </c>
      <c r="V90" s="1">
        <f t="shared" si="28"/>
        <v>1.3361720349103909</v>
      </c>
      <c r="W90" s="1">
        <f t="shared" si="29"/>
        <v>-0.57194933204550702</v>
      </c>
      <c r="X90" s="1">
        <f t="shared" si="30"/>
        <v>0.3821113514324419</v>
      </c>
      <c r="Y90" s="6"/>
      <c r="Z90" s="2"/>
      <c r="AA90" s="2"/>
      <c r="AB90" s="2"/>
    </row>
    <row r="91" spans="6:28" x14ac:dyDescent="0.25">
      <c r="F91" s="5">
        <f t="shared" si="22"/>
        <v>0.40229799763748852</v>
      </c>
      <c r="G91" s="4">
        <f t="shared" si="18"/>
        <v>2009595.276242598</v>
      </c>
      <c r="H91" s="3">
        <f t="shared" si="19"/>
        <v>4995290.2774660289</v>
      </c>
      <c r="I91">
        <f t="shared" si="20"/>
        <v>10038511745056.309</v>
      </c>
      <c r="J91" s="6"/>
      <c r="K91" s="6"/>
      <c r="L91" s="6"/>
      <c r="M91" s="84">
        <f t="shared" si="23"/>
        <v>0.1861644062559791</v>
      </c>
      <c r="N91" s="69">
        <f t="shared" si="21"/>
        <v>0.40229799763748852</v>
      </c>
      <c r="O91" s="28">
        <f t="shared" si="16"/>
        <v>419.48965459540312</v>
      </c>
      <c r="P91" s="135">
        <f t="shared" si="17"/>
        <v>1042.7336378974624</v>
      </c>
      <c r="Q91" s="10">
        <f t="shared" si="24"/>
        <v>388.23977716463639</v>
      </c>
      <c r="R91" s="9"/>
      <c r="S91" s="74">
        <f t="shared" si="25"/>
        <v>925.50501046108718</v>
      </c>
      <c r="T91" s="74">
        <f t="shared" si="26"/>
        <v>162.86257002298959</v>
      </c>
      <c r="U91" s="74">
        <f t="shared" si="27"/>
        <v>544.1837902420383</v>
      </c>
      <c r="V91" s="1">
        <f t="shared" si="28"/>
        <v>1.3838490152146847</v>
      </c>
      <c r="W91" s="1">
        <f t="shared" si="29"/>
        <v>-0.58051034540459689</v>
      </c>
      <c r="X91" s="1">
        <f t="shared" si="30"/>
        <v>0.40166933490504375</v>
      </c>
      <c r="Y91" s="6"/>
      <c r="Z91" s="2"/>
      <c r="AA91" s="2"/>
      <c r="AB91" s="2"/>
    </row>
    <row r="92" spans="6:28" x14ac:dyDescent="0.25">
      <c r="F92" s="5">
        <f t="shared" si="22"/>
        <v>0.38636699693104398</v>
      </c>
      <c r="G92" s="4">
        <f t="shared" si="18"/>
        <v>1969403.370717746</v>
      </c>
      <c r="H92" s="3">
        <f t="shared" si="19"/>
        <v>5097234.9770061523</v>
      </c>
      <c r="I92">
        <f t="shared" si="20"/>
        <v>10038511745056.309</v>
      </c>
      <c r="J92" s="6"/>
      <c r="K92" s="6"/>
      <c r="L92" s="6"/>
      <c r="M92" s="84">
        <f t="shared" si="23"/>
        <v>0.17879229576824235</v>
      </c>
      <c r="N92" s="69">
        <f t="shared" si="21"/>
        <v>0.38636699693104398</v>
      </c>
      <c r="O92" s="28">
        <f t="shared" si="16"/>
        <v>411.09986150349505</v>
      </c>
      <c r="P92" s="135">
        <f t="shared" si="17"/>
        <v>1064.0139162219002</v>
      </c>
      <c r="Q92" s="10">
        <f t="shared" si="24"/>
        <v>380.47498162134366</v>
      </c>
      <c r="R92" s="9"/>
      <c r="S92" s="74">
        <f t="shared" si="25"/>
        <v>925.50501046108718</v>
      </c>
      <c r="T92" s="74">
        <f t="shared" si="26"/>
        <v>156.41321225007923</v>
      </c>
      <c r="U92" s="74">
        <f t="shared" si="27"/>
        <v>540.9591113555831</v>
      </c>
      <c r="V92" s="1">
        <f t="shared" si="28"/>
        <v>1.4324989951170255</v>
      </c>
      <c r="W92" s="1">
        <f t="shared" si="29"/>
        <v>-0.58890013849650491</v>
      </c>
      <c r="X92" s="1">
        <f t="shared" si="30"/>
        <v>0.42179942831025996</v>
      </c>
      <c r="Y92" s="6"/>
      <c r="Z92" s="2"/>
      <c r="AA92" s="2"/>
      <c r="AB92" s="2"/>
    </row>
    <row r="93" spans="6:28" x14ac:dyDescent="0.25">
      <c r="F93" s="5">
        <f t="shared" si="22"/>
        <v>0.37106686385257459</v>
      </c>
      <c r="G93" s="4">
        <f t="shared" si="18"/>
        <v>1930015.303303391</v>
      </c>
      <c r="H93" s="3">
        <f t="shared" si="19"/>
        <v>5201260.1806185227</v>
      </c>
      <c r="I93">
        <f t="shared" si="20"/>
        <v>10038511745056.309</v>
      </c>
      <c r="J93" s="6"/>
      <c r="K93" s="6"/>
      <c r="L93" s="6"/>
      <c r="M93" s="84">
        <f t="shared" si="23"/>
        <v>0.17171212085581991</v>
      </c>
      <c r="N93" s="69">
        <f t="shared" si="21"/>
        <v>0.37106686385257459</v>
      </c>
      <c r="O93" s="28">
        <f t="shared" si="16"/>
        <v>402.87786427342513</v>
      </c>
      <c r="P93" s="135">
        <f t="shared" si="17"/>
        <v>1085.7284859407148</v>
      </c>
      <c r="Q93" s="10">
        <f t="shared" si="24"/>
        <v>372.86548198891683</v>
      </c>
      <c r="R93" s="9"/>
      <c r="S93" s="74">
        <f t="shared" si="25"/>
        <v>925.50501046108718</v>
      </c>
      <c r="T93" s="74">
        <f t="shared" si="26"/>
        <v>150.21924904497604</v>
      </c>
      <c r="U93" s="74">
        <f t="shared" si="27"/>
        <v>537.86212975303158</v>
      </c>
      <c r="V93" s="1">
        <f t="shared" si="28"/>
        <v>1.4821418317520667</v>
      </c>
      <c r="W93" s="1">
        <f t="shared" si="29"/>
        <v>-0.59712213572657502</v>
      </c>
      <c r="X93" s="1">
        <f t="shared" si="30"/>
        <v>0.44250984801274562</v>
      </c>
      <c r="Y93" s="6"/>
      <c r="Z93" s="2"/>
      <c r="AA93" s="2"/>
      <c r="AB93" s="2"/>
    </row>
    <row r="94" spans="6:28" x14ac:dyDescent="0.25">
      <c r="F94" s="5">
        <f t="shared" si="22"/>
        <v>0.3563726160440126</v>
      </c>
      <c r="G94" s="4">
        <f t="shared" si="18"/>
        <v>1891414.9972373231</v>
      </c>
      <c r="H94" s="3">
        <f t="shared" si="19"/>
        <v>5307408.347569922</v>
      </c>
      <c r="I94">
        <f t="shared" si="20"/>
        <v>10038511745056.309</v>
      </c>
      <c r="J94" s="6"/>
      <c r="K94" s="6"/>
      <c r="L94" s="6"/>
      <c r="M94" s="84">
        <f t="shared" si="23"/>
        <v>0.16491232086992944</v>
      </c>
      <c r="N94" s="69">
        <f t="shared" si="21"/>
        <v>0.3563726160440126</v>
      </c>
      <c r="O94" s="28">
        <f t="shared" si="16"/>
        <v>394.8203069879566</v>
      </c>
      <c r="P94" s="135">
        <f t="shared" si="17"/>
        <v>1107.8862101435864</v>
      </c>
      <c r="Q94" s="10">
        <f t="shared" si="24"/>
        <v>365.40817234913834</v>
      </c>
      <c r="R94" s="9"/>
      <c r="S94" s="74">
        <f t="shared" si="25"/>
        <v>925.50501046108718</v>
      </c>
      <c r="T94" s="74">
        <f t="shared" si="26"/>
        <v>144.27056678279499</v>
      </c>
      <c r="U94" s="74">
        <f t="shared" si="27"/>
        <v>534.88778862194101</v>
      </c>
      <c r="V94" s="1">
        <f t="shared" si="28"/>
        <v>1.5327977875021097</v>
      </c>
      <c r="W94" s="1">
        <f t="shared" si="29"/>
        <v>-0.60517969301204333</v>
      </c>
      <c r="X94" s="1">
        <f t="shared" si="30"/>
        <v>0.46380904724503291</v>
      </c>
      <c r="Y94" s="6"/>
      <c r="Z94" s="2"/>
      <c r="AA94" s="2"/>
      <c r="AB94" s="2"/>
    </row>
    <row r="95" spans="6:28" x14ac:dyDescent="0.25">
      <c r="F95" s="5">
        <f t="shared" si="22"/>
        <v>0.34226026044866964</v>
      </c>
      <c r="G95" s="4">
        <f t="shared" si="18"/>
        <v>1853586.6972925765</v>
      </c>
      <c r="H95" s="3">
        <f t="shared" si="19"/>
        <v>5415722.8036427777</v>
      </c>
      <c r="I95">
        <f t="shared" si="20"/>
        <v>10038511745056.309</v>
      </c>
      <c r="J95" s="6"/>
      <c r="K95" s="6"/>
      <c r="L95" s="6"/>
      <c r="M95" s="84">
        <f t="shared" si="23"/>
        <v>0.15838179296348021</v>
      </c>
      <c r="N95" s="69">
        <f t="shared" si="21"/>
        <v>0.34226026044866964</v>
      </c>
      <c r="O95" s="28">
        <f t="shared" si="16"/>
        <v>386.92390084819749</v>
      </c>
      <c r="P95" s="135">
        <f t="shared" si="17"/>
        <v>1130.4961327995784</v>
      </c>
      <c r="Q95" s="10">
        <f t="shared" si="24"/>
        <v>358.10000890215565</v>
      </c>
      <c r="R95" s="9"/>
      <c r="S95" s="74">
        <f t="shared" si="25"/>
        <v>925.50501046108718</v>
      </c>
      <c r="T95" s="74">
        <f t="shared" si="26"/>
        <v>138.55745233819627</v>
      </c>
      <c r="U95" s="74">
        <f t="shared" si="27"/>
        <v>532.03123139964168</v>
      </c>
      <c r="V95" s="1">
        <f t="shared" si="28"/>
        <v>1.5844875382674584</v>
      </c>
      <c r="W95" s="1">
        <f t="shared" si="29"/>
        <v>-0.61307609915180261</v>
      </c>
      <c r="X95" s="1">
        <f t="shared" si="30"/>
        <v>0.48570571955782782</v>
      </c>
      <c r="Y95" s="6"/>
      <c r="Z95" s="2"/>
      <c r="AA95" s="2"/>
      <c r="AB95" s="2"/>
    </row>
    <row r="96" spans="6:28" x14ac:dyDescent="0.25">
      <c r="F96" s="5">
        <f t="shared" si="22"/>
        <v>0.3287067541349023</v>
      </c>
      <c r="G96" s="4">
        <f t="shared" si="18"/>
        <v>1816514.9633467249</v>
      </c>
      <c r="H96" s="3">
        <f t="shared" si="19"/>
        <v>5526247.758819161</v>
      </c>
      <c r="I96">
        <f t="shared" si="20"/>
        <v>10038511745056.309</v>
      </c>
      <c r="J96" s="6"/>
      <c r="K96" s="6"/>
      <c r="L96" s="6"/>
      <c r="M96" s="84">
        <f t="shared" si="23"/>
        <v>0.15210987396212639</v>
      </c>
      <c r="N96" s="69">
        <f t="shared" si="21"/>
        <v>0.3287067541349023</v>
      </c>
      <c r="O96" s="28">
        <f t="shared" si="16"/>
        <v>379.1854228312335</v>
      </c>
      <c r="P96" s="135">
        <f t="shared" si="17"/>
        <v>1153.5674824485493</v>
      </c>
      <c r="Q96" s="10">
        <f t="shared" si="24"/>
        <v>350.93800872411248</v>
      </c>
      <c r="R96" s="9"/>
      <c r="S96" s="74">
        <f t="shared" si="25"/>
        <v>925.50501046108718</v>
      </c>
      <c r="T96" s="74">
        <f t="shared" si="26"/>
        <v>133.0705772256037</v>
      </c>
      <c r="U96" s="74">
        <f t="shared" si="27"/>
        <v>529.28779384334541</v>
      </c>
      <c r="V96" s="1">
        <f t="shared" si="28"/>
        <v>1.6372321819055702</v>
      </c>
      <c r="W96" s="1">
        <f t="shared" si="29"/>
        <v>-0.62081457716876653</v>
      </c>
      <c r="X96" s="1">
        <f t="shared" si="30"/>
        <v>0.50820880236840171</v>
      </c>
      <c r="Y96" s="6"/>
      <c r="Z96" s="2"/>
      <c r="AA96" s="2"/>
      <c r="AB96" s="2"/>
    </row>
    <row r="97" spans="6:28" x14ac:dyDescent="0.25">
      <c r="F97" s="5">
        <f t="shared" si="22"/>
        <v>0.31568996667116012</v>
      </c>
      <c r="G97" s="4">
        <f t="shared" si="18"/>
        <v>1780184.6640797902</v>
      </c>
      <c r="H97" s="3">
        <f t="shared" si="19"/>
        <v>5639028.3253256753</v>
      </c>
      <c r="I97">
        <f t="shared" si="20"/>
        <v>10038511745056.309</v>
      </c>
      <c r="J97" s="6"/>
      <c r="K97" s="6"/>
      <c r="L97" s="6"/>
      <c r="M97" s="84">
        <f t="shared" si="23"/>
        <v>0.14608632295322616</v>
      </c>
      <c r="N97" s="69">
        <f t="shared" si="21"/>
        <v>0.31568996667116012</v>
      </c>
      <c r="O97" s="28">
        <f t="shared" si="16"/>
        <v>371.60171437460878</v>
      </c>
      <c r="P97" s="135">
        <f t="shared" si="17"/>
        <v>1177.1096759679074</v>
      </c>
      <c r="Q97" s="10">
        <f t="shared" si="24"/>
        <v>343.9192485496302</v>
      </c>
      <c r="R97" s="9"/>
      <c r="S97" s="74">
        <f t="shared" si="25"/>
        <v>925.50501046108718</v>
      </c>
      <c r="T97" s="74">
        <f t="shared" si="26"/>
        <v>127.80098236746977</v>
      </c>
      <c r="U97" s="74">
        <f t="shared" si="27"/>
        <v>526.65299641427839</v>
      </c>
      <c r="V97" s="1">
        <f t="shared" si="28"/>
        <v>1.6910532468424186</v>
      </c>
      <c r="W97" s="1">
        <f t="shared" si="29"/>
        <v>-0.62839828562539113</v>
      </c>
      <c r="X97" s="1">
        <f t="shared" si="30"/>
        <v>0.53132748060851354</v>
      </c>
      <c r="Y97" s="6"/>
      <c r="Z97" s="2"/>
      <c r="AA97" s="2"/>
      <c r="AB97" s="2"/>
    </row>
    <row r="98" spans="6:28" x14ac:dyDescent="0.25">
      <c r="F98" s="5">
        <f t="shared" si="22"/>
        <v>0.30318864399098217</v>
      </c>
      <c r="G98" s="4">
        <f t="shared" si="18"/>
        <v>1744580.9707981944</v>
      </c>
      <c r="H98" s="3">
        <f t="shared" si="19"/>
        <v>5754110.5360466074</v>
      </c>
      <c r="I98">
        <f t="shared" si="20"/>
        <v>10038511745056.309</v>
      </c>
      <c r="J98" s="6"/>
      <c r="K98" s="6"/>
      <c r="L98" s="6"/>
      <c r="M98" s="84">
        <f t="shared" si="23"/>
        <v>0.14030130456427839</v>
      </c>
      <c r="N98" s="69">
        <f t="shared" si="21"/>
        <v>0.30318864399098217</v>
      </c>
      <c r="O98" s="28">
        <f t="shared" si="16"/>
        <v>364.1696800871166</v>
      </c>
      <c r="P98" s="135">
        <f t="shared" si="17"/>
        <v>1201.132322416232</v>
      </c>
      <c r="Q98" s="10">
        <f t="shared" si="24"/>
        <v>337.04086357863758</v>
      </c>
      <c r="R98" s="9"/>
      <c r="S98" s="74">
        <f t="shared" si="25"/>
        <v>925.50501046108718</v>
      </c>
      <c r="T98" s="74">
        <f t="shared" si="26"/>
        <v>122.74006346571795</v>
      </c>
      <c r="U98" s="74">
        <f t="shared" si="27"/>
        <v>524.12253696340258</v>
      </c>
      <c r="V98" s="1">
        <f t="shared" si="28"/>
        <v>1.7459727008596113</v>
      </c>
      <c r="W98" s="1">
        <f t="shared" si="29"/>
        <v>-0.63583031991288341</v>
      </c>
      <c r="X98" s="1">
        <f t="shared" si="30"/>
        <v>0.55507119047336384</v>
      </c>
      <c r="Y98" s="6"/>
      <c r="Z98" s="2"/>
      <c r="AA98" s="2"/>
      <c r="AB98" s="2"/>
    </row>
    <row r="99" spans="6:28" x14ac:dyDescent="0.25">
      <c r="F99" s="5">
        <f t="shared" si="22"/>
        <v>0.29118237368893923</v>
      </c>
      <c r="G99" s="4">
        <f t="shared" si="18"/>
        <v>1709689.3513822304</v>
      </c>
      <c r="H99" s="3">
        <f t="shared" si="19"/>
        <v>5871541.3633128647</v>
      </c>
      <c r="I99">
        <f t="shared" si="20"/>
        <v>10038511745056.309</v>
      </c>
      <c r="J99" s="6"/>
      <c r="K99" s="6"/>
      <c r="L99" s="6"/>
      <c r="M99" s="84">
        <f t="shared" si="23"/>
        <v>0.13474537290353295</v>
      </c>
      <c r="N99" s="69">
        <f t="shared" si="21"/>
        <v>0.29118237368893923</v>
      </c>
      <c r="O99" s="28">
        <f t="shared" si="16"/>
        <v>356.88628648537423</v>
      </c>
      <c r="P99" s="135">
        <f t="shared" si="17"/>
        <v>1225.6452269553388</v>
      </c>
      <c r="Q99" s="10">
        <f t="shared" si="24"/>
        <v>330.30004630706475</v>
      </c>
      <c r="R99" s="9"/>
      <c r="S99" s="74">
        <f t="shared" si="25"/>
        <v>925.50501046108718</v>
      </c>
      <c r="T99" s="74">
        <f t="shared" si="26"/>
        <v>117.87955695247551</v>
      </c>
      <c r="U99" s="74">
        <f t="shared" si="27"/>
        <v>521.69228370678127</v>
      </c>
      <c r="V99" s="1">
        <f t="shared" si="28"/>
        <v>1.8020129600608286</v>
      </c>
      <c r="W99" s="1">
        <f t="shared" si="29"/>
        <v>-0.64311371351462565</v>
      </c>
      <c r="X99" s="1">
        <f t="shared" si="30"/>
        <v>0.57944962327310101</v>
      </c>
      <c r="Y99" s="6"/>
      <c r="Z99" s="2"/>
      <c r="AA99" s="2"/>
      <c r="AB99" s="2"/>
    </row>
    <row r="100" spans="6:28" x14ac:dyDescent="0.25">
      <c r="F100" s="5">
        <f t="shared" si="22"/>
        <v>0.27965155169085726</v>
      </c>
      <c r="G100" s="4">
        <f t="shared" si="18"/>
        <v>1675495.5643545857</v>
      </c>
      <c r="H100" s="3">
        <f t="shared" si="19"/>
        <v>5991368.738074352</v>
      </c>
      <c r="I100">
        <f t="shared" si="20"/>
        <v>10038511745056.309</v>
      </c>
      <c r="J100" s="6"/>
      <c r="K100" s="6"/>
      <c r="L100" s="6"/>
      <c r="M100" s="84">
        <f t="shared" si="23"/>
        <v>0.12940945613655305</v>
      </c>
      <c r="N100" s="69">
        <f t="shared" si="21"/>
        <v>0.27965155169085726</v>
      </c>
      <c r="O100" s="28">
        <f t="shared" si="16"/>
        <v>349.74856075566674</v>
      </c>
      <c r="P100" s="135">
        <f t="shared" si="17"/>
        <v>1250.6583948523864</v>
      </c>
      <c r="Q100" s="10">
        <f t="shared" si="24"/>
        <v>323.69404538092351</v>
      </c>
      <c r="R100" s="9"/>
      <c r="S100" s="74">
        <f t="shared" si="25"/>
        <v>925.50501046108718</v>
      </c>
      <c r="T100" s="74">
        <f t="shared" si="26"/>
        <v>113.21152649715748</v>
      </c>
      <c r="U100" s="74">
        <f t="shared" si="27"/>
        <v>519.35826847912233</v>
      </c>
      <c r="V100" s="1">
        <f t="shared" si="28"/>
        <v>1.8591968980212528</v>
      </c>
      <c r="W100" s="1">
        <f t="shared" si="29"/>
        <v>-0.65025143924433326</v>
      </c>
      <c r="X100" s="1">
        <f t="shared" si="30"/>
        <v>0.60447272938845975</v>
      </c>
      <c r="Y100" s="6"/>
      <c r="Z100" s="2"/>
      <c r="AA100" s="2"/>
      <c r="AB100" s="2"/>
    </row>
    <row r="101" spans="6:28" x14ac:dyDescent="0.25">
      <c r="F101" s="5">
        <f t="shared" si="22"/>
        <v>0.26857735024389928</v>
      </c>
      <c r="G101" s="4">
        <f t="shared" si="18"/>
        <v>1641985.653067494</v>
      </c>
      <c r="H101" s="3">
        <f t="shared" si="19"/>
        <v>6113641.5694636246</v>
      </c>
      <c r="I101">
        <f t="shared" si="20"/>
        <v>10038511745056.309</v>
      </c>
      <c r="J101" s="6"/>
      <c r="K101" s="6"/>
      <c r="L101" s="6"/>
      <c r="M101" s="6"/>
      <c r="N101" s="6"/>
      <c r="O101" s="6"/>
      <c r="P101" s="6"/>
      <c r="Q101" s="6"/>
      <c r="R101" s="6"/>
      <c r="X101" s="7"/>
      <c r="Z101" s="2"/>
      <c r="AA101" s="2"/>
      <c r="AB101" s="2"/>
    </row>
    <row r="102" spans="6:28" x14ac:dyDescent="0.25">
      <c r="F102" s="5">
        <f t="shared" si="22"/>
        <v>0.25794168717424087</v>
      </c>
      <c r="G102" s="4">
        <f t="shared" si="18"/>
        <v>1609145.9400061441</v>
      </c>
      <c r="H102" s="3">
        <f t="shared" si="19"/>
        <v>6238409.7647588011</v>
      </c>
      <c r="I102">
        <f t="shared" si="20"/>
        <v>10038511745056.309</v>
      </c>
      <c r="J102" s="6"/>
      <c r="K102" s="6"/>
      <c r="L102" s="6"/>
      <c r="M102" s="6"/>
      <c r="N102" s="6"/>
      <c r="O102" s="6"/>
      <c r="P102" s="6"/>
      <c r="Q102" s="6"/>
      <c r="R102" s="6"/>
      <c r="X102" s="7"/>
      <c r="Z102" s="2"/>
      <c r="AA102" s="2"/>
      <c r="AB102" s="2"/>
    </row>
    <row r="103" spans="6:28" x14ac:dyDescent="0.25">
      <c r="F103" s="5">
        <f t="shared" si="22"/>
        <v>0.24772719636214097</v>
      </c>
      <c r="G103" s="4">
        <f t="shared" si="18"/>
        <v>1576963.0212060213</v>
      </c>
      <c r="H103" s="3">
        <f t="shared" si="19"/>
        <v>6365724.2497538775</v>
      </c>
      <c r="I103">
        <f t="shared" si="20"/>
        <v>10038511745056.309</v>
      </c>
      <c r="J103" s="6"/>
      <c r="K103" s="6"/>
      <c r="L103" s="6"/>
      <c r="M103" s="6"/>
      <c r="N103" s="6"/>
      <c r="O103" s="6"/>
      <c r="P103" s="6"/>
      <c r="Q103" s="6"/>
      <c r="R103" s="6"/>
      <c r="X103" s="7"/>
      <c r="Z103" s="2"/>
      <c r="AA103" s="2"/>
      <c r="AB103" s="2"/>
    </row>
    <row r="104" spans="6:28" x14ac:dyDescent="0.25">
      <c r="F104" s="5">
        <f t="shared" si="22"/>
        <v>0.23791719938620018</v>
      </c>
      <c r="G104" s="4">
        <f t="shared" si="18"/>
        <v>1545423.760781901</v>
      </c>
      <c r="H104" s="3">
        <f t="shared" si="19"/>
        <v>6495636.9895447735</v>
      </c>
      <c r="I104">
        <f t="shared" si="20"/>
        <v>10038511745056.309</v>
      </c>
      <c r="J104" s="6"/>
      <c r="K104" s="6"/>
      <c r="L104" s="6"/>
      <c r="M104" s="6"/>
      <c r="N104" s="6"/>
      <c r="O104" s="6"/>
      <c r="P104" s="6"/>
      <c r="Q104" s="6"/>
      <c r="R104" s="6"/>
      <c r="X104" s="7"/>
      <c r="Z104" s="2"/>
      <c r="AA104" s="2"/>
      <c r="AB104" s="2"/>
    </row>
    <row r="105" spans="6:28" x14ac:dyDescent="0.25">
      <c r="F105" s="5">
        <f t="shared" si="22"/>
        <v>0.22849567829050665</v>
      </c>
      <c r="G105" s="4">
        <f t="shared" si="18"/>
        <v>1514515.2855662629</v>
      </c>
      <c r="H105" s="3">
        <f t="shared" si="19"/>
        <v>6628201.0097395647</v>
      </c>
      <c r="I105">
        <f t="shared" si="20"/>
        <v>10038511745056.309</v>
      </c>
      <c r="J105" s="6"/>
      <c r="K105" s="6"/>
      <c r="L105" s="6"/>
      <c r="M105" s="6"/>
      <c r="N105" s="6"/>
      <c r="O105" s="6"/>
      <c r="P105" s="6"/>
      <c r="Q105" s="6"/>
      <c r="R105" s="6"/>
      <c r="X105" s="7"/>
      <c r="Z105" s="2"/>
      <c r="AA105" s="2"/>
      <c r="AB105" s="2"/>
    </row>
    <row r="106" spans="6:28" x14ac:dyDescent="0.25">
      <c r="F106" s="5">
        <f t="shared" si="22"/>
        <v>0.21944724943020258</v>
      </c>
      <c r="G106" s="4">
        <f t="shared" si="18"/>
        <v>1484224.9798549376</v>
      </c>
      <c r="H106" s="3">
        <f t="shared" si="19"/>
        <v>6763470.4181015966</v>
      </c>
      <c r="I106">
        <f t="shared" si="20"/>
        <v>10038511745056.309</v>
      </c>
      <c r="J106" s="6"/>
      <c r="K106" s="6"/>
      <c r="L106" s="6"/>
      <c r="M106" s="6"/>
      <c r="N106" s="6"/>
      <c r="O106" s="6"/>
      <c r="P106" s="6"/>
      <c r="Q106" s="6"/>
      <c r="R106" s="6"/>
      <c r="X106" s="7"/>
      <c r="Z106" s="2"/>
      <c r="AA106" s="2"/>
      <c r="AB106" s="2"/>
    </row>
    <row r="107" spans="6:28" x14ac:dyDescent="0.25">
      <c r="F107" s="5">
        <f t="shared" si="22"/>
        <v>0.21075713835276658</v>
      </c>
      <c r="G107" s="4">
        <f t="shared" si="18"/>
        <v>1454540.480257839</v>
      </c>
      <c r="H107" s="3">
        <f t="shared" si="19"/>
        <v>6901500.4266342819</v>
      </c>
      <c r="I107">
        <f t="shared" si="20"/>
        <v>10038511745056.309</v>
      </c>
      <c r="J107" s="6"/>
      <c r="K107" s="6"/>
      <c r="L107" s="6"/>
      <c r="M107" s="6"/>
      <c r="N107" s="6"/>
      <c r="O107" s="6"/>
      <c r="P107" s="6"/>
      <c r="Q107" s="6"/>
      <c r="R107" s="6"/>
      <c r="X107" s="7"/>
      <c r="Z107" s="2"/>
      <c r="AA107" s="2"/>
      <c r="AB107" s="2"/>
    </row>
    <row r="108" spans="6:28" x14ac:dyDescent="0.25">
      <c r="F108" s="5">
        <f t="shared" si="22"/>
        <v>0.20241115567399706</v>
      </c>
      <c r="G108" s="4">
        <f t="shared" si="18"/>
        <v>1425449.6706526822</v>
      </c>
      <c r="H108" s="3">
        <f t="shared" si="19"/>
        <v>7042347.3741166135</v>
      </c>
      <c r="I108">
        <f t="shared" si="20"/>
        <v>10038511745056.309</v>
      </c>
      <c r="J108" s="6"/>
      <c r="K108" s="6"/>
      <c r="L108" s="6"/>
      <c r="M108" s="6"/>
      <c r="N108" s="6"/>
      <c r="O108" s="6"/>
      <c r="P108" s="6"/>
      <c r="Q108" s="6"/>
      <c r="R108" s="6"/>
      <c r="X108" s="7"/>
      <c r="Z108" s="2"/>
      <c r="AA108" s="2"/>
      <c r="AB108" s="2"/>
    </row>
    <row r="109" spans="6:28" x14ac:dyDescent="0.25">
      <c r="F109" s="5">
        <f t="shared" si="22"/>
        <v>0.19439567390930673</v>
      </c>
      <c r="G109" s="4">
        <f t="shared" si="18"/>
        <v>1396940.6772396285</v>
      </c>
      <c r="H109" s="3">
        <f t="shared" si="19"/>
        <v>7186068.7490985859</v>
      </c>
      <c r="I109">
        <f t="shared" si="20"/>
        <v>10038511745056.309</v>
      </c>
      <c r="J109" s="6"/>
      <c r="K109" s="6"/>
      <c r="L109" s="6"/>
      <c r="M109" s="6"/>
      <c r="N109" s="6"/>
      <c r="O109" s="6"/>
      <c r="P109" s="6"/>
      <c r="Q109" s="6"/>
      <c r="R109" s="6"/>
      <c r="X109" s="7"/>
      <c r="Z109" s="2"/>
      <c r="AA109" s="2"/>
      <c r="AB109" s="2"/>
    </row>
    <row r="110" spans="6:28" x14ac:dyDescent="0.25">
      <c r="F110" s="5">
        <f t="shared" si="22"/>
        <v>0.1866976052224982</v>
      </c>
      <c r="G110" s="4">
        <f t="shared" si="18"/>
        <v>1369001.8636948359</v>
      </c>
      <c r="H110" s="3">
        <f t="shared" si="19"/>
        <v>7332723.2133659041</v>
      </c>
      <c r="I110">
        <f t="shared" si="20"/>
        <v>10038511745056.309</v>
      </c>
      <c r="J110" s="6"/>
      <c r="K110" s="6"/>
      <c r="L110" s="6"/>
      <c r="M110" s="6"/>
      <c r="N110" s="6"/>
      <c r="O110" s="6"/>
      <c r="P110" s="6"/>
      <c r="Q110" s="6"/>
      <c r="R110" s="6"/>
      <c r="X110" s="7"/>
      <c r="Z110" s="2"/>
      <c r="AA110" s="2"/>
      <c r="AB110" s="2"/>
    </row>
    <row r="111" spans="6:28" x14ac:dyDescent="0.25">
      <c r="F111" s="5">
        <f t="shared" si="22"/>
        <v>0.17930438005568722</v>
      </c>
      <c r="G111" s="4">
        <f t="shared" si="18"/>
        <v>1341621.8264209391</v>
      </c>
      <c r="H111" s="3">
        <f t="shared" si="19"/>
        <v>7482370.6258835765</v>
      </c>
      <c r="I111">
        <f t="shared" si="20"/>
        <v>10038511745056.309</v>
      </c>
      <c r="J111" s="6"/>
      <c r="K111" s="6"/>
      <c r="L111" s="6"/>
      <c r="M111" s="6"/>
      <c r="N111" s="6"/>
      <c r="O111" s="6"/>
      <c r="P111" s="6"/>
      <c r="Q111" s="6"/>
      <c r="R111" s="6"/>
      <c r="X111" s="7"/>
      <c r="Z111" s="2"/>
      <c r="AA111" s="2"/>
      <c r="AB111" s="2"/>
    </row>
    <row r="112" spans="6:28" x14ac:dyDescent="0.25">
      <c r="F112" s="5">
        <f t="shared" si="22"/>
        <v>0.17220392660548198</v>
      </c>
      <c r="G112" s="4">
        <f t="shared" si="18"/>
        <v>1314789.3898925202</v>
      </c>
      <c r="H112" s="3">
        <f t="shared" si="19"/>
        <v>7635072.0672281403</v>
      </c>
      <c r="I112">
        <f t="shared" si="20"/>
        <v>10038511745056.309</v>
      </c>
      <c r="J112" s="6"/>
      <c r="K112" s="6"/>
      <c r="L112" s="6"/>
      <c r="M112" s="6"/>
      <c r="N112" s="6"/>
      <c r="O112" s="6"/>
      <c r="P112" s="6"/>
      <c r="Q112" s="6"/>
      <c r="R112" s="6"/>
      <c r="X112" s="7"/>
      <c r="Z112" s="2"/>
      <c r="AA112" s="2"/>
      <c r="AB112" s="2"/>
    </row>
    <row r="113" spans="6:28" x14ac:dyDescent="0.25">
      <c r="F113" s="5">
        <f t="shared" si="22"/>
        <v>0.16538465111190492</v>
      </c>
      <c r="G113" s="4">
        <f t="shared" si="18"/>
        <v>1288493.6020946698</v>
      </c>
      <c r="H113" s="3">
        <f t="shared" si="19"/>
        <v>7790889.8645185092</v>
      </c>
      <c r="I113">
        <f t="shared" si="20"/>
        <v>10038511745056.309</v>
      </c>
      <c r="J113" s="6"/>
      <c r="K113" s="6"/>
      <c r="L113" s="6"/>
      <c r="M113" s="6"/>
      <c r="N113" s="6"/>
      <c r="O113" s="6"/>
      <c r="P113" s="6"/>
      <c r="Q113" s="6"/>
      <c r="R113" s="6"/>
      <c r="X113" s="7"/>
      <c r="Z113" s="2"/>
      <c r="AA113" s="2"/>
      <c r="AB113" s="2"/>
    </row>
    <row r="114" spans="6:28" x14ac:dyDescent="0.25">
      <c r="F114" s="5">
        <f t="shared" si="22"/>
        <v>0.15883541892787348</v>
      </c>
      <c r="G114" s="4">
        <f t="shared" ref="G114:G177" si="31">G113*(1-$O$1)</f>
        <v>1262723.7300527764</v>
      </c>
      <c r="H114" s="3">
        <f t="shared" ref="H114:H177" si="32">I114/G114</f>
        <v>7949887.6168556223</v>
      </c>
      <c r="I114">
        <f t="shared" ref="I114:I177" si="33">I113</f>
        <v>10038511745056.309</v>
      </c>
      <c r="J114" s="6"/>
      <c r="K114" s="6"/>
      <c r="L114" s="6"/>
      <c r="M114" s="6"/>
      <c r="N114" s="6"/>
      <c r="O114" s="6"/>
      <c r="P114" s="6"/>
      <c r="Q114" s="6"/>
      <c r="R114" s="6"/>
      <c r="X114" s="7"/>
      <c r="Z114" s="2"/>
      <c r="AA114" s="2"/>
      <c r="AB114" s="2"/>
    </row>
    <row r="115" spans="6:28" x14ac:dyDescent="0.25">
      <c r="F115" s="5">
        <f t="shared" si="22"/>
        <v>0.15254553633832968</v>
      </c>
      <c r="G115" s="4">
        <f t="shared" si="31"/>
        <v>1237469.2554517209</v>
      </c>
      <c r="H115" s="3">
        <f t="shared" si="32"/>
        <v>8112130.2212812472</v>
      </c>
      <c r="I115">
        <f t="shared" si="33"/>
        <v>10038511745056.309</v>
      </c>
      <c r="J115" s="6"/>
      <c r="K115" s="6"/>
      <c r="L115" s="6"/>
      <c r="M115" s="6"/>
      <c r="N115" s="6"/>
      <c r="O115" s="6"/>
      <c r="P115" s="6"/>
      <c r="Q115" s="6"/>
      <c r="R115" s="6"/>
      <c r="X115" s="7"/>
      <c r="Z115" s="2"/>
      <c r="AA115" s="2"/>
      <c r="AB115" s="2"/>
    </row>
    <row r="116" spans="6:28" x14ac:dyDescent="0.25">
      <c r="F116" s="5">
        <f t="shared" si="22"/>
        <v>0.14650473309933185</v>
      </c>
      <c r="G116" s="4">
        <f t="shared" si="31"/>
        <v>1212719.8703426865</v>
      </c>
      <c r="H116" s="3">
        <f t="shared" si="32"/>
        <v>8277683.8992665783</v>
      </c>
      <c r="I116">
        <f t="shared" si="33"/>
        <v>10038511745056.309</v>
      </c>
      <c r="J116" s="6"/>
      <c r="K116" s="6"/>
      <c r="L116" s="6"/>
      <c r="M116" s="6"/>
      <c r="N116" s="6"/>
      <c r="O116" s="6"/>
      <c r="P116" s="6"/>
      <c r="Q116" s="6"/>
      <c r="R116" s="6"/>
      <c r="X116" s="7"/>
      <c r="Z116" s="2"/>
      <c r="AA116" s="2"/>
      <c r="AB116" s="2"/>
    </row>
    <row r="117" spans="6:28" x14ac:dyDescent="0.25">
      <c r="F117" s="5">
        <f t="shared" si="22"/>
        <v>0.14070314566859829</v>
      </c>
      <c r="G117" s="4">
        <f t="shared" si="31"/>
        <v>1188465.4729358328</v>
      </c>
      <c r="H117" s="3">
        <f t="shared" si="32"/>
        <v>8446616.2237414066</v>
      </c>
      <c r="I117">
        <f t="shared" si="33"/>
        <v>10038511745056.309</v>
      </c>
      <c r="J117" s="6"/>
      <c r="K117" s="6"/>
      <c r="L117" s="6"/>
      <c r="M117" s="6"/>
      <c r="N117" s="6"/>
      <c r="O117" s="6"/>
      <c r="P117" s="6"/>
      <c r="Q117" s="6"/>
      <c r="R117" s="6"/>
      <c r="X117" s="7"/>
      <c r="Z117" s="2"/>
      <c r="AA117" s="2"/>
      <c r="AB117" s="2"/>
    </row>
    <row r="118" spans="6:28" x14ac:dyDescent="0.25">
      <c r="F118" s="5">
        <f t="shared" si="22"/>
        <v>0.13513130110012178</v>
      </c>
      <c r="G118" s="4">
        <f t="shared" si="31"/>
        <v>1164696.163477116</v>
      </c>
      <c r="H118" s="3">
        <f t="shared" si="32"/>
        <v>8618996.146674905</v>
      </c>
      <c r="I118">
        <f t="shared" si="33"/>
        <v>10038511745056.309</v>
      </c>
      <c r="J118" s="6"/>
      <c r="K118" s="6"/>
      <c r="L118" s="6"/>
      <c r="M118" s="6"/>
      <c r="N118" s="6"/>
      <c r="O118" s="6"/>
      <c r="P118" s="6"/>
      <c r="Q118" s="6"/>
      <c r="R118" s="6"/>
      <c r="X118" s="7"/>
      <c r="Z118" s="2"/>
      <c r="AA118" s="2"/>
      <c r="AB118" s="2"/>
    </row>
    <row r="119" spans="6:28" x14ac:dyDescent="0.25">
      <c r="F119" s="5">
        <f t="shared" si="22"/>
        <v>0.12978010157655695</v>
      </c>
      <c r="G119" s="4">
        <f t="shared" si="31"/>
        <v>1141402.2402075736</v>
      </c>
      <c r="H119" s="3">
        <f t="shared" si="32"/>
        <v>8794894.0272192918</v>
      </c>
      <c r="I119">
        <f t="shared" si="33"/>
        <v>10038511745056.309</v>
      </c>
      <c r="J119" s="6"/>
      <c r="K119" s="6"/>
      <c r="L119" s="6"/>
      <c r="M119" s="6"/>
      <c r="N119" s="6"/>
      <c r="O119" s="6"/>
      <c r="P119" s="6"/>
      <c r="Q119" s="6"/>
      <c r="R119" s="6"/>
      <c r="X119" s="7"/>
      <c r="Z119" s="2"/>
      <c r="AA119" s="2"/>
      <c r="AB119" s="2"/>
    </row>
    <row r="120" spans="6:28" x14ac:dyDescent="0.25">
      <c r="F120" s="5">
        <f t="shared" si="22"/>
        <v>0.12464080955412531</v>
      </c>
      <c r="G120" s="4">
        <f t="shared" si="31"/>
        <v>1118574.1954034222</v>
      </c>
      <c r="H120" s="3">
        <f t="shared" si="32"/>
        <v>8974381.6604278479</v>
      </c>
      <c r="I120">
        <f t="shared" si="33"/>
        <v>10038511745056.309</v>
      </c>
      <c r="J120" s="6"/>
      <c r="K120" s="6"/>
      <c r="L120" s="6"/>
      <c r="M120" s="6"/>
      <c r="N120" s="6"/>
      <c r="O120" s="6"/>
      <c r="P120" s="6"/>
      <c r="Q120" s="6"/>
      <c r="R120" s="6"/>
      <c r="X120" s="7"/>
      <c r="Z120" s="2"/>
      <c r="AA120" s="2"/>
      <c r="AB120" s="2"/>
    </row>
    <row r="121" spans="6:28" x14ac:dyDescent="0.25">
      <c r="F121" s="5">
        <f t="shared" si="22"/>
        <v>0.11970503349578196</v>
      </c>
      <c r="G121" s="4">
        <f t="shared" si="31"/>
        <v>1096202.7114953538</v>
      </c>
      <c r="H121" s="3">
        <f t="shared" si="32"/>
        <v>9157532.3065590281</v>
      </c>
      <c r="I121">
        <f t="shared" si="33"/>
        <v>10038511745056.309</v>
      </c>
      <c r="J121" s="6"/>
      <c r="K121" s="6"/>
      <c r="L121" s="6"/>
      <c r="M121" s="6"/>
      <c r="N121" s="6"/>
      <c r="O121" s="6"/>
      <c r="P121" s="6"/>
      <c r="Q121" s="6"/>
      <c r="R121" s="6"/>
      <c r="X121" s="7"/>
      <c r="Z121" s="2"/>
      <c r="AA121" s="2"/>
      <c r="AB121" s="2"/>
    </row>
    <row r="122" spans="6:28" x14ac:dyDescent="0.25">
      <c r="F122" s="5">
        <f t="shared" si="22"/>
        <v>0.11496471416934902</v>
      </c>
      <c r="G122" s="4">
        <f t="shared" si="31"/>
        <v>1074278.6572654468</v>
      </c>
      <c r="H122" s="3">
        <f t="shared" si="32"/>
        <v>9344420.720978599</v>
      </c>
      <c r="I122">
        <f t="shared" si="33"/>
        <v>10038511745056.309</v>
      </c>
      <c r="J122" s="6"/>
      <c r="K122" s="6"/>
      <c r="L122" s="6"/>
      <c r="M122" s="6"/>
      <c r="N122" s="6"/>
      <c r="O122" s="6"/>
      <c r="P122" s="6"/>
      <c r="Q122" s="6"/>
      <c r="R122" s="6"/>
      <c r="X122" s="7"/>
      <c r="Z122" s="2"/>
      <c r="AA122" s="2"/>
      <c r="AB122" s="2"/>
    </row>
    <row r="123" spans="6:28" x14ac:dyDescent="0.25">
      <c r="F123" s="5">
        <f t="shared" si="22"/>
        <v>0.11041211148824277</v>
      </c>
      <c r="G123" s="4">
        <f t="shared" si="31"/>
        <v>1052793.0841201378</v>
      </c>
      <c r="H123" s="3">
        <f t="shared" si="32"/>
        <v>9535123.1846720409</v>
      </c>
      <c r="I123">
        <f t="shared" si="33"/>
        <v>10038511745056.309</v>
      </c>
      <c r="J123" s="6"/>
      <c r="K123" s="6"/>
      <c r="L123" s="6"/>
      <c r="M123" s="6"/>
      <c r="N123" s="6"/>
      <c r="O123" s="6"/>
      <c r="P123" s="6"/>
      <c r="Q123" s="6"/>
      <c r="R123" s="6"/>
      <c r="X123" s="7"/>
      <c r="Z123" s="2"/>
      <c r="AA123" s="2"/>
      <c r="AB123" s="2"/>
    </row>
    <row r="124" spans="6:28" x14ac:dyDescent="0.25">
      <c r="F124" s="5">
        <f t="shared" si="22"/>
        <v>0.10603979187330836</v>
      </c>
      <c r="G124" s="4">
        <f t="shared" si="31"/>
        <v>1031737.2224377351</v>
      </c>
      <c r="H124" s="3">
        <f t="shared" si="32"/>
        <v>9729717.5353796333</v>
      </c>
      <c r="I124">
        <f t="shared" si="33"/>
        <v>10038511745056.309</v>
      </c>
      <c r="J124" s="6"/>
      <c r="K124" s="6"/>
      <c r="L124" s="6"/>
      <c r="M124" s="6"/>
      <c r="N124" s="6"/>
      <c r="O124" s="6"/>
      <c r="P124" s="6"/>
      <c r="Q124" s="6"/>
      <c r="R124" s="6"/>
      <c r="X124" s="7"/>
      <c r="Z124" s="2"/>
      <c r="AA124" s="2"/>
      <c r="AB124" s="2"/>
    </row>
    <row r="125" spans="6:28" x14ac:dyDescent="0.25">
      <c r="F125" s="5">
        <f t="shared" si="22"/>
        <v>0.10184061611512533</v>
      </c>
      <c r="G125" s="4">
        <f t="shared" si="31"/>
        <v>1011102.4779889804</v>
      </c>
      <c r="H125" s="3">
        <f t="shared" si="32"/>
        <v>9928283.1993669737</v>
      </c>
      <c r="I125">
        <f t="shared" si="33"/>
        <v>10038511745056.309</v>
      </c>
      <c r="J125" s="6"/>
      <c r="K125" s="6"/>
      <c r="L125" s="6"/>
      <c r="M125" s="6"/>
      <c r="N125" s="6"/>
      <c r="O125" s="6"/>
      <c r="P125" s="6"/>
      <c r="Q125" s="6"/>
      <c r="R125" s="6"/>
      <c r="X125" s="7"/>
      <c r="Z125" s="2"/>
      <c r="AA125" s="2"/>
      <c r="AB125" s="2"/>
    </row>
    <row r="126" spans="6:28" x14ac:dyDescent="0.25">
      <c r="F126" s="5">
        <f t="shared" si="22"/>
        <v>9.7807727716966386E-2</v>
      </c>
      <c r="G126" s="4">
        <f t="shared" si="31"/>
        <v>990880.42842920078</v>
      </c>
      <c r="H126" s="3">
        <f t="shared" si="32"/>
        <v>10130901.22384385</v>
      </c>
      <c r="I126">
        <f t="shared" si="33"/>
        <v>10038511745056.309</v>
      </c>
      <c r="J126" s="6"/>
      <c r="K126" s="6"/>
      <c r="L126" s="6"/>
      <c r="M126" s="6"/>
      <c r="N126" s="6"/>
      <c r="O126" s="6"/>
      <c r="P126" s="6"/>
      <c r="Q126" s="6"/>
      <c r="R126" s="6"/>
      <c r="X126" s="7"/>
      <c r="Z126" s="2"/>
      <c r="AA126" s="2"/>
      <c r="AB126" s="2"/>
    </row>
    <row r="127" spans="6:28" x14ac:dyDescent="0.25">
      <c r="F127" s="5">
        <f t="shared" si="22"/>
        <v>9.3934541699374513E-2</v>
      </c>
      <c r="G127" s="4">
        <f t="shared" si="31"/>
        <v>971062.8198606167</v>
      </c>
      <c r="H127" s="3">
        <f t="shared" si="32"/>
        <v>10337654.310044745</v>
      </c>
      <c r="I127">
        <f t="shared" si="33"/>
        <v>10038511745056.309</v>
      </c>
      <c r="J127" s="6"/>
      <c r="K127" s="6"/>
      <c r="L127" s="6"/>
      <c r="M127" s="6"/>
      <c r="N127" s="6"/>
      <c r="O127" s="6"/>
      <c r="P127" s="6"/>
      <c r="Q127" s="6"/>
      <c r="R127" s="6"/>
      <c r="X127" s="7"/>
      <c r="Z127" s="2"/>
      <c r="AA127" s="2"/>
      <c r="AB127" s="2"/>
    </row>
    <row r="128" spans="6:28" x14ac:dyDescent="0.25">
      <c r="F128" s="5">
        <f t="shared" si="22"/>
        <v>9.0214733848079265E-2</v>
      </c>
      <c r="G128" s="4">
        <f t="shared" si="31"/>
        <v>951641.56346340431</v>
      </c>
      <c r="H128" s="3">
        <f t="shared" si="32"/>
        <v>10548626.846984435</v>
      </c>
      <c r="I128">
        <f t="shared" si="33"/>
        <v>10038511745056.309</v>
      </c>
      <c r="J128" s="6"/>
      <c r="K128" s="6"/>
      <c r="L128" s="6"/>
      <c r="M128" s="6"/>
      <c r="N128" s="6"/>
      <c r="O128" s="6"/>
      <c r="P128" s="6"/>
      <c r="Q128" s="6"/>
      <c r="R128" s="6"/>
      <c r="X128" s="7"/>
      <c r="Z128" s="2"/>
      <c r="AA128" s="2"/>
      <c r="AB128" s="2"/>
    </row>
    <row r="129" spans="6:28" x14ac:dyDescent="0.25">
      <c r="F129" s="5">
        <f t="shared" si="22"/>
        <v>8.6642230387695335E-2</v>
      </c>
      <c r="G129" s="4">
        <f t="shared" si="31"/>
        <v>932608.73219413625</v>
      </c>
      <c r="H129" s="3">
        <f t="shared" si="32"/>
        <v>10763904.945902484</v>
      </c>
      <c r="I129">
        <f t="shared" si="33"/>
        <v>10038511745056.309</v>
      </c>
      <c r="J129" s="6"/>
      <c r="K129" s="6"/>
      <c r="L129" s="6"/>
      <c r="M129" s="6"/>
      <c r="N129" s="6"/>
      <c r="O129" s="6"/>
      <c r="P129" s="6"/>
      <c r="Q129" s="6"/>
      <c r="R129" s="6"/>
      <c r="X129" s="7"/>
      <c r="Z129" s="2"/>
      <c r="AA129" s="2"/>
      <c r="AB129" s="2"/>
    </row>
    <row r="130" spans="6:28" x14ac:dyDescent="0.25">
      <c r="F130" s="5">
        <f t="shared" si="22"/>
        <v>8.3211198064342573E-2</v>
      </c>
      <c r="G130" s="4">
        <f t="shared" si="31"/>
        <v>913956.55755025346</v>
      </c>
      <c r="H130" s="3">
        <f t="shared" si="32"/>
        <v>10983576.4754107</v>
      </c>
      <c r="I130">
        <f t="shared" si="33"/>
        <v>10038511745056.309</v>
      </c>
      <c r="J130" s="6"/>
      <c r="K130" s="6"/>
      <c r="L130" s="6"/>
      <c r="M130" s="6"/>
      <c r="N130" s="6"/>
      <c r="O130" s="6"/>
      <c r="P130" s="6"/>
      <c r="Q130" s="6"/>
      <c r="R130" s="6"/>
      <c r="X130" s="7"/>
      <c r="Z130" s="2"/>
      <c r="AA130" s="2"/>
      <c r="AB130" s="2"/>
    </row>
    <row r="131" spans="6:28" x14ac:dyDescent="0.25">
      <c r="F131" s="5">
        <f t="shared" si="22"/>
        <v>7.9916034620994614E-2</v>
      </c>
      <c r="G131" s="4">
        <f t="shared" si="31"/>
        <v>895677.42639924842</v>
      </c>
      <c r="H131" s="3">
        <f t="shared" si="32"/>
        <v>11207731.097357856</v>
      </c>
      <c r="I131">
        <f t="shared" si="33"/>
        <v>10038511745056.309</v>
      </c>
      <c r="J131" s="6"/>
      <c r="K131" s="6"/>
      <c r="L131" s="6"/>
      <c r="M131" s="6"/>
      <c r="N131" s="6"/>
      <c r="O131" s="6"/>
      <c r="P131" s="6"/>
      <c r="Q131" s="6"/>
      <c r="R131" s="6"/>
      <c r="X131" s="7"/>
      <c r="Z131" s="2"/>
      <c r="AA131" s="2"/>
      <c r="AB131" s="2"/>
    </row>
    <row r="132" spans="6:28" x14ac:dyDescent="0.25">
      <c r="F132" s="5">
        <f t="shared" si="22"/>
        <v>7.6751359650003237E-2</v>
      </c>
      <c r="G132" s="4">
        <f t="shared" si="31"/>
        <v>877763.87787126342</v>
      </c>
      <c r="H132" s="3">
        <f t="shared" si="32"/>
        <v>11436460.303426383</v>
      </c>
      <c r="I132">
        <f t="shared" si="33"/>
        <v>10038511745056.309</v>
      </c>
      <c r="J132" s="6"/>
      <c r="K132" s="6"/>
      <c r="L132" s="6"/>
      <c r="M132" s="6"/>
      <c r="N132" s="6"/>
      <c r="O132" s="6"/>
      <c r="P132" s="6"/>
      <c r="Q132" s="6"/>
      <c r="R132" s="6"/>
      <c r="X132" s="7"/>
      <c r="Z132" s="2"/>
      <c r="AA132" s="2"/>
      <c r="AB132" s="2"/>
    </row>
    <row r="133" spans="6:28" x14ac:dyDescent="0.25">
      <c r="F133" s="5">
        <f t="shared" si="22"/>
        <v>7.3712005807863093E-2</v>
      </c>
      <c r="G133" s="4">
        <f t="shared" si="31"/>
        <v>860208.60031383811</v>
      </c>
      <c r="H133" s="3">
        <f t="shared" si="32"/>
        <v>11669857.452475902</v>
      </c>
      <c r="I133">
        <f t="shared" si="33"/>
        <v>10038511745056.309</v>
      </c>
      <c r="J133" s="6"/>
      <c r="K133" s="6"/>
      <c r="L133" s="6"/>
      <c r="M133" s="6"/>
      <c r="N133" s="6"/>
      <c r="O133" s="6"/>
      <c r="P133" s="6"/>
      <c r="Q133" s="6"/>
      <c r="R133" s="6"/>
      <c r="X133" s="7"/>
      <c r="Z133" s="2"/>
      <c r="AA133" s="2"/>
      <c r="AB133" s="2"/>
    </row>
    <row r="134" spans="6:28" x14ac:dyDescent="0.25">
      <c r="F134" s="5">
        <f t="shared" si="22"/>
        <v>7.079301037787171E-2</v>
      </c>
      <c r="G134" s="4">
        <f t="shared" si="31"/>
        <v>843004.42830756132</v>
      </c>
      <c r="H134" s="3">
        <f t="shared" si="32"/>
        <v>11908017.808648881</v>
      </c>
      <c r="I134">
        <f t="shared" si="33"/>
        <v>10038511745056.309</v>
      </c>
      <c r="J134" s="6"/>
      <c r="K134" s="6"/>
      <c r="L134" s="6"/>
      <c r="M134" s="6"/>
      <c r="N134" s="6"/>
      <c r="O134" s="6"/>
      <c r="P134" s="6"/>
      <c r="Q134" s="6"/>
      <c r="R134" s="6"/>
      <c r="X134" s="7"/>
      <c r="Z134" s="2"/>
      <c r="AA134" s="2"/>
      <c r="AB134" s="2"/>
    </row>
    <row r="135" spans="6:28" x14ac:dyDescent="0.25">
      <c r="F135" s="5">
        <f t="shared" si="22"/>
        <v>6.7989607166907995E-2</v>
      </c>
      <c r="G135" s="4">
        <f t="shared" si="31"/>
        <v>826144.33974141011</v>
      </c>
      <c r="H135" s="3">
        <f t="shared" si="32"/>
        <v>12151038.580253959</v>
      </c>
      <c r="I135">
        <f t="shared" si="33"/>
        <v>10038511745056.309</v>
      </c>
      <c r="J135" s="6"/>
      <c r="K135" s="6"/>
      <c r="L135" s="6"/>
      <c r="M135" s="6"/>
      <c r="N135" s="6"/>
      <c r="O135" s="6"/>
      <c r="P135" s="6"/>
      <c r="Q135" s="6"/>
      <c r="R135" s="6"/>
      <c r="X135" s="7"/>
      <c r="Z135" s="2"/>
      <c r="AA135" s="2"/>
      <c r="AB135" s="2"/>
    </row>
    <row r="136" spans="6:28" x14ac:dyDescent="0.25">
      <c r="F136" s="5">
        <f t="shared" si="22"/>
        <v>6.5297218723098432E-2</v>
      </c>
      <c r="G136" s="4">
        <f t="shared" si="31"/>
        <v>809621.45294658188</v>
      </c>
      <c r="H136" s="3">
        <f t="shared" si="32"/>
        <v>12399018.959442817</v>
      </c>
      <c r="I136">
        <f t="shared" si="33"/>
        <v>10038511745056.309</v>
      </c>
      <c r="J136" s="6"/>
      <c r="K136" s="6"/>
      <c r="L136" s="6"/>
      <c r="M136" s="6"/>
      <c r="N136" s="6"/>
      <c r="O136" s="6"/>
      <c r="P136" s="6"/>
      <c r="Q136" s="6"/>
      <c r="R136" s="6"/>
      <c r="X136" s="7"/>
      <c r="Z136" s="2"/>
      <c r="AA136" s="2"/>
      <c r="AB136" s="2"/>
    </row>
    <row r="137" spans="6:28" x14ac:dyDescent="0.25">
      <c r="F137" s="5">
        <f t="shared" ref="F137:F200" si="34">G137/H137</f>
        <v>6.2711448861663729E-2</v>
      </c>
      <c r="G137" s="4">
        <f t="shared" si="31"/>
        <v>793429.02388765023</v>
      </c>
      <c r="H137" s="3">
        <f t="shared" si="32"/>
        <v>12652060.162696751</v>
      </c>
      <c r="I137">
        <f t="shared" si="33"/>
        <v>10038511745056.309</v>
      </c>
      <c r="J137" s="6"/>
      <c r="K137" s="6"/>
      <c r="L137" s="6"/>
      <c r="M137" s="6"/>
      <c r="N137" s="6"/>
      <c r="O137" s="6"/>
      <c r="P137" s="6"/>
      <c r="Q137" s="6"/>
      <c r="R137" s="6"/>
      <c r="X137" s="7"/>
      <c r="Z137" s="2"/>
      <c r="AA137" s="2"/>
      <c r="AB137" s="2"/>
    </row>
    <row r="138" spans="6:28" x14ac:dyDescent="0.25">
      <c r="F138" s="5">
        <f t="shared" si="34"/>
        <v>6.022807548674184E-2</v>
      </c>
      <c r="G138" s="4">
        <f t="shared" si="31"/>
        <v>777560.44340989715</v>
      </c>
      <c r="H138" s="3">
        <f t="shared" si="32"/>
        <v>12910265.472139543</v>
      </c>
      <c r="I138">
        <f t="shared" si="33"/>
        <v>10038511745056.309</v>
      </c>
      <c r="J138" s="6"/>
      <c r="K138" s="6"/>
      <c r="L138" s="6"/>
      <c r="M138" s="6"/>
      <c r="N138" s="6"/>
      <c r="O138" s="6"/>
      <c r="P138" s="6"/>
      <c r="Q138" s="6"/>
      <c r="R138" s="6"/>
      <c r="X138" s="7"/>
      <c r="Z138" s="2"/>
      <c r="AA138" s="2"/>
      <c r="AB138" s="2"/>
    </row>
    <row r="139" spans="6:28" x14ac:dyDescent="0.25">
      <c r="F139" s="5">
        <f t="shared" si="34"/>
        <v>5.7843043697466852E-2</v>
      </c>
      <c r="G139" s="4">
        <f t="shared" si="31"/>
        <v>762009.23454169917</v>
      </c>
      <c r="H139" s="3">
        <f t="shared" si="32"/>
        <v>13173740.277693413</v>
      </c>
      <c r="I139">
        <f t="shared" si="33"/>
        <v>10038511745056.309</v>
      </c>
      <c r="J139" s="6"/>
      <c r="K139" s="6"/>
      <c r="L139" s="6"/>
      <c r="M139" s="6"/>
      <c r="N139" s="6"/>
      <c r="O139" s="6"/>
      <c r="P139" s="6"/>
      <c r="Q139" s="6"/>
      <c r="R139" s="6"/>
      <c r="X139" s="7"/>
      <c r="Z139" s="2"/>
      <c r="AA139" s="2"/>
      <c r="AB139" s="2"/>
    </row>
    <row r="140" spans="6:28" x14ac:dyDescent="0.25">
      <c r="F140" s="5">
        <f t="shared" si="34"/>
        <v>5.5552459167047159E-2</v>
      </c>
      <c r="G140" s="4">
        <f t="shared" si="31"/>
        <v>746769.04985086515</v>
      </c>
      <c r="H140" s="3">
        <f t="shared" si="32"/>
        <v>13442592.12009532</v>
      </c>
      <c r="I140">
        <f t="shared" si="33"/>
        <v>10038511745056.309</v>
      </c>
      <c r="J140" s="6"/>
      <c r="K140" s="6"/>
      <c r="L140" s="6"/>
      <c r="M140" s="6"/>
      <c r="N140" s="6"/>
      <c r="O140" s="6"/>
      <c r="P140" s="6"/>
      <c r="Q140" s="6"/>
      <c r="R140" s="6"/>
      <c r="X140" s="7"/>
      <c r="Z140" s="2"/>
      <c r="AA140" s="2"/>
      <c r="AB140" s="2"/>
    </row>
    <row r="141" spans="6:28" x14ac:dyDescent="0.25">
      <c r="F141" s="5">
        <f t="shared" si="34"/>
        <v>5.3352581784032099E-2</v>
      </c>
      <c r="G141" s="4">
        <f t="shared" si="31"/>
        <v>731833.66885384789</v>
      </c>
      <c r="H141" s="3">
        <f t="shared" si="32"/>
        <v>13716930.734791141</v>
      </c>
      <c r="I141">
        <f t="shared" si="33"/>
        <v>10038511745056.309</v>
      </c>
      <c r="J141" s="6"/>
      <c r="K141" s="6"/>
      <c r="L141" s="6"/>
      <c r="M141" s="6"/>
      <c r="N141" s="6"/>
      <c r="O141" s="6"/>
      <c r="P141" s="6"/>
      <c r="Q141" s="6"/>
      <c r="R141" s="6"/>
      <c r="X141" s="7"/>
      <c r="Z141" s="2"/>
      <c r="AA141" s="2"/>
      <c r="AB141" s="2"/>
    </row>
    <row r="142" spans="6:28" x14ac:dyDescent="0.25">
      <c r="F142" s="5">
        <f t="shared" si="34"/>
        <v>5.1239819545384424E-2</v>
      </c>
      <c r="G142" s="4">
        <f t="shared" si="31"/>
        <v>717196.99547677091</v>
      </c>
      <c r="H142" s="3">
        <f t="shared" si="32"/>
        <v>13996868.096725656</v>
      </c>
      <c r="I142">
        <f t="shared" si="33"/>
        <v>10038511745056.309</v>
      </c>
      <c r="J142" s="6"/>
      <c r="K142" s="6"/>
      <c r="L142" s="6"/>
      <c r="M142" s="6"/>
      <c r="N142" s="6"/>
      <c r="O142" s="6"/>
      <c r="P142" s="6"/>
      <c r="Q142" s="6"/>
      <c r="R142" s="6"/>
      <c r="X142" s="7"/>
      <c r="Z142" s="2"/>
      <c r="AA142" s="2"/>
      <c r="AB142" s="2"/>
    </row>
    <row r="143" spans="6:28" x14ac:dyDescent="0.25">
      <c r="F143" s="5">
        <f t="shared" si="34"/>
        <v>4.9210722691387196E-2</v>
      </c>
      <c r="G143" s="4">
        <f t="shared" si="31"/>
        <v>702853.05556723545</v>
      </c>
      <c r="H143" s="3">
        <f t="shared" si="32"/>
        <v>14282518.466046587</v>
      </c>
      <c r="I143">
        <f t="shared" si="33"/>
        <v>10038511745056.309</v>
      </c>
      <c r="J143" s="6"/>
      <c r="K143" s="6"/>
      <c r="L143" s="6"/>
      <c r="M143" s="6"/>
      <c r="N143" s="6"/>
      <c r="O143" s="6"/>
      <c r="P143" s="6"/>
      <c r="Q143" s="6"/>
      <c r="R143" s="6"/>
      <c r="X143" s="7"/>
      <c r="Z143" s="2"/>
      <c r="AA143" s="2"/>
      <c r="AB143" s="2"/>
    </row>
    <row r="144" spans="6:28" x14ac:dyDescent="0.25">
      <c r="F144" s="5">
        <f t="shared" si="34"/>
        <v>4.7261978072808256E-2</v>
      </c>
      <c r="G144" s="4">
        <f t="shared" si="31"/>
        <v>688795.99445589073</v>
      </c>
      <c r="H144" s="3">
        <f t="shared" si="32"/>
        <v>14573998.434741417</v>
      </c>
      <c r="I144">
        <f t="shared" si="33"/>
        <v>10038511745056.309</v>
      </c>
      <c r="J144" s="6"/>
      <c r="K144" s="6"/>
      <c r="L144" s="6"/>
      <c r="M144" s="6"/>
      <c r="N144" s="6"/>
      <c r="O144" s="6"/>
      <c r="P144" s="6"/>
      <c r="Q144" s="6"/>
      <c r="R144" s="6"/>
      <c r="X144" s="7"/>
      <c r="Z144" s="2"/>
      <c r="AA144" s="2"/>
      <c r="AB144" s="2"/>
    </row>
    <row r="145" spans="6:28" x14ac:dyDescent="0.25">
      <c r="F145" s="5">
        <f t="shared" si="34"/>
        <v>4.5390403741125053E-2</v>
      </c>
      <c r="G145" s="4">
        <f t="shared" si="31"/>
        <v>675020.07456677291</v>
      </c>
      <c r="H145" s="3">
        <f t="shared" si="32"/>
        <v>14871426.974225935</v>
      </c>
      <c r="I145">
        <f t="shared" si="33"/>
        <v>10038511745056.309</v>
      </c>
      <c r="J145" s="6"/>
      <c r="K145" s="6"/>
      <c r="L145" s="6"/>
      <c r="M145" s="6"/>
      <c r="N145" s="6"/>
      <c r="O145" s="6"/>
      <c r="P145" s="6"/>
      <c r="Q145" s="6"/>
      <c r="R145" s="6"/>
      <c r="X145" s="7"/>
      <c r="Z145" s="2"/>
      <c r="AA145" s="2"/>
      <c r="AB145" s="2"/>
    </row>
    <row r="146" spans="6:28" x14ac:dyDescent="0.25">
      <c r="F146" s="5">
        <f t="shared" si="34"/>
        <v>4.3592943752976503E-2</v>
      </c>
      <c r="G146" s="4">
        <f t="shared" si="31"/>
        <v>661519.67307543743</v>
      </c>
      <c r="H146" s="3">
        <f t="shared" si="32"/>
        <v>15174925.483904015</v>
      </c>
      <c r="I146">
        <f t="shared" si="33"/>
        <v>10038511745056.309</v>
      </c>
      <c r="J146" s="6"/>
      <c r="K146" s="6"/>
      <c r="L146" s="6"/>
      <c r="M146" s="6"/>
      <c r="N146" s="6"/>
      <c r="O146" s="6"/>
      <c r="P146" s="6"/>
      <c r="Q146" s="6"/>
      <c r="R146" s="6"/>
      <c r="X146" s="7"/>
      <c r="Z146" s="2"/>
      <c r="AA146" s="2"/>
      <c r="AB146" s="2"/>
    </row>
    <row r="147" spans="6:28" x14ac:dyDescent="0.25">
      <c r="F147" s="5">
        <f t="shared" si="34"/>
        <v>4.1866663180358622E-2</v>
      </c>
      <c r="G147" s="4">
        <f t="shared" si="31"/>
        <v>648289.27961392864</v>
      </c>
      <c r="H147" s="3">
        <f t="shared" si="32"/>
        <v>15484617.840718385</v>
      </c>
      <c r="I147">
        <f t="shared" si="33"/>
        <v>10038511745056.309</v>
      </c>
      <c r="J147" s="6"/>
      <c r="K147" s="6"/>
      <c r="L147" s="6"/>
      <c r="M147" s="6"/>
      <c r="N147" s="6"/>
      <c r="O147" s="6"/>
      <c r="P147" s="6"/>
      <c r="Q147" s="6"/>
      <c r="R147" s="6"/>
      <c r="X147" s="7"/>
      <c r="Z147" s="2"/>
      <c r="AA147" s="2"/>
      <c r="AB147" s="2"/>
    </row>
    <row r="148" spans="6:28" x14ac:dyDescent="0.25">
      <c r="F148" s="5">
        <f t="shared" si="34"/>
        <v>4.0208743318416416E-2</v>
      </c>
      <c r="G148" s="4">
        <f t="shared" si="31"/>
        <v>635323.49402165005</v>
      </c>
      <c r="H148" s="3">
        <f t="shared" si="32"/>
        <v>15800630.449712638</v>
      </c>
      <c r="I148">
        <f t="shared" si="33"/>
        <v>10038511745056.309</v>
      </c>
      <c r="J148" s="6"/>
      <c r="K148" s="6"/>
      <c r="L148" s="6"/>
      <c r="M148" s="6"/>
      <c r="N148" s="6"/>
      <c r="O148" s="6"/>
      <c r="P148" s="6"/>
      <c r="Q148" s="6"/>
      <c r="R148" s="6"/>
      <c r="X148" s="7"/>
      <c r="Z148" s="2"/>
      <c r="AA148" s="2"/>
      <c r="AB148" s="2"/>
    </row>
    <row r="149" spans="6:28" x14ac:dyDescent="0.25">
      <c r="F149" s="5">
        <f t="shared" si="34"/>
        <v>3.8616477083007125E-2</v>
      </c>
      <c r="G149" s="4">
        <f t="shared" si="31"/>
        <v>622617.024141217</v>
      </c>
      <c r="H149" s="3">
        <f t="shared" si="32"/>
        <v>16123092.295625141</v>
      </c>
      <c r="I149">
        <f t="shared" si="33"/>
        <v>10038511745056.309</v>
      </c>
      <c r="J149" s="6"/>
      <c r="K149" s="6"/>
      <c r="L149" s="6"/>
      <c r="M149" s="6"/>
      <c r="N149" s="6"/>
      <c r="O149" s="6"/>
      <c r="P149" s="6"/>
      <c r="Q149" s="6"/>
      <c r="R149" s="6"/>
      <c r="X149" s="7"/>
      <c r="Z149" s="2"/>
      <c r="AA149" s="2"/>
      <c r="AB149" s="2"/>
    </row>
    <row r="150" spans="6:28" x14ac:dyDescent="0.25">
      <c r="F150" s="5">
        <f t="shared" si="34"/>
        <v>3.7087264590520037E-2</v>
      </c>
      <c r="G150" s="4">
        <f t="shared" si="31"/>
        <v>610164.68365839263</v>
      </c>
      <c r="H150" s="3">
        <f t="shared" si="32"/>
        <v>16452134.99553586</v>
      </c>
      <c r="I150">
        <f t="shared" si="33"/>
        <v>10038511745056.309</v>
      </c>
      <c r="J150" s="6"/>
      <c r="K150" s="6"/>
      <c r="L150" s="6"/>
      <c r="M150" s="6"/>
      <c r="N150" s="6"/>
      <c r="O150" s="6"/>
      <c r="P150" s="6"/>
      <c r="Q150" s="6"/>
      <c r="R150" s="6"/>
      <c r="X150" s="7"/>
      <c r="Z150" s="2"/>
      <c r="AA150" s="2"/>
      <c r="AB150" s="2"/>
    </row>
    <row r="151" spans="6:28" x14ac:dyDescent="0.25">
      <c r="F151" s="5">
        <f t="shared" si="34"/>
        <v>3.5618608912735453E-2</v>
      </c>
      <c r="G151" s="4">
        <f t="shared" si="31"/>
        <v>597961.38998522481</v>
      </c>
      <c r="H151" s="3">
        <f t="shared" si="32"/>
        <v>16787892.85258761</v>
      </c>
      <c r="I151">
        <f t="shared" si="33"/>
        <v>10038511745056.309</v>
      </c>
      <c r="J151" s="6"/>
      <c r="K151" s="6"/>
      <c r="L151" s="6"/>
      <c r="M151" s="6"/>
      <c r="N151" s="6"/>
      <c r="O151" s="6"/>
      <c r="P151" s="6"/>
      <c r="Q151" s="6"/>
      <c r="R151" s="6"/>
      <c r="X151" s="7"/>
      <c r="Z151" s="2"/>
      <c r="AA151" s="2"/>
      <c r="AB151" s="2"/>
    </row>
    <row r="152" spans="6:28" x14ac:dyDescent="0.25">
      <c r="F152" s="5">
        <f t="shared" si="34"/>
        <v>3.4208111999791117E-2</v>
      </c>
      <c r="G152" s="4">
        <f t="shared" si="31"/>
        <v>586002.16218552028</v>
      </c>
      <c r="H152" s="3">
        <f t="shared" si="32"/>
        <v>17130502.910803687</v>
      </c>
      <c r="I152">
        <f t="shared" si="33"/>
        <v>10038511745056.309</v>
      </c>
      <c r="J152" s="6"/>
      <c r="K152" s="6"/>
      <c r="L152" s="6"/>
      <c r="M152" s="6"/>
      <c r="N152" s="6"/>
      <c r="O152" s="6"/>
      <c r="P152" s="6"/>
      <c r="Q152" s="6"/>
      <c r="R152" s="6"/>
      <c r="X152" s="7"/>
      <c r="Z152" s="2"/>
      <c r="AA152" s="2"/>
      <c r="AB152" s="2"/>
    </row>
    <row r="153" spans="6:28" x14ac:dyDescent="0.25">
      <c r="F153" s="5">
        <f t="shared" si="34"/>
        <v>3.2853470764599393E-2</v>
      </c>
      <c r="G153" s="4">
        <f t="shared" si="31"/>
        <v>574282.11894180987</v>
      </c>
      <c r="H153" s="3">
        <f t="shared" si="32"/>
        <v>17480105.01102417</v>
      </c>
      <c r="I153">
        <f t="shared" si="33"/>
        <v>10038511745056.309</v>
      </c>
      <c r="J153" s="6"/>
      <c r="K153" s="6"/>
      <c r="L153" s="6"/>
      <c r="M153" s="6"/>
      <c r="N153" s="6"/>
      <c r="O153" s="6"/>
      <c r="P153" s="6"/>
      <c r="Q153" s="6"/>
      <c r="R153" s="6"/>
      <c r="X153" s="7"/>
      <c r="Z153" s="2"/>
      <c r="AA153" s="2"/>
      <c r="AB153" s="2"/>
    </row>
    <row r="154" spans="6:28" x14ac:dyDescent="0.25">
      <c r="F154" s="5">
        <f t="shared" si="34"/>
        <v>3.1552473322321258E-2</v>
      </c>
      <c r="G154" s="4">
        <f t="shared" si="31"/>
        <v>562796.47656297369</v>
      </c>
      <c r="H154" s="3">
        <f t="shared" si="32"/>
        <v>17836841.847983845</v>
      </c>
      <c r="I154">
        <f t="shared" si="33"/>
        <v>10038511745056.309</v>
      </c>
      <c r="J154" s="6"/>
      <c r="K154" s="6"/>
      <c r="L154" s="6"/>
      <c r="M154" s="6"/>
      <c r="N154" s="6"/>
      <c r="O154" s="6"/>
      <c r="P154" s="6"/>
      <c r="Q154" s="6"/>
      <c r="R154" s="6"/>
      <c r="X154" s="7"/>
      <c r="Z154" s="2"/>
      <c r="AA154" s="2"/>
      <c r="AB154" s="2"/>
    </row>
    <row r="155" spans="6:28" x14ac:dyDescent="0.25">
      <c r="F155" s="5">
        <f t="shared" si="34"/>
        <v>3.0302995378757341E-2</v>
      </c>
      <c r="G155" s="4">
        <f t="shared" si="31"/>
        <v>551540.54703171423</v>
      </c>
      <c r="H155" s="3">
        <f t="shared" si="32"/>
        <v>18200859.028554942</v>
      </c>
      <c r="I155">
        <f t="shared" si="33"/>
        <v>10038511745056.309</v>
      </c>
      <c r="J155" s="6"/>
      <c r="K155" s="6"/>
      <c r="L155" s="6"/>
      <c r="M155" s="6"/>
      <c r="N155" s="6"/>
      <c r="O155" s="6"/>
      <c r="P155" s="6"/>
      <c r="Q155" s="6"/>
      <c r="R155" s="6"/>
      <c r="X155" s="7"/>
      <c r="Z155" s="2"/>
      <c r="AA155" s="2"/>
      <c r="AB155" s="2"/>
    </row>
    <row r="156" spans="6:28" x14ac:dyDescent="0.25">
      <c r="F156" s="5">
        <f t="shared" si="34"/>
        <v>2.9102996761758541E-2</v>
      </c>
      <c r="G156" s="4">
        <f t="shared" si="31"/>
        <v>540509.73609107989</v>
      </c>
      <c r="H156" s="3">
        <f t="shared" si="32"/>
        <v>18572305.131178517</v>
      </c>
      <c r="I156">
        <f t="shared" si="33"/>
        <v>10038511745056.309</v>
      </c>
      <c r="J156" s="6"/>
      <c r="K156" s="6"/>
      <c r="L156" s="6"/>
      <c r="M156" s="6"/>
      <c r="N156" s="6"/>
      <c r="O156" s="6"/>
      <c r="P156" s="6"/>
      <c r="Q156" s="6"/>
      <c r="R156" s="6"/>
      <c r="X156" s="7"/>
      <c r="Z156" s="2"/>
      <c r="AA156" s="2"/>
      <c r="AB156" s="2"/>
    </row>
    <row r="157" spans="6:28" x14ac:dyDescent="0.25">
      <c r="F157" s="5">
        <f t="shared" si="34"/>
        <v>2.7950518089992903E-2</v>
      </c>
      <c r="G157" s="4">
        <f t="shared" si="31"/>
        <v>529699.54136925831</v>
      </c>
      <c r="H157" s="3">
        <f t="shared" si="32"/>
        <v>18951331.766508691</v>
      </c>
      <c r="I157">
        <f t="shared" si="33"/>
        <v>10038511745056.309</v>
      </c>
      <c r="J157" s="6"/>
      <c r="K157" s="6"/>
      <c r="L157" s="6"/>
      <c r="M157" s="6"/>
      <c r="N157" s="6"/>
      <c r="O157" s="6"/>
      <c r="P157" s="6"/>
      <c r="Q157" s="6"/>
      <c r="R157" s="6"/>
      <c r="X157" s="7"/>
      <c r="Z157" s="2"/>
      <c r="AA157" s="2"/>
      <c r="AB157" s="2"/>
    </row>
    <row r="158" spans="6:28" x14ac:dyDescent="0.25">
      <c r="F158" s="5">
        <f t="shared" si="34"/>
        <v>2.6843677573629189E-2</v>
      </c>
      <c r="G158" s="4">
        <f t="shared" si="31"/>
        <v>519105.55054187315</v>
      </c>
      <c r="H158" s="3">
        <f t="shared" si="32"/>
        <v>19338093.63929458</v>
      </c>
      <c r="I158">
        <f t="shared" si="33"/>
        <v>10038511745056.309</v>
      </c>
      <c r="J158" s="6"/>
      <c r="K158" s="6"/>
      <c r="L158" s="6"/>
      <c r="M158" s="6"/>
      <c r="N158" s="6"/>
      <c r="O158" s="6"/>
      <c r="P158" s="6"/>
      <c r="Q158" s="6"/>
      <c r="R158" s="6"/>
      <c r="X158" s="7"/>
      <c r="Z158" s="2"/>
      <c r="AA158" s="2"/>
      <c r="AB158" s="2"/>
    </row>
    <row r="159" spans="6:28" x14ac:dyDescent="0.25">
      <c r="F159" s="5">
        <f t="shared" si="34"/>
        <v>2.5780667941713464E-2</v>
      </c>
      <c r="G159" s="4">
        <f t="shared" si="31"/>
        <v>508723.43953103566</v>
      </c>
      <c r="H159" s="3">
        <f t="shared" si="32"/>
        <v>19732748.611525085</v>
      </c>
      <c r="I159">
        <f t="shared" si="33"/>
        <v>10038511745056.309</v>
      </c>
      <c r="J159" s="6"/>
      <c r="K159" s="6"/>
      <c r="L159" s="6"/>
      <c r="M159" s="6"/>
      <c r="N159" s="6"/>
      <c r="O159" s="6"/>
      <c r="P159" s="6"/>
      <c r="Q159" s="6"/>
      <c r="R159" s="6"/>
      <c r="X159" s="7"/>
      <c r="Z159" s="2"/>
      <c r="AA159" s="2"/>
      <c r="AB159" s="2"/>
    </row>
    <row r="160" spans="6:28" x14ac:dyDescent="0.25">
      <c r="F160" s="5">
        <f t="shared" si="34"/>
        <v>2.4759753491221614E-2</v>
      </c>
      <c r="G160" s="4">
        <f t="shared" si="31"/>
        <v>498548.97074041492</v>
      </c>
      <c r="H160" s="3">
        <f t="shared" si="32"/>
        <v>20135457.766862329</v>
      </c>
      <c r="I160">
        <f t="shared" si="33"/>
        <v>10038511745056.309</v>
      </c>
      <c r="J160" s="6"/>
      <c r="K160" s="6"/>
      <c r="L160" s="6"/>
      <c r="M160" s="6"/>
      <c r="N160" s="6"/>
      <c r="O160" s="6"/>
      <c r="P160" s="6"/>
      <c r="Q160" s="6"/>
      <c r="R160" s="6"/>
      <c r="X160" s="7"/>
      <c r="Z160" s="2"/>
      <c r="AA160" s="2"/>
      <c r="AB160" s="2"/>
    </row>
    <row r="161" spans="6:28" x14ac:dyDescent="0.25">
      <c r="F161" s="5">
        <f t="shared" si="34"/>
        <v>2.3779267252969232E-2</v>
      </c>
      <c r="G161" s="4">
        <f t="shared" si="31"/>
        <v>488577.99132560659</v>
      </c>
      <c r="H161" s="3">
        <f t="shared" si="32"/>
        <v>20546385.476390135</v>
      </c>
      <c r="I161">
        <f t="shared" si="33"/>
        <v>10038511745056.309</v>
      </c>
      <c r="J161" s="6"/>
      <c r="K161" s="6"/>
      <c r="L161" s="6"/>
      <c r="M161" s="6"/>
      <c r="N161" s="6"/>
      <c r="O161" s="6"/>
      <c r="P161" s="6"/>
      <c r="Q161" s="6"/>
      <c r="R161" s="6"/>
      <c r="X161" s="7"/>
      <c r="Z161" s="2"/>
      <c r="AA161" s="2"/>
      <c r="AB161" s="2"/>
    </row>
    <row r="162" spans="6:28" x14ac:dyDescent="0.25">
      <c r="F162" s="5">
        <f t="shared" si="34"/>
        <v>2.2837608269751654E-2</v>
      </c>
      <c r="G162" s="4">
        <f t="shared" si="31"/>
        <v>478806.43149909447</v>
      </c>
      <c r="H162" s="3">
        <f t="shared" si="32"/>
        <v>20965699.465704218</v>
      </c>
      <c r="I162">
        <f t="shared" si="33"/>
        <v>10038511745056.309</v>
      </c>
      <c r="J162" s="6"/>
      <c r="K162" s="6"/>
      <c r="L162" s="6"/>
      <c r="M162" s="6"/>
      <c r="N162" s="6"/>
      <c r="O162" s="6"/>
      <c r="P162" s="6"/>
      <c r="Q162" s="6"/>
      <c r="R162" s="6"/>
      <c r="X162" s="7"/>
      <c r="Z162" s="2"/>
      <c r="AA162" s="2"/>
      <c r="AB162" s="2"/>
    </row>
    <row r="163" spans="6:28" x14ac:dyDescent="0.25">
      <c r="F163" s="5">
        <f t="shared" si="34"/>
        <v>2.1933238982269489E-2</v>
      </c>
      <c r="G163" s="4">
        <f t="shared" si="31"/>
        <v>469230.30286911258</v>
      </c>
      <c r="H163" s="3">
        <f t="shared" si="32"/>
        <v>21393570.883371651</v>
      </c>
      <c r="I163">
        <f t="shared" si="33"/>
        <v>10038511745056.309</v>
      </c>
      <c r="J163" s="6"/>
      <c r="K163" s="6"/>
      <c r="L163" s="6"/>
      <c r="M163" s="6"/>
      <c r="N163" s="6"/>
      <c r="O163" s="6"/>
      <c r="P163" s="6"/>
      <c r="Q163" s="6"/>
      <c r="R163" s="6"/>
      <c r="X163" s="7"/>
      <c r="Z163" s="2"/>
      <c r="AA163" s="2"/>
      <c r="AB163" s="2"/>
    </row>
    <row r="164" spans="6:28" x14ac:dyDescent="0.25">
      <c r="F164" s="5">
        <f t="shared" si="34"/>
        <v>2.1064682718571613E-2</v>
      </c>
      <c r="G164" s="4">
        <f t="shared" si="31"/>
        <v>459845.69681173033</v>
      </c>
      <c r="H164" s="3">
        <f t="shared" si="32"/>
        <v>21830174.370787401</v>
      </c>
      <c r="I164">
        <f t="shared" si="33"/>
        <v>10038511745056.309</v>
      </c>
      <c r="J164" s="6"/>
      <c r="K164" s="6"/>
      <c r="L164" s="6"/>
      <c r="M164" s="6"/>
      <c r="N164" s="6"/>
      <c r="O164" s="6"/>
      <c r="P164" s="6"/>
      <c r="Q164" s="6"/>
      <c r="R164" s="6"/>
      <c r="X164" s="7"/>
      <c r="Z164" s="2"/>
      <c r="AA164" s="2"/>
      <c r="AB164" s="2"/>
    </row>
    <row r="165" spans="6:28" x14ac:dyDescent="0.25">
      <c r="F165" s="5">
        <f t="shared" si="34"/>
        <v>2.0230521282916178E-2</v>
      </c>
      <c r="G165" s="4">
        <f t="shared" si="31"/>
        <v>450648.78287549573</v>
      </c>
      <c r="H165" s="3">
        <f t="shared" si="32"/>
        <v>22275688.133456532</v>
      </c>
      <c r="I165">
        <f t="shared" si="33"/>
        <v>10038511745056.309</v>
      </c>
      <c r="J165" s="6"/>
      <c r="K165" s="6"/>
      <c r="L165" s="6"/>
      <c r="M165" s="6"/>
      <c r="N165" s="6"/>
      <c r="O165" s="6"/>
      <c r="P165" s="6"/>
      <c r="Q165" s="6"/>
      <c r="R165" s="6"/>
      <c r="X165" s="7"/>
      <c r="Z165" s="2"/>
      <c r="AA165" s="2"/>
      <c r="AB165" s="2"/>
    </row>
    <row r="166" spans="6:28" x14ac:dyDescent="0.25">
      <c r="F166" s="5">
        <f t="shared" si="34"/>
        <v>1.9429392640112696E-2</v>
      </c>
      <c r="G166" s="4">
        <f t="shared" si="31"/>
        <v>441635.8072179858</v>
      </c>
      <c r="H166" s="3">
        <f t="shared" si="32"/>
        <v>22730294.013731156</v>
      </c>
      <c r="I166">
        <f t="shared" si="33"/>
        <v>10038511745056.309</v>
      </c>
      <c r="J166" s="6"/>
      <c r="K166" s="6"/>
      <c r="L166" s="6"/>
      <c r="M166" s="6"/>
      <c r="N166" s="6"/>
      <c r="O166" s="6"/>
      <c r="P166" s="6"/>
      <c r="Q166" s="6"/>
      <c r="R166" s="6"/>
      <c r="X166" s="7"/>
      <c r="Z166" s="2"/>
      <c r="AA166" s="2"/>
      <c r="AB166" s="2"/>
    </row>
    <row r="167" spans="6:28" x14ac:dyDescent="0.25">
      <c r="F167" s="5">
        <f t="shared" si="34"/>
        <v>1.8659988691564235E-2</v>
      </c>
      <c r="G167" s="4">
        <f t="shared" si="31"/>
        <v>432803.09107362607</v>
      </c>
      <c r="H167" s="3">
        <f t="shared" si="32"/>
        <v>23194177.565031789</v>
      </c>
      <c r="I167">
        <f t="shared" si="33"/>
        <v>10038511745056.309</v>
      </c>
      <c r="J167" s="6"/>
      <c r="K167" s="6"/>
      <c r="L167" s="6"/>
      <c r="M167" s="6"/>
      <c r="N167" s="6"/>
      <c r="O167" s="6"/>
      <c r="P167" s="6"/>
      <c r="Q167" s="6"/>
      <c r="R167" s="6"/>
      <c r="X167" s="7"/>
      <c r="Z167" s="2"/>
      <c r="AA167" s="2"/>
      <c r="AB167" s="2"/>
    </row>
    <row r="168" spans="6:28" x14ac:dyDescent="0.25">
      <c r="F168" s="5">
        <f t="shared" si="34"/>
        <v>1.7921053139378289E-2</v>
      </c>
      <c r="G168" s="4">
        <f t="shared" si="31"/>
        <v>424147.02925215353</v>
      </c>
      <c r="H168" s="3">
        <f t="shared" si="32"/>
        <v>23667528.127583459</v>
      </c>
      <c r="I168">
        <f t="shared" si="33"/>
        <v>10038511745056.309</v>
      </c>
      <c r="J168" s="6"/>
      <c r="K168" s="6"/>
      <c r="L168" s="6"/>
      <c r="M168" s="6"/>
      <c r="N168" s="6"/>
      <c r="O168" s="6"/>
      <c r="P168" s="6"/>
      <c r="Q168" s="6"/>
      <c r="R168" s="6"/>
      <c r="X168" s="7"/>
      <c r="Z168" s="2"/>
      <c r="AA168" s="2"/>
      <c r="AB168" s="2"/>
    </row>
    <row r="169" spans="6:28" x14ac:dyDescent="0.25">
      <c r="F169" s="5">
        <f t="shared" si="34"/>
        <v>1.7211379435058904E-2</v>
      </c>
      <c r="G169" s="4">
        <f t="shared" si="31"/>
        <v>415664.08866711042</v>
      </c>
      <c r="H169" s="3">
        <f t="shared" si="32"/>
        <v>24150538.905697413</v>
      </c>
      <c r="I169">
        <f t="shared" si="33"/>
        <v>10038511745056.309</v>
      </c>
      <c r="J169" s="6"/>
      <c r="K169" s="6"/>
      <c r="L169" s="6"/>
      <c r="M169" s="6"/>
      <c r="N169" s="6"/>
      <c r="O169" s="6"/>
      <c r="P169" s="6"/>
      <c r="Q169" s="6"/>
      <c r="R169" s="6"/>
      <c r="X169" s="7"/>
      <c r="Z169" s="2"/>
      <c r="AA169" s="2"/>
      <c r="AB169" s="2"/>
    </row>
    <row r="170" spans="6:28" x14ac:dyDescent="0.25">
      <c r="F170" s="5">
        <f t="shared" si="34"/>
        <v>1.6529808809430571E-2</v>
      </c>
      <c r="G170" s="4">
        <f t="shared" si="31"/>
        <v>407350.8068937682</v>
      </c>
      <c r="H170" s="3">
        <f t="shared" si="32"/>
        <v>24643407.046630014</v>
      </c>
      <c r="I170">
        <f t="shared" si="33"/>
        <v>10038511745056.309</v>
      </c>
      <c r="J170" s="6"/>
      <c r="K170" s="6"/>
      <c r="L170" s="6"/>
      <c r="M170" s="6"/>
      <c r="N170" s="6"/>
      <c r="O170" s="6"/>
      <c r="P170" s="6"/>
      <c r="Q170" s="6"/>
      <c r="R170" s="6"/>
      <c r="X170" s="7"/>
      <c r="Z170" s="2"/>
      <c r="AA170" s="2"/>
      <c r="AB170" s="2"/>
    </row>
    <row r="171" spans="6:28" x14ac:dyDescent="0.25">
      <c r="F171" s="5">
        <f t="shared" si="34"/>
        <v>1.587522838057712E-2</v>
      </c>
      <c r="G171" s="4">
        <f t="shared" si="31"/>
        <v>399203.79075589281</v>
      </c>
      <c r="H171" s="3">
        <f t="shared" si="32"/>
        <v>25146333.721051034</v>
      </c>
      <c r="I171">
        <f t="shared" si="33"/>
        <v>10038511745056.309</v>
      </c>
      <c r="J171" s="6"/>
      <c r="K171" s="6"/>
      <c r="L171" s="6"/>
      <c r="M171" s="6"/>
      <c r="N171" s="6"/>
      <c r="O171" s="6"/>
      <c r="P171" s="6"/>
      <c r="Q171" s="6"/>
      <c r="R171" s="6"/>
      <c r="X171" s="7"/>
      <c r="Z171" s="2"/>
      <c r="AA171" s="2"/>
      <c r="AB171" s="2"/>
    </row>
    <row r="172" spans="6:28" x14ac:dyDescent="0.25">
      <c r="F172" s="5">
        <f t="shared" si="34"/>
        <v>1.5246569336706265E-2</v>
      </c>
      <c r="G172" s="4">
        <f t="shared" si="31"/>
        <v>391219.71494077495</v>
      </c>
      <c r="H172" s="3">
        <f t="shared" si="32"/>
        <v>25659524.205154117</v>
      </c>
      <c r="I172">
        <f t="shared" si="33"/>
        <v>10038511745056.309</v>
      </c>
      <c r="J172" s="6"/>
      <c r="K172" s="6"/>
      <c r="L172" s="6"/>
      <c r="M172" s="6"/>
      <c r="N172" s="6"/>
      <c r="O172" s="6"/>
      <c r="P172" s="6"/>
      <c r="Q172" s="6"/>
      <c r="R172" s="6"/>
      <c r="X172" s="7"/>
      <c r="Z172" s="2"/>
      <c r="AA172" s="2"/>
      <c r="AB172" s="2"/>
    </row>
    <row r="173" spans="6:28" x14ac:dyDescent="0.25">
      <c r="F173" s="5">
        <f t="shared" si="34"/>
        <v>1.4642805190972696E-2</v>
      </c>
      <c r="G173" s="4">
        <f t="shared" si="31"/>
        <v>383395.32064195944</v>
      </c>
      <c r="H173" s="3">
        <f t="shared" si="32"/>
        <v>26183187.964442976</v>
      </c>
      <c r="I173">
        <f t="shared" si="33"/>
        <v>10038511745056.309</v>
      </c>
      <c r="J173" s="6"/>
      <c r="K173" s="6"/>
      <c r="L173" s="6"/>
      <c r="M173" s="6"/>
      <c r="N173" s="6"/>
      <c r="O173" s="6"/>
      <c r="P173" s="6"/>
      <c r="Q173" s="6"/>
      <c r="R173" s="6"/>
      <c r="X173" s="7"/>
      <c r="Z173" s="2"/>
      <c r="AA173" s="2"/>
      <c r="AB173" s="2"/>
    </row>
    <row r="174" spans="6:28" x14ac:dyDescent="0.25">
      <c r="F174" s="5">
        <f t="shared" si="34"/>
        <v>1.4062950105410177E-2</v>
      </c>
      <c r="G174" s="4">
        <f t="shared" si="31"/>
        <v>375727.41422912024</v>
      </c>
      <c r="H174" s="3">
        <f t="shared" si="32"/>
        <v>26717538.73922753</v>
      </c>
      <c r="I174">
        <f t="shared" si="33"/>
        <v>10038511745056.309</v>
      </c>
      <c r="J174" s="6"/>
      <c r="K174" s="6"/>
      <c r="L174" s="6"/>
      <c r="M174" s="6"/>
      <c r="N174" s="6"/>
      <c r="O174" s="6"/>
      <c r="P174" s="6"/>
      <c r="Q174" s="6"/>
      <c r="R174" s="6"/>
      <c r="X174" s="7"/>
      <c r="Z174" s="2"/>
      <c r="AA174" s="2"/>
      <c r="AB174" s="2"/>
    </row>
    <row r="175" spans="6:28" x14ac:dyDescent="0.25">
      <c r="F175" s="5">
        <f t="shared" si="34"/>
        <v>1.3506057281235936E-2</v>
      </c>
      <c r="G175" s="4">
        <f t="shared" si="31"/>
        <v>368212.86594453786</v>
      </c>
      <c r="H175" s="3">
        <f t="shared" si="32"/>
        <v>27262794.631864823</v>
      </c>
      <c r="I175">
        <f t="shared" si="33"/>
        <v>10038511745056.309</v>
      </c>
      <c r="J175" s="6"/>
      <c r="K175" s="6"/>
      <c r="L175" s="6"/>
      <c r="M175" s="6"/>
      <c r="N175" s="6"/>
      <c r="O175" s="6"/>
      <c r="P175" s="6"/>
      <c r="Q175" s="6"/>
      <c r="R175" s="6"/>
      <c r="X175" s="7"/>
      <c r="Z175" s="2"/>
      <c r="AA175" s="2"/>
      <c r="AB175" s="2"/>
    </row>
    <row r="176" spans="6:28" x14ac:dyDescent="0.25">
      <c r="F176" s="5">
        <f t="shared" si="34"/>
        <v>1.2971217412898991E-2</v>
      </c>
      <c r="G176" s="4">
        <f t="shared" si="31"/>
        <v>360848.60862564709</v>
      </c>
      <c r="H176" s="3">
        <f t="shared" si="32"/>
        <v>27819178.195780434</v>
      </c>
      <c r="I176">
        <f t="shared" si="33"/>
        <v>10038511745056.309</v>
      </c>
      <c r="J176" s="6"/>
      <c r="K176" s="6"/>
      <c r="L176" s="6"/>
      <c r="M176" s="6"/>
      <c r="N176" s="6"/>
      <c r="O176" s="6"/>
      <c r="P176" s="6"/>
      <c r="Q176" s="6"/>
      <c r="R176" s="6"/>
      <c r="X176" s="7"/>
      <c r="Z176" s="2"/>
      <c r="AA176" s="2"/>
      <c r="AB176" s="2"/>
    </row>
    <row r="177" spans="6:28" x14ac:dyDescent="0.25">
      <c r="F177" s="5">
        <f t="shared" si="34"/>
        <v>1.245755720334819E-2</v>
      </c>
      <c r="G177" s="4">
        <f t="shared" si="31"/>
        <v>353631.63645313412</v>
      </c>
      <c r="H177" s="3">
        <f t="shared" si="32"/>
        <v>28386916.526306566</v>
      </c>
      <c r="I177">
        <f t="shared" si="33"/>
        <v>10038511745056.309</v>
      </c>
      <c r="J177" s="6"/>
      <c r="K177" s="6"/>
      <c r="L177" s="6"/>
      <c r="M177" s="6"/>
      <c r="N177" s="6"/>
      <c r="O177" s="6"/>
      <c r="P177" s="6"/>
      <c r="Q177" s="6"/>
      <c r="R177" s="6"/>
      <c r="X177" s="7"/>
      <c r="Z177" s="2"/>
      <c r="AA177" s="2"/>
      <c r="AB177" s="2"/>
    </row>
    <row r="178" spans="6:28" x14ac:dyDescent="0.25">
      <c r="F178" s="5">
        <f t="shared" si="34"/>
        <v>1.19642379380956E-2</v>
      </c>
      <c r="G178" s="4">
        <f t="shared" ref="G178:G241" si="35">G177*(1-$O$1)</f>
        <v>346559.00372407143</v>
      </c>
      <c r="H178" s="3">
        <f t="shared" ref="H178:H241" si="36">I178/G178</f>
        <v>28966241.353374049</v>
      </c>
      <c r="I178">
        <f t="shared" ref="I178:I241" si="37">I177</f>
        <v>10038511745056.309</v>
      </c>
      <c r="J178" s="6"/>
      <c r="K178" s="6"/>
      <c r="L178" s="6"/>
      <c r="M178" s="6"/>
      <c r="N178" s="6"/>
      <c r="O178" s="6"/>
      <c r="P178" s="6"/>
      <c r="Q178" s="6"/>
      <c r="R178" s="6"/>
      <c r="X178" s="7"/>
      <c r="Z178" s="2"/>
      <c r="AA178" s="2"/>
      <c r="AB178" s="2"/>
    </row>
    <row r="179" spans="6:28" x14ac:dyDescent="0.25">
      <c r="F179" s="5">
        <f t="shared" si="34"/>
        <v>1.1490454115747015E-2</v>
      </c>
      <c r="G179" s="4">
        <f t="shared" si="35"/>
        <v>339627.82364959002</v>
      </c>
      <c r="H179" s="3">
        <f t="shared" si="36"/>
        <v>29557389.136095967</v>
      </c>
      <c r="I179">
        <f t="shared" si="37"/>
        <v>10038511745056.309</v>
      </c>
      <c r="J179" s="6"/>
      <c r="K179" s="6"/>
      <c r="L179" s="6"/>
      <c r="M179" s="6"/>
      <c r="N179" s="6"/>
      <c r="O179" s="6"/>
      <c r="P179" s="6"/>
      <c r="Q179" s="6"/>
      <c r="R179" s="6"/>
      <c r="X179" s="7"/>
      <c r="Z179" s="2"/>
      <c r="AA179" s="2"/>
      <c r="AB179" s="2"/>
    </row>
    <row r="180" spans="6:28" x14ac:dyDescent="0.25">
      <c r="F180" s="5">
        <f t="shared" si="34"/>
        <v>1.1035432132763432E-2</v>
      </c>
      <c r="G180" s="4">
        <f t="shared" si="35"/>
        <v>332835.26717659819</v>
      </c>
      <c r="H180" s="3">
        <f t="shared" si="36"/>
        <v>30160601.1592816</v>
      </c>
      <c r="I180">
        <f t="shared" si="37"/>
        <v>10038511745056.309</v>
      </c>
      <c r="J180" s="6"/>
      <c r="K180" s="6"/>
      <c r="L180" s="6"/>
      <c r="M180" s="6"/>
      <c r="N180" s="6"/>
      <c r="O180" s="6"/>
      <c r="P180" s="6"/>
      <c r="Q180" s="6"/>
      <c r="R180" s="6"/>
      <c r="X180" s="7"/>
      <c r="Z180" s="2"/>
      <c r="AA180" s="2"/>
      <c r="AB180" s="2"/>
    </row>
    <row r="181" spans="6:28" x14ac:dyDescent="0.25">
      <c r="F181" s="5">
        <f t="shared" si="34"/>
        <v>1.0598429020305999E-2</v>
      </c>
      <c r="G181" s="4">
        <f t="shared" si="35"/>
        <v>326178.56183306623</v>
      </c>
      <c r="H181" s="3">
        <f t="shared" si="36"/>
        <v>30776123.631920002</v>
      </c>
      <c r="I181">
        <f t="shared" si="37"/>
        <v>10038511745056.309</v>
      </c>
      <c r="J181" s="6"/>
      <c r="K181" s="6"/>
      <c r="L181" s="6"/>
      <c r="M181" s="6"/>
      <c r="N181" s="6"/>
      <c r="O181" s="6"/>
      <c r="P181" s="6"/>
      <c r="Q181" s="6"/>
      <c r="R181" s="6"/>
      <c r="X181" s="7"/>
      <c r="Z181" s="2"/>
      <c r="AA181" s="2"/>
      <c r="AB181" s="2"/>
    </row>
    <row r="182" spans="6:28" x14ac:dyDescent="0.25">
      <c r="F182" s="5">
        <f t="shared" si="34"/>
        <v>1.0178731231101881E-2</v>
      </c>
      <c r="G182" s="4">
        <f t="shared" si="35"/>
        <v>319654.99059640488</v>
      </c>
      <c r="H182" s="3">
        <f t="shared" si="36"/>
        <v>31404207.787673473</v>
      </c>
      <c r="I182">
        <f t="shared" si="37"/>
        <v>10038511745056.309</v>
      </c>
      <c r="J182" s="6"/>
      <c r="K182" s="6"/>
      <c r="L182" s="6"/>
      <c r="M182" s="6"/>
      <c r="N182" s="6"/>
      <c r="O182" s="6"/>
      <c r="P182" s="6"/>
      <c r="Q182" s="6"/>
      <c r="R182" s="6"/>
      <c r="X182" s="7"/>
      <c r="Z182" s="2"/>
      <c r="AA182" s="2"/>
      <c r="AB182" s="2"/>
    </row>
    <row r="183" spans="6:28" x14ac:dyDescent="0.25">
      <c r="F183" s="5">
        <f t="shared" si="34"/>
        <v>9.7756534743502453E-3</v>
      </c>
      <c r="G183" s="4">
        <f t="shared" si="35"/>
        <v>313261.89078447677</v>
      </c>
      <c r="H183" s="3">
        <f t="shared" si="36"/>
        <v>32045109.987421911</v>
      </c>
      <c r="I183">
        <f t="shared" si="37"/>
        <v>10038511745056.309</v>
      </c>
      <c r="J183" s="6"/>
      <c r="K183" s="6"/>
      <c r="L183" s="6"/>
      <c r="M183" s="6"/>
      <c r="N183" s="6"/>
      <c r="O183" s="6"/>
      <c r="P183" s="6"/>
      <c r="Q183" s="6"/>
      <c r="R183" s="6"/>
      <c r="X183" s="7"/>
      <c r="Z183" s="2"/>
      <c r="AA183" s="2"/>
      <c r="AB183" s="2"/>
    </row>
    <row r="184" spans="6:28" x14ac:dyDescent="0.25">
      <c r="F184" s="5">
        <f t="shared" si="34"/>
        <v>9.3885375967659758E-3</v>
      </c>
      <c r="G184" s="4">
        <f t="shared" si="35"/>
        <v>306996.65296878724</v>
      </c>
      <c r="H184" s="3">
        <f t="shared" si="36"/>
        <v>32699091.82389991</v>
      </c>
      <c r="I184">
        <f t="shared" si="37"/>
        <v>10038511745056.309</v>
      </c>
      <c r="J184" s="6"/>
      <c r="K184" s="6"/>
      <c r="L184" s="6"/>
      <c r="M184" s="6"/>
      <c r="N184" s="6"/>
      <c r="O184" s="6"/>
      <c r="P184" s="6"/>
      <c r="Q184" s="6"/>
      <c r="R184" s="6"/>
      <c r="X184" s="7"/>
      <c r="Z184" s="2"/>
      <c r="AA184" s="2"/>
      <c r="AB184" s="2"/>
    </row>
    <row r="185" spans="6:28" x14ac:dyDescent="0.25">
      <c r="F185" s="5">
        <f t="shared" si="34"/>
        <v>9.0167515079340437E-3</v>
      </c>
      <c r="G185" s="4">
        <f t="shared" si="35"/>
        <v>300856.71990941151</v>
      </c>
      <c r="H185" s="3">
        <f t="shared" si="36"/>
        <v>33366420.228469294</v>
      </c>
      <c r="I185">
        <f t="shared" si="37"/>
        <v>10038511745056.309</v>
      </c>
      <c r="J185" s="6"/>
      <c r="K185" s="6"/>
      <c r="L185" s="6"/>
      <c r="M185" s="6"/>
      <c r="N185" s="6"/>
      <c r="O185" s="6"/>
      <c r="P185" s="6"/>
      <c r="Q185" s="6"/>
      <c r="R185" s="6"/>
      <c r="X185" s="7"/>
      <c r="Z185" s="2"/>
      <c r="AA185" s="2"/>
      <c r="AB185" s="2"/>
    </row>
    <row r="186" spans="6:28" x14ac:dyDescent="0.25">
      <c r="F186" s="5">
        <f t="shared" si="34"/>
        <v>8.659688148219857E-3</v>
      </c>
      <c r="G186" s="4">
        <f t="shared" si="35"/>
        <v>294839.5855112233</v>
      </c>
      <c r="H186" s="3">
        <f t="shared" si="36"/>
        <v>34047367.580070704</v>
      </c>
      <c r="I186">
        <f t="shared" si="37"/>
        <v>10038511745056.309</v>
      </c>
      <c r="J186" s="6"/>
      <c r="K186" s="6"/>
      <c r="L186" s="6"/>
      <c r="M186" s="6"/>
      <c r="N186" s="6"/>
      <c r="O186" s="6"/>
      <c r="P186" s="6"/>
      <c r="Q186" s="6"/>
      <c r="R186" s="6"/>
      <c r="X186" s="7"/>
      <c r="Z186" s="2"/>
      <c r="AA186" s="2"/>
      <c r="AB186" s="2"/>
    </row>
    <row r="187" spans="6:28" x14ac:dyDescent="0.25">
      <c r="F187" s="5">
        <f t="shared" si="34"/>
        <v>8.3167644975503507E-3</v>
      </c>
      <c r="G187" s="4">
        <f t="shared" si="35"/>
        <v>288942.79380099883</v>
      </c>
      <c r="H187" s="3">
        <f t="shared" si="36"/>
        <v>34742211.81639868</v>
      </c>
      <c r="I187">
        <f t="shared" si="37"/>
        <v>10038511745056.309</v>
      </c>
      <c r="J187" s="6"/>
      <c r="K187" s="6"/>
      <c r="L187" s="6"/>
      <c r="M187" s="6"/>
      <c r="N187" s="6"/>
      <c r="O187" s="6"/>
      <c r="P187" s="6"/>
      <c r="Q187" s="6"/>
      <c r="R187" s="6"/>
      <c r="X187" s="7"/>
      <c r="Z187" s="2"/>
      <c r="AA187" s="2"/>
      <c r="AB187" s="2"/>
    </row>
    <row r="188" spans="6:28" x14ac:dyDescent="0.25">
      <c r="F188" s="5">
        <f t="shared" si="34"/>
        <v>7.9874206234473565E-3</v>
      </c>
      <c r="G188" s="4">
        <f t="shared" si="35"/>
        <v>283163.93792497885</v>
      </c>
      <c r="H188" s="3">
        <f t="shared" si="36"/>
        <v>35451236.547345594</v>
      </c>
      <c r="I188">
        <f t="shared" si="37"/>
        <v>10038511745056.309</v>
      </c>
      <c r="J188" s="6"/>
      <c r="K188" s="6"/>
      <c r="L188" s="6"/>
      <c r="M188" s="6"/>
      <c r="N188" s="6"/>
      <c r="O188" s="6"/>
      <c r="P188" s="6"/>
      <c r="Q188" s="6"/>
      <c r="R188" s="6"/>
      <c r="X188" s="7"/>
      <c r="Z188" s="2"/>
      <c r="AA188" s="2"/>
      <c r="AB188" s="2"/>
    </row>
    <row r="189" spans="6:28" x14ac:dyDescent="0.25">
      <c r="F189" s="5">
        <f t="shared" si="34"/>
        <v>7.6711187667588407E-3</v>
      </c>
      <c r="G189" s="4">
        <f t="shared" si="35"/>
        <v>277500.65916647925</v>
      </c>
      <c r="H189" s="3">
        <f t="shared" si="36"/>
        <v>36174731.17076081</v>
      </c>
      <c r="I189">
        <f t="shared" si="37"/>
        <v>10038511745056.309</v>
      </c>
      <c r="J189" s="6"/>
      <c r="K189" s="6"/>
      <c r="L189" s="6"/>
      <c r="M189" s="6"/>
      <c r="N189" s="6"/>
      <c r="O189" s="6"/>
      <c r="P189" s="6"/>
      <c r="Q189" s="6"/>
      <c r="R189" s="6"/>
      <c r="X189" s="7"/>
      <c r="Z189" s="2"/>
      <c r="AA189" s="2"/>
      <c r="AB189" s="2"/>
    </row>
    <row r="190" spans="6:28" x14ac:dyDescent="0.25">
      <c r="F190" s="5">
        <f t="shared" si="34"/>
        <v>7.367342463595189E-3</v>
      </c>
      <c r="G190" s="4">
        <f t="shared" si="35"/>
        <v>271950.64598314965</v>
      </c>
      <c r="H190" s="3">
        <f t="shared" si="36"/>
        <v>36912990.990572259</v>
      </c>
      <c r="I190">
        <f t="shared" si="37"/>
        <v>10038511745056.309</v>
      </c>
      <c r="J190" s="6"/>
      <c r="K190" s="6"/>
      <c r="L190" s="6"/>
      <c r="M190" s="6"/>
      <c r="N190" s="6"/>
      <c r="O190" s="6"/>
      <c r="P190" s="6"/>
      <c r="Q190" s="6"/>
      <c r="R190" s="6"/>
      <c r="X190" s="7"/>
      <c r="Z190" s="2"/>
      <c r="AA190" s="2"/>
      <c r="AB190" s="2"/>
    </row>
    <row r="191" spans="6:28" x14ac:dyDescent="0.25">
      <c r="F191" s="5">
        <f t="shared" si="34"/>
        <v>7.0755957020368207E-3</v>
      </c>
      <c r="G191" s="4">
        <f t="shared" si="35"/>
        <v>266511.63306348666</v>
      </c>
      <c r="H191" s="3">
        <f t="shared" si="36"/>
        <v>37666317.337318629</v>
      </c>
      <c r="I191">
        <f t="shared" si="37"/>
        <v>10038511745056.309</v>
      </c>
      <c r="J191" s="6"/>
      <c r="K191" s="6"/>
      <c r="L191" s="6"/>
      <c r="M191" s="6"/>
      <c r="N191" s="6"/>
      <c r="O191" s="6"/>
      <c r="P191" s="6"/>
      <c r="Q191" s="6"/>
      <c r="R191" s="6"/>
      <c r="X191" s="7"/>
      <c r="Z191" s="2"/>
      <c r="AA191" s="2"/>
      <c r="AB191" s="2"/>
    </row>
    <row r="192" spans="6:28" x14ac:dyDescent="0.25">
      <c r="F192" s="5">
        <f t="shared" si="34"/>
        <v>6.7954021122361603E-3</v>
      </c>
      <c r="G192" s="4">
        <f t="shared" si="35"/>
        <v>261181.40040221691</v>
      </c>
      <c r="H192" s="3">
        <f t="shared" si="36"/>
        <v>38435017.691141464</v>
      </c>
      <c r="I192">
        <f t="shared" si="37"/>
        <v>10038511745056.309</v>
      </c>
      <c r="J192" s="6"/>
      <c r="K192" s="6"/>
      <c r="L192" s="6"/>
      <c r="M192" s="6"/>
      <c r="N192" s="6"/>
      <c r="O192" s="6"/>
      <c r="P192" s="6"/>
      <c r="Q192" s="6"/>
      <c r="R192" s="6"/>
      <c r="X192" s="7"/>
      <c r="Z192" s="2"/>
      <c r="AA192" s="2"/>
      <c r="AB192" s="2"/>
    </row>
    <row r="193" spans="6:28" x14ac:dyDescent="0.25">
      <c r="F193" s="5">
        <f t="shared" si="34"/>
        <v>6.5263041885916086E-3</v>
      </c>
      <c r="G193" s="4">
        <f t="shared" si="35"/>
        <v>255957.77239417256</v>
      </c>
      <c r="H193" s="3">
        <f t="shared" si="36"/>
        <v>39219405.807287209</v>
      </c>
      <c r="I193">
        <f t="shared" si="37"/>
        <v>10038511745056.309</v>
      </c>
      <c r="J193" s="6"/>
      <c r="K193" s="6"/>
      <c r="L193" s="6"/>
      <c r="M193" s="6"/>
      <c r="N193" s="6"/>
      <c r="O193" s="6"/>
      <c r="P193" s="6"/>
      <c r="Q193" s="6"/>
      <c r="R193" s="6"/>
      <c r="X193" s="7"/>
      <c r="Z193" s="2"/>
      <c r="AA193" s="2"/>
      <c r="AB193" s="2"/>
    </row>
    <row r="194" spans="6:28" x14ac:dyDescent="0.25">
      <c r="F194" s="5">
        <f t="shared" si="34"/>
        <v>6.2678625427233809E-3</v>
      </c>
      <c r="G194" s="4">
        <f t="shared" si="35"/>
        <v>250838.61694628911</v>
      </c>
      <c r="H194" s="3">
        <f t="shared" si="36"/>
        <v>40019801.844170623</v>
      </c>
      <c r="I194">
        <f t="shared" si="37"/>
        <v>10038511745056.309</v>
      </c>
      <c r="J194" s="6"/>
      <c r="K194" s="6"/>
      <c r="L194" s="6"/>
      <c r="M194" s="6"/>
      <c r="N194" s="6"/>
      <c r="O194" s="6"/>
      <c r="P194" s="6"/>
      <c r="Q194" s="6"/>
      <c r="R194" s="6"/>
      <c r="X194" s="7"/>
      <c r="Z194" s="2"/>
      <c r="AA194" s="2"/>
      <c r="AB194" s="2"/>
    </row>
    <row r="195" spans="6:28" x14ac:dyDescent="0.25">
      <c r="F195" s="5">
        <f t="shared" si="34"/>
        <v>6.0196551860315353E-3</v>
      </c>
      <c r="G195" s="4">
        <f t="shared" si="35"/>
        <v>245821.84460736334</v>
      </c>
      <c r="H195" s="3">
        <f t="shared" si="36"/>
        <v>40836532.49405165</v>
      </c>
      <c r="I195">
        <f t="shared" si="37"/>
        <v>10038511745056.309</v>
      </c>
      <c r="J195" s="6"/>
      <c r="K195" s="6"/>
      <c r="L195" s="6"/>
      <c r="M195" s="6"/>
      <c r="N195" s="6"/>
      <c r="O195" s="6"/>
      <c r="P195" s="6"/>
      <c r="Q195" s="6"/>
      <c r="R195" s="6"/>
      <c r="X195" s="7"/>
      <c r="Z195" s="2"/>
      <c r="AA195" s="2"/>
      <c r="AB195" s="2"/>
    </row>
    <row r="196" spans="6:28" x14ac:dyDescent="0.25">
      <c r="F196" s="5">
        <f t="shared" si="34"/>
        <v>5.7812768406646864E-3</v>
      </c>
      <c r="G196" s="4">
        <f t="shared" si="35"/>
        <v>240905.40771521608</v>
      </c>
      <c r="H196" s="3">
        <f t="shared" si="36"/>
        <v>41669931.116379239</v>
      </c>
      <c r="I196">
        <f t="shared" si="37"/>
        <v>10038511745056.309</v>
      </c>
      <c r="J196" s="6"/>
      <c r="K196" s="6"/>
      <c r="L196" s="6"/>
      <c r="M196" s="6"/>
      <c r="N196" s="6"/>
      <c r="O196" s="6"/>
      <c r="P196" s="6"/>
      <c r="Q196" s="6"/>
      <c r="R196" s="6"/>
      <c r="X196" s="7"/>
      <c r="Z196" s="2"/>
      <c r="AA196" s="2"/>
      <c r="AB196" s="2"/>
    </row>
    <row r="197" spans="6:28" x14ac:dyDescent="0.25">
      <c r="F197" s="5">
        <f t="shared" si="34"/>
        <v>5.5523382777743647E-3</v>
      </c>
      <c r="G197" s="4">
        <f t="shared" si="35"/>
        <v>236087.29956091175</v>
      </c>
      <c r="H197" s="3">
        <f t="shared" si="36"/>
        <v>42520337.873856366</v>
      </c>
      <c r="I197">
        <f t="shared" si="37"/>
        <v>10038511745056.309</v>
      </c>
      <c r="J197" s="6"/>
      <c r="K197" s="6"/>
      <c r="L197" s="6"/>
      <c r="M197" s="6"/>
      <c r="N197" s="6"/>
      <c r="O197" s="6"/>
      <c r="P197" s="6"/>
      <c r="Q197" s="6"/>
      <c r="R197" s="6"/>
      <c r="X197" s="7"/>
      <c r="Z197" s="2"/>
      <c r="AA197" s="2"/>
      <c r="AB197" s="2"/>
    </row>
    <row r="198" spans="6:28" x14ac:dyDescent="0.25">
      <c r="F198" s="5">
        <f t="shared" si="34"/>
        <v>5.3324656819745001E-3</v>
      </c>
      <c r="G198" s="4">
        <f t="shared" si="35"/>
        <v>231365.5535696935</v>
      </c>
      <c r="H198" s="3">
        <f t="shared" si="36"/>
        <v>43388099.871282004</v>
      </c>
      <c r="I198">
        <f t="shared" si="37"/>
        <v>10038511745056.309</v>
      </c>
      <c r="J198" s="6"/>
      <c r="K198" s="6"/>
      <c r="L198" s="6"/>
      <c r="M198" s="6"/>
      <c r="N198" s="6"/>
      <c r="O198" s="6"/>
      <c r="P198" s="6"/>
      <c r="Q198" s="6"/>
      <c r="R198" s="6"/>
      <c r="X198" s="7"/>
      <c r="Z198" s="2"/>
      <c r="AA198" s="2"/>
      <c r="AB198" s="2"/>
    </row>
    <row r="199" spans="6:28" x14ac:dyDescent="0.25">
      <c r="F199" s="5">
        <f t="shared" si="34"/>
        <v>5.12130004096831E-3</v>
      </c>
      <c r="G199" s="4">
        <f t="shared" si="35"/>
        <v>226738.24249829963</v>
      </c>
      <c r="H199" s="3">
        <f t="shared" si="36"/>
        <v>44273571.297226533</v>
      </c>
      <c r="I199">
        <f t="shared" si="37"/>
        <v>10038511745056.309</v>
      </c>
      <c r="J199" s="6"/>
      <c r="K199" s="6"/>
      <c r="L199" s="6"/>
      <c r="M199" s="6"/>
      <c r="N199" s="6"/>
      <c r="O199" s="6"/>
      <c r="P199" s="6"/>
      <c r="Q199" s="6"/>
      <c r="R199" s="6"/>
      <c r="X199" s="7"/>
      <c r="Z199" s="2"/>
      <c r="AA199" s="2"/>
      <c r="AB199" s="2"/>
    </row>
    <row r="200" spans="6:28" x14ac:dyDescent="0.25">
      <c r="F200" s="5">
        <f t="shared" si="34"/>
        <v>4.918496559345965E-3</v>
      </c>
      <c r="G200" s="4">
        <f t="shared" si="35"/>
        <v>222203.47764833365</v>
      </c>
      <c r="H200" s="3">
        <f t="shared" si="36"/>
        <v>45177113.568598501</v>
      </c>
      <c r="I200">
        <f t="shared" si="37"/>
        <v>10038511745056.309</v>
      </c>
      <c r="J200" s="6"/>
      <c r="K200" s="6"/>
      <c r="L200" s="6"/>
      <c r="M200" s="6"/>
      <c r="N200" s="6"/>
      <c r="O200" s="6"/>
      <c r="P200" s="6"/>
      <c r="Q200" s="6"/>
      <c r="R200" s="6"/>
      <c r="X200" s="7"/>
      <c r="Z200" s="2"/>
      <c r="AA200" s="2"/>
      <c r="AB200" s="2"/>
    </row>
    <row r="201" spans="6:28" x14ac:dyDescent="0.25">
      <c r="F201" s="5">
        <f t="shared" ref="F201:F264" si="38">G201/H201</f>
        <v>4.723724095595864E-3</v>
      </c>
      <c r="G201" s="4">
        <f t="shared" si="35"/>
        <v>217759.40809536696</v>
      </c>
      <c r="H201" s="3">
        <f t="shared" si="36"/>
        <v>46099095.478161745</v>
      </c>
      <c r="I201">
        <f t="shared" si="37"/>
        <v>10038511745056.309</v>
      </c>
      <c r="J201" s="6"/>
      <c r="K201" s="6"/>
      <c r="L201" s="6"/>
      <c r="M201" s="6"/>
      <c r="N201" s="6"/>
      <c r="O201" s="6"/>
      <c r="P201" s="6"/>
      <c r="Q201" s="6"/>
      <c r="R201" s="6"/>
      <c r="X201" s="7"/>
      <c r="Z201" s="2"/>
      <c r="AA201" s="2"/>
      <c r="AB201" s="2"/>
    </row>
    <row r="202" spans="6:28" x14ac:dyDescent="0.25">
      <c r="F202" s="5">
        <f t="shared" si="38"/>
        <v>4.536664621410268E-3</v>
      </c>
      <c r="G202" s="4">
        <f t="shared" si="35"/>
        <v>213404.21993345962</v>
      </c>
      <c r="H202" s="3">
        <f t="shared" si="36"/>
        <v>47039893.345063001</v>
      </c>
      <c r="I202">
        <f t="shared" si="37"/>
        <v>10038511745056.309</v>
      </c>
      <c r="J202" s="6"/>
      <c r="K202" s="6"/>
      <c r="L202" s="6"/>
      <c r="M202" s="6"/>
      <c r="N202" s="6"/>
      <c r="O202" s="6"/>
      <c r="P202" s="6"/>
      <c r="Q202" s="6"/>
      <c r="R202" s="6"/>
      <c r="X202" s="7"/>
      <c r="Z202" s="2"/>
      <c r="AA202" s="2"/>
      <c r="AB202" s="2"/>
    </row>
    <row r="203" spans="6:28" x14ac:dyDescent="0.25">
      <c r="F203" s="5">
        <f t="shared" si="38"/>
        <v>4.3570127024024213E-3</v>
      </c>
      <c r="G203" s="4">
        <f t="shared" si="35"/>
        <v>209136.13553479043</v>
      </c>
      <c r="H203" s="3">
        <f t="shared" si="36"/>
        <v>47999891.168431632</v>
      </c>
      <c r="I203">
        <f t="shared" si="37"/>
        <v>10038511745056.309</v>
      </c>
      <c r="J203" s="6"/>
      <c r="K203" s="6"/>
      <c r="L203" s="6"/>
      <c r="M203" s="6"/>
      <c r="N203" s="6"/>
      <c r="O203" s="6"/>
      <c r="P203" s="6"/>
      <c r="Q203" s="6"/>
      <c r="R203" s="6"/>
      <c r="X203" s="7"/>
      <c r="Z203" s="2"/>
      <c r="AA203" s="2"/>
      <c r="AB203" s="2"/>
    </row>
    <row r="204" spans="6:28" x14ac:dyDescent="0.25">
      <c r="F204" s="5">
        <f t="shared" si="38"/>
        <v>4.1844749993872853E-3</v>
      </c>
      <c r="G204" s="4">
        <f t="shared" si="35"/>
        <v>204953.41282409462</v>
      </c>
      <c r="H204" s="3">
        <f t="shared" si="36"/>
        <v>48979480.784113914</v>
      </c>
      <c r="I204">
        <f t="shared" si="37"/>
        <v>10038511745056.309</v>
      </c>
      <c r="J204" s="6"/>
      <c r="K204" s="6"/>
      <c r="L204" s="6"/>
      <c r="M204" s="6"/>
      <c r="N204" s="6"/>
      <c r="O204" s="6"/>
      <c r="P204" s="6"/>
      <c r="Q204" s="6"/>
      <c r="R204" s="6"/>
      <c r="X204" s="7"/>
      <c r="Z204" s="2"/>
      <c r="AA204" s="2"/>
      <c r="AB204" s="2"/>
    </row>
    <row r="205" spans="6:28" x14ac:dyDescent="0.25">
      <c r="F205" s="5">
        <f t="shared" si="38"/>
        <v>4.0187697894115484E-3</v>
      </c>
      <c r="G205" s="4">
        <f t="shared" si="35"/>
        <v>200854.34456761272</v>
      </c>
      <c r="H205" s="3">
        <f t="shared" si="36"/>
        <v>49979062.024606034</v>
      </c>
      <c r="I205">
        <f t="shared" si="37"/>
        <v>10038511745056.309</v>
      </c>
      <c r="J205" s="6"/>
      <c r="K205" s="6"/>
      <c r="L205" s="6"/>
      <c r="M205" s="6"/>
      <c r="N205" s="6"/>
      <c r="O205" s="6"/>
      <c r="P205" s="6"/>
      <c r="Q205" s="6"/>
      <c r="R205" s="6"/>
      <c r="X205" s="7"/>
      <c r="Z205" s="2"/>
      <c r="AA205" s="2"/>
      <c r="AB205" s="2"/>
    </row>
    <row r="206" spans="6:28" x14ac:dyDescent="0.25">
      <c r="F206" s="5">
        <f t="shared" si="38"/>
        <v>3.8596265057508506E-3</v>
      </c>
      <c r="G206" s="4">
        <f t="shared" si="35"/>
        <v>196837.25767626046</v>
      </c>
      <c r="H206" s="3">
        <f t="shared" si="36"/>
        <v>50999042.882251061</v>
      </c>
      <c r="I206">
        <f t="shared" si="37"/>
        <v>10038511745056.309</v>
      </c>
      <c r="J206" s="6"/>
      <c r="K206" s="6"/>
      <c r="L206" s="6"/>
      <c r="M206" s="6"/>
      <c r="N206" s="6"/>
      <c r="O206" s="6"/>
      <c r="P206" s="6"/>
      <c r="Q206" s="6"/>
      <c r="R206" s="6"/>
      <c r="X206" s="7"/>
      <c r="Z206" s="2"/>
      <c r="AA206" s="2"/>
      <c r="AB206" s="2"/>
    </row>
    <row r="207" spans="6:28" x14ac:dyDescent="0.25">
      <c r="F207" s="5">
        <f t="shared" si="38"/>
        <v>3.7067852961231175E-3</v>
      </c>
      <c r="G207" s="4">
        <f t="shared" si="35"/>
        <v>192900.51252273525</v>
      </c>
      <c r="H207" s="3">
        <f t="shared" si="36"/>
        <v>52039839.675766386</v>
      </c>
      <c r="I207">
        <f t="shared" si="37"/>
        <v>10038511745056.309</v>
      </c>
      <c r="J207" s="6"/>
      <c r="K207" s="6"/>
      <c r="L207" s="6"/>
      <c r="M207" s="6"/>
      <c r="N207" s="6"/>
      <c r="O207" s="6"/>
      <c r="P207" s="6"/>
      <c r="Q207" s="6"/>
      <c r="R207" s="6"/>
      <c r="X207" s="7"/>
      <c r="Z207" s="2"/>
      <c r="AA207" s="2"/>
      <c r="AB207" s="2"/>
    </row>
    <row r="208" spans="6:28" x14ac:dyDescent="0.25">
      <c r="F208" s="5">
        <f t="shared" si="38"/>
        <v>3.5599965983966419E-3</v>
      </c>
      <c r="G208" s="4">
        <f t="shared" si="35"/>
        <v>189042.50227228054</v>
      </c>
      <c r="H208" s="3">
        <f t="shared" si="36"/>
        <v>53101877.220169783</v>
      </c>
      <c r="I208">
        <f t="shared" si="37"/>
        <v>10038511745056.309</v>
      </c>
      <c r="J208" s="6"/>
      <c r="K208" s="6"/>
      <c r="L208" s="6"/>
      <c r="M208" s="6"/>
      <c r="N208" s="6"/>
      <c r="O208" s="6"/>
      <c r="P208" s="6"/>
      <c r="Q208" s="6"/>
      <c r="R208" s="6"/>
      <c r="X208" s="7"/>
      <c r="Z208" s="2"/>
      <c r="AA208" s="2"/>
      <c r="AB208" s="2"/>
    </row>
    <row r="209" spans="6:28" x14ac:dyDescent="0.25">
      <c r="F209" s="5">
        <f t="shared" si="38"/>
        <v>3.4190207331001349E-3</v>
      </c>
      <c r="G209" s="4">
        <f t="shared" si="35"/>
        <v>185261.65222683494</v>
      </c>
      <c r="H209" s="3">
        <f t="shared" si="36"/>
        <v>54185589.000173248</v>
      </c>
      <c r="I209">
        <f t="shared" si="37"/>
        <v>10038511745056.309</v>
      </c>
      <c r="J209" s="6"/>
      <c r="K209" s="6"/>
      <c r="L209" s="6"/>
      <c r="M209" s="6"/>
      <c r="N209" s="6"/>
      <c r="O209" s="6"/>
      <c r="P209" s="6"/>
      <c r="Q209" s="6"/>
      <c r="R209" s="6"/>
      <c r="X209" s="7"/>
      <c r="Z209" s="2"/>
      <c r="AA209" s="2"/>
      <c r="AB209" s="2"/>
    </row>
    <row r="210" spans="6:28" x14ac:dyDescent="0.25">
      <c r="F210" s="5">
        <f t="shared" si="38"/>
        <v>3.2836275120693699E-3</v>
      </c>
      <c r="G210" s="4">
        <f t="shared" si="35"/>
        <v>181556.41918229824</v>
      </c>
      <c r="H210" s="3">
        <f t="shared" si="36"/>
        <v>55291417.347115554</v>
      </c>
      <c r="I210">
        <f t="shared" si="37"/>
        <v>10038511745056.309</v>
      </c>
      <c r="J210" s="6"/>
      <c r="K210" s="6"/>
      <c r="L210" s="6"/>
      <c r="M210" s="6"/>
      <c r="N210" s="6"/>
      <c r="O210" s="6"/>
      <c r="P210" s="6"/>
      <c r="Q210" s="6"/>
      <c r="R210" s="6"/>
      <c r="X210" s="7"/>
      <c r="Z210" s="2"/>
      <c r="AA210" s="2"/>
      <c r="AB210" s="2"/>
    </row>
    <row r="211" spans="6:28" x14ac:dyDescent="0.25">
      <c r="F211" s="5">
        <f t="shared" si="38"/>
        <v>3.1535958625914223E-3</v>
      </c>
      <c r="G211" s="4">
        <f t="shared" si="35"/>
        <v>177925.29079865228</v>
      </c>
      <c r="H211" s="3">
        <f t="shared" si="36"/>
        <v>56419813.619505674</v>
      </c>
      <c r="I211">
        <f t="shared" si="37"/>
        <v>10038511745056.309</v>
      </c>
      <c r="J211" s="6"/>
      <c r="K211" s="6"/>
      <c r="L211" s="6"/>
      <c r="M211" s="6"/>
      <c r="N211" s="6"/>
      <c r="O211" s="6"/>
      <c r="P211" s="6"/>
      <c r="Q211" s="6"/>
      <c r="R211" s="6"/>
      <c r="X211" s="7"/>
      <c r="Z211" s="2"/>
      <c r="AA211" s="2"/>
      <c r="AB211" s="2"/>
    </row>
    <row r="212" spans="6:28" x14ac:dyDescent="0.25">
      <c r="F212" s="5">
        <f t="shared" si="38"/>
        <v>3.0287134664328023E-3</v>
      </c>
      <c r="G212" s="4">
        <f t="shared" si="35"/>
        <v>174366.78498267924</v>
      </c>
      <c r="H212" s="3">
        <f t="shared" si="36"/>
        <v>57571238.387250684</v>
      </c>
      <c r="I212">
        <f t="shared" si="37"/>
        <v>10038511745056.309</v>
      </c>
      <c r="J212" s="6"/>
      <c r="K212" s="6"/>
      <c r="L212" s="6"/>
      <c r="M212" s="6"/>
      <c r="N212" s="6"/>
      <c r="O212" s="6"/>
      <c r="P212" s="6"/>
      <c r="Q212" s="6"/>
      <c r="R212" s="6"/>
      <c r="X212" s="7"/>
      <c r="Z212" s="2"/>
      <c r="AA212" s="2"/>
      <c r="AB212" s="2"/>
    </row>
    <row r="213" spans="6:28" x14ac:dyDescent="0.25">
      <c r="F213" s="5">
        <f t="shared" si="38"/>
        <v>2.9087764131620628E-3</v>
      </c>
      <c r="G213" s="4">
        <f t="shared" si="35"/>
        <v>170879.44928302563</v>
      </c>
      <c r="H213" s="3">
        <f t="shared" si="36"/>
        <v>58746161.619643562</v>
      </c>
      <c r="I213">
        <f t="shared" si="37"/>
        <v>10038511745056.309</v>
      </c>
      <c r="J213" s="6"/>
      <c r="K213" s="6"/>
      <c r="L213" s="6"/>
      <c r="M213" s="6"/>
      <c r="N213" s="6"/>
      <c r="O213" s="6"/>
      <c r="P213" s="6"/>
      <c r="Q213" s="6"/>
      <c r="R213" s="6"/>
      <c r="X213" s="7"/>
      <c r="Z213" s="2"/>
      <c r="AA213" s="2"/>
      <c r="AB213" s="2"/>
    </row>
    <row r="214" spans="6:28" x14ac:dyDescent="0.25">
      <c r="F214" s="5">
        <f t="shared" si="38"/>
        <v>2.793588867200845E-3</v>
      </c>
      <c r="G214" s="4">
        <f t="shared" si="35"/>
        <v>167461.86029736511</v>
      </c>
      <c r="H214" s="3">
        <f t="shared" si="36"/>
        <v>59945062.877187304</v>
      </c>
      <c r="I214">
        <f t="shared" si="37"/>
        <v>10038511745056.309</v>
      </c>
      <c r="J214" s="6"/>
      <c r="K214" s="6"/>
      <c r="L214" s="6"/>
      <c r="M214" s="6"/>
      <c r="N214" s="6"/>
      <c r="O214" s="6"/>
      <c r="P214" s="6"/>
      <c r="Q214" s="6"/>
      <c r="R214" s="6"/>
      <c r="X214" s="7"/>
      <c r="Z214" s="2"/>
      <c r="AA214" s="2"/>
      <c r="AB214" s="2"/>
    </row>
    <row r="215" spans="6:28" x14ac:dyDescent="0.25">
      <c r="F215" s="5">
        <f t="shared" si="38"/>
        <v>2.6829627480596911E-3</v>
      </c>
      <c r="G215" s="4">
        <f t="shared" si="35"/>
        <v>164112.6230914178</v>
      </c>
      <c r="H215" s="3">
        <f t="shared" si="36"/>
        <v>61168431.507333994</v>
      </c>
      <c r="I215">
        <f t="shared" si="37"/>
        <v>10038511745056.309</v>
      </c>
      <c r="J215" s="6"/>
      <c r="K215" s="6"/>
      <c r="L215" s="6"/>
      <c r="M215" s="6"/>
      <c r="N215" s="6"/>
      <c r="O215" s="6"/>
      <c r="P215" s="6"/>
      <c r="Q215" s="6"/>
      <c r="R215" s="6"/>
      <c r="X215" s="7"/>
      <c r="Z215" s="2"/>
      <c r="AA215" s="2"/>
      <c r="AB215" s="2"/>
    </row>
    <row r="216" spans="6:28" x14ac:dyDescent="0.25">
      <c r="F216" s="5">
        <f t="shared" si="38"/>
        <v>2.5767174232365275E-3</v>
      </c>
      <c r="G216" s="4">
        <f t="shared" si="35"/>
        <v>160830.37062958945</v>
      </c>
      <c r="H216" s="3">
        <f t="shared" si="36"/>
        <v>62416766.844218358</v>
      </c>
      <c r="I216">
        <f t="shared" si="37"/>
        <v>10038511745056.309</v>
      </c>
      <c r="J216" s="6"/>
      <c r="K216" s="6"/>
      <c r="L216" s="6"/>
      <c r="M216" s="6"/>
      <c r="N216" s="6"/>
      <c r="O216" s="6"/>
      <c r="P216" s="6"/>
      <c r="Q216" s="6"/>
      <c r="R216" s="6"/>
      <c r="X216" s="7"/>
      <c r="Z216" s="2"/>
      <c r="AA216" s="2"/>
      <c r="AB216" s="2"/>
    </row>
    <row r="217" spans="6:28" x14ac:dyDescent="0.25">
      <c r="F217" s="5">
        <f t="shared" si="38"/>
        <v>2.4746794132763615E-3</v>
      </c>
      <c r="G217" s="4">
        <f t="shared" si="35"/>
        <v>157613.76321699767</v>
      </c>
      <c r="H217" s="3">
        <f t="shared" si="36"/>
        <v>63690578.412467703</v>
      </c>
      <c r="I217">
        <f t="shared" si="37"/>
        <v>10038511745056.309</v>
      </c>
      <c r="J217" s="6"/>
      <c r="K217" s="6"/>
      <c r="L217" s="6"/>
      <c r="M217" s="6"/>
      <c r="N217" s="6"/>
      <c r="O217" s="6"/>
      <c r="P217" s="6"/>
      <c r="Q217" s="6"/>
      <c r="R217" s="6"/>
      <c r="X217" s="7"/>
      <c r="Z217" s="2"/>
      <c r="AA217" s="2"/>
      <c r="AB217" s="2"/>
    </row>
    <row r="218" spans="6:28" x14ac:dyDescent="0.25">
      <c r="F218" s="5">
        <f t="shared" si="38"/>
        <v>2.3766821085106173E-3</v>
      </c>
      <c r="G218" s="4">
        <f t="shared" si="35"/>
        <v>154461.48795265771</v>
      </c>
      <c r="H218" s="3">
        <f t="shared" si="36"/>
        <v>64990386.13517113</v>
      </c>
      <c r="I218">
        <f t="shared" si="37"/>
        <v>10038511745056.309</v>
      </c>
      <c r="J218" s="6"/>
      <c r="K218" s="6"/>
      <c r="L218" s="6"/>
      <c r="M218" s="6"/>
      <c r="N218" s="6"/>
      <c r="O218" s="6"/>
      <c r="P218" s="6"/>
      <c r="Q218" s="6"/>
      <c r="R218" s="6"/>
      <c r="X218" s="7"/>
      <c r="Z218" s="2"/>
      <c r="AA218" s="2"/>
      <c r="AB218" s="2"/>
    </row>
    <row r="219" spans="6:28" x14ac:dyDescent="0.25">
      <c r="F219" s="5">
        <f t="shared" si="38"/>
        <v>2.2825654970135972E-3</v>
      </c>
      <c r="G219" s="4">
        <f t="shared" si="35"/>
        <v>151372.25819360456</v>
      </c>
      <c r="H219" s="3">
        <f t="shared" si="36"/>
        <v>66316720.546092987</v>
      </c>
      <c r="I219">
        <f t="shared" si="37"/>
        <v>10038511745056.309</v>
      </c>
      <c r="J219" s="6"/>
      <c r="K219" s="6"/>
      <c r="L219" s="6"/>
      <c r="M219" s="6"/>
      <c r="N219" s="6"/>
      <c r="O219" s="6"/>
      <c r="P219" s="6"/>
      <c r="Q219" s="6"/>
      <c r="R219" s="6"/>
      <c r="X219" s="7"/>
      <c r="Z219" s="2"/>
      <c r="AA219" s="2"/>
      <c r="AB219" s="2"/>
    </row>
    <row r="220" spans="6:28" x14ac:dyDescent="0.25">
      <c r="F220" s="5">
        <f t="shared" si="38"/>
        <v>2.1921759033318587E-3</v>
      </c>
      <c r="G220" s="4">
        <f t="shared" si="35"/>
        <v>148344.81302973247</v>
      </c>
      <c r="H220" s="3">
        <f t="shared" si="36"/>
        <v>67670123.006217331</v>
      </c>
      <c r="I220">
        <f t="shared" si="37"/>
        <v>10038511745056.309</v>
      </c>
      <c r="J220" s="6"/>
      <c r="K220" s="6"/>
      <c r="L220" s="6"/>
      <c r="M220" s="6"/>
      <c r="N220" s="6"/>
      <c r="O220" s="6"/>
      <c r="P220" s="6"/>
      <c r="Q220" s="6"/>
      <c r="R220" s="6"/>
      <c r="X220" s="7"/>
      <c r="Z220" s="2"/>
      <c r="AA220" s="2"/>
      <c r="AB220" s="2"/>
    </row>
    <row r="221" spans="6:28" x14ac:dyDescent="0.25">
      <c r="F221" s="5">
        <f t="shared" si="38"/>
        <v>2.1053657375599169E-3</v>
      </c>
      <c r="G221" s="4">
        <f t="shared" si="35"/>
        <v>145377.91676913781</v>
      </c>
      <c r="H221" s="3">
        <f t="shared" si="36"/>
        <v>69051145.92471157</v>
      </c>
      <c r="I221">
        <f t="shared" si="37"/>
        <v>10038511745056.309</v>
      </c>
      <c r="J221" s="6"/>
      <c r="K221" s="6"/>
      <c r="L221" s="6"/>
      <c r="M221" s="6"/>
      <c r="N221" s="6"/>
      <c r="O221" s="6"/>
      <c r="P221" s="6"/>
      <c r="Q221" s="6"/>
      <c r="R221" s="6"/>
      <c r="X221" s="7"/>
      <c r="Z221" s="2"/>
      <c r="AA221" s="2"/>
      <c r="AB221" s="2"/>
    </row>
    <row r="222" spans="6:28" x14ac:dyDescent="0.25">
      <c r="F222" s="5">
        <f t="shared" si="38"/>
        <v>2.0219932543525439E-3</v>
      </c>
      <c r="G222" s="4">
        <f t="shared" si="35"/>
        <v>142470.35843375506</v>
      </c>
      <c r="H222" s="3">
        <f t="shared" si="36"/>
        <v>70460352.984399557</v>
      </c>
      <c r="I222">
        <f t="shared" si="37"/>
        <v>10038511745056.309</v>
      </c>
      <c r="J222" s="6"/>
      <c r="K222" s="6"/>
      <c r="L222" s="6"/>
      <c r="M222" s="6"/>
      <c r="N222" s="6"/>
      <c r="O222" s="6"/>
      <c r="P222" s="6"/>
      <c r="Q222" s="6"/>
      <c r="R222" s="6"/>
      <c r="X222" s="7"/>
      <c r="Z222" s="2"/>
      <c r="AA222" s="2"/>
      <c r="AB222" s="2"/>
    </row>
    <row r="223" spans="6:28" x14ac:dyDescent="0.25">
      <c r="F223" s="5">
        <f t="shared" si="38"/>
        <v>1.9419223214801832E-3</v>
      </c>
      <c r="G223" s="4">
        <f t="shared" si="35"/>
        <v>139620.95126507996</v>
      </c>
      <c r="H223" s="3">
        <f t="shared" si="36"/>
        <v>71898319.37183629</v>
      </c>
      <c r="I223">
        <f t="shared" si="37"/>
        <v>10038511745056.309</v>
      </c>
      <c r="J223" s="6"/>
      <c r="K223" s="6"/>
      <c r="L223" s="6"/>
      <c r="M223" s="6"/>
      <c r="N223" s="6"/>
      <c r="O223" s="6"/>
      <c r="P223" s="6"/>
      <c r="Q223" s="6"/>
      <c r="R223" s="6"/>
      <c r="X223" s="7"/>
      <c r="Z223" s="2"/>
      <c r="AA223" s="2"/>
      <c r="AB223" s="2"/>
    </row>
    <row r="224" spans="6:28" x14ac:dyDescent="0.25">
      <c r="F224" s="5">
        <f t="shared" si="38"/>
        <v>1.8650221975495677E-3</v>
      </c>
      <c r="G224" s="4">
        <f t="shared" si="35"/>
        <v>136828.53223977835</v>
      </c>
      <c r="H224" s="3">
        <f t="shared" si="36"/>
        <v>73365632.012077853</v>
      </c>
      <c r="I224">
        <f t="shared" si="37"/>
        <v>10038511745056.309</v>
      </c>
      <c r="J224" s="6"/>
      <c r="K224" s="6"/>
      <c r="L224" s="6"/>
      <c r="M224" s="6"/>
      <c r="N224" s="6"/>
      <c r="O224" s="6"/>
      <c r="P224" s="6"/>
      <c r="Q224" s="6"/>
      <c r="R224" s="6"/>
      <c r="X224" s="7"/>
      <c r="Z224" s="2"/>
      <c r="AA224" s="2"/>
      <c r="AB224" s="2"/>
    </row>
    <row r="225" spans="6:28" x14ac:dyDescent="0.25">
      <c r="F225" s="5">
        <f t="shared" si="38"/>
        <v>1.7911673185266046E-3</v>
      </c>
      <c r="G225" s="4">
        <f t="shared" si="35"/>
        <v>134091.96159498277</v>
      </c>
      <c r="H225" s="3">
        <f t="shared" si="36"/>
        <v>74862889.808242708</v>
      </c>
      <c r="I225">
        <f t="shared" si="37"/>
        <v>10038511745056.309</v>
      </c>
      <c r="J225" s="6"/>
      <c r="K225" s="6"/>
      <c r="L225" s="6"/>
      <c r="M225" s="6"/>
      <c r="N225" s="6"/>
      <c r="O225" s="6"/>
      <c r="P225" s="6"/>
      <c r="Q225" s="6"/>
      <c r="R225" s="6"/>
      <c r="X225" s="7"/>
      <c r="Z225" s="2"/>
      <c r="AA225" s="2"/>
      <c r="AB225" s="2"/>
    </row>
    <row r="226" spans="6:28" x14ac:dyDescent="0.25">
      <c r="F226" s="5">
        <f t="shared" si="38"/>
        <v>1.7202370927129511E-3</v>
      </c>
      <c r="G226" s="4">
        <f t="shared" si="35"/>
        <v>131410.12236308312</v>
      </c>
      <c r="H226" s="3">
        <f t="shared" si="36"/>
        <v>76390703.88596195</v>
      </c>
      <c r="I226">
        <f t="shared" si="37"/>
        <v>10038511745056.309</v>
      </c>
      <c r="J226" s="6"/>
      <c r="K226" s="6"/>
      <c r="L226" s="6"/>
      <c r="M226" s="6"/>
      <c r="N226" s="6"/>
      <c r="O226" s="6"/>
      <c r="P226" s="6"/>
      <c r="Q226" s="6"/>
      <c r="R226" s="6"/>
      <c r="X226" s="7"/>
      <c r="Z226" s="2"/>
      <c r="AA226" s="2"/>
      <c r="AB226" s="2"/>
    </row>
    <row r="227" spans="6:28" x14ac:dyDescent="0.25">
      <c r="F227" s="5">
        <f t="shared" si="38"/>
        <v>1.6521157038415185E-3</v>
      </c>
      <c r="G227" s="4">
        <f t="shared" si="35"/>
        <v>128781.91991582146</v>
      </c>
      <c r="H227" s="3">
        <f t="shared" si="36"/>
        <v>77949697.842818305</v>
      </c>
      <c r="I227">
        <f t="shared" si="37"/>
        <v>10038511745056.309</v>
      </c>
      <c r="J227" s="6"/>
      <c r="K227" s="6"/>
      <c r="L227" s="6"/>
      <c r="M227" s="6"/>
      <c r="N227" s="6"/>
      <c r="O227" s="6"/>
      <c r="P227" s="6"/>
      <c r="Q227" s="6"/>
      <c r="R227" s="6"/>
      <c r="X227" s="7"/>
      <c r="Z227" s="2"/>
      <c r="AA227" s="2"/>
      <c r="AB227" s="2"/>
    </row>
    <row r="228" spans="6:28" x14ac:dyDescent="0.25">
      <c r="F228" s="5">
        <f t="shared" si="38"/>
        <v>1.5866919219693944E-3</v>
      </c>
      <c r="G228" s="4">
        <f t="shared" si="35"/>
        <v>126206.28151750503</v>
      </c>
      <c r="H228" s="3">
        <f t="shared" si="36"/>
        <v>79540508.00287582</v>
      </c>
      <c r="I228">
        <f t="shared" si="37"/>
        <v>10038511745056.309</v>
      </c>
      <c r="J228" s="6"/>
      <c r="K228" s="6"/>
      <c r="L228" s="6"/>
      <c r="M228" s="6"/>
      <c r="N228" s="6"/>
      <c r="O228" s="6"/>
      <c r="P228" s="6"/>
      <c r="Q228" s="6"/>
      <c r="R228" s="6"/>
      <c r="X228" s="7"/>
      <c r="Z228" s="2"/>
      <c r="AA228" s="2"/>
      <c r="AB228" s="2"/>
    </row>
    <row r="229" spans="6:28" x14ac:dyDescent="0.25">
      <c r="F229" s="5">
        <f t="shared" si="38"/>
        <v>1.5238589218594062E-3</v>
      </c>
      <c r="G229" s="4">
        <f t="shared" si="35"/>
        <v>123682.15588715494</v>
      </c>
      <c r="H229" s="3">
        <f t="shared" si="36"/>
        <v>81163783.67640391</v>
      </c>
      <c r="I229">
        <f t="shared" si="37"/>
        <v>10038511745056.309</v>
      </c>
      <c r="J229" s="6"/>
      <c r="K229" s="6"/>
      <c r="L229" s="6"/>
      <c r="M229" s="6"/>
      <c r="N229" s="6"/>
      <c r="O229" s="6"/>
      <c r="P229" s="6"/>
      <c r="Q229" s="6"/>
      <c r="R229" s="6"/>
      <c r="X229" s="7"/>
      <c r="Z229" s="2"/>
      <c r="AA229" s="2"/>
      <c r="AB229" s="2"/>
    </row>
    <row r="230" spans="6:28" x14ac:dyDescent="0.25">
      <c r="F230" s="5">
        <f t="shared" si="38"/>
        <v>1.4635141085537736E-3</v>
      </c>
      <c r="G230" s="4">
        <f t="shared" si="35"/>
        <v>121208.51276941183</v>
      </c>
      <c r="H230" s="3">
        <f t="shared" si="36"/>
        <v>82820187.424901947</v>
      </c>
      <c r="I230">
        <f t="shared" si="37"/>
        <v>10038511745056.309</v>
      </c>
      <c r="J230" s="6"/>
      <c r="K230" s="6"/>
      <c r="L230" s="6"/>
      <c r="M230" s="6"/>
      <c r="N230" s="6"/>
      <c r="O230" s="6"/>
      <c r="P230" s="6"/>
      <c r="Q230" s="6"/>
      <c r="R230" s="6"/>
      <c r="X230" s="7"/>
      <c r="Z230" s="2"/>
      <c r="AA230" s="2"/>
      <c r="AB230" s="2"/>
    </row>
    <row r="231" spans="6:28" x14ac:dyDescent="0.25">
      <c r="F231" s="5">
        <f t="shared" si="38"/>
        <v>1.4055589498550443E-3</v>
      </c>
      <c r="G231" s="4">
        <f t="shared" si="35"/>
        <v>118784.34251402359</v>
      </c>
      <c r="H231" s="3">
        <f t="shared" si="36"/>
        <v>84510395.331532598</v>
      </c>
      <c r="I231">
        <f t="shared" si="37"/>
        <v>10038511745056.309</v>
      </c>
      <c r="J231" s="6"/>
      <c r="K231" s="6"/>
      <c r="L231" s="6"/>
      <c r="M231" s="6"/>
      <c r="N231" s="6"/>
      <c r="O231" s="6"/>
      <c r="P231" s="6"/>
      <c r="Q231" s="6"/>
      <c r="R231" s="6"/>
      <c r="X231" s="7"/>
      <c r="Z231" s="2"/>
      <c r="AA231" s="2"/>
      <c r="AB231" s="2"/>
    </row>
    <row r="232" spans="6:28" x14ac:dyDescent="0.25">
      <c r="F232" s="5">
        <f t="shared" si="38"/>
        <v>1.3498988154407843E-3</v>
      </c>
      <c r="G232" s="4">
        <f t="shared" si="35"/>
        <v>116408.65566374312</v>
      </c>
      <c r="H232" s="3">
        <f t="shared" si="36"/>
        <v>86235097.277074084</v>
      </c>
      <c r="I232">
        <f t="shared" si="37"/>
        <v>10038511745056.309</v>
      </c>
      <c r="J232" s="6"/>
      <c r="K232" s="6"/>
      <c r="L232" s="6"/>
      <c r="M232" s="6"/>
      <c r="N232" s="6"/>
      <c r="O232" s="6"/>
      <c r="P232" s="6"/>
      <c r="Q232" s="6"/>
      <c r="R232" s="6"/>
      <c r="X232" s="7"/>
      <c r="Z232" s="2"/>
      <c r="AA232" s="2"/>
      <c r="AB232" s="2"/>
    </row>
    <row r="233" spans="6:28" x14ac:dyDescent="0.25">
      <c r="F233" s="5">
        <f t="shared" si="38"/>
        <v>1.2964428223493293E-3</v>
      </c>
      <c r="G233" s="4">
        <f t="shared" si="35"/>
        <v>114080.48255046825</v>
      </c>
      <c r="H233" s="3">
        <f t="shared" si="36"/>
        <v>87994997.221504167</v>
      </c>
      <c r="I233">
        <f t="shared" si="37"/>
        <v>10038511745056.309</v>
      </c>
      <c r="J233" s="6"/>
      <c r="K233" s="6"/>
      <c r="L233" s="6"/>
      <c r="M233" s="6"/>
      <c r="N233" s="6"/>
      <c r="O233" s="6"/>
      <c r="P233" s="6"/>
      <c r="Q233" s="6"/>
      <c r="R233" s="6"/>
      <c r="X233" s="7"/>
      <c r="Z233" s="2"/>
      <c r="AA233" s="2"/>
      <c r="AB233" s="2"/>
    </row>
    <row r="234" spans="6:28" x14ac:dyDescent="0.25">
      <c r="F234" s="5">
        <f t="shared" si="38"/>
        <v>1.2451036865842957E-3</v>
      </c>
      <c r="G234" s="4">
        <f t="shared" si="35"/>
        <v>111798.87289945889</v>
      </c>
      <c r="H234" s="3">
        <f t="shared" si="36"/>
        <v>89790813.491330788</v>
      </c>
      <c r="I234">
        <f t="shared" si="37"/>
        <v>10038511745056.309</v>
      </c>
      <c r="J234" s="6"/>
      <c r="K234" s="6"/>
      <c r="L234" s="6"/>
      <c r="M234" s="6"/>
      <c r="N234" s="6"/>
      <c r="O234" s="6"/>
      <c r="P234" s="6"/>
      <c r="Q234" s="6"/>
      <c r="R234" s="6"/>
      <c r="X234" s="7"/>
      <c r="Z234" s="2"/>
      <c r="AA234" s="2"/>
      <c r="AB234" s="2"/>
    </row>
    <row r="235" spans="6:28" x14ac:dyDescent="0.25">
      <c r="F235" s="5">
        <f t="shared" si="38"/>
        <v>1.1957975805955577E-3</v>
      </c>
      <c r="G235" s="4">
        <f t="shared" si="35"/>
        <v>109562.89544146971</v>
      </c>
      <c r="H235" s="3">
        <f t="shared" si="36"/>
        <v>91623279.07278651</v>
      </c>
      <c r="I235">
        <f t="shared" si="37"/>
        <v>10038511745056.309</v>
      </c>
      <c r="J235" s="6"/>
      <c r="K235" s="6"/>
      <c r="L235" s="6"/>
      <c r="M235" s="6"/>
      <c r="N235" s="6"/>
      <c r="O235" s="6"/>
      <c r="P235" s="6"/>
      <c r="Q235" s="6"/>
      <c r="R235" s="6"/>
      <c r="X235" s="7"/>
      <c r="Z235" s="2"/>
      <c r="AA235" s="2"/>
      <c r="AB235" s="2"/>
    </row>
    <row r="236" spans="6:28" x14ac:dyDescent="0.25">
      <c r="F236" s="5">
        <f t="shared" si="38"/>
        <v>1.1484439964039733E-3</v>
      </c>
      <c r="G236" s="4">
        <f t="shared" si="35"/>
        <v>107371.63753264031</v>
      </c>
      <c r="H236" s="3">
        <f t="shared" si="36"/>
        <v>93493141.911006659</v>
      </c>
      <c r="I236">
        <f t="shared" si="37"/>
        <v>10038511745056.309</v>
      </c>
      <c r="J236" s="6"/>
      <c r="K236" s="6"/>
      <c r="L236" s="6"/>
      <c r="M236" s="6"/>
      <c r="N236" s="6"/>
      <c r="O236" s="6"/>
      <c r="P236" s="6"/>
      <c r="Q236" s="6"/>
      <c r="R236" s="6"/>
      <c r="X236" s="7"/>
      <c r="Z236" s="2"/>
      <c r="AA236" s="2"/>
      <c r="AB236" s="2"/>
    </row>
    <row r="237" spans="6:28" x14ac:dyDescent="0.25">
      <c r="F237" s="5">
        <f t="shared" si="38"/>
        <v>1.1029656141463761E-3</v>
      </c>
      <c r="G237" s="4">
        <f t="shared" si="35"/>
        <v>105224.2047819875</v>
      </c>
      <c r="H237" s="3">
        <f t="shared" si="36"/>
        <v>95401165.215312913</v>
      </c>
      <c r="I237">
        <f t="shared" si="37"/>
        <v>10038511745056.309</v>
      </c>
      <c r="J237" s="6"/>
      <c r="K237" s="6"/>
      <c r="L237" s="6"/>
      <c r="M237" s="6"/>
      <c r="N237" s="6"/>
      <c r="O237" s="6"/>
      <c r="P237" s="6"/>
      <c r="Q237" s="6"/>
      <c r="R237" s="6"/>
      <c r="X237" s="7"/>
      <c r="Z237" s="2"/>
      <c r="AA237" s="2"/>
      <c r="AB237" s="2"/>
    </row>
    <row r="238" spans="6:28" x14ac:dyDescent="0.25">
      <c r="F238" s="5">
        <f t="shared" si="38"/>
        <v>1.0592881758261796E-3</v>
      </c>
      <c r="G238" s="4">
        <f t="shared" si="35"/>
        <v>103119.72068634775</v>
      </c>
      <c r="H238" s="3">
        <f t="shared" si="36"/>
        <v>97348127.770727471</v>
      </c>
      <c r="I238">
        <f t="shared" si="37"/>
        <v>10038511745056.309</v>
      </c>
      <c r="J238" s="6"/>
      <c r="K238" s="6"/>
      <c r="L238" s="6"/>
      <c r="M238" s="6"/>
      <c r="N238" s="6"/>
      <c r="O238" s="6"/>
      <c r="P238" s="6"/>
      <c r="Q238" s="6"/>
      <c r="R238" s="6"/>
      <c r="X238" s="7"/>
      <c r="Z238" s="2"/>
      <c r="AA238" s="2"/>
      <c r="AB238" s="2"/>
    </row>
    <row r="239" spans="6:28" x14ac:dyDescent="0.25">
      <c r="F239" s="5">
        <f t="shared" si="38"/>
        <v>1.0173403640634628E-3</v>
      </c>
      <c r="G239" s="4">
        <f t="shared" si="35"/>
        <v>101057.32627262079</v>
      </c>
      <c r="H239" s="3">
        <f t="shared" si="36"/>
        <v>99334824.255844355</v>
      </c>
      <c r="I239">
        <f t="shared" si="37"/>
        <v>10038511745056.309</v>
      </c>
      <c r="J239" s="6"/>
      <c r="K239" s="6"/>
      <c r="L239" s="6"/>
      <c r="M239" s="6"/>
      <c r="N239" s="6"/>
      <c r="O239" s="6"/>
      <c r="P239" s="6"/>
      <c r="Q239" s="6"/>
      <c r="R239" s="6"/>
      <c r="X239" s="7"/>
      <c r="Z239" s="2"/>
      <c r="AA239" s="2"/>
      <c r="AB239" s="2"/>
    </row>
    <row r="240" spans="6:28" x14ac:dyDescent="0.25">
      <c r="F240" s="5">
        <f t="shared" si="38"/>
        <v>9.7705368564654938E-4</v>
      </c>
      <c r="G240" s="4">
        <f t="shared" si="35"/>
        <v>99036.179747168368</v>
      </c>
      <c r="H240" s="3">
        <f t="shared" si="36"/>
        <v>101362065.56718813</v>
      </c>
      <c r="I240">
        <f t="shared" si="37"/>
        <v>10038511745056.309</v>
      </c>
      <c r="J240" s="6"/>
      <c r="K240" s="6"/>
      <c r="L240" s="6"/>
      <c r="M240" s="6"/>
      <c r="N240" s="6"/>
      <c r="O240" s="6"/>
      <c r="P240" s="6"/>
      <c r="Q240" s="6"/>
      <c r="R240" s="6"/>
      <c r="X240" s="7"/>
      <c r="Z240" s="2"/>
      <c r="AA240" s="2"/>
      <c r="AB240" s="2"/>
    </row>
    <row r="241" spans="6:28" x14ac:dyDescent="0.25">
      <c r="F241" s="5">
        <f t="shared" si="38"/>
        <v>9.3836235969494623E-4</v>
      </c>
      <c r="G241" s="4">
        <f t="shared" si="35"/>
        <v>97055.456152225001</v>
      </c>
      <c r="H241" s="3">
        <f t="shared" si="36"/>
        <v>103430679.15019196</v>
      </c>
      <c r="I241">
        <f t="shared" si="37"/>
        <v>10038511745056.309</v>
      </c>
      <c r="J241" s="6"/>
      <c r="K241" s="6"/>
      <c r="L241" s="6"/>
      <c r="M241" s="6"/>
      <c r="N241" s="6"/>
      <c r="O241" s="6"/>
      <c r="P241" s="6"/>
      <c r="Q241" s="6"/>
      <c r="R241" s="6"/>
      <c r="X241" s="7"/>
      <c r="Z241" s="2"/>
      <c r="AA241" s="2"/>
      <c r="AB241" s="2"/>
    </row>
    <row r="242" spans="6:28" x14ac:dyDescent="0.25">
      <c r="F242" s="5">
        <f t="shared" si="38"/>
        <v>9.0120321025102628E-4</v>
      </c>
      <c r="G242" s="4">
        <f t="shared" ref="G242:G305" si="39">G241*(1-$O$1)</f>
        <v>95114.347029180499</v>
      </c>
      <c r="H242" s="3">
        <f t="shared" ref="H242:H305" si="40">I242/G242</f>
        <v>105541509.33693057</v>
      </c>
      <c r="I242">
        <f t="shared" ref="I242:I305" si="41">I241</f>
        <v>10038511745056.309</v>
      </c>
      <c r="J242" s="6"/>
      <c r="K242" s="6"/>
      <c r="L242" s="6"/>
      <c r="M242" s="6"/>
      <c r="N242" s="6"/>
      <c r="O242" s="6"/>
      <c r="P242" s="6"/>
      <c r="Q242" s="6"/>
      <c r="R242" s="6"/>
      <c r="X242" s="7"/>
      <c r="Z242" s="2"/>
      <c r="AA242" s="2"/>
      <c r="AB242" s="2"/>
    </row>
    <row r="243" spans="6:28" x14ac:dyDescent="0.25">
      <c r="F243" s="5">
        <f t="shared" si="38"/>
        <v>8.6551556312508559E-4</v>
      </c>
      <c r="G243" s="4">
        <f t="shared" si="39"/>
        <v>93212.060088596889</v>
      </c>
      <c r="H243" s="3">
        <f t="shared" si="40"/>
        <v>107695417.69074549</v>
      </c>
      <c r="I243">
        <f t="shared" si="41"/>
        <v>10038511745056.309</v>
      </c>
      <c r="J243" s="6"/>
      <c r="K243" s="6"/>
      <c r="L243" s="6"/>
      <c r="M243" s="6"/>
      <c r="N243" s="6"/>
      <c r="O243" s="6"/>
      <c r="P243" s="6"/>
      <c r="Q243" s="6"/>
      <c r="R243" s="6"/>
      <c r="X243" s="7"/>
      <c r="Z243" s="2"/>
      <c r="AA243" s="2"/>
      <c r="AB243" s="2"/>
    </row>
    <row r="244" spans="6:28" x14ac:dyDescent="0.25">
      <c r="F244" s="5">
        <f t="shared" si="38"/>
        <v>8.3124114682533231E-4</v>
      </c>
      <c r="G244" s="4">
        <f t="shared" si="39"/>
        <v>91347.818886824956</v>
      </c>
      <c r="H244" s="3">
        <f t="shared" si="40"/>
        <v>109893283.35790356</v>
      </c>
      <c r="I244">
        <f t="shared" si="41"/>
        <v>10038511745056.309</v>
      </c>
      <c r="J244" s="6"/>
      <c r="K244" s="6"/>
      <c r="L244" s="6"/>
      <c r="M244" s="6"/>
      <c r="N244" s="6"/>
      <c r="O244" s="6"/>
      <c r="P244" s="6"/>
      <c r="Q244" s="6"/>
      <c r="R244" s="6"/>
      <c r="X244" s="7"/>
      <c r="Z244" s="2"/>
      <c r="AA244" s="2"/>
      <c r="AB244" s="2"/>
    </row>
    <row r="245" spans="6:28" x14ac:dyDescent="0.25">
      <c r="F245" s="5">
        <f t="shared" si="38"/>
        <v>7.9832399741104924E-4</v>
      </c>
      <c r="G245" s="4">
        <f t="shared" si="39"/>
        <v>89520.86250908846</v>
      </c>
      <c r="H245" s="3">
        <f t="shared" si="40"/>
        <v>112136003.42643219</v>
      </c>
      <c r="I245">
        <f t="shared" si="41"/>
        <v>10038511745056.309</v>
      </c>
      <c r="J245" s="6"/>
      <c r="K245" s="6"/>
      <c r="L245" s="6"/>
      <c r="M245" s="6"/>
      <c r="N245" s="6"/>
      <c r="O245" s="6"/>
      <c r="P245" s="6"/>
      <c r="Q245" s="6"/>
      <c r="R245" s="6"/>
      <c r="X245" s="7"/>
      <c r="Z245" s="2"/>
      <c r="AA245" s="2"/>
      <c r="AB245" s="2"/>
    </row>
    <row r="246" spans="6:28" x14ac:dyDescent="0.25">
      <c r="F246" s="5">
        <f t="shared" si="38"/>
        <v>7.6671036711357173E-4</v>
      </c>
      <c r="G246" s="4">
        <f t="shared" si="39"/>
        <v>87730.445258906693</v>
      </c>
      <c r="H246" s="3">
        <f t="shared" si="40"/>
        <v>114424493.29227774</v>
      </c>
      <c r="I246">
        <f t="shared" si="41"/>
        <v>10038511745056.309</v>
      </c>
      <c r="J246" s="6"/>
      <c r="K246" s="6"/>
      <c r="L246" s="6"/>
      <c r="M246" s="6"/>
      <c r="N246" s="6"/>
      <c r="O246" s="6"/>
      <c r="P246" s="6"/>
      <c r="Q246" s="6"/>
      <c r="R246" s="6"/>
      <c r="X246" s="7"/>
      <c r="Z246" s="2"/>
      <c r="AA246" s="2"/>
      <c r="AB246" s="2"/>
    </row>
    <row r="247" spans="6:28" x14ac:dyDescent="0.25">
      <c r="F247" s="5">
        <f t="shared" si="38"/>
        <v>7.3634863657587432E-4</v>
      </c>
      <c r="G247" s="4">
        <f t="shared" si="39"/>
        <v>85975.836353728562</v>
      </c>
      <c r="H247" s="3">
        <f t="shared" si="40"/>
        <v>116759687.03293647</v>
      </c>
      <c r="I247">
        <f t="shared" si="41"/>
        <v>10038511745056.309</v>
      </c>
      <c r="J247" s="6"/>
      <c r="K247" s="6"/>
      <c r="L247" s="6"/>
      <c r="M247" s="6"/>
      <c r="N247" s="6"/>
      <c r="O247" s="6"/>
      <c r="P247" s="6"/>
      <c r="Q247" s="6"/>
      <c r="R247" s="6"/>
      <c r="X247" s="7"/>
      <c r="Z247" s="2"/>
      <c r="AA247" s="2"/>
      <c r="AB247" s="2"/>
    </row>
    <row r="248" spans="6:28" x14ac:dyDescent="0.25">
      <c r="F248" s="5">
        <f t="shared" si="38"/>
        <v>7.0718923056746973E-4</v>
      </c>
      <c r="G248" s="4">
        <f t="shared" si="39"/>
        <v>84256.319626653989</v>
      </c>
      <c r="H248" s="3">
        <f t="shared" si="40"/>
        <v>119142537.78871068</v>
      </c>
      <c r="I248">
        <f t="shared" si="41"/>
        <v>10038511745056.309</v>
      </c>
      <c r="J248" s="6"/>
      <c r="K248" s="6"/>
      <c r="L248" s="6"/>
      <c r="M248" s="6"/>
      <c r="N248" s="6"/>
      <c r="O248" s="6"/>
      <c r="P248" s="6"/>
      <c r="Q248" s="6"/>
      <c r="R248" s="6"/>
      <c r="X248" s="7"/>
      <c r="Z248" s="2"/>
      <c r="AA248" s="2"/>
      <c r="AB248" s="2"/>
    </row>
    <row r="249" spans="6:28" x14ac:dyDescent="0.25">
      <c r="F249" s="5">
        <f t="shared" si="38"/>
        <v>6.7918453703699777E-4</v>
      </c>
      <c r="G249" s="4">
        <f t="shared" si="39"/>
        <v>82571.193234120903</v>
      </c>
      <c r="H249" s="3">
        <f t="shared" si="40"/>
        <v>121574018.1517456</v>
      </c>
      <c r="I249">
        <f t="shared" si="41"/>
        <v>10038511745056.309</v>
      </c>
      <c r="J249" s="6"/>
      <c r="K249" s="6"/>
      <c r="L249" s="6"/>
      <c r="M249" s="6"/>
      <c r="N249" s="6"/>
      <c r="O249" s="6"/>
      <c r="P249" s="6"/>
      <c r="Q249" s="6"/>
      <c r="R249" s="6"/>
      <c r="X249" s="7"/>
      <c r="Z249" s="2"/>
      <c r="AA249" s="2"/>
      <c r="AB249" s="2"/>
    </row>
    <row r="250" spans="6:28" x14ac:dyDescent="0.25">
      <c r="F250" s="5">
        <f t="shared" si="38"/>
        <v>6.5228882937033261E-4</v>
      </c>
      <c r="G250" s="4">
        <f t="shared" si="39"/>
        <v>80919.76936943848</v>
      </c>
      <c r="H250" s="3">
        <f t="shared" si="40"/>
        <v>124055120.56300573</v>
      </c>
      <c r="I250">
        <f t="shared" si="41"/>
        <v>10038511745056.309</v>
      </c>
      <c r="J250" s="6"/>
      <c r="K250" s="6"/>
      <c r="L250" s="6"/>
      <c r="M250" s="6"/>
      <c r="N250" s="6"/>
      <c r="O250" s="6"/>
      <c r="P250" s="6"/>
      <c r="Q250" s="6"/>
      <c r="R250" s="6"/>
      <c r="X250" s="7"/>
      <c r="Z250" s="2"/>
      <c r="AA250" s="2"/>
      <c r="AB250" s="2"/>
    </row>
    <row r="251" spans="6:28" x14ac:dyDescent="0.25">
      <c r="F251" s="5">
        <f t="shared" si="38"/>
        <v>6.2645819172726751E-4</v>
      </c>
      <c r="G251" s="4">
        <f t="shared" si="39"/>
        <v>79301.373982049714</v>
      </c>
      <c r="H251" s="3">
        <f t="shared" si="40"/>
        <v>126586857.71735278</v>
      </c>
      <c r="I251">
        <f t="shared" si="41"/>
        <v>10038511745056.309</v>
      </c>
      <c r="J251" s="6"/>
      <c r="K251" s="6"/>
      <c r="L251" s="6"/>
      <c r="M251" s="6"/>
      <c r="N251" s="6"/>
      <c r="O251" s="6"/>
      <c r="P251" s="6"/>
      <c r="Q251" s="6"/>
      <c r="R251" s="6"/>
      <c r="X251" s="7"/>
      <c r="Z251" s="2"/>
      <c r="AA251" s="2"/>
      <c r="AB251" s="2"/>
    </row>
    <row r="252" spans="6:28" x14ac:dyDescent="0.25">
      <c r="F252" s="5">
        <f t="shared" si="38"/>
        <v>6.0165044733486762E-4</v>
      </c>
      <c r="G252" s="4">
        <f t="shared" si="39"/>
        <v>77715.34650240872</v>
      </c>
      <c r="H252" s="3">
        <f t="shared" si="40"/>
        <v>129170262.97689059</v>
      </c>
      <c r="I252">
        <f t="shared" si="41"/>
        <v>10038511745056.309</v>
      </c>
      <c r="J252" s="6"/>
      <c r="K252" s="6"/>
      <c r="L252" s="6"/>
      <c r="M252" s="6"/>
      <c r="N252" s="6"/>
      <c r="O252" s="6"/>
      <c r="P252" s="6"/>
      <c r="Q252" s="6"/>
      <c r="R252" s="6"/>
      <c r="X252" s="7"/>
      <c r="Z252" s="2"/>
      <c r="AA252" s="2"/>
      <c r="AB252" s="2"/>
    </row>
    <row r="253" spans="6:28" x14ac:dyDescent="0.25">
      <c r="F253" s="5">
        <f t="shared" si="38"/>
        <v>5.7782508962040693E-4</v>
      </c>
      <c r="G253" s="4">
        <f t="shared" si="39"/>
        <v>76161.039572360547</v>
      </c>
      <c r="H253" s="3">
        <f t="shared" si="40"/>
        <v>131806390.7927455</v>
      </c>
      <c r="I253">
        <f t="shared" si="41"/>
        <v>10038511745056.309</v>
      </c>
      <c r="J253" s="6"/>
      <c r="K253" s="6"/>
      <c r="L253" s="6"/>
      <c r="M253" s="6"/>
      <c r="N253" s="6"/>
      <c r="O253" s="6"/>
      <c r="P253" s="6"/>
      <c r="Q253" s="6"/>
      <c r="R253" s="6"/>
      <c r="X253" s="7"/>
      <c r="Z253" s="2"/>
      <c r="AA253" s="2"/>
      <c r="AB253" s="2"/>
    </row>
    <row r="254" spans="6:28" x14ac:dyDescent="0.25">
      <c r="F254" s="5">
        <f t="shared" si="38"/>
        <v>5.5494321607143886E-4</v>
      </c>
      <c r="G254" s="4">
        <f t="shared" si="39"/>
        <v>74637.818780913338</v>
      </c>
      <c r="H254" s="3">
        <f t="shared" si="40"/>
        <v>134496317.1354546</v>
      </c>
      <c r="I254">
        <f t="shared" si="41"/>
        <v>10038511745056.309</v>
      </c>
      <c r="J254" s="6"/>
      <c r="K254" s="6"/>
      <c r="L254" s="6"/>
      <c r="M254" s="6"/>
      <c r="N254" s="6"/>
      <c r="O254" s="6"/>
      <c r="P254" s="6"/>
      <c r="Q254" s="6"/>
      <c r="R254" s="6"/>
      <c r="X254" s="7"/>
      <c r="Z254" s="2"/>
      <c r="AA254" s="2"/>
      <c r="AB254" s="2"/>
    </row>
    <row r="255" spans="6:28" x14ac:dyDescent="0.25">
      <c r="F255" s="5">
        <f t="shared" si="38"/>
        <v>5.3296746471500993E-4</v>
      </c>
      <c r="G255" s="4">
        <f t="shared" si="39"/>
        <v>73145.062405295073</v>
      </c>
      <c r="H255" s="3">
        <f t="shared" si="40"/>
        <v>137241139.93413731</v>
      </c>
      <c r="I255">
        <f t="shared" si="41"/>
        <v>10038511745056.309</v>
      </c>
      <c r="J255" s="6"/>
      <c r="K255" s="6"/>
      <c r="L255" s="6"/>
      <c r="M255" s="6"/>
      <c r="N255" s="6"/>
      <c r="O255" s="6"/>
      <c r="P255" s="6"/>
      <c r="Q255" s="6"/>
      <c r="R255" s="6"/>
      <c r="X255" s="7"/>
      <c r="Z255" s="2"/>
      <c r="AA255" s="2"/>
      <c r="AB255" s="2"/>
    </row>
    <row r="256" spans="6:28" x14ac:dyDescent="0.25">
      <c r="F256" s="5">
        <f t="shared" si="38"/>
        <v>5.1186195311229553E-4</v>
      </c>
      <c r="G256" s="4">
        <f t="shared" si="39"/>
        <v>71682.16115718917</v>
      </c>
      <c r="H256" s="3">
        <f t="shared" si="40"/>
        <v>140041979.52462992</v>
      </c>
      <c r="I256">
        <f t="shared" si="41"/>
        <v>10038511745056.309</v>
      </c>
      <c r="J256" s="6"/>
      <c r="K256" s="6"/>
      <c r="L256" s="6"/>
      <c r="M256" s="6"/>
      <c r="N256" s="6"/>
      <c r="O256" s="6"/>
      <c r="P256" s="6"/>
      <c r="Q256" s="6"/>
      <c r="R256" s="6"/>
      <c r="X256" s="7"/>
      <c r="Z256" s="2"/>
      <c r="AA256" s="2"/>
      <c r="AB256" s="2"/>
    </row>
    <row r="257" spans="6:28" x14ac:dyDescent="0.25">
      <c r="F257" s="5">
        <f t="shared" si="38"/>
        <v>4.9159221976904856E-4</v>
      </c>
      <c r="G257" s="4">
        <f t="shared" si="39"/>
        <v>70248.517934045391</v>
      </c>
      <c r="H257" s="3">
        <f t="shared" si="40"/>
        <v>142899979.10676524</v>
      </c>
      <c r="I257">
        <f t="shared" si="41"/>
        <v>10038511745056.309</v>
      </c>
      <c r="J257" s="6"/>
      <c r="K257" s="6"/>
      <c r="L257" s="6"/>
      <c r="M257" s="6"/>
      <c r="N257" s="6"/>
      <c r="O257" s="6"/>
      <c r="P257" s="6"/>
      <c r="Q257" s="6"/>
      <c r="R257" s="6"/>
      <c r="X257" s="7"/>
      <c r="Z257" s="2"/>
      <c r="AA257" s="2"/>
      <c r="AB257" s="2"/>
    </row>
    <row r="258" spans="6:28" x14ac:dyDescent="0.25">
      <c r="F258" s="5">
        <f t="shared" si="38"/>
        <v>4.7212516786619436E-4</v>
      </c>
      <c r="G258" s="4">
        <f t="shared" si="39"/>
        <v>68843.547575364486</v>
      </c>
      <c r="H258" s="3">
        <f t="shared" si="40"/>
        <v>145816305.21098492</v>
      </c>
      <c r="I258">
        <f t="shared" si="41"/>
        <v>10038511745056.309</v>
      </c>
      <c r="J258" s="6"/>
      <c r="K258" s="6"/>
      <c r="L258" s="6"/>
      <c r="M258" s="6"/>
      <c r="N258" s="6"/>
      <c r="O258" s="6"/>
      <c r="P258" s="6"/>
      <c r="Q258" s="6"/>
      <c r="R258" s="6"/>
      <c r="X258" s="7"/>
      <c r="Z258" s="2"/>
      <c r="AA258" s="2"/>
      <c r="AB258" s="2"/>
    </row>
    <row r="259" spans="6:28" x14ac:dyDescent="0.25">
      <c r="F259" s="5">
        <f t="shared" si="38"/>
        <v>4.5342901121869317E-4</v>
      </c>
      <c r="G259" s="4">
        <f t="shared" si="39"/>
        <v>67466.676623857202</v>
      </c>
      <c r="H259" s="3">
        <f t="shared" si="40"/>
        <v>148792148.17447439</v>
      </c>
      <c r="I259">
        <f t="shared" si="41"/>
        <v>10038511745056.309</v>
      </c>
      <c r="J259" s="6"/>
      <c r="K259" s="6"/>
      <c r="L259" s="6"/>
      <c r="M259" s="6"/>
      <c r="N259" s="6"/>
      <c r="O259" s="6"/>
      <c r="P259" s="6"/>
      <c r="Q259" s="6"/>
      <c r="R259" s="6"/>
      <c r="X259" s="7"/>
      <c r="Z259" s="2"/>
      <c r="AA259" s="2"/>
      <c r="AB259" s="2"/>
    </row>
    <row r="260" spans="6:28" x14ac:dyDescent="0.25">
      <c r="F260" s="5">
        <f t="shared" si="38"/>
        <v>4.3547322237443286E-4</v>
      </c>
      <c r="G260" s="4">
        <f t="shared" si="39"/>
        <v>66117.343091380055</v>
      </c>
      <c r="H260" s="3">
        <f t="shared" si="40"/>
        <v>151828722.6270147</v>
      </c>
      <c r="I260">
        <f t="shared" si="41"/>
        <v>10038511745056.309</v>
      </c>
      <c r="J260" s="6"/>
      <c r="K260" s="6"/>
      <c r="L260" s="6"/>
      <c r="M260" s="6"/>
      <c r="N260" s="6"/>
      <c r="O260" s="6"/>
      <c r="P260" s="6"/>
      <c r="Q260" s="6"/>
      <c r="R260" s="6"/>
      <c r="X260" s="7"/>
      <c r="Z260" s="2"/>
      <c r="AA260" s="2"/>
      <c r="AB260" s="2"/>
    </row>
    <row r="261" spans="6:28" x14ac:dyDescent="0.25">
      <c r="F261" s="5">
        <f t="shared" si="38"/>
        <v>4.1822848276840531E-4</v>
      </c>
      <c r="G261" s="4">
        <f t="shared" si="39"/>
        <v>64794.996229552453</v>
      </c>
      <c r="H261" s="3">
        <f t="shared" si="40"/>
        <v>154927267.98674968</v>
      </c>
      <c r="I261">
        <f t="shared" si="41"/>
        <v>10038511745056.309</v>
      </c>
      <c r="J261" s="6"/>
      <c r="K261" s="6"/>
      <c r="L261" s="6"/>
      <c r="M261" s="6"/>
      <c r="N261" s="6"/>
      <c r="O261" s="6"/>
      <c r="P261" s="6"/>
      <c r="Q261" s="6"/>
      <c r="R261" s="6"/>
      <c r="X261" s="7"/>
      <c r="Z261" s="2"/>
      <c r="AA261" s="2"/>
      <c r="AB261" s="2"/>
    </row>
    <row r="262" spans="6:28" x14ac:dyDescent="0.25">
      <c r="F262" s="5">
        <f t="shared" si="38"/>
        <v>4.016666348507764E-4</v>
      </c>
      <c r="G262" s="4">
        <f t="shared" si="39"/>
        <v>63499.0963049614</v>
      </c>
      <c r="H262" s="3">
        <f t="shared" si="40"/>
        <v>158089048.96607113</v>
      </c>
      <c r="I262">
        <f t="shared" si="41"/>
        <v>10038511745056.309</v>
      </c>
      <c r="J262" s="6"/>
      <c r="K262" s="6"/>
      <c r="L262" s="6"/>
      <c r="M262" s="6"/>
      <c r="N262" s="6"/>
      <c r="O262" s="6"/>
      <c r="P262" s="6"/>
      <c r="Q262" s="6"/>
      <c r="R262" s="6"/>
      <c r="X262" s="7"/>
      <c r="Z262" s="2"/>
      <c r="AA262" s="2"/>
      <c r="AB262" s="2"/>
    </row>
    <row r="263" spans="6:28" x14ac:dyDescent="0.25">
      <c r="F263" s="5">
        <f t="shared" si="38"/>
        <v>3.8576063611068563E-4</v>
      </c>
      <c r="G263" s="4">
        <f t="shared" si="39"/>
        <v>62229.11437886217</v>
      </c>
      <c r="H263" s="3">
        <f t="shared" si="40"/>
        <v>161315356.08782768</v>
      </c>
      <c r="I263">
        <f t="shared" si="41"/>
        <v>10038511745056.309</v>
      </c>
      <c r="J263" s="6"/>
      <c r="K263" s="6"/>
      <c r="L263" s="6"/>
      <c r="M263" s="6"/>
      <c r="N263" s="6"/>
      <c r="O263" s="6"/>
      <c r="P263" s="6"/>
      <c r="Q263" s="6"/>
      <c r="R263" s="6"/>
      <c r="X263" s="7"/>
      <c r="Z263" s="2"/>
      <c r="AA263" s="2"/>
      <c r="AB263" s="2"/>
    </row>
    <row r="264" spans="6:28" x14ac:dyDescent="0.25">
      <c r="F264" s="5">
        <f t="shared" si="38"/>
        <v>3.7048451492070246E-4</v>
      </c>
      <c r="G264" s="4">
        <f t="shared" si="39"/>
        <v>60984.532091284927</v>
      </c>
      <c r="H264" s="3">
        <f t="shared" si="40"/>
        <v>164607506.21206906</v>
      </c>
      <c r="I264">
        <f t="shared" si="41"/>
        <v>10038511745056.309</v>
      </c>
      <c r="J264" s="6"/>
      <c r="K264" s="6"/>
      <c r="L264" s="6"/>
      <c r="M264" s="6"/>
      <c r="N264" s="6"/>
      <c r="O264" s="6"/>
      <c r="P264" s="6"/>
      <c r="Q264" s="6"/>
      <c r="R264" s="6"/>
      <c r="X264" s="7"/>
      <c r="Z264" s="2"/>
      <c r="AA264" s="2"/>
      <c r="AB264" s="2"/>
    </row>
    <row r="265" spans="6:28" x14ac:dyDescent="0.25">
      <c r="F265" s="5">
        <f t="shared" ref="F265:F328" si="42">G265/H265</f>
        <v>3.558133281298427E-4</v>
      </c>
      <c r="G265" s="4">
        <f t="shared" si="39"/>
        <v>59764.841449459229</v>
      </c>
      <c r="H265" s="3">
        <f t="shared" si="40"/>
        <v>167966843.07353985</v>
      </c>
      <c r="I265">
        <f t="shared" si="41"/>
        <v>10038511745056.309</v>
      </c>
      <c r="J265" s="6"/>
      <c r="K265" s="6"/>
      <c r="L265" s="6"/>
      <c r="M265" s="6"/>
      <c r="N265" s="6"/>
      <c r="O265" s="6"/>
      <c r="P265" s="6"/>
      <c r="Q265" s="6"/>
      <c r="R265" s="6"/>
      <c r="X265" s="7"/>
      <c r="Z265" s="2"/>
      <c r="AA265" s="2"/>
      <c r="AB265" s="2"/>
    </row>
    <row r="266" spans="6:28" x14ac:dyDescent="0.25">
      <c r="F266" s="5">
        <f t="shared" si="42"/>
        <v>3.4172312033590091E-4</v>
      </c>
      <c r="G266" s="4">
        <f t="shared" si="39"/>
        <v>58569.544620470042</v>
      </c>
      <c r="H266" s="3">
        <f t="shared" si="40"/>
        <v>171394737.83014271</v>
      </c>
      <c r="I266">
        <f t="shared" si="41"/>
        <v>10038511745056.309</v>
      </c>
      <c r="J266" s="6"/>
      <c r="K266" s="6"/>
      <c r="L266" s="6"/>
      <c r="M266" s="6"/>
      <c r="N266" s="6"/>
      <c r="O266" s="6"/>
      <c r="P266" s="6"/>
      <c r="Q266" s="6"/>
      <c r="R266" s="6"/>
      <c r="X266" s="7"/>
      <c r="Z266" s="2"/>
      <c r="AA266" s="2"/>
      <c r="AB266" s="2"/>
    </row>
    <row r="267" spans="6:28" x14ac:dyDescent="0.25">
      <c r="F267" s="5">
        <f t="shared" si="42"/>
        <v>3.2819088477059925E-4</v>
      </c>
      <c r="G267" s="4">
        <f t="shared" si="39"/>
        <v>57398.153728060643</v>
      </c>
      <c r="H267" s="3">
        <f t="shared" si="40"/>
        <v>174892589.62259459</v>
      </c>
      <c r="I267">
        <f t="shared" si="41"/>
        <v>10038511745056.309</v>
      </c>
      <c r="J267" s="6"/>
      <c r="K267" s="6"/>
      <c r="L267" s="6"/>
      <c r="M267" s="6"/>
      <c r="N267" s="6"/>
      <c r="O267" s="6"/>
      <c r="P267" s="6"/>
      <c r="Q267" s="6"/>
      <c r="R267" s="6"/>
      <c r="X267" s="7"/>
      <c r="Z267" s="2"/>
      <c r="AA267" s="2"/>
      <c r="AB267" s="2"/>
    </row>
    <row r="268" spans="6:28" x14ac:dyDescent="0.25">
      <c r="F268" s="5">
        <f t="shared" si="42"/>
        <v>3.1519452573368345E-4</v>
      </c>
      <c r="G268" s="4">
        <f t="shared" si="39"/>
        <v>56250.190653499427</v>
      </c>
      <c r="H268" s="3">
        <f t="shared" si="40"/>
        <v>178461826.14550471</v>
      </c>
      <c r="I268">
        <f t="shared" si="41"/>
        <v>10038511745056.309</v>
      </c>
      <c r="J268" s="6"/>
      <c r="K268" s="6"/>
      <c r="L268" s="6"/>
      <c r="M268" s="6"/>
      <c r="N268" s="6"/>
      <c r="O268" s="6"/>
      <c r="P268" s="6"/>
      <c r="Q268" s="6"/>
      <c r="R268" s="6"/>
      <c r="X268" s="7"/>
      <c r="Z268" s="2"/>
      <c r="AA268" s="2"/>
      <c r="AB268" s="2"/>
    </row>
    <row r="269" spans="6:28" x14ac:dyDescent="0.25">
      <c r="F269" s="5">
        <f t="shared" si="42"/>
        <v>3.0271282251462955E-4</v>
      </c>
      <c r="G269" s="4">
        <f t="shared" si="39"/>
        <v>55125.186840429436</v>
      </c>
      <c r="H269" s="3">
        <f t="shared" si="40"/>
        <v>182103904.23010686</v>
      </c>
      <c r="I269">
        <f t="shared" si="41"/>
        <v>10038511745056.309</v>
      </c>
      <c r="J269" s="6"/>
      <c r="K269" s="6"/>
      <c r="L269" s="6"/>
      <c r="M269" s="6"/>
      <c r="N269" s="6"/>
      <c r="O269" s="6"/>
      <c r="P269" s="6"/>
      <c r="Q269" s="6"/>
      <c r="R269" s="6"/>
      <c r="X269" s="7"/>
      <c r="Z269" s="2"/>
      <c r="AA269" s="2"/>
      <c r="AB269" s="2"/>
    </row>
    <row r="270" spans="6:28" x14ac:dyDescent="0.25">
      <c r="F270" s="5">
        <f t="shared" si="42"/>
        <v>2.9072539474305018E-4</v>
      </c>
      <c r="G270" s="4">
        <f t="shared" si="39"/>
        <v>54022.683103620846</v>
      </c>
      <c r="H270" s="3">
        <f t="shared" si="40"/>
        <v>185820310.43888456</v>
      </c>
      <c r="I270">
        <f t="shared" si="41"/>
        <v>10038511745056.309</v>
      </c>
      <c r="J270" s="6"/>
      <c r="K270" s="6"/>
      <c r="L270" s="6"/>
      <c r="M270" s="6"/>
      <c r="N270" s="6"/>
      <c r="O270" s="6"/>
      <c r="P270" s="6"/>
      <c r="Q270" s="6"/>
      <c r="R270" s="6"/>
      <c r="X270" s="7"/>
    </row>
    <row r="271" spans="6:28" x14ac:dyDescent="0.25">
      <c r="F271" s="5">
        <f t="shared" si="42"/>
        <v>2.7921266911122539E-4</v>
      </c>
      <c r="G271" s="4">
        <f t="shared" si="39"/>
        <v>52942.229441548428</v>
      </c>
      <c r="H271" s="3">
        <f t="shared" si="40"/>
        <v>189612561.67233118</v>
      </c>
      <c r="I271">
        <f t="shared" si="41"/>
        <v>10038511745056.309</v>
      </c>
      <c r="J271" s="6"/>
      <c r="K271" s="6"/>
      <c r="L271" s="6"/>
      <c r="M271" s="6"/>
      <c r="N271" s="6"/>
      <c r="O271" s="6"/>
      <c r="P271" s="6"/>
      <c r="Q271" s="6"/>
      <c r="R271" s="6"/>
      <c r="X271" s="7"/>
    </row>
    <row r="272" spans="6:28" x14ac:dyDescent="0.25">
      <c r="F272" s="5">
        <f t="shared" si="42"/>
        <v>2.6815584741442082E-4</v>
      </c>
      <c r="G272" s="4">
        <f t="shared" si="39"/>
        <v>51883.384852717456</v>
      </c>
      <c r="H272" s="3">
        <f t="shared" si="40"/>
        <v>193482205.78809306</v>
      </c>
      <c r="I272">
        <f t="shared" si="41"/>
        <v>10038511745056.309</v>
      </c>
      <c r="J272" s="6"/>
      <c r="K272" s="6"/>
      <c r="L272" s="6"/>
      <c r="M272" s="6"/>
      <c r="N272" s="6"/>
      <c r="O272" s="6"/>
      <c r="P272" s="6"/>
      <c r="Q272" s="6"/>
      <c r="R272" s="6"/>
      <c r="X272" s="7"/>
    </row>
    <row r="273" spans="6:24" x14ac:dyDescent="0.25">
      <c r="F273" s="5">
        <f t="shared" si="42"/>
        <v>2.5753687585680982E-4</v>
      </c>
      <c r="G273" s="4">
        <f t="shared" si="39"/>
        <v>50845.717155663107</v>
      </c>
      <c r="H273" s="3">
        <f t="shared" si="40"/>
        <v>197430822.232748</v>
      </c>
      <c r="I273">
        <f t="shared" si="41"/>
        <v>10038511745056.309</v>
      </c>
      <c r="J273" s="6"/>
      <c r="K273" s="6"/>
      <c r="L273" s="6"/>
      <c r="M273" s="6"/>
      <c r="N273" s="6"/>
      <c r="O273" s="6"/>
      <c r="P273" s="6"/>
      <c r="Q273" s="6"/>
      <c r="R273" s="6"/>
      <c r="X273" s="7"/>
    </row>
    <row r="274" spans="6:24" x14ac:dyDescent="0.25">
      <c r="F274" s="5">
        <f t="shared" si="42"/>
        <v>2.4733841557288014E-4</v>
      </c>
      <c r="G274" s="4">
        <f t="shared" si="39"/>
        <v>49828.802812549846</v>
      </c>
      <c r="H274" s="3">
        <f t="shared" si="40"/>
        <v>201460022.68647754</v>
      </c>
      <c r="I274">
        <f t="shared" si="41"/>
        <v>10038511745056.309</v>
      </c>
      <c r="J274" s="6"/>
      <c r="K274" s="6"/>
      <c r="L274" s="6"/>
      <c r="M274" s="6"/>
      <c r="N274" s="6"/>
      <c r="O274" s="6"/>
      <c r="P274" s="6"/>
      <c r="Q274" s="6"/>
      <c r="R274" s="6"/>
      <c r="X274" s="7"/>
    </row>
    <row r="275" spans="6:24" x14ac:dyDescent="0.25">
      <c r="F275" s="5">
        <f t="shared" si="42"/>
        <v>2.3754381431619409E-4</v>
      </c>
      <c r="G275" s="4">
        <f t="shared" si="39"/>
        <v>48832.226756298849</v>
      </c>
      <c r="H275" s="3">
        <f t="shared" si="40"/>
        <v>205571451.72089547</v>
      </c>
      <c r="I275">
        <f t="shared" si="41"/>
        <v>10038511745056.309</v>
      </c>
      <c r="J275" s="6"/>
      <c r="K275" s="6"/>
      <c r="L275" s="6"/>
      <c r="M275" s="6"/>
      <c r="N275" s="6"/>
      <c r="O275" s="6"/>
      <c r="P275" s="6"/>
      <c r="Q275" s="6"/>
      <c r="R275" s="6"/>
      <c r="X275" s="7"/>
    </row>
    <row r="276" spans="6:24" x14ac:dyDescent="0.25">
      <c r="F276" s="5">
        <f t="shared" si="42"/>
        <v>2.2813707926927281E-4</v>
      </c>
      <c r="G276" s="4">
        <f t="shared" si="39"/>
        <v>47855.582221172874</v>
      </c>
      <c r="H276" s="3">
        <f t="shared" si="40"/>
        <v>209766787.47030148</v>
      </c>
      <c r="I276">
        <f t="shared" si="41"/>
        <v>10038511745056.309</v>
      </c>
      <c r="J276" s="6"/>
      <c r="K276" s="6"/>
      <c r="L276" s="6"/>
      <c r="M276" s="6"/>
      <c r="N276" s="6"/>
      <c r="O276" s="6"/>
      <c r="P276" s="6"/>
      <c r="Q276" s="6"/>
      <c r="R276" s="6"/>
    </row>
    <row r="277" spans="6:24" x14ac:dyDescent="0.25">
      <c r="F277" s="5">
        <f t="shared" si="42"/>
        <v>2.1910285093020961E-4</v>
      </c>
      <c r="G277" s="4">
        <f t="shared" si="39"/>
        <v>46898.470576749416</v>
      </c>
      <c r="H277" s="3">
        <f t="shared" si="40"/>
        <v>214047742.31663418</v>
      </c>
      <c r="I277">
        <f t="shared" si="41"/>
        <v>10038511745056.309</v>
      </c>
      <c r="J277" s="6"/>
      <c r="K277" s="6"/>
      <c r="L277" s="6"/>
      <c r="M277" s="6"/>
      <c r="N277" s="6"/>
      <c r="O277" s="6"/>
      <c r="P277" s="6"/>
      <c r="Q277" s="6"/>
      <c r="R277" s="6"/>
    </row>
    <row r="278" spans="6:24" x14ac:dyDescent="0.25">
      <c r="F278" s="5">
        <f t="shared" si="42"/>
        <v>2.1042637803337326E-4</v>
      </c>
      <c r="G278" s="4">
        <f t="shared" si="39"/>
        <v>45960.501165214424</v>
      </c>
      <c r="H278" s="3">
        <f t="shared" si="40"/>
        <v>218416063.58840224</v>
      </c>
      <c r="I278">
        <f t="shared" si="41"/>
        <v>10038511745056.309</v>
      </c>
      <c r="J278" s="6"/>
      <c r="K278" s="6"/>
      <c r="L278" s="6"/>
      <c r="M278" s="6"/>
      <c r="N278" s="6"/>
      <c r="O278" s="6"/>
      <c r="P278" s="6"/>
      <c r="Q278" s="6"/>
      <c r="R278" s="6"/>
    </row>
    <row r="279" spans="6:24" x14ac:dyDescent="0.25">
      <c r="F279" s="5">
        <f t="shared" si="42"/>
        <v>2.0209349346325171E-4</v>
      </c>
      <c r="G279" s="4">
        <f t="shared" si="39"/>
        <v>45041.291141910137</v>
      </c>
      <c r="H279" s="3">
        <f t="shared" si="40"/>
        <v>222873534.27387983</v>
      </c>
      <c r="I279">
        <f t="shared" si="41"/>
        <v>10038511745056.309</v>
      </c>
      <c r="J279" s="6"/>
      <c r="K279" s="6"/>
      <c r="L279" s="6"/>
      <c r="M279" s="6"/>
      <c r="N279" s="6"/>
      <c r="O279" s="6"/>
      <c r="P279" s="6"/>
      <c r="Q279" s="6"/>
      <c r="R279" s="6"/>
    </row>
    <row r="280" spans="6:24" x14ac:dyDescent="0.25">
      <c r="F280" s="5">
        <f t="shared" si="42"/>
        <v>1.9409059112210695E-4</v>
      </c>
      <c r="G280" s="4">
        <f t="shared" si="39"/>
        <v>44140.465319071933</v>
      </c>
      <c r="H280" s="3">
        <f t="shared" si="40"/>
        <v>227421973.74885696</v>
      </c>
      <c r="I280">
        <f t="shared" si="41"/>
        <v>10038511745056.309</v>
      </c>
      <c r="J280" s="6"/>
      <c r="K280" s="6"/>
      <c r="L280" s="6"/>
      <c r="M280" s="6"/>
      <c r="N280" s="6"/>
      <c r="O280" s="6"/>
      <c r="P280" s="6"/>
      <c r="Q280" s="6"/>
      <c r="R280" s="6"/>
    </row>
    <row r="281" spans="6:24" x14ac:dyDescent="0.25">
      <c r="F281" s="5">
        <f t="shared" si="42"/>
        <v>1.8640460371367149E-4</v>
      </c>
      <c r="G281" s="4">
        <f t="shared" si="39"/>
        <v>43257.656012690495</v>
      </c>
      <c r="H281" s="3">
        <f t="shared" si="40"/>
        <v>232063238.51924181</v>
      </c>
      <c r="I281">
        <f t="shared" si="41"/>
        <v>10038511745056.309</v>
      </c>
      <c r="J281" s="6"/>
      <c r="K281" s="6"/>
      <c r="L281" s="6"/>
      <c r="M281" s="6"/>
      <c r="N281" s="6"/>
      <c r="O281" s="6"/>
      <c r="P281" s="6"/>
      <c r="Q281" s="6"/>
      <c r="R281" s="6"/>
    </row>
    <row r="282" spans="6:24" x14ac:dyDescent="0.25">
      <c r="F282" s="5">
        <f t="shared" si="42"/>
        <v>1.7902298140661009E-4</v>
      </c>
      <c r="G282" s="4">
        <f t="shared" si="39"/>
        <v>42392.502892436685</v>
      </c>
      <c r="H282" s="3">
        <f t="shared" si="40"/>
        <v>236799222.97881818</v>
      </c>
      <c r="I282">
        <f t="shared" si="41"/>
        <v>10038511745056.309</v>
      </c>
      <c r="J282" s="6"/>
      <c r="K282" s="6"/>
      <c r="L282" s="6"/>
      <c r="M282" s="6"/>
      <c r="N282" s="6"/>
      <c r="O282" s="6"/>
      <c r="P282" s="6"/>
      <c r="Q282" s="6"/>
      <c r="R282" s="6"/>
    </row>
    <row r="283" spans="6:24" x14ac:dyDescent="0.25">
      <c r="F283" s="5">
        <f t="shared" si="42"/>
        <v>1.7193367134290833E-4</v>
      </c>
      <c r="G283" s="4">
        <f t="shared" si="39"/>
        <v>41544.652834587949</v>
      </c>
      <c r="H283" s="3">
        <f t="shared" si="40"/>
        <v>241631860.18246752</v>
      </c>
      <c r="I283">
        <f t="shared" si="41"/>
        <v>10038511745056.309</v>
      </c>
      <c r="J283" s="6"/>
      <c r="K283" s="6"/>
      <c r="L283" s="6"/>
      <c r="M283" s="6"/>
      <c r="N283" s="6"/>
      <c r="O283" s="6"/>
      <c r="P283" s="6"/>
      <c r="Q283" s="6"/>
      <c r="R283" s="6"/>
    </row>
    <row r="284" spans="6:24" x14ac:dyDescent="0.25">
      <c r="F284" s="5">
        <f t="shared" si="42"/>
        <v>1.6512509795772913E-4</v>
      </c>
      <c r="G284" s="4">
        <f t="shared" si="39"/>
        <v>40713.759777896186</v>
      </c>
      <c r="H284" s="3">
        <f t="shared" si="40"/>
        <v>246563122.63517097</v>
      </c>
      <c r="I284">
        <f t="shared" si="41"/>
        <v>10038511745056.309</v>
      </c>
      <c r="J284" s="6"/>
      <c r="K284" s="6"/>
      <c r="L284" s="6"/>
      <c r="M284" s="6"/>
      <c r="N284" s="6"/>
      <c r="O284" s="6"/>
      <c r="P284" s="6"/>
      <c r="Q284" s="6"/>
      <c r="R284" s="6"/>
    </row>
    <row r="285" spans="6:24" x14ac:dyDescent="0.25">
      <c r="F285" s="5">
        <f t="shared" si="42"/>
        <v>1.5858614407860305E-4</v>
      </c>
      <c r="G285" s="4">
        <f t="shared" si="39"/>
        <v>39899.484582338264</v>
      </c>
      <c r="H285" s="3">
        <f t="shared" si="40"/>
        <v>251595023.09711322</v>
      </c>
      <c r="I285">
        <f t="shared" si="41"/>
        <v>10038511745056.309</v>
      </c>
      <c r="J285" s="6"/>
      <c r="K285" s="6"/>
      <c r="L285" s="6"/>
      <c r="M285" s="6"/>
      <c r="N285" s="6"/>
      <c r="O285" s="6"/>
      <c r="P285" s="6"/>
      <c r="Q285" s="6"/>
      <c r="R285" s="6"/>
    </row>
    <row r="286" spans="6:24" x14ac:dyDescent="0.25">
      <c r="F286" s="5">
        <f t="shared" si="42"/>
        <v>1.523061327730904E-4</v>
      </c>
      <c r="G286" s="4">
        <f t="shared" si="39"/>
        <v>39101.494890691501</v>
      </c>
      <c r="H286" s="3">
        <f t="shared" si="40"/>
        <v>256729615.40521756</v>
      </c>
      <c r="I286">
        <f t="shared" si="41"/>
        <v>10038511745056.309</v>
      </c>
      <c r="J286" s="6"/>
      <c r="K286" s="6"/>
      <c r="L286" s="6"/>
      <c r="M286" s="6"/>
      <c r="N286" s="6"/>
      <c r="O286" s="6"/>
      <c r="P286" s="6"/>
      <c r="Q286" s="6"/>
      <c r="R286" s="6"/>
    </row>
    <row r="287" spans="6:24" x14ac:dyDescent="0.25">
      <c r="F287" s="5">
        <f t="shared" si="42"/>
        <v>1.4627480991527602E-4</v>
      </c>
      <c r="G287" s="4">
        <f t="shared" si="39"/>
        <v>38319.464992877671</v>
      </c>
      <c r="H287" s="3">
        <f t="shared" si="40"/>
        <v>261968995.31144649</v>
      </c>
      <c r="I287">
        <f t="shared" si="41"/>
        <v>10038511745056.309</v>
      </c>
      <c r="J287" s="6"/>
      <c r="K287" s="6"/>
      <c r="L287" s="6"/>
      <c r="M287" s="6"/>
      <c r="N287" s="6"/>
      <c r="O287" s="6"/>
      <c r="P287" s="6"/>
      <c r="Q287" s="6"/>
      <c r="R287" s="6"/>
    </row>
    <row r="288" spans="6:24" x14ac:dyDescent="0.25">
      <c r="F288" s="5">
        <f t="shared" si="42"/>
        <v>1.404823274426311E-4</v>
      </c>
      <c r="G288" s="4">
        <f t="shared" si="39"/>
        <v>37553.075693020117</v>
      </c>
      <c r="H288" s="3">
        <f t="shared" si="40"/>
        <v>267315301.3382107</v>
      </c>
      <c r="I288">
        <f t="shared" si="41"/>
        <v>10038511745056.309</v>
      </c>
      <c r="J288" s="6"/>
      <c r="K288" s="6"/>
      <c r="L288" s="6"/>
      <c r="M288" s="6"/>
      <c r="N288" s="6"/>
      <c r="O288" s="6"/>
      <c r="P288" s="6"/>
      <c r="Q288" s="6"/>
      <c r="R288" s="6"/>
    </row>
    <row r="289" spans="6:18" x14ac:dyDescent="0.25">
      <c r="F289" s="5">
        <f t="shared" si="42"/>
        <v>1.3491922727590288E-4</v>
      </c>
      <c r="G289" s="4">
        <f t="shared" si="39"/>
        <v>36802.014179159713</v>
      </c>
      <c r="H289" s="3">
        <f t="shared" si="40"/>
        <v>272770715.65123546</v>
      </c>
      <c r="I289">
        <f t="shared" si="41"/>
        <v>10038511745056.309</v>
      </c>
      <c r="J289" s="6"/>
      <c r="K289" s="6"/>
      <c r="L289" s="6"/>
      <c r="M289" s="6"/>
      <c r="N289" s="6"/>
      <c r="O289" s="6"/>
      <c r="P289" s="6"/>
      <c r="Q289" s="6"/>
      <c r="R289" s="6"/>
    </row>
    <row r="290" spans="6:18" x14ac:dyDescent="0.25">
      <c r="F290" s="5">
        <f t="shared" si="42"/>
        <v>1.2957642587577714E-4</v>
      </c>
      <c r="G290" s="4">
        <f t="shared" si="39"/>
        <v>36065.973895576521</v>
      </c>
      <c r="H290" s="3">
        <f t="shared" si="40"/>
        <v>278337464.95024019</v>
      </c>
      <c r="I290">
        <f t="shared" si="41"/>
        <v>10038511745056.309</v>
      </c>
      <c r="J290" s="6"/>
      <c r="K290" s="6"/>
      <c r="L290" s="6"/>
      <c r="M290" s="6"/>
      <c r="N290" s="6"/>
      <c r="O290" s="6"/>
      <c r="P290" s="6"/>
      <c r="Q290" s="6"/>
      <c r="R290" s="6"/>
    </row>
    <row r="291" spans="6:18" x14ac:dyDescent="0.25">
      <c r="F291" s="5">
        <f t="shared" si="42"/>
        <v>1.2444519941109638E-4</v>
      </c>
      <c r="G291" s="4">
        <f t="shared" si="39"/>
        <v>35344.654417664991</v>
      </c>
      <c r="H291" s="3">
        <f t="shared" si="40"/>
        <v>284017821.37779611</v>
      </c>
      <c r="I291">
        <f t="shared" si="41"/>
        <v>10038511745056.309</v>
      </c>
      <c r="J291" s="6"/>
      <c r="K291" s="6"/>
      <c r="L291" s="6"/>
      <c r="M291" s="6"/>
      <c r="N291" s="6"/>
      <c r="O291" s="6"/>
      <c r="P291" s="6"/>
      <c r="Q291" s="6"/>
      <c r="R291" s="6"/>
    </row>
    <row r="292" spans="6:18" x14ac:dyDescent="0.25">
      <c r="F292" s="5">
        <f t="shared" si="42"/>
        <v>1.1951716951441694E-4</v>
      </c>
      <c r="G292" s="4">
        <f t="shared" si="39"/>
        <v>34637.761329311688</v>
      </c>
      <c r="H292" s="3">
        <f t="shared" si="40"/>
        <v>289814103.44673079</v>
      </c>
      <c r="I292">
        <f t="shared" si="41"/>
        <v>10038511745056.309</v>
      </c>
      <c r="J292" s="6"/>
      <c r="K292" s="6"/>
      <c r="L292" s="6"/>
      <c r="M292" s="6"/>
      <c r="N292" s="6"/>
      <c r="O292" s="6"/>
      <c r="P292" s="6"/>
      <c r="Q292" s="6"/>
      <c r="R292" s="6"/>
    </row>
    <row r="293" spans="6:18" x14ac:dyDescent="0.25">
      <c r="F293" s="5">
        <f t="shared" si="42"/>
        <v>1.1478428960164604E-4</v>
      </c>
      <c r="G293" s="4">
        <f t="shared" si="39"/>
        <v>33945.006102725456</v>
      </c>
      <c r="H293" s="3">
        <f t="shared" si="40"/>
        <v>295728676.98645997</v>
      </c>
      <c r="I293">
        <f t="shared" si="41"/>
        <v>10038511745056.309</v>
      </c>
      <c r="J293" s="6"/>
      <c r="K293" s="6"/>
      <c r="L293" s="6"/>
      <c r="M293" s="6"/>
      <c r="N293" s="6"/>
      <c r="O293" s="6"/>
      <c r="P293" s="6"/>
      <c r="Q293" s="6"/>
      <c r="R293" s="6"/>
    </row>
    <row r="294" spans="6:18" x14ac:dyDescent="0.25">
      <c r="F294" s="5">
        <f t="shared" si="42"/>
        <v>1.1023883173342085E-4</v>
      </c>
      <c r="G294" s="4">
        <f t="shared" si="39"/>
        <v>33266.105980670945</v>
      </c>
      <c r="H294" s="3">
        <f t="shared" si="40"/>
        <v>301763956.10863262</v>
      </c>
      <c r="I294">
        <f t="shared" si="41"/>
        <v>10038511745056.309</v>
      </c>
      <c r="J294" s="6"/>
      <c r="K294" s="6"/>
      <c r="L294" s="6"/>
      <c r="M294" s="6"/>
      <c r="N294" s="6"/>
      <c r="O294" s="6"/>
      <c r="P294" s="6"/>
      <c r="Q294" s="6"/>
      <c r="R294" s="6"/>
    </row>
    <row r="295" spans="6:18" x14ac:dyDescent="0.25">
      <c r="F295" s="5">
        <f t="shared" si="42"/>
        <v>1.0587337399677738E-4</v>
      </c>
      <c r="G295" s="4">
        <f t="shared" si="39"/>
        <v>32600.783861057527</v>
      </c>
      <c r="H295" s="3">
        <f t="shared" si="40"/>
        <v>307922404.19248229</v>
      </c>
      <c r="I295">
        <f t="shared" si="41"/>
        <v>10038511745056.309</v>
      </c>
      <c r="J295" s="6"/>
      <c r="K295" s="6"/>
      <c r="L295" s="6"/>
      <c r="M295" s="6"/>
      <c r="N295" s="6"/>
      <c r="O295" s="6"/>
      <c r="P295" s="6"/>
      <c r="Q295" s="6"/>
      <c r="R295" s="6"/>
    </row>
    <row r="296" spans="6:18" x14ac:dyDescent="0.25">
      <c r="F296" s="5">
        <f t="shared" si="42"/>
        <v>1.0168078838650498E-4</v>
      </c>
      <c r="G296" s="4">
        <f t="shared" si="39"/>
        <v>31948.768183836375</v>
      </c>
      <c r="H296" s="3">
        <f t="shared" si="40"/>
        <v>314206534.89028805</v>
      </c>
      <c r="I296">
        <f t="shared" si="41"/>
        <v>10038511745056.309</v>
      </c>
      <c r="J296" s="6"/>
      <c r="K296" s="6"/>
      <c r="L296" s="6"/>
      <c r="M296" s="6"/>
      <c r="N296" s="6"/>
      <c r="O296" s="6"/>
      <c r="P296" s="6"/>
      <c r="Q296" s="6"/>
      <c r="R296" s="6"/>
    </row>
    <row r="297" spans="6:18" x14ac:dyDescent="0.25">
      <c r="F297" s="5">
        <f t="shared" si="42"/>
        <v>9.7654229166399396E-5</v>
      </c>
      <c r="G297" s="4">
        <f t="shared" si="39"/>
        <v>31309.792820159648</v>
      </c>
      <c r="H297" s="3">
        <f t="shared" si="40"/>
        <v>320618913.15335512</v>
      </c>
      <c r="I297">
        <f t="shared" si="41"/>
        <v>10038511745056.309</v>
      </c>
      <c r="J297" s="6"/>
      <c r="K297" s="6"/>
      <c r="L297" s="6"/>
      <c r="M297" s="6"/>
      <c r="N297" s="6"/>
      <c r="O297" s="6"/>
      <c r="P297" s="6"/>
      <c r="Q297" s="6"/>
      <c r="R297" s="6"/>
    </row>
    <row r="298" spans="6:18" x14ac:dyDescent="0.25">
      <c r="F298" s="5">
        <f t="shared" si="42"/>
        <v>9.3787121691409975E-5</v>
      </c>
      <c r="G298" s="4">
        <f t="shared" si="39"/>
        <v>30683.596963756456</v>
      </c>
      <c r="H298" s="3">
        <f t="shared" si="40"/>
        <v>327162156.27893382</v>
      </c>
      <c r="I298">
        <f t="shared" si="41"/>
        <v>10038511745056.309</v>
      </c>
      <c r="J298" s="6"/>
      <c r="K298" s="6"/>
      <c r="L298" s="6"/>
      <c r="M298" s="6"/>
      <c r="N298" s="6"/>
      <c r="O298" s="6"/>
      <c r="P298" s="6"/>
      <c r="Q298" s="6"/>
      <c r="R298" s="6"/>
    </row>
    <row r="299" spans="6:18" x14ac:dyDescent="0.25">
      <c r="F299" s="5">
        <f t="shared" si="42"/>
        <v>9.0073151672430152E-5</v>
      </c>
      <c r="G299" s="4">
        <f t="shared" si="39"/>
        <v>30069.925024481327</v>
      </c>
      <c r="H299" s="3">
        <f t="shared" si="40"/>
        <v>333838934.97850388</v>
      </c>
      <c r="I299">
        <f t="shared" si="41"/>
        <v>10038511745056.309</v>
      </c>
      <c r="J299" s="6"/>
      <c r="K299" s="6"/>
      <c r="L299" s="6"/>
      <c r="M299" s="6"/>
      <c r="N299" s="6"/>
      <c r="O299" s="6"/>
      <c r="P299" s="6"/>
      <c r="Q299" s="6"/>
      <c r="R299" s="6"/>
    </row>
    <row r="300" spans="6:18" x14ac:dyDescent="0.25">
      <c r="F300" s="5">
        <f t="shared" si="42"/>
        <v>8.6506254866201902E-5</v>
      </c>
      <c r="G300" s="4">
        <f t="shared" si="39"/>
        <v>29468.526523991699</v>
      </c>
      <c r="H300" s="3">
        <f t="shared" si="40"/>
        <v>340651974.46786112</v>
      </c>
      <c r="I300">
        <f t="shared" si="41"/>
        <v>10038511745056.309</v>
      </c>
      <c r="J300" s="6"/>
      <c r="K300" s="6"/>
      <c r="L300" s="6"/>
      <c r="M300" s="6"/>
      <c r="N300" s="6"/>
      <c r="O300" s="6"/>
      <c r="P300" s="6"/>
      <c r="Q300" s="6"/>
      <c r="R300" s="6"/>
    </row>
    <row r="301" spans="6:18" x14ac:dyDescent="0.25">
      <c r="F301" s="5">
        <f t="shared" si="42"/>
        <v>8.3080607173500304E-5</v>
      </c>
      <c r="G301" s="4">
        <f t="shared" si="39"/>
        <v>28879.155993511864</v>
      </c>
      <c r="H301" s="3">
        <f t="shared" si="40"/>
        <v>347604055.57945013</v>
      </c>
      <c r="I301">
        <f t="shared" si="41"/>
        <v>10038511745056.309</v>
      </c>
      <c r="J301" s="6"/>
      <c r="K301" s="6"/>
      <c r="L301" s="6"/>
      <c r="M301" s="6"/>
      <c r="N301" s="6"/>
      <c r="O301" s="6"/>
      <c r="P301" s="6"/>
      <c r="Q301" s="6"/>
      <c r="R301" s="6"/>
    </row>
    <row r="302" spans="6:18" x14ac:dyDescent="0.25">
      <c r="F302" s="5">
        <f t="shared" si="42"/>
        <v>7.9790615129429686E-5</v>
      </c>
      <c r="G302" s="4">
        <f t="shared" si="39"/>
        <v>28301.572873641628</v>
      </c>
      <c r="H302" s="3">
        <f t="shared" si="40"/>
        <v>354698015.89739811</v>
      </c>
      <c r="I302">
        <f t="shared" si="41"/>
        <v>10038511745056.309</v>
      </c>
      <c r="J302" s="6"/>
      <c r="K302" s="6"/>
      <c r="L302" s="6"/>
      <c r="M302" s="6"/>
      <c r="N302" s="6"/>
      <c r="O302" s="6"/>
      <c r="P302" s="6"/>
      <c r="Q302" s="6"/>
      <c r="R302" s="6"/>
    </row>
    <row r="303" spans="6:18" x14ac:dyDescent="0.25">
      <c r="F303" s="5">
        <f t="shared" si="42"/>
        <v>7.6630906770304273E-5</v>
      </c>
      <c r="G303" s="4">
        <f t="shared" si="39"/>
        <v>27735.541416168795</v>
      </c>
      <c r="H303" s="3">
        <f t="shared" si="40"/>
        <v>361936750.91571236</v>
      </c>
      <c r="I303">
        <f t="shared" si="41"/>
        <v>10038511745056.309</v>
      </c>
      <c r="J303" s="6"/>
      <c r="K303" s="6"/>
      <c r="L303" s="6"/>
      <c r="M303" s="6"/>
      <c r="N303" s="6"/>
      <c r="O303" s="6"/>
      <c r="P303" s="6"/>
      <c r="Q303" s="6"/>
      <c r="R303" s="6"/>
    </row>
    <row r="304" spans="6:18" x14ac:dyDescent="0.25">
      <c r="F304" s="5">
        <f t="shared" si="42"/>
        <v>7.3596322862200223E-5</v>
      </c>
      <c r="G304" s="4">
        <f t="shared" si="39"/>
        <v>27180.830587845419</v>
      </c>
      <c r="H304" s="3">
        <f t="shared" si="40"/>
        <v>369323215.22011465</v>
      </c>
      <c r="I304">
        <f t="shared" si="41"/>
        <v>10038511745056.309</v>
      </c>
      <c r="J304" s="6"/>
      <c r="K304" s="6"/>
      <c r="L304" s="6"/>
      <c r="M304" s="6"/>
      <c r="N304" s="6"/>
      <c r="O304" s="6"/>
      <c r="P304" s="6"/>
      <c r="Q304" s="6"/>
      <c r="R304" s="6"/>
    </row>
    <row r="305" spans="6:18" x14ac:dyDescent="0.25">
      <c r="F305" s="5">
        <f t="shared" si="42"/>
        <v>7.0681908476857107E-5</v>
      </c>
      <c r="G305" s="4">
        <f t="shared" si="39"/>
        <v>26637.213976088511</v>
      </c>
      <c r="H305" s="3">
        <f t="shared" si="40"/>
        <v>376860423.69399452</v>
      </c>
      <c r="I305">
        <f t="shared" si="41"/>
        <v>10038511745056.309</v>
      </c>
      <c r="J305" s="6"/>
      <c r="K305" s="6"/>
      <c r="L305" s="6"/>
      <c r="M305" s="6"/>
      <c r="N305" s="6"/>
      <c r="O305" s="6"/>
      <c r="P305" s="6"/>
      <c r="Q305" s="6"/>
      <c r="R305" s="6"/>
    </row>
    <row r="306" spans="6:18" x14ac:dyDescent="0.25">
      <c r="F306" s="5">
        <f t="shared" si="42"/>
        <v>6.788290490117355E-5</v>
      </c>
      <c r="G306" s="4">
        <f t="shared" ref="G306:G369" si="43">G305*(1-$O$1)</f>
        <v>26104.469696566739</v>
      </c>
      <c r="H306" s="3">
        <f t="shared" ref="H306:H369" si="44">I306/G306</f>
        <v>384551452.74897403</v>
      </c>
      <c r="I306">
        <f t="shared" ref="I306:I369" si="45">I305</f>
        <v>10038511745056.309</v>
      </c>
      <c r="J306" s="6"/>
      <c r="K306" s="6"/>
      <c r="L306" s="6"/>
      <c r="M306" s="6"/>
      <c r="N306" s="6"/>
      <c r="O306" s="6"/>
      <c r="P306" s="6"/>
      <c r="Q306" s="6"/>
      <c r="R306" s="6"/>
    </row>
    <row r="307" spans="6:18" x14ac:dyDescent="0.25">
      <c r="F307" s="5">
        <f t="shared" si="42"/>
        <v>6.5194741867087076E-5</v>
      </c>
      <c r="G307" s="4">
        <f t="shared" si="43"/>
        <v>25582.380302635403</v>
      </c>
      <c r="H307" s="3">
        <f t="shared" si="44"/>
        <v>392399441.58058578</v>
      </c>
      <c r="I307">
        <f t="shared" si="45"/>
        <v>10038511745056.309</v>
      </c>
      <c r="J307" s="6"/>
      <c r="K307" s="6"/>
      <c r="L307" s="6"/>
      <c r="M307" s="6"/>
      <c r="N307" s="6"/>
      <c r="O307" s="6"/>
      <c r="P307" s="6"/>
      <c r="Q307" s="6"/>
      <c r="R307" s="6"/>
    </row>
    <row r="308" spans="6:18" x14ac:dyDescent="0.25">
      <c r="F308" s="5">
        <f t="shared" si="42"/>
        <v>6.2613030089150415E-5</v>
      </c>
      <c r="G308" s="4">
        <f t="shared" si="43"/>
        <v>25070.732696582694</v>
      </c>
      <c r="H308" s="3">
        <f t="shared" si="44"/>
        <v>400407593.44957733</v>
      </c>
      <c r="I308">
        <f t="shared" si="45"/>
        <v>10038511745056.309</v>
      </c>
      <c r="J308" s="6"/>
      <c r="K308" s="6"/>
      <c r="L308" s="6"/>
      <c r="M308" s="6"/>
      <c r="N308" s="6"/>
      <c r="O308" s="6"/>
      <c r="P308" s="6"/>
      <c r="Q308" s="6"/>
      <c r="R308" s="6"/>
    </row>
    <row r="309" spans="6:18" x14ac:dyDescent="0.25">
      <c r="F309" s="5">
        <f t="shared" si="42"/>
        <v>6.0133554097620063E-5</v>
      </c>
      <c r="G309" s="4">
        <f t="shared" si="43"/>
        <v>24569.318042651041</v>
      </c>
      <c r="H309" s="3">
        <f t="shared" si="44"/>
        <v>408579176.98936462</v>
      </c>
      <c r="I309">
        <f t="shared" si="45"/>
        <v>10038511745056.309</v>
      </c>
      <c r="J309" s="6"/>
      <c r="K309" s="6"/>
      <c r="L309" s="6"/>
      <c r="M309" s="6"/>
      <c r="N309" s="6"/>
      <c r="O309" s="6"/>
      <c r="P309" s="6"/>
      <c r="Q309" s="6"/>
      <c r="R309" s="6"/>
    </row>
    <row r="310" spans="6:18" x14ac:dyDescent="0.25">
      <c r="F310" s="5">
        <f t="shared" si="42"/>
        <v>5.7752265355354306E-5</v>
      </c>
      <c r="G310" s="4">
        <f t="shared" si="43"/>
        <v>24077.931681798018</v>
      </c>
      <c r="H310" s="3">
        <f t="shared" si="44"/>
        <v>416917527.54016799</v>
      </c>
      <c r="I310">
        <f t="shared" si="45"/>
        <v>10038511745056.309</v>
      </c>
      <c r="J310" s="6"/>
      <c r="K310" s="6"/>
      <c r="L310" s="6"/>
      <c r="M310" s="6"/>
      <c r="N310" s="6"/>
      <c r="O310" s="6"/>
      <c r="P310" s="6"/>
      <c r="Q310" s="6"/>
      <c r="R310" s="6"/>
    </row>
    <row r="311" spans="6:18" x14ac:dyDescent="0.25">
      <c r="F311" s="5">
        <f t="shared" si="42"/>
        <v>5.5465275647282274E-5</v>
      </c>
      <c r="G311" s="4">
        <f t="shared" si="43"/>
        <v>23596.373048162059</v>
      </c>
      <c r="H311" s="3">
        <f t="shared" si="44"/>
        <v>425426048.5103755</v>
      </c>
      <c r="I311">
        <f t="shared" si="45"/>
        <v>10038511745056.309</v>
      </c>
      <c r="J311" s="6"/>
      <c r="K311" s="6"/>
      <c r="L311" s="6"/>
      <c r="M311" s="6"/>
      <c r="N311" s="6"/>
      <c r="O311" s="6"/>
      <c r="P311" s="6"/>
      <c r="Q311" s="6"/>
      <c r="R311" s="6"/>
    </row>
    <row r="312" spans="6:18" x14ac:dyDescent="0.25">
      <c r="F312" s="5">
        <f t="shared" si="42"/>
        <v>5.32688507316499E-5</v>
      </c>
      <c r="G312" s="4">
        <f t="shared" si="43"/>
        <v>23124.445587198818</v>
      </c>
      <c r="H312" s="3">
        <f t="shared" si="44"/>
        <v>434108212.76568925</v>
      </c>
      <c r="I312">
        <f t="shared" si="45"/>
        <v>10038511745056.309</v>
      </c>
      <c r="J312" s="6"/>
      <c r="K312" s="6"/>
      <c r="L312" s="6"/>
      <c r="M312" s="6"/>
      <c r="N312" s="6"/>
      <c r="O312" s="6"/>
      <c r="P312" s="6"/>
      <c r="Q312" s="6"/>
      <c r="R312" s="6"/>
    </row>
    <row r="313" spans="6:18" x14ac:dyDescent="0.25">
      <c r="F313" s="5">
        <f t="shared" si="42"/>
        <v>5.115940424267656E-5</v>
      </c>
      <c r="G313" s="4">
        <f t="shared" si="43"/>
        <v>22661.95667545484</v>
      </c>
      <c r="H313" s="3">
        <f t="shared" si="44"/>
        <v>442967564.04662174</v>
      </c>
      <c r="I313">
        <f t="shared" si="45"/>
        <v>10038511745056.309</v>
      </c>
      <c r="J313" s="6"/>
      <c r="K313" s="6"/>
      <c r="L313" s="6"/>
      <c r="M313" s="6"/>
      <c r="N313" s="6"/>
      <c r="O313" s="6"/>
      <c r="P313" s="6"/>
      <c r="Q313" s="6"/>
      <c r="R313" s="6"/>
    </row>
    <row r="314" spans="6:18" x14ac:dyDescent="0.25">
      <c r="F314" s="5">
        <f t="shared" si="42"/>
        <v>4.9133491834666559E-5</v>
      </c>
      <c r="G314" s="4">
        <f t="shared" si="43"/>
        <v>22208.717541945742</v>
      </c>
      <c r="H314" s="3">
        <f t="shared" si="44"/>
        <v>452007718.41492015</v>
      </c>
      <c r="I314">
        <f t="shared" si="45"/>
        <v>10038511745056.309</v>
      </c>
      <c r="J314" s="6"/>
      <c r="K314" s="6"/>
      <c r="L314" s="6"/>
      <c r="M314" s="6"/>
      <c r="N314" s="6"/>
      <c r="O314" s="6"/>
      <c r="P314" s="6"/>
      <c r="Q314" s="6"/>
      <c r="R314" s="6"/>
    </row>
    <row r="315" spans="6:18" x14ac:dyDescent="0.25">
      <c r="F315" s="5">
        <f t="shared" si="42"/>
        <v>4.7187805558013762E-5</v>
      </c>
      <c r="G315" s="4">
        <f t="shared" si="43"/>
        <v>21764.543191106826</v>
      </c>
      <c r="H315" s="3">
        <f t="shared" si="44"/>
        <v>461232365.72951037</v>
      </c>
      <c r="I315">
        <f t="shared" si="45"/>
        <v>10038511745056.309</v>
      </c>
      <c r="J315" s="6"/>
      <c r="K315" s="6"/>
      <c r="L315" s="6"/>
      <c r="M315" s="6"/>
      <c r="N315" s="6"/>
      <c r="O315" s="6"/>
      <c r="P315" s="6"/>
      <c r="Q315" s="6"/>
      <c r="R315" s="6"/>
    </row>
    <row r="316" spans="6:18" x14ac:dyDescent="0.25">
      <c r="F316" s="5">
        <f t="shared" si="42"/>
        <v>4.531916845791641E-5</v>
      </c>
      <c r="G316" s="4">
        <f t="shared" si="43"/>
        <v>21329.252327284688</v>
      </c>
      <c r="H316" s="3">
        <f t="shared" si="44"/>
        <v>470645271.15256166</v>
      </c>
      <c r="I316">
        <f t="shared" si="45"/>
        <v>10038511745056.309</v>
      </c>
      <c r="J316" s="6"/>
      <c r="K316" s="6"/>
      <c r="L316" s="6"/>
      <c r="M316" s="6"/>
      <c r="N316" s="6"/>
      <c r="O316" s="6"/>
      <c r="P316" s="6"/>
      <c r="Q316" s="6"/>
      <c r="R316" s="6"/>
    </row>
    <row r="317" spans="6:18" x14ac:dyDescent="0.25">
      <c r="F317" s="5">
        <f t="shared" si="42"/>
        <v>4.3524529386982918E-5</v>
      </c>
      <c r="G317" s="4">
        <f t="shared" si="43"/>
        <v>20902.667280738995</v>
      </c>
      <c r="H317" s="3">
        <f t="shared" si="44"/>
        <v>480250276.6862874</v>
      </c>
      <c r="I317">
        <f t="shared" si="45"/>
        <v>10038511745056.309</v>
      </c>
      <c r="J317" s="6"/>
      <c r="K317" s="6"/>
      <c r="L317" s="6"/>
      <c r="M317" s="6"/>
      <c r="N317" s="6"/>
      <c r="O317" s="6"/>
      <c r="P317" s="6"/>
      <c r="Q317" s="6"/>
      <c r="R317" s="6"/>
    </row>
    <row r="318" spans="6:18" x14ac:dyDescent="0.25">
      <c r="F318" s="5">
        <f t="shared" si="42"/>
        <v>4.1800958023258407E-5</v>
      </c>
      <c r="G318" s="4">
        <f t="shared" si="43"/>
        <v>20484.613935124216</v>
      </c>
      <c r="H318" s="3">
        <f t="shared" si="44"/>
        <v>490051302.74110955</v>
      </c>
      <c r="I318">
        <f t="shared" si="45"/>
        <v>10038511745056.309</v>
      </c>
      <c r="J318" s="6"/>
      <c r="K318" s="6"/>
      <c r="L318" s="6"/>
      <c r="M318" s="6"/>
      <c r="N318" s="6"/>
      <c r="O318" s="6"/>
      <c r="P318" s="6"/>
      <c r="Q318" s="6"/>
      <c r="R318" s="6"/>
    </row>
    <row r="319" spans="6:18" x14ac:dyDescent="0.25">
      <c r="F319" s="5">
        <f t="shared" si="42"/>
        <v>4.0145640085537372E-5</v>
      </c>
      <c r="G319" s="4">
        <f t="shared" si="43"/>
        <v>20074.921656421731</v>
      </c>
      <c r="H319" s="3">
        <f t="shared" si="44"/>
        <v>500052349.73582608</v>
      </c>
      <c r="I319">
        <f t="shared" si="45"/>
        <v>10038511745056.309</v>
      </c>
      <c r="J319" s="6"/>
      <c r="K319" s="6"/>
      <c r="L319" s="6"/>
      <c r="M319" s="6"/>
      <c r="N319" s="6"/>
      <c r="O319" s="6"/>
      <c r="P319" s="6"/>
      <c r="Q319" s="6"/>
      <c r="R319" s="6"/>
    </row>
    <row r="320" spans="6:18" x14ac:dyDescent="0.25">
      <c r="F320" s="5">
        <f t="shared" si="42"/>
        <v>3.8555872738150085E-5</v>
      </c>
      <c r="G320" s="4">
        <f t="shared" si="43"/>
        <v>19673.423223293295</v>
      </c>
      <c r="H320" s="3">
        <f t="shared" si="44"/>
        <v>510257499.73043483</v>
      </c>
      <c r="I320">
        <f t="shared" si="45"/>
        <v>10038511745056.309</v>
      </c>
      <c r="J320" s="6"/>
      <c r="K320" s="6"/>
      <c r="L320" s="6"/>
      <c r="M320" s="6"/>
      <c r="N320" s="6"/>
      <c r="O320" s="6"/>
      <c r="P320" s="6"/>
      <c r="Q320" s="6"/>
      <c r="R320" s="6"/>
    </row>
    <row r="321" spans="6:18" x14ac:dyDescent="0.25">
      <c r="F321" s="5">
        <f t="shared" si="42"/>
        <v>3.7029060177719335E-5</v>
      </c>
      <c r="G321" s="4">
        <f t="shared" si="43"/>
        <v>19279.954758827429</v>
      </c>
      <c r="H321" s="3">
        <f t="shared" si="44"/>
        <v>520670918.09228045</v>
      </c>
      <c r="I321">
        <f t="shared" si="45"/>
        <v>10038511745056.309</v>
      </c>
      <c r="J321" s="6"/>
      <c r="K321" s="6"/>
      <c r="L321" s="6"/>
      <c r="M321" s="6"/>
      <c r="N321" s="6"/>
      <c r="O321" s="6"/>
      <c r="P321" s="6"/>
      <c r="Q321" s="6"/>
      <c r="R321" s="6"/>
    </row>
    <row r="322" spans="6:18" x14ac:dyDescent="0.25">
      <c r="F322" s="5">
        <f t="shared" si="42"/>
        <v>3.5562709394681651E-5</v>
      </c>
      <c r="G322" s="4">
        <f t="shared" si="43"/>
        <v>18894.35566365088</v>
      </c>
      <c r="H322" s="3">
        <f t="shared" si="44"/>
        <v>531296855.19620454</v>
      </c>
      <c r="I322">
        <f t="shared" si="45"/>
        <v>10038511745056.309</v>
      </c>
      <c r="J322" s="6"/>
      <c r="K322" s="6"/>
      <c r="L322" s="6"/>
      <c r="M322" s="6"/>
      <c r="N322" s="6"/>
      <c r="O322" s="6"/>
      <c r="P322" s="6"/>
      <c r="Q322" s="6"/>
      <c r="R322" s="6"/>
    </row>
    <row r="323" spans="6:18" x14ac:dyDescent="0.25">
      <c r="F323" s="5">
        <f t="shared" si="42"/>
        <v>3.4154426102652259E-5</v>
      </c>
      <c r="G323" s="4">
        <f t="shared" si="43"/>
        <v>18516.468550377864</v>
      </c>
      <c r="H323" s="3">
        <f t="shared" si="44"/>
        <v>542139648.15939236</v>
      </c>
      <c r="I323">
        <f t="shared" si="45"/>
        <v>10038511745056.309</v>
      </c>
      <c r="J323" s="6"/>
      <c r="K323" s="6"/>
      <c r="L323" s="6"/>
      <c r="M323" s="6"/>
      <c r="N323" s="6"/>
      <c r="O323" s="6"/>
      <c r="P323" s="6"/>
      <c r="Q323" s="6"/>
      <c r="R323" s="6"/>
    </row>
    <row r="324" spans="6:18" x14ac:dyDescent="0.25">
      <c r="F324" s="5">
        <f t="shared" si="42"/>
        <v>3.2801910828987238E-5</v>
      </c>
      <c r="G324" s="4">
        <f t="shared" si="43"/>
        <v>18146.139179370308</v>
      </c>
      <c r="H324" s="3">
        <f t="shared" si="44"/>
        <v>553203722.61162484</v>
      </c>
      <c r="I324">
        <f t="shared" si="45"/>
        <v>10038511745056.309</v>
      </c>
      <c r="J324" s="6"/>
      <c r="K324" s="6"/>
      <c r="L324" s="6"/>
      <c r="M324" s="6"/>
      <c r="N324" s="6"/>
      <c r="O324" s="6"/>
      <c r="P324" s="6"/>
      <c r="Q324" s="6"/>
      <c r="R324" s="6"/>
    </row>
    <row r="325" spans="6:18" x14ac:dyDescent="0.25">
      <c r="F325" s="5">
        <f t="shared" si="42"/>
        <v>3.1502955160159338E-5</v>
      </c>
      <c r="G325" s="4">
        <f t="shared" si="43"/>
        <v>17783.2163957829</v>
      </c>
      <c r="H325" s="3">
        <f t="shared" si="44"/>
        <v>564493594.50165796</v>
      </c>
      <c r="I325">
        <f t="shared" si="45"/>
        <v>10038511745056.309</v>
      </c>
      <c r="J325" s="6"/>
      <c r="K325" s="6"/>
      <c r="L325" s="6"/>
      <c r="M325" s="6"/>
      <c r="N325" s="6"/>
      <c r="O325" s="6"/>
      <c r="P325" s="6"/>
      <c r="Q325" s="6"/>
      <c r="R325" s="6"/>
    </row>
    <row r="326" spans="6:18" x14ac:dyDescent="0.25">
      <c r="F326" s="5">
        <f t="shared" si="42"/>
        <v>3.0255438135817019E-5</v>
      </c>
      <c r="G326" s="4">
        <f t="shared" si="43"/>
        <v>17427.55206786724</v>
      </c>
      <c r="H326" s="3">
        <f t="shared" si="44"/>
        <v>576013871.94046748</v>
      </c>
      <c r="I326">
        <f t="shared" si="45"/>
        <v>10038511745056.309</v>
      </c>
      <c r="J326" s="6"/>
      <c r="K326" s="6"/>
      <c r="L326" s="6"/>
      <c r="M326" s="6"/>
      <c r="N326" s="6"/>
      <c r="O326" s="6"/>
      <c r="P326" s="6"/>
      <c r="Q326" s="6"/>
      <c r="R326" s="6"/>
    </row>
    <row r="327" spans="6:18" x14ac:dyDescent="0.25">
      <c r="F327" s="5">
        <f t="shared" si="42"/>
        <v>2.9057322785638662E-5</v>
      </c>
      <c r="G327" s="4">
        <f t="shared" si="43"/>
        <v>17079.001026509894</v>
      </c>
      <c r="H327" s="3">
        <f t="shared" si="44"/>
        <v>587769257.08210969</v>
      </c>
      <c r="I327">
        <f t="shared" si="45"/>
        <v>10038511745056.309</v>
      </c>
      <c r="J327" s="6"/>
      <c r="K327" s="6"/>
      <c r="L327" s="6"/>
      <c r="M327" s="6"/>
      <c r="N327" s="6"/>
      <c r="O327" s="6"/>
      <c r="P327" s="6"/>
      <c r="Q327" s="6"/>
      <c r="R327" s="6"/>
    </row>
    <row r="328" spans="6:18" x14ac:dyDescent="0.25">
      <c r="F328" s="5">
        <f t="shared" si="42"/>
        <v>2.7906652803327376E-5</v>
      </c>
      <c r="G328" s="4">
        <f t="shared" si="43"/>
        <v>16737.421005979697</v>
      </c>
      <c r="H328" s="3">
        <f t="shared" si="44"/>
        <v>599764548.04296899</v>
      </c>
      <c r="I328">
        <f t="shared" si="45"/>
        <v>10038511745056.309</v>
      </c>
      <c r="J328" s="6"/>
      <c r="K328" s="6"/>
      <c r="L328" s="6"/>
      <c r="M328" s="6"/>
      <c r="N328" s="6"/>
      <c r="O328" s="6"/>
      <c r="P328" s="6"/>
      <c r="Q328" s="6"/>
      <c r="R328" s="6"/>
    </row>
    <row r="329" spans="6:18" x14ac:dyDescent="0.25">
      <c r="F329" s="5">
        <f t="shared" ref="F329:F392" si="46">G329/H329</f>
        <v>2.6801549352315607E-5</v>
      </c>
      <c r="G329" s="4">
        <f t="shared" si="43"/>
        <v>16402.672585860102</v>
      </c>
      <c r="H329" s="3">
        <f t="shared" si="44"/>
        <v>612004640.86017251</v>
      </c>
      <c r="I329">
        <f t="shared" si="45"/>
        <v>10038511745056.309</v>
      </c>
      <c r="J329" s="6"/>
      <c r="K329" s="6"/>
      <c r="L329" s="6"/>
      <c r="M329" s="6"/>
      <c r="N329" s="6"/>
      <c r="O329" s="6"/>
      <c r="P329" s="6"/>
      <c r="Q329" s="6"/>
      <c r="R329" s="6"/>
    </row>
    <row r="330" spans="6:18" x14ac:dyDescent="0.25">
      <c r="F330" s="5">
        <f t="shared" si="46"/>
        <v>2.5740207997963912E-5</v>
      </c>
      <c r="G330" s="4">
        <f t="shared" si="43"/>
        <v>16074.6191341429</v>
      </c>
      <c r="H330" s="3">
        <f t="shared" si="44"/>
        <v>624494531.48997188</v>
      </c>
      <c r="I330">
        <f t="shared" si="45"/>
        <v>10038511745056.309</v>
      </c>
      <c r="J330" s="6"/>
      <c r="K330" s="6"/>
      <c r="L330" s="6"/>
      <c r="M330" s="6"/>
      <c r="N330" s="6"/>
      <c r="O330" s="6"/>
      <c r="P330" s="6"/>
      <c r="Q330" s="6"/>
      <c r="R330" s="6"/>
    </row>
    <row r="331" spans="6:18" x14ac:dyDescent="0.25">
      <c r="F331" s="5">
        <f t="shared" si="46"/>
        <v>2.4720895761244541E-5</v>
      </c>
      <c r="G331" s="4">
        <f t="shared" si="43"/>
        <v>15753.126751460042</v>
      </c>
      <c r="H331" s="3">
        <f t="shared" si="44"/>
        <v>637239317.84691012</v>
      </c>
      <c r="I331">
        <f t="shared" si="45"/>
        <v>10038511745056.309</v>
      </c>
      <c r="J331" s="6"/>
      <c r="K331" s="6"/>
      <c r="L331" s="6"/>
      <c r="M331" s="6"/>
      <c r="N331" s="6"/>
      <c r="O331" s="6"/>
      <c r="P331" s="6"/>
      <c r="Q331" s="6"/>
      <c r="R331" s="6"/>
    </row>
    <row r="332" spans="6:18" x14ac:dyDescent="0.25">
      <c r="F332" s="5">
        <f t="shared" si="46"/>
        <v>2.3741948289099255E-5</v>
      </c>
      <c r="G332" s="4">
        <f t="shared" si="43"/>
        <v>15438.064216430841</v>
      </c>
      <c r="H332" s="3">
        <f t="shared" si="44"/>
        <v>650244201.88460219</v>
      </c>
      <c r="I332">
        <f t="shared" si="45"/>
        <v>10038511745056.309</v>
      </c>
      <c r="J332" s="6"/>
      <c r="K332" s="6"/>
      <c r="L332" s="6"/>
      <c r="M332" s="6"/>
      <c r="N332" s="6"/>
      <c r="O332" s="6"/>
      <c r="P332" s="6"/>
      <c r="Q332" s="6"/>
      <c r="R332" s="6"/>
    </row>
    <row r="333" spans="6:18" x14ac:dyDescent="0.25">
      <c r="F333" s="5">
        <f t="shared" si="46"/>
        <v>2.2801767136850921E-5</v>
      </c>
      <c r="G333" s="4">
        <f t="shared" si="43"/>
        <v>15129.302932102224</v>
      </c>
      <c r="H333" s="3">
        <f t="shared" si="44"/>
        <v>663514491.71898186</v>
      </c>
      <c r="I333">
        <f t="shared" si="45"/>
        <v>10038511745056.309</v>
      </c>
      <c r="J333" s="6"/>
      <c r="K333" s="6"/>
      <c r="L333" s="6"/>
      <c r="M333" s="6"/>
      <c r="N333" s="6"/>
      <c r="O333" s="6"/>
      <c r="P333" s="6"/>
      <c r="Q333" s="6"/>
      <c r="R333" s="6"/>
    </row>
    <row r="334" spans="6:18" x14ac:dyDescent="0.25">
      <c r="F334" s="5">
        <f t="shared" si="46"/>
        <v>2.1898817158231627E-5</v>
      </c>
      <c r="G334" s="4">
        <f t="shared" si="43"/>
        <v>14826.71687346018</v>
      </c>
      <c r="H334" s="3">
        <f t="shared" si="44"/>
        <v>677055603.79487944</v>
      </c>
      <c r="I334">
        <f t="shared" si="45"/>
        <v>10038511745056.309</v>
      </c>
      <c r="J334" s="6"/>
      <c r="K334" s="6"/>
      <c r="L334" s="6"/>
      <c r="M334" s="6"/>
      <c r="N334" s="6"/>
      <c r="O334" s="6"/>
      <c r="P334" s="6"/>
      <c r="Q334" s="6"/>
      <c r="R334" s="6"/>
    </row>
    <row r="335" spans="6:18" x14ac:dyDescent="0.25">
      <c r="F335" s="5">
        <f t="shared" si="46"/>
        <v>2.1031623998765655E-5</v>
      </c>
      <c r="G335" s="4">
        <f t="shared" si="43"/>
        <v>14530.182535990976</v>
      </c>
      <c r="H335" s="3">
        <f t="shared" si="44"/>
        <v>690873065.09681571</v>
      </c>
      <c r="I335">
        <f t="shared" si="45"/>
        <v>10038511745056.309</v>
      </c>
      <c r="J335" s="6"/>
      <c r="K335" s="6"/>
      <c r="L335" s="6"/>
      <c r="M335" s="6"/>
      <c r="N335" s="6"/>
      <c r="O335" s="6"/>
      <c r="P335" s="6"/>
      <c r="Q335" s="6"/>
      <c r="R335" s="6"/>
    </row>
    <row r="336" spans="6:18" x14ac:dyDescent="0.25">
      <c r="F336" s="5">
        <f t="shared" si="46"/>
        <v>2.0198771688414533E-5</v>
      </c>
      <c r="G336" s="4">
        <f t="shared" si="43"/>
        <v>14239.578885271156</v>
      </c>
      <c r="H336" s="3">
        <f t="shared" si="44"/>
        <v>704972515.40491402</v>
      </c>
      <c r="I336">
        <f t="shared" si="45"/>
        <v>10038511745056.309</v>
      </c>
      <c r="J336" s="6"/>
      <c r="K336" s="6"/>
      <c r="L336" s="6"/>
      <c r="M336" s="6"/>
      <c r="N336" s="6"/>
      <c r="O336" s="6"/>
      <c r="P336" s="6"/>
      <c r="Q336" s="6"/>
      <c r="R336" s="6"/>
    </row>
    <row r="337" spans="6:18" x14ac:dyDescent="0.25">
      <c r="F337" s="5">
        <f t="shared" si="46"/>
        <v>1.9398900329553315E-5</v>
      </c>
      <c r="G337" s="4">
        <f t="shared" si="43"/>
        <v>13954.787307565732</v>
      </c>
      <c r="H337" s="3">
        <f t="shared" si="44"/>
        <v>719359709.59685111</v>
      </c>
      <c r="I337">
        <f t="shared" si="45"/>
        <v>10038511745056.309</v>
      </c>
      <c r="J337" s="6"/>
      <c r="K337" s="6"/>
      <c r="L337" s="6"/>
      <c r="M337" s="6"/>
      <c r="N337" s="6"/>
      <c r="O337" s="6"/>
      <c r="P337" s="6"/>
      <c r="Q337" s="6"/>
      <c r="R337" s="6"/>
    </row>
    <row r="338" spans="6:18" x14ac:dyDescent="0.25">
      <c r="F338" s="5">
        <f t="shared" si="46"/>
        <v>1.8630703876503001E-5</v>
      </c>
      <c r="G338" s="4">
        <f t="shared" si="43"/>
        <v>13675.691561414416</v>
      </c>
      <c r="H338" s="3">
        <f t="shared" si="44"/>
        <v>734040519.99678683</v>
      </c>
      <c r="I338">
        <f t="shared" si="45"/>
        <v>10038511745056.309</v>
      </c>
      <c r="J338" s="6"/>
      <c r="K338" s="6"/>
      <c r="L338" s="6"/>
      <c r="M338" s="6"/>
      <c r="N338" s="6"/>
      <c r="O338" s="6"/>
      <c r="P338" s="6"/>
      <c r="Q338" s="6"/>
      <c r="R338" s="6"/>
    </row>
    <row r="339" spans="6:18" x14ac:dyDescent="0.25">
      <c r="F339" s="5">
        <f t="shared" si="46"/>
        <v>1.7892928002993482E-5</v>
      </c>
      <c r="G339" s="4">
        <f t="shared" si="43"/>
        <v>13402.177730186128</v>
      </c>
      <c r="H339" s="3">
        <f t="shared" si="44"/>
        <v>749020938.77223158</v>
      </c>
      <c r="I339">
        <f t="shared" si="45"/>
        <v>10038511745056.309</v>
      </c>
      <c r="J339" s="6"/>
      <c r="K339" s="6"/>
      <c r="L339" s="6"/>
      <c r="M339" s="6"/>
      <c r="N339" s="6"/>
      <c r="O339" s="6"/>
      <c r="P339" s="6"/>
      <c r="Q339" s="6"/>
      <c r="R339" s="6"/>
    </row>
    <row r="340" spans="6:18" x14ac:dyDescent="0.25">
      <c r="F340" s="5">
        <f t="shared" si="46"/>
        <v>1.7184368054074939E-5</v>
      </c>
      <c r="G340" s="4">
        <f t="shared" si="43"/>
        <v>13134.134175582405</v>
      </c>
      <c r="H340" s="3">
        <f t="shared" si="44"/>
        <v>764307080.3798281</v>
      </c>
      <c r="I340">
        <f t="shared" si="45"/>
        <v>10038511745056.309</v>
      </c>
      <c r="J340" s="6"/>
      <c r="K340" s="6"/>
      <c r="L340" s="6"/>
      <c r="M340" s="6"/>
      <c r="N340" s="6"/>
      <c r="O340" s="6"/>
      <c r="P340" s="6"/>
      <c r="Q340" s="6"/>
      <c r="R340" s="6"/>
    </row>
    <row r="341" spans="6:18" x14ac:dyDescent="0.25">
      <c r="F341" s="5">
        <f t="shared" si="46"/>
        <v>1.6503867079133571E-5</v>
      </c>
      <c r="G341" s="4">
        <f t="shared" si="43"/>
        <v>12871.451492070757</v>
      </c>
      <c r="H341" s="3">
        <f t="shared" si="44"/>
        <v>779905184.0610491</v>
      </c>
      <c r="I341">
        <f t="shared" si="45"/>
        <v>10038511745056.309</v>
      </c>
      <c r="J341" s="6"/>
      <c r="K341" s="6"/>
      <c r="L341" s="6"/>
      <c r="M341" s="6"/>
      <c r="N341" s="6"/>
      <c r="O341" s="6"/>
      <c r="P341" s="6"/>
      <c r="Q341" s="6"/>
      <c r="R341" s="6"/>
    </row>
    <row r="342" spans="6:18" x14ac:dyDescent="0.25">
      <c r="F342" s="5">
        <f t="shared" si="46"/>
        <v>1.585031394279988E-5</v>
      </c>
      <c r="G342" s="4">
        <f t="shared" si="43"/>
        <v>12614.022462229341</v>
      </c>
      <c r="H342" s="3">
        <f t="shared" si="44"/>
        <v>795821616.38882565</v>
      </c>
      <c r="I342">
        <f t="shared" si="45"/>
        <v>10038511745056.309</v>
      </c>
      <c r="J342" s="6"/>
      <c r="K342" s="6"/>
      <c r="L342" s="6"/>
      <c r="M342" s="6"/>
      <c r="N342" s="6"/>
      <c r="O342" s="6"/>
      <c r="P342" s="6"/>
      <c r="Q342" s="6"/>
      <c r="R342" s="6"/>
    </row>
    <row r="343" spans="6:18" x14ac:dyDescent="0.25">
      <c r="F343" s="5">
        <f t="shared" si="46"/>
        <v>1.5222641510665006E-5</v>
      </c>
      <c r="G343" s="4">
        <f t="shared" si="43"/>
        <v>12361.742012984754</v>
      </c>
      <c r="H343" s="3">
        <f t="shared" si="44"/>
        <v>812062873.86614859</v>
      </c>
      <c r="I343">
        <f t="shared" si="45"/>
        <v>10038511745056.309</v>
      </c>
      <c r="J343" s="6"/>
      <c r="K343" s="6"/>
      <c r="L343" s="6"/>
      <c r="M343" s="6"/>
      <c r="N343" s="6"/>
      <c r="O343" s="6"/>
      <c r="P343" s="6"/>
      <c r="Q343" s="6"/>
      <c r="R343" s="6"/>
    </row>
    <row r="344" spans="6:18" x14ac:dyDescent="0.25">
      <c r="F344" s="5">
        <f t="shared" si="46"/>
        <v>1.4619824906842673E-5</v>
      </c>
      <c r="G344" s="4">
        <f t="shared" si="43"/>
        <v>12114.50717272506</v>
      </c>
      <c r="H344" s="3">
        <f t="shared" si="44"/>
        <v>828635585.57770264</v>
      </c>
      <c r="I344">
        <f t="shared" si="45"/>
        <v>10038511745056.309</v>
      </c>
      <c r="J344" s="6"/>
      <c r="K344" s="6"/>
      <c r="L344" s="6"/>
      <c r="M344" s="6"/>
      <c r="N344" s="6"/>
      <c r="O344" s="6"/>
      <c r="P344" s="6"/>
      <c r="Q344" s="6"/>
      <c r="R344" s="6"/>
    </row>
    <row r="345" spans="6:18" x14ac:dyDescent="0.25">
      <c r="F345" s="5">
        <f t="shared" si="46"/>
        <v>1.4040879840531701E-5</v>
      </c>
      <c r="G345" s="4">
        <f t="shared" si="43"/>
        <v>11872.217029270558</v>
      </c>
      <c r="H345" s="3">
        <f t="shared" si="44"/>
        <v>845546515.89561498</v>
      </c>
      <c r="I345">
        <f t="shared" si="45"/>
        <v>10038511745056.309</v>
      </c>
      <c r="J345" s="6"/>
      <c r="K345" s="6"/>
      <c r="L345" s="6"/>
      <c r="M345" s="6"/>
      <c r="N345" s="6"/>
      <c r="O345" s="6"/>
      <c r="P345" s="6"/>
      <c r="Q345" s="6"/>
      <c r="R345" s="6"/>
    </row>
    <row r="346" spans="6:18" x14ac:dyDescent="0.25">
      <c r="F346" s="5">
        <f t="shared" si="46"/>
        <v>1.3484860998846646E-5</v>
      </c>
      <c r="G346" s="4">
        <f t="shared" si="43"/>
        <v>11634.772688685147</v>
      </c>
      <c r="H346" s="3">
        <f t="shared" si="44"/>
        <v>862802567.24042344</v>
      </c>
      <c r="I346">
        <f t="shared" si="45"/>
        <v>10038511745056.309</v>
      </c>
      <c r="J346" s="6"/>
      <c r="K346" s="6"/>
      <c r="L346" s="6"/>
      <c r="M346" s="6"/>
      <c r="N346" s="6"/>
      <c r="O346" s="6"/>
      <c r="P346" s="6"/>
      <c r="Q346" s="6"/>
      <c r="R346" s="6"/>
    </row>
    <row r="347" spans="6:18" x14ac:dyDescent="0.25">
      <c r="F347" s="5">
        <f t="shared" si="46"/>
        <v>1.2950860503292316E-5</v>
      </c>
      <c r="G347" s="4">
        <f t="shared" si="43"/>
        <v>11402.077234911443</v>
      </c>
      <c r="H347" s="3">
        <f t="shared" si="44"/>
        <v>880410782.89839137</v>
      </c>
      <c r="I347">
        <f t="shared" si="45"/>
        <v>10038511745056.309</v>
      </c>
      <c r="J347" s="6"/>
      <c r="K347" s="6"/>
      <c r="L347" s="6"/>
      <c r="M347" s="6"/>
      <c r="N347" s="6"/>
      <c r="O347" s="6"/>
      <c r="P347" s="6"/>
      <c r="Q347" s="6"/>
      <c r="R347" s="6"/>
    </row>
    <row r="348" spans="6:18" x14ac:dyDescent="0.25">
      <c r="F348" s="5">
        <f t="shared" si="46"/>
        <v>1.243800642736194E-5</v>
      </c>
      <c r="G348" s="4">
        <f t="shared" si="43"/>
        <v>11174.035690213213</v>
      </c>
      <c r="H348" s="3">
        <f t="shared" si="44"/>
        <v>898378349.89631772</v>
      </c>
      <c r="I348">
        <f t="shared" si="45"/>
        <v>10038511745056.309</v>
      </c>
      <c r="J348" s="6"/>
      <c r="K348" s="6"/>
      <c r="L348" s="6"/>
      <c r="M348" s="6"/>
      <c r="N348" s="6"/>
      <c r="O348" s="6"/>
      <c r="P348" s="6"/>
      <c r="Q348" s="6"/>
      <c r="R348" s="6"/>
    </row>
    <row r="349" spans="6:18" x14ac:dyDescent="0.25">
      <c r="F349" s="5">
        <f t="shared" si="46"/>
        <v>1.1945461372838405E-5</v>
      </c>
      <c r="G349" s="4">
        <f t="shared" si="43"/>
        <v>10950.554976408948</v>
      </c>
      <c r="H349" s="3">
        <f t="shared" si="44"/>
        <v>916712601.93501818</v>
      </c>
      <c r="I349">
        <f t="shared" si="45"/>
        <v>10038511745056.309</v>
      </c>
      <c r="J349" s="6"/>
      <c r="K349" s="6"/>
      <c r="L349" s="6"/>
      <c r="M349" s="6"/>
      <c r="N349" s="6"/>
      <c r="O349" s="6"/>
      <c r="P349" s="6"/>
      <c r="Q349" s="6"/>
      <c r="R349" s="6"/>
    </row>
    <row r="350" spans="6:18" x14ac:dyDescent="0.25">
      <c r="F350" s="5">
        <f t="shared" si="46"/>
        <v>1.1472421102474003E-5</v>
      </c>
      <c r="G350" s="4">
        <f t="shared" si="43"/>
        <v>10731.543876880769</v>
      </c>
      <c r="H350" s="3">
        <f t="shared" si="44"/>
        <v>935421022.38267159</v>
      </c>
      <c r="I350">
        <f t="shared" si="45"/>
        <v>10038511745056.309</v>
      </c>
      <c r="J350" s="6"/>
      <c r="K350" s="6"/>
      <c r="L350" s="6"/>
      <c r="M350" s="6"/>
      <c r="N350" s="6"/>
      <c r="O350" s="6"/>
      <c r="P350" s="6"/>
      <c r="Q350" s="6"/>
      <c r="R350" s="6"/>
    </row>
    <row r="351" spans="6:18" x14ac:dyDescent="0.25">
      <c r="F351" s="5">
        <f t="shared" si="46"/>
        <v>1.1018113226816031E-5</v>
      </c>
      <c r="G351" s="4">
        <f t="shared" si="43"/>
        <v>10516.912999343152</v>
      </c>
      <c r="H351" s="3">
        <f t="shared" si="44"/>
        <v>954511247.32925689</v>
      </c>
      <c r="I351">
        <f t="shared" si="45"/>
        <v>10038511745056.309</v>
      </c>
      <c r="J351" s="6"/>
      <c r="K351" s="6"/>
      <c r="L351" s="6"/>
      <c r="M351" s="6"/>
      <c r="N351" s="6"/>
      <c r="O351" s="6"/>
      <c r="P351" s="6"/>
      <c r="Q351" s="6"/>
      <c r="R351" s="6"/>
    </row>
    <row r="352" spans="6:18" x14ac:dyDescent="0.25">
      <c r="F352" s="5">
        <f t="shared" si="46"/>
        <v>1.0581795943034115E-5</v>
      </c>
      <c r="G352" s="4">
        <f t="shared" si="43"/>
        <v>10306.574739356289</v>
      </c>
      <c r="H352" s="3">
        <f t="shared" si="44"/>
        <v>973991068.70332336</v>
      </c>
      <c r="I352">
        <f t="shared" si="45"/>
        <v>10038511745056.309</v>
      </c>
      <c r="J352" s="6"/>
      <c r="K352" s="6"/>
      <c r="L352" s="6"/>
      <c r="M352" s="6"/>
      <c r="N352" s="6"/>
      <c r="O352" s="6"/>
      <c r="P352" s="6"/>
      <c r="Q352" s="6"/>
      <c r="R352" s="6"/>
    </row>
    <row r="353" spans="6:18" x14ac:dyDescent="0.25">
      <c r="F353" s="5">
        <f t="shared" si="46"/>
        <v>1.0162756823689964E-5</v>
      </c>
      <c r="G353" s="4">
        <f t="shared" si="43"/>
        <v>10100.443244569164</v>
      </c>
      <c r="H353" s="3">
        <f t="shared" si="44"/>
        <v>993868437.45237076</v>
      </c>
      <c r="I353">
        <f t="shared" si="45"/>
        <v>10038511745056.309</v>
      </c>
      <c r="J353" s="6"/>
      <c r="K353" s="6"/>
      <c r="L353" s="6"/>
      <c r="M353" s="6"/>
      <c r="N353" s="6"/>
      <c r="O353" s="6"/>
      <c r="P353" s="6"/>
      <c r="Q353" s="6"/>
      <c r="R353" s="6"/>
    </row>
    <row r="354" spans="6:18" x14ac:dyDescent="0.25">
      <c r="F354" s="5">
        <f t="shared" si="46"/>
        <v>9.7603116534718399E-6</v>
      </c>
      <c r="G354" s="4">
        <f t="shared" si="43"/>
        <v>9898.4343796777794</v>
      </c>
      <c r="H354" s="3">
        <f t="shared" si="44"/>
        <v>1014151466.7881335</v>
      </c>
      <c r="I354">
        <f t="shared" si="45"/>
        <v>10038511745056.309</v>
      </c>
      <c r="J354" s="6"/>
      <c r="K354" s="6"/>
      <c r="L354" s="6"/>
      <c r="M354" s="6"/>
      <c r="N354" s="6"/>
      <c r="O354" s="6"/>
      <c r="P354" s="6"/>
      <c r="Q354" s="6"/>
      <c r="R354" s="6"/>
    </row>
    <row r="355" spans="6:18" x14ac:dyDescent="0.25">
      <c r="F355" s="5">
        <f t="shared" si="46"/>
        <v>9.3738033119943555E-6</v>
      </c>
      <c r="G355" s="4">
        <f t="shared" si="43"/>
        <v>9700.4656920842244</v>
      </c>
      <c r="H355" s="3">
        <f t="shared" si="44"/>
        <v>1034848435.4980954</v>
      </c>
      <c r="I355">
        <f t="shared" si="45"/>
        <v>10038511745056.309</v>
      </c>
      <c r="J355" s="6"/>
      <c r="K355" s="6"/>
      <c r="L355" s="6"/>
      <c r="M355" s="6"/>
      <c r="N355" s="6"/>
      <c r="O355" s="6"/>
      <c r="P355" s="6"/>
      <c r="Q355" s="6"/>
      <c r="R355" s="6"/>
    </row>
    <row r="356" spans="6:18" x14ac:dyDescent="0.25">
      <c r="F356" s="5">
        <f t="shared" si="46"/>
        <v>9.0026007008393779E-6</v>
      </c>
      <c r="G356" s="4">
        <f t="shared" si="43"/>
        <v>9506.4563782425394</v>
      </c>
      <c r="H356" s="3">
        <f t="shared" si="44"/>
        <v>1055967791.3245872</v>
      </c>
      <c r="I356">
        <f t="shared" si="45"/>
        <v>10038511745056.309</v>
      </c>
      <c r="J356" s="6"/>
      <c r="K356" s="6"/>
      <c r="L356" s="6"/>
      <c r="M356" s="6"/>
      <c r="N356" s="6"/>
      <c r="O356" s="6"/>
      <c r="P356" s="6"/>
      <c r="Q356" s="6"/>
      <c r="R356" s="6"/>
    </row>
    <row r="357" spans="6:18" x14ac:dyDescent="0.25">
      <c r="F357" s="5">
        <f t="shared" si="46"/>
        <v>8.6460977130861388E-6</v>
      </c>
      <c r="G357" s="4">
        <f t="shared" si="43"/>
        <v>9316.3272506776884</v>
      </c>
      <c r="H357" s="3">
        <f t="shared" si="44"/>
        <v>1077518154.4128442</v>
      </c>
      <c r="I357">
        <f t="shared" si="45"/>
        <v>10038511745056.309</v>
      </c>
      <c r="J357" s="6"/>
      <c r="K357" s="6"/>
      <c r="L357" s="6"/>
      <c r="M357" s="6"/>
      <c r="N357" s="6"/>
      <c r="O357" s="6"/>
      <c r="P357" s="6"/>
      <c r="Q357" s="6"/>
      <c r="R357" s="6"/>
    </row>
    <row r="358" spans="6:18" x14ac:dyDescent="0.25">
      <c r="F358" s="5">
        <f t="shared" si="46"/>
        <v>8.3037122436479288E-6</v>
      </c>
      <c r="G358" s="4">
        <f t="shared" si="43"/>
        <v>9130.0007056641352</v>
      </c>
      <c r="H358" s="3">
        <f t="shared" si="44"/>
        <v>1099508320.8294327</v>
      </c>
      <c r="I358">
        <f t="shared" si="45"/>
        <v>10038511745056.309</v>
      </c>
      <c r="J358" s="6"/>
      <c r="K358" s="6"/>
      <c r="L358" s="6"/>
      <c r="M358" s="6"/>
      <c r="N358" s="6"/>
      <c r="O358" s="6"/>
      <c r="P358" s="6"/>
      <c r="Q358" s="6"/>
      <c r="R358" s="6"/>
    </row>
    <row r="359" spans="6:18" x14ac:dyDescent="0.25">
      <c r="F359" s="5">
        <f t="shared" si="46"/>
        <v>7.9748852387994717E-6</v>
      </c>
      <c r="G359" s="4">
        <f t="shared" si="43"/>
        <v>8947.4006915508526</v>
      </c>
      <c r="H359" s="3">
        <f t="shared" si="44"/>
        <v>1121947266.1524823</v>
      </c>
      <c r="I359">
        <f t="shared" si="45"/>
        <v>10038511745056.309</v>
      </c>
      <c r="J359" s="6"/>
      <c r="K359" s="6"/>
      <c r="L359" s="6"/>
      <c r="M359" s="6"/>
      <c r="N359" s="6"/>
      <c r="O359" s="6"/>
      <c r="P359" s="6"/>
      <c r="Q359" s="6"/>
      <c r="R359" s="6"/>
    </row>
    <row r="360" spans="6:18" x14ac:dyDescent="0.25">
      <c r="F360" s="5">
        <f t="shared" si="46"/>
        <v>7.659079783343012E-6</v>
      </c>
      <c r="G360" s="4">
        <f t="shared" si="43"/>
        <v>8768.4526777198353</v>
      </c>
      <c r="H360" s="3">
        <f t="shared" si="44"/>
        <v>1144844149.135186</v>
      </c>
      <c r="I360">
        <f t="shared" si="45"/>
        <v>10038511745056.309</v>
      </c>
      <c r="J360" s="6"/>
      <c r="K360" s="6"/>
      <c r="L360" s="6"/>
      <c r="M360" s="6"/>
      <c r="N360" s="6"/>
      <c r="O360" s="6"/>
      <c r="P360" s="6"/>
      <c r="Q360" s="6"/>
      <c r="R360" s="6"/>
    </row>
    <row r="361" spans="6:18" x14ac:dyDescent="0.25">
      <c r="F361" s="5">
        <f t="shared" si="46"/>
        <v>7.3557802239226271E-6</v>
      </c>
      <c r="G361" s="4">
        <f t="shared" si="43"/>
        <v>8593.0836241654379</v>
      </c>
      <c r="H361" s="3">
        <f t="shared" si="44"/>
        <v>1168208315.4440675</v>
      </c>
      <c r="I361">
        <f t="shared" si="45"/>
        <v>10038511745056.309</v>
      </c>
      <c r="J361" s="6"/>
      <c r="K361" s="6"/>
      <c r="L361" s="6"/>
      <c r="M361" s="6"/>
      <c r="N361" s="6"/>
      <c r="O361" s="6"/>
      <c r="P361" s="6"/>
      <c r="Q361" s="6"/>
      <c r="R361" s="6"/>
    </row>
    <row r="362" spans="6:18" x14ac:dyDescent="0.25">
      <c r="F362" s="5">
        <f t="shared" si="46"/>
        <v>7.064491327055292E-6</v>
      </c>
      <c r="G362" s="4">
        <f t="shared" si="43"/>
        <v>8421.2219516821297</v>
      </c>
      <c r="H362" s="3">
        <f t="shared" si="44"/>
        <v>1192049301.4735382</v>
      </c>
      <c r="I362">
        <f t="shared" si="45"/>
        <v>10038511745056.309</v>
      </c>
      <c r="J362" s="6"/>
      <c r="K362" s="6"/>
      <c r="L362" s="6"/>
      <c r="M362" s="6"/>
      <c r="N362" s="6"/>
      <c r="O362" s="6"/>
      <c r="P362" s="6"/>
      <c r="Q362" s="6"/>
      <c r="R362" s="6"/>
    </row>
    <row r="363" spans="6:18" x14ac:dyDescent="0.25">
      <c r="F363" s="5">
        <f t="shared" si="46"/>
        <v>6.7847374705039018E-6</v>
      </c>
      <c r="G363" s="4">
        <f t="shared" si="43"/>
        <v>8252.7975126484871</v>
      </c>
      <c r="H363" s="3">
        <f t="shared" si="44"/>
        <v>1216376838.2383044</v>
      </c>
      <c r="I363">
        <f t="shared" si="45"/>
        <v>10038511745056.309</v>
      </c>
      <c r="J363" s="6"/>
      <c r="K363" s="6"/>
      <c r="L363" s="6"/>
      <c r="M363" s="6"/>
      <c r="N363" s="6"/>
      <c r="O363" s="6"/>
      <c r="P363" s="6"/>
      <c r="Q363" s="6"/>
      <c r="R363" s="6"/>
    </row>
    <row r="364" spans="6:18" x14ac:dyDescent="0.25">
      <c r="F364" s="5">
        <f t="shared" si="46"/>
        <v>6.5160618666719484E-6</v>
      </c>
      <c r="G364" s="4">
        <f t="shared" si="43"/>
        <v>8087.7415623955176</v>
      </c>
      <c r="H364" s="3">
        <f t="shared" si="44"/>
        <v>1241200855.3452084</v>
      </c>
      <c r="I364">
        <f t="shared" si="45"/>
        <v>10038511745056.309</v>
      </c>
      <c r="J364" s="6"/>
      <c r="K364" s="6"/>
      <c r="L364" s="6"/>
      <c r="M364" s="6"/>
      <c r="N364" s="6"/>
      <c r="O364" s="6"/>
      <c r="P364" s="6"/>
      <c r="Q364" s="6"/>
      <c r="R364" s="6"/>
    </row>
    <row r="365" spans="6:18" x14ac:dyDescent="0.25">
      <c r="F365" s="5">
        <f t="shared" si="46"/>
        <v>6.2580258167517397E-6</v>
      </c>
      <c r="G365" s="4">
        <f t="shared" si="43"/>
        <v>7925.9867311476073</v>
      </c>
      <c r="H365" s="3">
        <f t="shared" si="44"/>
        <v>1266531485.0461309</v>
      </c>
      <c r="I365">
        <f t="shared" si="45"/>
        <v>10038511745056.309</v>
      </c>
      <c r="J365" s="6"/>
      <c r="K365" s="6"/>
      <c r="L365" s="6"/>
      <c r="M365" s="6"/>
      <c r="N365" s="6"/>
      <c r="O365" s="6"/>
      <c r="P365" s="6"/>
      <c r="Q365" s="6"/>
      <c r="R365" s="6"/>
    </row>
    <row r="366" spans="6:18" x14ac:dyDescent="0.25">
      <c r="F366" s="5">
        <f t="shared" si="46"/>
        <v>6.0102079944083703E-6</v>
      </c>
      <c r="G366" s="4">
        <f t="shared" si="43"/>
        <v>7767.4669965246549</v>
      </c>
      <c r="H366" s="3">
        <f t="shared" si="44"/>
        <v>1292379066.3736031</v>
      </c>
      <c r="I366">
        <f t="shared" si="45"/>
        <v>10038511745056.309</v>
      </c>
      <c r="J366" s="6"/>
      <c r="K366" s="6"/>
      <c r="L366" s="6"/>
      <c r="M366" s="6"/>
      <c r="N366" s="6"/>
      <c r="O366" s="6"/>
      <c r="P366" s="6"/>
      <c r="Q366" s="6"/>
      <c r="R366" s="6"/>
    </row>
    <row r="367" spans="6:18" x14ac:dyDescent="0.25">
      <c r="F367" s="5">
        <f t="shared" si="46"/>
        <v>5.7722037578297979E-6</v>
      </c>
      <c r="G367" s="4">
        <f t="shared" si="43"/>
        <v>7612.1176565941614</v>
      </c>
      <c r="H367" s="3">
        <f t="shared" si="44"/>
        <v>1318754149.3608196</v>
      </c>
      <c r="I367">
        <f t="shared" si="45"/>
        <v>10038511745056.309</v>
      </c>
      <c r="J367" s="6"/>
      <c r="K367" s="6"/>
      <c r="L367" s="6"/>
      <c r="M367" s="6"/>
      <c r="N367" s="6"/>
      <c r="O367" s="6"/>
      <c r="P367" s="6"/>
      <c r="Q367" s="6"/>
      <c r="R367" s="6"/>
    </row>
    <row r="368" spans="6:18" x14ac:dyDescent="0.25">
      <c r="F368" s="5">
        <f t="shared" si="46"/>
        <v>5.5436244890197367E-6</v>
      </c>
      <c r="G368" s="4">
        <f t="shared" si="43"/>
        <v>7459.8753034622778</v>
      </c>
      <c r="H368" s="3">
        <f t="shared" si="44"/>
        <v>1345667499.3477752</v>
      </c>
      <c r="I368">
        <f t="shared" si="45"/>
        <v>10038511745056.309</v>
      </c>
      <c r="J368" s="6"/>
      <c r="K368" s="6"/>
      <c r="L368" s="6"/>
      <c r="M368" s="6"/>
      <c r="N368" s="6"/>
      <c r="O368" s="6"/>
      <c r="P368" s="6"/>
      <c r="Q368" s="6"/>
      <c r="R368" s="6"/>
    </row>
    <row r="369" spans="6:18" x14ac:dyDescent="0.25">
      <c r="F369" s="5">
        <f t="shared" si="46"/>
        <v>5.3240969592545555E-6</v>
      </c>
      <c r="G369" s="4">
        <f t="shared" si="43"/>
        <v>7310.6777973930321</v>
      </c>
      <c r="H369" s="3">
        <f t="shared" si="44"/>
        <v>1373130101.3752809</v>
      </c>
      <c r="I369">
        <f t="shared" si="45"/>
        <v>10038511745056.309</v>
      </c>
      <c r="J369" s="6"/>
      <c r="K369" s="6"/>
      <c r="L369" s="6"/>
      <c r="M369" s="6"/>
      <c r="N369" s="6"/>
      <c r="O369" s="6"/>
      <c r="P369" s="6"/>
      <c r="Q369" s="6"/>
      <c r="R369" s="6"/>
    </row>
    <row r="370" spans="6:18" x14ac:dyDescent="0.25">
      <c r="F370" s="5">
        <f t="shared" si="46"/>
        <v>5.1132627196680742E-6</v>
      </c>
      <c r="G370" s="4">
        <f t="shared" ref="G370:G433" si="47">G369*(1-$O$1)</f>
        <v>7164.464241445171</v>
      </c>
      <c r="H370" s="3">
        <f t="shared" ref="H370:H433" si="48">I370/G370</f>
        <v>1401153164.668654</v>
      </c>
      <c r="I370">
        <f t="shared" ref="I370:I433" si="49">I369</f>
        <v>10038511745056.309</v>
      </c>
      <c r="J370" s="6"/>
      <c r="K370" s="6"/>
      <c r="L370" s="6"/>
      <c r="M370" s="6"/>
      <c r="N370" s="6"/>
      <c r="O370" s="6"/>
      <c r="P370" s="6"/>
      <c r="Q370" s="6"/>
      <c r="R370" s="6"/>
    </row>
    <row r="371" spans="6:18" x14ac:dyDescent="0.25">
      <c r="F371" s="5">
        <f t="shared" si="46"/>
        <v>4.9107775159692178E-6</v>
      </c>
      <c r="G371" s="4">
        <f t="shared" si="47"/>
        <v>7021.1749566162671</v>
      </c>
      <c r="H371" s="3">
        <f t="shared" si="48"/>
        <v>1429748127.2129123</v>
      </c>
      <c r="I371">
        <f t="shared" si="49"/>
        <v>10038511745056.309</v>
      </c>
      <c r="J371" s="6"/>
      <c r="K371" s="6"/>
      <c r="L371" s="6"/>
      <c r="M371" s="6"/>
      <c r="N371" s="6"/>
      <c r="O371" s="6"/>
      <c r="P371" s="6"/>
      <c r="Q371" s="6"/>
      <c r="R371" s="6"/>
    </row>
    <row r="372" spans="6:18" x14ac:dyDescent="0.25">
      <c r="F372" s="5">
        <f t="shared" si="46"/>
        <v>4.7163107263368373E-6</v>
      </c>
      <c r="G372" s="4">
        <f t="shared" si="47"/>
        <v>6880.7514574839415</v>
      </c>
      <c r="H372" s="3">
        <f t="shared" si="48"/>
        <v>1458926660.421339</v>
      </c>
      <c r="I372">
        <f t="shared" si="49"/>
        <v>10038511745056.309</v>
      </c>
      <c r="J372" s="6"/>
      <c r="K372" s="6"/>
      <c r="L372" s="6"/>
      <c r="M372" s="6"/>
      <c r="N372" s="6"/>
      <c r="O372" s="6"/>
      <c r="P372" s="6"/>
      <c r="Q372" s="6"/>
      <c r="R372" s="6"/>
    </row>
    <row r="373" spans="6:18" x14ac:dyDescent="0.25">
      <c r="F373" s="5">
        <f t="shared" si="46"/>
        <v>4.5295448215738981E-6</v>
      </c>
      <c r="G373" s="4">
        <f t="shared" si="47"/>
        <v>6743.1364283342627</v>
      </c>
      <c r="H373" s="3">
        <f t="shared" si="48"/>
        <v>1488700673.8993256</v>
      </c>
      <c r="I373">
        <f t="shared" si="49"/>
        <v>10038511745056.309</v>
      </c>
      <c r="J373" s="6"/>
      <c r="K373" s="6"/>
      <c r="L373" s="6"/>
      <c r="M373" s="6"/>
      <c r="N373" s="6"/>
      <c r="O373" s="6"/>
      <c r="P373" s="6"/>
      <c r="Q373" s="6"/>
      <c r="R373" s="6"/>
    </row>
    <row r="374" spans="6:18" x14ac:dyDescent="0.25">
      <c r="F374" s="5">
        <f t="shared" si="46"/>
        <v>4.3501748466395716E-6</v>
      </c>
      <c r="G374" s="4">
        <f t="shared" si="47"/>
        <v>6608.2736997675775</v>
      </c>
      <c r="H374" s="3">
        <f t="shared" si="48"/>
        <v>1519082320.3054342</v>
      </c>
      <c r="I374">
        <f t="shared" si="49"/>
        <v>10038511745056.309</v>
      </c>
      <c r="J374" s="6"/>
      <c r="K374" s="6"/>
      <c r="L374" s="6"/>
      <c r="M374" s="6"/>
      <c r="N374" s="6"/>
      <c r="O374" s="6"/>
      <c r="P374" s="6"/>
      <c r="Q374" s="6"/>
      <c r="R374" s="6"/>
    </row>
    <row r="375" spans="6:18" x14ac:dyDescent="0.25">
      <c r="F375" s="5">
        <f t="shared" si="46"/>
        <v>4.1779079227126444E-6</v>
      </c>
      <c r="G375" s="4">
        <f t="shared" si="47"/>
        <v>6476.1082257722255</v>
      </c>
      <c r="H375" s="3">
        <f t="shared" si="48"/>
        <v>1550084000.3116677</v>
      </c>
      <c r="I375">
        <f t="shared" si="49"/>
        <v>10038511745056.309</v>
      </c>
      <c r="J375" s="6"/>
      <c r="K375" s="6"/>
      <c r="L375" s="6"/>
      <c r="M375" s="6"/>
      <c r="N375" s="6"/>
      <c r="O375" s="6"/>
      <c r="P375" s="6"/>
      <c r="Q375" s="6"/>
      <c r="R375" s="6"/>
    </row>
    <row r="376" spans="6:18" x14ac:dyDescent="0.25">
      <c r="F376" s="5">
        <f t="shared" si="46"/>
        <v>4.0124627689732237E-6</v>
      </c>
      <c r="G376" s="4">
        <f t="shared" si="47"/>
        <v>6346.5860612567812</v>
      </c>
      <c r="H376" s="3">
        <f t="shared" si="48"/>
        <v>1581718367.6649671</v>
      </c>
      <c r="I376">
        <f t="shared" si="49"/>
        <v>10038511745056.309</v>
      </c>
      <c r="J376" s="6"/>
      <c r="K376" s="6"/>
      <c r="L376" s="6"/>
      <c r="M376" s="6"/>
      <c r="N376" s="6"/>
      <c r="O376" s="6"/>
      <c r="P376" s="6"/>
      <c r="Q376" s="6"/>
      <c r="R376" s="6"/>
    </row>
    <row r="377" spans="6:18" x14ac:dyDescent="0.25">
      <c r="F377" s="5">
        <f t="shared" si="46"/>
        <v>3.8535692433218846E-6</v>
      </c>
      <c r="G377" s="4">
        <f t="shared" si="47"/>
        <v>6219.6543400316459</v>
      </c>
      <c r="H377" s="3">
        <f t="shared" si="48"/>
        <v>1613998334.3520072</v>
      </c>
      <c r="I377">
        <f t="shared" si="49"/>
        <v>10038511745056.309</v>
      </c>
      <c r="J377" s="6"/>
      <c r="K377" s="6"/>
      <c r="L377" s="6"/>
      <c r="M377" s="6"/>
      <c r="N377" s="6"/>
      <c r="O377" s="6"/>
      <c r="P377" s="6"/>
      <c r="Q377" s="6"/>
      <c r="R377" s="6"/>
    </row>
    <row r="378" spans="6:18" x14ac:dyDescent="0.25">
      <c r="F378" s="5">
        <f t="shared" si="46"/>
        <v>3.7009679012863379E-6</v>
      </c>
      <c r="G378" s="4">
        <f t="shared" si="47"/>
        <v>6095.2612532310131</v>
      </c>
      <c r="H378" s="3">
        <f t="shared" si="48"/>
        <v>1646937075.869395</v>
      </c>
      <c r="I378">
        <f t="shared" si="49"/>
        <v>10038511745056.309</v>
      </c>
      <c r="J378" s="6"/>
      <c r="K378" s="6"/>
      <c r="L378" s="6"/>
      <c r="M378" s="6"/>
      <c r="N378" s="6"/>
      <c r="O378" s="6"/>
      <c r="P378" s="6"/>
      <c r="Q378" s="6"/>
      <c r="R378" s="6"/>
    </row>
    <row r="379" spans="6:18" x14ac:dyDescent="0.25">
      <c r="F379" s="5">
        <f t="shared" si="46"/>
        <v>3.5544095723953994E-6</v>
      </c>
      <c r="G379" s="4">
        <f t="shared" si="47"/>
        <v>5973.3560281663931</v>
      </c>
      <c r="H379" s="3">
        <f t="shared" si="48"/>
        <v>1680548036.6014233</v>
      </c>
      <c r="I379">
        <f t="shared" si="49"/>
        <v>10038511745056.309</v>
      </c>
      <c r="J379" s="6"/>
      <c r="K379" s="6"/>
      <c r="L379" s="6"/>
      <c r="M379" s="6"/>
      <c r="N379" s="6"/>
      <c r="O379" s="6"/>
      <c r="P379" s="6"/>
      <c r="Q379" s="6"/>
      <c r="R379" s="6"/>
    </row>
    <row r="380" spans="6:18" x14ac:dyDescent="0.25">
      <c r="F380" s="5">
        <f t="shared" si="46"/>
        <v>3.413654953328542E-6</v>
      </c>
      <c r="G380" s="4">
        <f t="shared" si="47"/>
        <v>5853.8889076030655</v>
      </c>
      <c r="H380" s="3">
        <f t="shared" si="48"/>
        <v>1714844935.3075747</v>
      </c>
      <c r="I380">
        <f t="shared" si="49"/>
        <v>10038511745056.309</v>
      </c>
      <c r="J380" s="6"/>
      <c r="K380" s="6"/>
      <c r="L380" s="6"/>
      <c r="M380" s="6"/>
      <c r="N380" s="6"/>
      <c r="O380" s="6"/>
      <c r="P380" s="6"/>
      <c r="Q380" s="6"/>
      <c r="R380" s="6"/>
    </row>
    <row r="381" spans="6:18" x14ac:dyDescent="0.25">
      <c r="F381" s="5">
        <f t="shared" si="46"/>
        <v>3.2784742171767322E-6</v>
      </c>
      <c r="G381" s="4">
        <f t="shared" si="47"/>
        <v>5736.8111294510045</v>
      </c>
      <c r="H381" s="3">
        <f t="shared" si="48"/>
        <v>1749841770.7220149</v>
      </c>
      <c r="I381">
        <f t="shared" si="49"/>
        <v>10038511745056.309</v>
      </c>
      <c r="J381" s="6"/>
      <c r="K381" s="6"/>
      <c r="L381" s="6"/>
      <c r="M381" s="6"/>
      <c r="N381" s="6"/>
      <c r="O381" s="6"/>
      <c r="P381" s="6"/>
      <c r="Q381" s="6"/>
      <c r="R381" s="6"/>
    </row>
    <row r="382" spans="6:18" x14ac:dyDescent="0.25">
      <c r="F382" s="5">
        <f t="shared" si="46"/>
        <v>3.1486466381765329E-6</v>
      </c>
      <c r="G382" s="4">
        <f t="shared" si="47"/>
        <v>5622.0749068619843</v>
      </c>
      <c r="H382" s="3">
        <f t="shared" si="48"/>
        <v>1785552827.2673624</v>
      </c>
      <c r="I382">
        <f t="shared" si="49"/>
        <v>10038511745056.309</v>
      </c>
      <c r="J382" s="6"/>
      <c r="K382" s="6"/>
      <c r="L382" s="6"/>
      <c r="M382" s="6"/>
      <c r="N382" s="6"/>
      <c r="O382" s="6"/>
      <c r="P382" s="6"/>
      <c r="Q382" s="6"/>
      <c r="R382" s="6"/>
    </row>
    <row r="383" spans="6:18" x14ac:dyDescent="0.25">
      <c r="F383" s="5">
        <f t="shared" si="46"/>
        <v>3.0239602313047422E-6</v>
      </c>
      <c r="G383" s="4">
        <f t="shared" si="47"/>
        <v>5509.6334087247442</v>
      </c>
      <c r="H383" s="3">
        <f t="shared" si="48"/>
        <v>1821992680.8850636</v>
      </c>
      <c r="I383">
        <f t="shared" si="49"/>
        <v>10038511745056.309</v>
      </c>
      <c r="J383" s="6"/>
      <c r="K383" s="6"/>
      <c r="L383" s="6"/>
      <c r="M383" s="6"/>
      <c r="N383" s="6"/>
      <c r="O383" s="6"/>
      <c r="P383" s="6"/>
      <c r="Q383" s="6"/>
      <c r="R383" s="6"/>
    </row>
    <row r="384" spans="6:18" x14ac:dyDescent="0.25">
      <c r="F384" s="5">
        <f t="shared" si="46"/>
        <v>2.9042114061450736E-6</v>
      </c>
      <c r="G384" s="4">
        <f t="shared" si="47"/>
        <v>5399.4407405502488</v>
      </c>
      <c r="H384" s="3">
        <f t="shared" si="48"/>
        <v>1859176204.9847591</v>
      </c>
      <c r="I384">
        <f t="shared" si="49"/>
        <v>10038511745056.309</v>
      </c>
      <c r="J384" s="6"/>
      <c r="K384" s="6"/>
      <c r="L384" s="6"/>
      <c r="M384" s="6"/>
      <c r="N384" s="6"/>
      <c r="O384" s="6"/>
      <c r="P384" s="6"/>
      <c r="Q384" s="6"/>
      <c r="R384" s="6"/>
    </row>
    <row r="385" spans="6:18" x14ac:dyDescent="0.25">
      <c r="F385" s="5">
        <f t="shared" si="46"/>
        <v>2.7892046344617291E-6</v>
      </c>
      <c r="G385" s="4">
        <f t="shared" si="47"/>
        <v>5291.451925739244</v>
      </c>
      <c r="H385" s="3">
        <f t="shared" si="48"/>
        <v>1897118576.5150602</v>
      </c>
      <c r="I385">
        <f t="shared" si="49"/>
        <v>10038511745056.309</v>
      </c>
      <c r="J385" s="6"/>
      <c r="K385" s="6"/>
      <c r="L385" s="6"/>
      <c r="M385" s="6"/>
      <c r="N385" s="6"/>
      <c r="O385" s="6"/>
      <c r="P385" s="6"/>
      <c r="Q385" s="6"/>
      <c r="R385" s="6"/>
    </row>
    <row r="386" spans="6:18" x14ac:dyDescent="0.25">
      <c r="F386" s="5">
        <f t="shared" si="46"/>
        <v>2.6787521309370445E-6</v>
      </c>
      <c r="G386" s="4">
        <f t="shared" si="47"/>
        <v>5185.6228872244592</v>
      </c>
      <c r="H386" s="3">
        <f t="shared" si="48"/>
        <v>1935835282.1582246</v>
      </c>
      <c r="I386">
        <f t="shared" si="49"/>
        <v>10038511745056.309</v>
      </c>
      <c r="J386" s="6"/>
      <c r="K386" s="6"/>
      <c r="L386" s="6"/>
      <c r="M386" s="6"/>
      <c r="N386" s="6"/>
      <c r="O386" s="6"/>
      <c r="P386" s="6"/>
      <c r="Q386" s="6"/>
      <c r="R386" s="6"/>
    </row>
    <row r="387" spans="6:18" x14ac:dyDescent="0.25">
      <c r="F387" s="5">
        <f t="shared" si="46"/>
        <v>2.5726735465519376E-6</v>
      </c>
      <c r="G387" s="4">
        <f t="shared" si="47"/>
        <v>5081.9104294799699</v>
      </c>
      <c r="H387" s="3">
        <f t="shared" si="48"/>
        <v>1975342124.6512496</v>
      </c>
      <c r="I387">
        <f t="shared" si="49"/>
        <v>10038511745056.309</v>
      </c>
      <c r="J387" s="6"/>
      <c r="K387" s="6"/>
      <c r="L387" s="6"/>
      <c r="M387" s="6"/>
      <c r="N387" s="6"/>
      <c r="O387" s="6"/>
      <c r="P387" s="6"/>
      <c r="Q387" s="6"/>
      <c r="R387" s="6"/>
    </row>
    <row r="388" spans="6:18" x14ac:dyDescent="0.25">
      <c r="F388" s="5">
        <f t="shared" si="46"/>
        <v>2.4707956741084807E-6</v>
      </c>
      <c r="G388" s="4">
        <f t="shared" si="47"/>
        <v>4980.2722208903706</v>
      </c>
      <c r="H388" s="3">
        <f t="shared" si="48"/>
        <v>2015655229.2359691</v>
      </c>
      <c r="I388">
        <f t="shared" si="49"/>
        <v>10038511745056.309</v>
      </c>
      <c r="J388" s="6"/>
      <c r="K388" s="6"/>
      <c r="L388" s="6"/>
      <c r="M388" s="6"/>
      <c r="N388" s="6"/>
      <c r="O388" s="6"/>
      <c r="P388" s="6"/>
      <c r="Q388" s="6"/>
      <c r="R388" s="6"/>
    </row>
    <row r="389" spans="6:18" x14ac:dyDescent="0.25">
      <c r="F389" s="5">
        <f t="shared" si="46"/>
        <v>2.3729521654137853E-6</v>
      </c>
      <c r="G389" s="4">
        <f t="shared" si="47"/>
        <v>4880.6667764725635</v>
      </c>
      <c r="H389" s="3">
        <f t="shared" si="48"/>
        <v>2056791050.2407846</v>
      </c>
      <c r="I389">
        <f t="shared" si="49"/>
        <v>10038511745056.309</v>
      </c>
      <c r="J389" s="6"/>
      <c r="K389" s="6"/>
      <c r="L389" s="6"/>
      <c r="M389" s="6"/>
      <c r="N389" s="6"/>
      <c r="O389" s="6"/>
      <c r="P389" s="6"/>
      <c r="Q389" s="6"/>
      <c r="R389" s="6"/>
    </row>
    <row r="390" spans="6:18" x14ac:dyDescent="0.25">
      <c r="F390" s="5">
        <f t="shared" si="46"/>
        <v>2.2789832596633992E-6</v>
      </c>
      <c r="G390" s="4">
        <f t="shared" si="47"/>
        <v>4783.053440943112</v>
      </c>
      <c r="H390" s="3">
        <f t="shared" si="48"/>
        <v>2098766377.7967191</v>
      </c>
      <c r="I390">
        <f t="shared" si="49"/>
        <v>10038511745056.309</v>
      </c>
      <c r="J390" s="6"/>
      <c r="K390" s="6"/>
      <c r="L390" s="6"/>
      <c r="M390" s="6"/>
      <c r="N390" s="6"/>
      <c r="O390" s="6"/>
      <c r="P390" s="6"/>
      <c r="Q390" s="6"/>
      <c r="R390" s="6"/>
    </row>
    <row r="391" spans="6:18" x14ac:dyDescent="0.25">
      <c r="F391" s="5">
        <f t="shared" si="46"/>
        <v>2.188735522580729E-6</v>
      </c>
      <c r="G391" s="4">
        <f t="shared" si="47"/>
        <v>4687.39237212425</v>
      </c>
      <c r="H391" s="3">
        <f t="shared" si="48"/>
        <v>2141598344.6905296</v>
      </c>
      <c r="I391">
        <f t="shared" si="49"/>
        <v>10038511745056.309</v>
      </c>
      <c r="J391" s="6"/>
      <c r="K391" s="6"/>
      <c r="L391" s="6"/>
      <c r="M391" s="6"/>
      <c r="N391" s="6"/>
      <c r="O391" s="6"/>
      <c r="P391" s="6"/>
      <c r="Q391" s="6"/>
      <c r="R391" s="6"/>
    </row>
    <row r="392" spans="6:18" x14ac:dyDescent="0.25">
      <c r="F392" s="5">
        <f t="shared" si="46"/>
        <v>2.1020615958865321E-6</v>
      </c>
      <c r="G392" s="4">
        <f t="shared" si="47"/>
        <v>4593.6445246817648</v>
      </c>
      <c r="H392" s="3">
        <f t="shared" si="48"/>
        <v>2185304433.3576832</v>
      </c>
      <c r="I392">
        <f t="shared" si="49"/>
        <v>10038511745056.309</v>
      </c>
      <c r="J392" s="6"/>
      <c r="K392" s="6"/>
      <c r="L392" s="6"/>
      <c r="M392" s="6"/>
      <c r="N392" s="6"/>
      <c r="O392" s="6"/>
      <c r="P392" s="6"/>
      <c r="Q392" s="6"/>
      <c r="R392" s="6"/>
    </row>
    <row r="393" spans="6:18" x14ac:dyDescent="0.25">
      <c r="F393" s="5">
        <f t="shared" ref="F393:F456" si="50">G393/H393</f>
        <v>2.0188199566894255E-6</v>
      </c>
      <c r="G393" s="4">
        <f t="shared" si="47"/>
        <v>4501.7716341881296</v>
      </c>
      <c r="H393" s="3">
        <f t="shared" si="48"/>
        <v>2229902483.018044</v>
      </c>
      <c r="I393">
        <f t="shared" si="49"/>
        <v>10038511745056.309</v>
      </c>
      <c r="J393" s="6"/>
      <c r="K393" s="6"/>
      <c r="L393" s="6"/>
      <c r="M393" s="6"/>
      <c r="N393" s="6"/>
      <c r="O393" s="6"/>
      <c r="P393" s="6"/>
      <c r="Q393" s="6"/>
      <c r="R393" s="6"/>
    </row>
    <row r="394" spans="6:18" x14ac:dyDescent="0.25">
      <c r="F394" s="5">
        <f t="shared" si="50"/>
        <v>1.9388746864045244E-6</v>
      </c>
      <c r="G394" s="4">
        <f t="shared" si="47"/>
        <v>4411.7362015043673</v>
      </c>
      <c r="H394" s="3">
        <f t="shared" si="48"/>
        <v>2275410696.9571877</v>
      </c>
      <c r="I394">
        <f t="shared" si="49"/>
        <v>10038511745056.309</v>
      </c>
      <c r="J394" s="6"/>
      <c r="K394" s="6"/>
      <c r="L394" s="6"/>
      <c r="M394" s="6"/>
      <c r="N394" s="6"/>
      <c r="O394" s="6"/>
      <c r="P394" s="6"/>
      <c r="Q394" s="6"/>
      <c r="R394" s="6"/>
    </row>
    <row r="395" spans="6:18" x14ac:dyDescent="0.25">
      <c r="F395" s="5">
        <f t="shared" si="50"/>
        <v>1.8620952488229048E-6</v>
      </c>
      <c r="G395" s="4">
        <f t="shared" si="47"/>
        <v>4323.5014774742795</v>
      </c>
      <c r="H395" s="3">
        <f t="shared" si="48"/>
        <v>2321847649.9563141</v>
      </c>
      <c r="I395">
        <f t="shared" si="49"/>
        <v>10038511745056.309</v>
      </c>
      <c r="J395" s="6"/>
      <c r="K395" s="6"/>
      <c r="L395" s="6"/>
      <c r="M395" s="6"/>
      <c r="N395" s="6"/>
      <c r="O395" s="6"/>
      <c r="P395" s="6"/>
      <c r="Q395" s="6"/>
      <c r="R395" s="6"/>
    </row>
    <row r="396" spans="6:18" x14ac:dyDescent="0.25">
      <c r="F396" s="5">
        <f t="shared" si="50"/>
        <v>1.7883562769695174E-6</v>
      </c>
      <c r="G396" s="4">
        <f t="shared" si="47"/>
        <v>4237.0314479247936</v>
      </c>
      <c r="H396" s="3">
        <f t="shared" si="48"/>
        <v>2369232295.8737903</v>
      </c>
      <c r="I396">
        <f t="shared" si="49"/>
        <v>10038511745056.309</v>
      </c>
      <c r="J396" s="6"/>
      <c r="K396" s="6"/>
      <c r="L396" s="6"/>
      <c r="M396" s="6"/>
      <c r="N396" s="6"/>
      <c r="O396" s="6"/>
      <c r="P396" s="6"/>
      <c r="Q396" s="6"/>
      <c r="R396" s="6"/>
    </row>
    <row r="397" spans="6:18" x14ac:dyDescent="0.25">
      <c r="F397" s="5">
        <f t="shared" si="50"/>
        <v>1.7175373684015244E-6</v>
      </c>
      <c r="G397" s="4">
        <f t="shared" si="47"/>
        <v>4152.2908189662976</v>
      </c>
      <c r="H397" s="3">
        <f t="shared" si="48"/>
        <v>2417583975.3814187</v>
      </c>
      <c r="I397">
        <f t="shared" si="49"/>
        <v>10038511745056.309</v>
      </c>
      <c r="J397" s="6"/>
      <c r="K397" s="6"/>
      <c r="L397" s="6"/>
      <c r="M397" s="6"/>
      <c r="N397" s="6"/>
      <c r="O397" s="6"/>
      <c r="P397" s="6"/>
      <c r="Q397" s="6"/>
      <c r="R397" s="6"/>
    </row>
    <row r="398" spans="6:18" x14ac:dyDescent="0.25">
      <c r="F398" s="5">
        <f t="shared" si="50"/>
        <v>1.649522888612824E-6</v>
      </c>
      <c r="G398" s="4">
        <f t="shared" si="47"/>
        <v>4069.2450025869716</v>
      </c>
      <c r="H398" s="3">
        <f t="shared" si="48"/>
        <v>2466922423.8585906</v>
      </c>
      <c r="I398">
        <f t="shared" si="49"/>
        <v>10038511745056.309</v>
      </c>
      <c r="J398" s="6"/>
      <c r="K398" s="6"/>
      <c r="L398" s="6"/>
      <c r="M398" s="6"/>
      <c r="N398" s="6"/>
      <c r="O398" s="6"/>
      <c r="P398" s="6"/>
      <c r="Q398" s="6"/>
      <c r="R398" s="6"/>
    </row>
    <row r="399" spans="6:18" x14ac:dyDescent="0.25">
      <c r="F399" s="5">
        <f t="shared" si="50"/>
        <v>1.5842017822237564E-6</v>
      </c>
      <c r="G399" s="4">
        <f t="shared" si="47"/>
        <v>3987.8601025352323</v>
      </c>
      <c r="H399" s="3">
        <f t="shared" si="48"/>
        <v>2517267779.4475412</v>
      </c>
      <c r="I399">
        <f t="shared" si="49"/>
        <v>10038511745056.309</v>
      </c>
      <c r="J399" s="6"/>
      <c r="K399" s="6"/>
      <c r="L399" s="6"/>
      <c r="M399" s="6"/>
      <c r="N399" s="6"/>
      <c r="O399" s="6"/>
      <c r="P399" s="6"/>
      <c r="Q399" s="6"/>
      <c r="R399" s="6"/>
    </row>
    <row r="400" spans="6:18" x14ac:dyDescent="0.25">
      <c r="F400" s="5">
        <f t="shared" si="50"/>
        <v>1.5214673916476955E-6</v>
      </c>
      <c r="G400" s="4">
        <f t="shared" si="47"/>
        <v>3908.1029004845277</v>
      </c>
      <c r="H400" s="3">
        <f t="shared" si="48"/>
        <v>2568640591.2730012</v>
      </c>
      <c r="I400">
        <f t="shared" si="49"/>
        <v>10038511745056.309</v>
      </c>
      <c r="J400" s="6"/>
      <c r="K400" s="6"/>
      <c r="L400" s="6"/>
      <c r="M400" s="6"/>
      <c r="N400" s="6"/>
      <c r="O400" s="6"/>
      <c r="P400" s="6"/>
      <c r="Q400" s="6"/>
      <c r="R400" s="6"/>
    </row>
    <row r="401" spans="6:18" x14ac:dyDescent="0.25">
      <c r="F401" s="5">
        <f t="shared" si="50"/>
        <v>1.4612172829384467E-6</v>
      </c>
      <c r="G401" s="4">
        <f t="shared" si="47"/>
        <v>3829.9408424748372</v>
      </c>
      <c r="H401" s="3">
        <f t="shared" si="48"/>
        <v>2621061827.8295932</v>
      </c>
      <c r="I401">
        <f t="shared" si="49"/>
        <v>10038511745056.309</v>
      </c>
      <c r="J401" s="6"/>
      <c r="K401" s="6"/>
      <c r="L401" s="6"/>
      <c r="M401" s="6"/>
      <c r="N401" s="6"/>
      <c r="O401" s="6"/>
      <c r="P401" s="6"/>
      <c r="Q401" s="6"/>
      <c r="R401" s="6"/>
    </row>
    <row r="402" spans="6:18" x14ac:dyDescent="0.25">
      <c r="F402" s="5">
        <f t="shared" si="50"/>
        <v>1.4033530785340842E-6</v>
      </c>
      <c r="G402" s="4">
        <f t="shared" si="47"/>
        <v>3753.3420256253403</v>
      </c>
      <c r="H402" s="3">
        <f t="shared" si="48"/>
        <v>2674552885.5404015</v>
      </c>
      <c r="I402">
        <f t="shared" si="49"/>
        <v>10038511745056.309</v>
      </c>
      <c r="J402" s="6"/>
      <c r="K402" s="6"/>
      <c r="L402" s="6"/>
      <c r="M402" s="6"/>
      <c r="N402" s="6"/>
      <c r="O402" s="6"/>
      <c r="P402" s="6"/>
      <c r="Q402" s="6"/>
      <c r="R402" s="6"/>
    </row>
    <row r="403" spans="6:18" x14ac:dyDescent="0.25">
      <c r="F403" s="5">
        <f t="shared" si="50"/>
        <v>1.3477802966241342E-6</v>
      </c>
      <c r="G403" s="4">
        <f t="shared" si="47"/>
        <v>3678.2751851128332</v>
      </c>
      <c r="H403" s="3">
        <f t="shared" si="48"/>
        <v>2729135597.4902058</v>
      </c>
      <c r="I403">
        <f t="shared" si="49"/>
        <v>10038511745056.309</v>
      </c>
      <c r="J403" s="6"/>
      <c r="K403" s="6"/>
      <c r="L403" s="6"/>
      <c r="M403" s="6"/>
      <c r="N403" s="6"/>
      <c r="O403" s="6"/>
      <c r="P403" s="6"/>
      <c r="Q403" s="6"/>
      <c r="R403" s="6"/>
    </row>
    <row r="404" spans="6:18" x14ac:dyDescent="0.25">
      <c r="F404" s="5">
        <f t="shared" si="50"/>
        <v>1.2944081968778185E-6</v>
      </c>
      <c r="G404" s="4">
        <f t="shared" si="47"/>
        <v>3604.7096814105766</v>
      </c>
      <c r="H404" s="3">
        <f t="shared" si="48"/>
        <v>2784832242.3369446</v>
      </c>
      <c r="I404">
        <f t="shared" si="49"/>
        <v>10038511745056.309</v>
      </c>
      <c r="J404" s="6"/>
      <c r="K404" s="6"/>
      <c r="L404" s="6"/>
      <c r="M404" s="6"/>
      <c r="N404" s="6"/>
      <c r="O404" s="6"/>
      <c r="P404" s="6"/>
      <c r="Q404" s="6"/>
      <c r="R404" s="6"/>
    </row>
    <row r="405" spans="6:18" x14ac:dyDescent="0.25">
      <c r="F405" s="5">
        <f t="shared" si="50"/>
        <v>1.2431496322814568E-6</v>
      </c>
      <c r="G405" s="4">
        <f t="shared" si="47"/>
        <v>3532.6154877823651</v>
      </c>
      <c r="H405" s="3">
        <f t="shared" si="48"/>
        <v>2841665553.4050455</v>
      </c>
      <c r="I405">
        <f t="shared" si="49"/>
        <v>10038511745056.309</v>
      </c>
      <c r="J405" s="6"/>
      <c r="K405" s="6"/>
      <c r="L405" s="6"/>
      <c r="M405" s="6"/>
      <c r="N405" s="6"/>
      <c r="O405" s="6"/>
      <c r="P405" s="6"/>
      <c r="Q405" s="6"/>
      <c r="R405" s="6"/>
    </row>
    <row r="406" spans="6:18" x14ac:dyDescent="0.25">
      <c r="F406" s="5">
        <f t="shared" si="50"/>
        <v>1.1939209068431111E-6</v>
      </c>
      <c r="G406" s="4">
        <f t="shared" si="47"/>
        <v>3461.9631780267177</v>
      </c>
      <c r="H406" s="3">
        <f t="shared" si="48"/>
        <v>2899658727.9643321</v>
      </c>
      <c r="I406">
        <f t="shared" si="49"/>
        <v>10038511745056.309</v>
      </c>
      <c r="J406" s="6"/>
      <c r="K406" s="6"/>
      <c r="L406" s="6"/>
      <c r="M406" s="6"/>
      <c r="N406" s="6"/>
      <c r="O406" s="6"/>
      <c r="P406" s="6"/>
      <c r="Q406" s="6"/>
      <c r="R406" s="6"/>
    </row>
    <row r="407" spans="6:18" x14ac:dyDescent="0.25">
      <c r="F407" s="5">
        <f t="shared" si="50"/>
        <v>1.146641638932124E-6</v>
      </c>
      <c r="G407" s="4">
        <f t="shared" si="47"/>
        <v>3392.7239144661835</v>
      </c>
      <c r="H407" s="3">
        <f t="shared" si="48"/>
        <v>2958835436.698298</v>
      </c>
      <c r="I407">
        <f t="shared" si="49"/>
        <v>10038511745056.309</v>
      </c>
      <c r="J407" s="6"/>
      <c r="K407" s="6"/>
      <c r="L407" s="6"/>
      <c r="M407" s="6"/>
      <c r="N407" s="6"/>
      <c r="O407" s="6"/>
      <c r="P407" s="6"/>
      <c r="Q407" s="6"/>
      <c r="R407" s="6"/>
    </row>
    <row r="408" spans="6:18" x14ac:dyDescent="0.25">
      <c r="F408" s="5">
        <f t="shared" si="50"/>
        <v>1.1012346300304121E-6</v>
      </c>
      <c r="G408" s="4">
        <f t="shared" si="47"/>
        <v>3324.8694361768598</v>
      </c>
      <c r="H408" s="3">
        <f t="shared" si="48"/>
        <v>3019219833.3656101</v>
      </c>
      <c r="I408">
        <f t="shared" si="49"/>
        <v>10038511745056.309</v>
      </c>
      <c r="J408" s="6"/>
      <c r="K408" s="6"/>
      <c r="L408" s="6"/>
      <c r="M408" s="6"/>
      <c r="N408" s="6"/>
      <c r="O408" s="6"/>
      <c r="P408" s="6"/>
      <c r="Q408" s="6"/>
      <c r="R408" s="6"/>
    </row>
    <row r="409" spans="6:18" x14ac:dyDescent="0.25">
      <c r="F409" s="5">
        <f t="shared" si="50"/>
        <v>1.0576257386812076E-6</v>
      </c>
      <c r="G409" s="4">
        <f t="shared" si="47"/>
        <v>3258.3720474533225</v>
      </c>
      <c r="H409" s="3">
        <f t="shared" si="48"/>
        <v>3080836564.6587858</v>
      </c>
      <c r="I409">
        <f t="shared" si="49"/>
        <v>10038511745056.309</v>
      </c>
      <c r="J409" s="6"/>
      <c r="K409" s="6"/>
      <c r="L409" s="6"/>
      <c r="M409" s="6"/>
      <c r="N409" s="6"/>
      <c r="O409" s="6"/>
      <c r="P409" s="6"/>
      <c r="Q409" s="6"/>
      <c r="R409" s="6"/>
    </row>
    <row r="410" spans="6:18" x14ac:dyDescent="0.25">
      <c r="F410" s="5">
        <f t="shared" si="50"/>
        <v>1.0157437594294318E-6</v>
      </c>
      <c r="G410" s="4">
        <f t="shared" si="47"/>
        <v>3193.2046065042559</v>
      </c>
      <c r="H410" s="3">
        <f t="shared" si="48"/>
        <v>3143710780.2640672</v>
      </c>
      <c r="I410">
        <f t="shared" si="49"/>
        <v>10038511745056.309</v>
      </c>
      <c r="J410" s="6"/>
      <c r="K410" s="6"/>
      <c r="L410" s="6"/>
      <c r="M410" s="6"/>
      <c r="N410" s="6"/>
      <c r="O410" s="6"/>
      <c r="P410" s="6"/>
      <c r="Q410" s="6"/>
      <c r="R410" s="6"/>
    </row>
    <row r="411" spans="6:18" x14ac:dyDescent="0.25">
      <c r="F411" s="5">
        <f t="shared" si="50"/>
        <v>9.7552030655602608E-7</v>
      </c>
      <c r="G411" s="4">
        <f t="shared" si="47"/>
        <v>3129.3405143741707</v>
      </c>
      <c r="H411" s="3">
        <f t="shared" si="48"/>
        <v>3207868143.1265993</v>
      </c>
      <c r="I411">
        <f t="shared" si="49"/>
        <v>10038511745056.309</v>
      </c>
      <c r="J411" s="6"/>
      <c r="K411" s="6"/>
      <c r="L411" s="6"/>
      <c r="M411" s="6"/>
      <c r="N411" s="6"/>
      <c r="O411" s="6"/>
      <c r="P411" s="6"/>
      <c r="Q411" s="6"/>
      <c r="R411" s="6"/>
    </row>
    <row r="412" spans="6:18" x14ac:dyDescent="0.25">
      <c r="F412" s="5">
        <f t="shared" si="50"/>
        <v>9.3688970241640764E-7</v>
      </c>
      <c r="G412" s="4">
        <f t="shared" si="47"/>
        <v>3066.7537040866873</v>
      </c>
      <c r="H412" s="3">
        <f t="shared" si="48"/>
        <v>3273334839.9251013</v>
      </c>
      <c r="I412">
        <f t="shared" si="49"/>
        <v>10038511745056.309</v>
      </c>
      <c r="J412" s="6"/>
      <c r="K412" s="6"/>
      <c r="L412" s="6"/>
      <c r="M412" s="6"/>
      <c r="N412" s="6"/>
      <c r="O412" s="6"/>
      <c r="P412" s="6"/>
      <c r="Q412" s="6"/>
      <c r="R412" s="6"/>
    </row>
    <row r="413" spans="6:18" x14ac:dyDescent="0.25">
      <c r="F413" s="5">
        <f t="shared" si="50"/>
        <v>8.9978887020071792E-7</v>
      </c>
      <c r="G413" s="4">
        <f t="shared" si="47"/>
        <v>3005.4186300049537</v>
      </c>
      <c r="H413" s="3">
        <f t="shared" si="48"/>
        <v>3340137591.7603073</v>
      </c>
      <c r="I413">
        <f t="shared" si="49"/>
        <v>10038511745056.309</v>
      </c>
      <c r="J413" s="6"/>
      <c r="K413" s="6"/>
      <c r="L413" s="6"/>
      <c r="M413" s="6"/>
      <c r="N413" s="6"/>
      <c r="O413" s="6"/>
      <c r="P413" s="6"/>
      <c r="Q413" s="6"/>
      <c r="R413" s="6"/>
    </row>
    <row r="414" spans="6:18" x14ac:dyDescent="0.25">
      <c r="F414" s="5">
        <f t="shared" si="50"/>
        <v>8.6415723094076931E-7</v>
      </c>
      <c r="G414" s="4">
        <f t="shared" si="47"/>
        <v>2945.3102574048544</v>
      </c>
      <c r="H414" s="3">
        <f t="shared" si="48"/>
        <v>3408303665.0615387</v>
      </c>
      <c r="I414">
        <f t="shared" si="49"/>
        <v>10038511745056.309</v>
      </c>
      <c r="J414" s="6"/>
      <c r="K414" s="6"/>
      <c r="L414" s="6"/>
      <c r="M414" s="6"/>
      <c r="N414" s="6"/>
      <c r="O414" s="6"/>
      <c r="P414" s="6"/>
      <c r="Q414" s="6"/>
      <c r="R414" s="6"/>
    </row>
    <row r="415" spans="6:18" x14ac:dyDescent="0.25">
      <c r="F415" s="5">
        <f t="shared" si="50"/>
        <v>8.2993660459551466E-7</v>
      </c>
      <c r="G415" s="4">
        <f t="shared" si="47"/>
        <v>2886.404052256757</v>
      </c>
      <c r="H415" s="3">
        <f t="shared" si="48"/>
        <v>3477860882.7158561</v>
      </c>
      <c r="I415">
        <f t="shared" si="49"/>
        <v>10038511745056.309</v>
      </c>
      <c r="J415" s="6"/>
      <c r="K415" s="6"/>
      <c r="L415" s="6"/>
      <c r="M415" s="6"/>
      <c r="N415" s="6"/>
      <c r="O415" s="6"/>
      <c r="P415" s="6"/>
      <c r="Q415" s="6"/>
      <c r="R415" s="6"/>
    </row>
    <row r="416" spans="6:18" x14ac:dyDescent="0.25">
      <c r="F416" s="5">
        <f t="shared" si="50"/>
        <v>7.9707111505353216E-7</v>
      </c>
      <c r="G416" s="4">
        <f t="shared" si="47"/>
        <v>2828.6759712116218</v>
      </c>
      <c r="H416" s="3">
        <f t="shared" si="48"/>
        <v>3548837635.4243431</v>
      </c>
      <c r="I416">
        <f t="shared" si="49"/>
        <v>10038511745056.309</v>
      </c>
      <c r="J416" s="6"/>
      <c r="K416" s="6"/>
      <c r="L416" s="6"/>
      <c r="M416" s="6"/>
      <c r="N416" s="6"/>
      <c r="O416" s="6"/>
      <c r="P416" s="6"/>
      <c r="Q416" s="6"/>
      <c r="R416" s="6"/>
    </row>
    <row r="417" spans="6:18" x14ac:dyDescent="0.25">
      <c r="F417" s="5">
        <f t="shared" si="50"/>
        <v>7.6550709889741239E-7</v>
      </c>
      <c r="G417" s="4">
        <f t="shared" si="47"/>
        <v>2772.1024517873893</v>
      </c>
      <c r="H417" s="3">
        <f t="shared" si="48"/>
        <v>3621262893.2901459</v>
      </c>
      <c r="I417">
        <f t="shared" si="49"/>
        <v>10038511745056.309</v>
      </c>
      <c r="J417" s="6"/>
      <c r="K417" s="6"/>
      <c r="L417" s="6"/>
      <c r="M417" s="6"/>
      <c r="N417" s="6"/>
      <c r="O417" s="6"/>
      <c r="P417" s="6"/>
      <c r="Q417" s="6"/>
      <c r="R417" s="6"/>
    </row>
    <row r="418" spans="6:18" x14ac:dyDescent="0.25">
      <c r="F418" s="5">
        <f t="shared" si="50"/>
        <v>7.3519301778107475E-7</v>
      </c>
      <c r="G418" s="4">
        <f t="shared" si="47"/>
        <v>2716.6604027516414</v>
      </c>
      <c r="H418" s="3">
        <f t="shared" si="48"/>
        <v>3695166217.6430063</v>
      </c>
      <c r="I418">
        <f t="shared" si="49"/>
        <v>10038511745056.309</v>
      </c>
      <c r="J418" s="6"/>
      <c r="K418" s="6"/>
      <c r="L418" s="6"/>
      <c r="M418" s="6"/>
      <c r="N418" s="6"/>
      <c r="O418" s="6"/>
      <c r="P418" s="6"/>
      <c r="Q418" s="6"/>
      <c r="R418" s="6"/>
    </row>
    <row r="419" spans="6:18" x14ac:dyDescent="0.25">
      <c r="F419" s="5">
        <f t="shared" si="50"/>
        <v>7.0607937427694403E-7</v>
      </c>
      <c r="G419" s="4">
        <f t="shared" si="47"/>
        <v>2662.3271946966083</v>
      </c>
      <c r="H419" s="3">
        <f t="shared" si="48"/>
        <v>3770577773.1051087</v>
      </c>
      <c r="I419">
        <f t="shared" si="49"/>
        <v>10038511745056.309</v>
      </c>
      <c r="J419" s="6"/>
      <c r="K419" s="6"/>
      <c r="L419" s="6"/>
      <c r="M419" s="6"/>
      <c r="N419" s="6"/>
      <c r="O419" s="6"/>
      <c r="P419" s="6"/>
      <c r="Q419" s="6"/>
      <c r="R419" s="6"/>
    </row>
    <row r="420" spans="6:18" x14ac:dyDescent="0.25">
      <c r="F420" s="5">
        <f t="shared" si="50"/>
        <v>6.7811863105557716E-7</v>
      </c>
      <c r="G420" s="4">
        <f t="shared" si="47"/>
        <v>2609.0806508026762</v>
      </c>
      <c r="H420" s="3">
        <f t="shared" si="48"/>
        <v>3847528339.903172</v>
      </c>
      <c r="I420">
        <f t="shared" si="49"/>
        <v>10038511745056.309</v>
      </c>
      <c r="J420" s="6"/>
      <c r="K420" s="6"/>
      <c r="L420" s="6"/>
      <c r="M420" s="6"/>
      <c r="N420" s="6"/>
      <c r="O420" s="6"/>
      <c r="P420" s="6"/>
      <c r="Q420" s="6"/>
      <c r="R420" s="6"/>
    </row>
    <row r="421" spans="6:18" x14ac:dyDescent="0.25">
      <c r="F421" s="5">
        <f t="shared" si="50"/>
        <v>6.5126513326577613E-7</v>
      </c>
      <c r="G421" s="4">
        <f t="shared" si="47"/>
        <v>2556.8990377866226</v>
      </c>
      <c r="H421" s="3">
        <f t="shared" si="48"/>
        <v>3926049326.4318085</v>
      </c>
      <c r="I421">
        <f t="shared" si="49"/>
        <v>10038511745056.309</v>
      </c>
      <c r="J421" s="6"/>
      <c r="K421" s="6"/>
      <c r="L421" s="6"/>
      <c r="M421" s="6"/>
      <c r="N421" s="6"/>
      <c r="O421" s="6"/>
      <c r="P421" s="6"/>
      <c r="Q421" s="6"/>
      <c r="R421" s="6"/>
    </row>
    <row r="422" spans="6:18" x14ac:dyDescent="0.25">
      <c r="F422" s="5">
        <f t="shared" si="50"/>
        <v>6.254750339884515E-7</v>
      </c>
      <c r="G422" s="4">
        <f t="shared" si="47"/>
        <v>2505.7610570308902</v>
      </c>
      <c r="H422" s="3">
        <f t="shared" si="48"/>
        <v>4006172782.0732737</v>
      </c>
      <c r="I422">
        <f t="shared" si="49"/>
        <v>10038511745056.309</v>
      </c>
      <c r="J422" s="6"/>
      <c r="K422" s="6"/>
      <c r="L422" s="6"/>
      <c r="M422" s="6"/>
      <c r="N422" s="6"/>
      <c r="O422" s="6"/>
      <c r="P422" s="6"/>
      <c r="Q422" s="6"/>
      <c r="R422" s="6"/>
    </row>
    <row r="423" spans="6:18" x14ac:dyDescent="0.25">
      <c r="F423" s="5">
        <f t="shared" si="50"/>
        <v>6.0070622264250873E-7</v>
      </c>
      <c r="G423" s="4">
        <f t="shared" si="47"/>
        <v>2455.6458358902723</v>
      </c>
      <c r="H423" s="3">
        <f t="shared" si="48"/>
        <v>4087931410.278851</v>
      </c>
      <c r="I423">
        <f t="shared" si="49"/>
        <v>10038511745056.309</v>
      </c>
      <c r="J423" s="6"/>
      <c r="K423" s="6"/>
      <c r="L423" s="6"/>
      <c r="M423" s="6"/>
      <c r="N423" s="6"/>
      <c r="O423" s="6"/>
      <c r="P423" s="6"/>
      <c r="Q423" s="6"/>
      <c r="R423" s="6"/>
    </row>
    <row r="424" spans="6:18" x14ac:dyDescent="0.25">
      <c r="F424" s="5">
        <f t="shared" si="50"/>
        <v>5.7691825622586545E-7</v>
      </c>
      <c r="G424" s="4">
        <f t="shared" si="47"/>
        <v>2406.5329191724668</v>
      </c>
      <c r="H424" s="3">
        <f t="shared" si="48"/>
        <v>4171358581.9171948</v>
      </c>
      <c r="I424">
        <f t="shared" si="49"/>
        <v>10038511745056.309</v>
      </c>
      <c r="J424" s="6"/>
      <c r="K424" s="6"/>
      <c r="L424" s="6"/>
      <c r="M424" s="6"/>
      <c r="N424" s="6"/>
      <c r="O424" s="6"/>
      <c r="P424" s="6"/>
      <c r="Q424" s="6"/>
      <c r="R424" s="6"/>
    </row>
    <row r="425" spans="6:18" x14ac:dyDescent="0.25">
      <c r="F425" s="5">
        <f t="shared" si="50"/>
        <v>5.5407229327932118E-7</v>
      </c>
      <c r="G425" s="4">
        <f t="shared" si="47"/>
        <v>2358.4022607890174</v>
      </c>
      <c r="H425" s="3">
        <f t="shared" si="48"/>
        <v>4256488348.8950968</v>
      </c>
      <c r="I425">
        <f t="shared" si="49"/>
        <v>10038511745056.309</v>
      </c>
      <c r="J425" s="6"/>
      <c r="K425" s="6"/>
      <c r="L425" s="6"/>
      <c r="M425" s="6"/>
      <c r="N425" s="6"/>
      <c r="O425" s="6"/>
      <c r="P425" s="6"/>
      <c r="Q425" s="6"/>
      <c r="R425" s="6"/>
    </row>
    <row r="426" spans="6:18" x14ac:dyDescent="0.25">
      <c r="F426" s="5">
        <f t="shared" si="50"/>
        <v>5.3213103046546003E-7</v>
      </c>
      <c r="G426" s="4">
        <f t="shared" si="47"/>
        <v>2311.2342155732372</v>
      </c>
      <c r="H426" s="3">
        <f t="shared" si="48"/>
        <v>4343355458.056221</v>
      </c>
      <c r="I426">
        <f t="shared" si="49"/>
        <v>10038511745056.309</v>
      </c>
      <c r="J426" s="6"/>
      <c r="K426" s="6"/>
      <c r="L426" s="6"/>
      <c r="M426" s="6"/>
      <c r="N426" s="6"/>
      <c r="O426" s="6"/>
      <c r="P426" s="6"/>
      <c r="Q426" s="6"/>
      <c r="R426" s="6"/>
    </row>
    <row r="427" spans="6:18" x14ac:dyDescent="0.25">
      <c r="F427" s="5">
        <f t="shared" si="50"/>
        <v>5.1105864165902781E-7</v>
      </c>
      <c r="G427" s="4">
        <f t="shared" si="47"/>
        <v>2265.0095312617723</v>
      </c>
      <c r="H427" s="3">
        <f t="shared" si="48"/>
        <v>4431995365.3634911</v>
      </c>
      <c r="I427">
        <f t="shared" si="49"/>
        <v>10038511745056.309</v>
      </c>
      <c r="J427" s="6"/>
      <c r="K427" s="6"/>
      <c r="L427" s="6"/>
      <c r="M427" s="6"/>
      <c r="N427" s="6"/>
      <c r="O427" s="6"/>
      <c r="P427" s="6"/>
      <c r="Q427" s="6"/>
      <c r="R427" s="6"/>
    </row>
    <row r="428" spans="6:18" x14ac:dyDescent="0.25">
      <c r="F428" s="5">
        <f t="shared" si="50"/>
        <v>4.9082071944933013E-7</v>
      </c>
      <c r="G428" s="4">
        <f t="shared" si="47"/>
        <v>2219.7093406365366</v>
      </c>
      <c r="H428" s="3">
        <f t="shared" si="48"/>
        <v>4522444250.3709097</v>
      </c>
      <c r="I428">
        <f t="shared" si="49"/>
        <v>10038511745056.309</v>
      </c>
      <c r="J428" s="6"/>
      <c r="K428" s="6"/>
      <c r="L428" s="6"/>
      <c r="M428" s="6"/>
      <c r="N428" s="6"/>
      <c r="O428" s="6"/>
      <c r="P428" s="6"/>
      <c r="Q428" s="6"/>
      <c r="R428" s="6"/>
    </row>
    <row r="429" spans="6:18" x14ac:dyDescent="0.25">
      <c r="F429" s="5">
        <f t="shared" si="50"/>
        <v>4.7138421895913662E-7</v>
      </c>
      <c r="G429" s="4">
        <f t="shared" si="47"/>
        <v>2175.3151538238058</v>
      </c>
      <c r="H429" s="3">
        <f t="shared" si="48"/>
        <v>4614739030.9907246</v>
      </c>
      <c r="I429">
        <f t="shared" si="49"/>
        <v>10038511745056.309</v>
      </c>
      <c r="J429" s="6"/>
      <c r="K429" s="6"/>
      <c r="L429" s="6"/>
      <c r="M429" s="6"/>
      <c r="N429" s="6"/>
      <c r="O429" s="6"/>
      <c r="P429" s="6"/>
      <c r="Q429" s="6"/>
      <c r="R429" s="6"/>
    </row>
    <row r="430" spans="6:18" x14ac:dyDescent="0.25">
      <c r="F430" s="5">
        <f t="shared" si="50"/>
        <v>4.5271740388835476E-7</v>
      </c>
      <c r="G430" s="4">
        <f t="shared" si="47"/>
        <v>2131.8088507473294</v>
      </c>
      <c r="H430" s="3">
        <f t="shared" si="48"/>
        <v>4708917378.561964</v>
      </c>
      <c r="I430">
        <f t="shared" si="49"/>
        <v>10038511745056.309</v>
      </c>
      <c r="J430" s="6"/>
      <c r="K430" s="6"/>
      <c r="L430" s="6"/>
      <c r="M430" s="6"/>
      <c r="N430" s="6"/>
      <c r="O430" s="6"/>
      <c r="P430" s="6"/>
      <c r="Q430" s="6"/>
      <c r="R430" s="6"/>
    </row>
    <row r="431" spans="6:18" x14ac:dyDescent="0.25">
      <c r="F431" s="5">
        <f t="shared" si="50"/>
        <v>4.3478979469437594E-7</v>
      </c>
      <c r="G431" s="4">
        <f t="shared" si="47"/>
        <v>2089.1726737323829</v>
      </c>
      <c r="H431" s="3">
        <f t="shared" si="48"/>
        <v>4805017733.2264938</v>
      </c>
      <c r="I431">
        <f t="shared" si="49"/>
        <v>10038511745056.309</v>
      </c>
      <c r="J431" s="6"/>
      <c r="K431" s="6"/>
      <c r="L431" s="6"/>
      <c r="M431" s="6"/>
      <c r="N431" s="6"/>
      <c r="O431" s="6"/>
      <c r="P431" s="6"/>
      <c r="Q431" s="6"/>
      <c r="R431" s="6"/>
    </row>
    <row r="432" spans="6:18" x14ac:dyDescent="0.25">
      <c r="F432" s="5">
        <f t="shared" si="50"/>
        <v>4.1757211882447858E-7</v>
      </c>
      <c r="G432" s="4">
        <f t="shared" si="47"/>
        <v>2047.3892202577351</v>
      </c>
      <c r="H432" s="3">
        <f t="shared" si="48"/>
        <v>4903079319.6188717</v>
      </c>
      <c r="I432">
        <f t="shared" si="49"/>
        <v>10038511745056.309</v>
      </c>
      <c r="J432" s="6"/>
      <c r="K432" s="6"/>
      <c r="L432" s="6"/>
      <c r="M432" s="6"/>
      <c r="N432" s="6"/>
      <c r="O432" s="6"/>
      <c r="P432" s="6"/>
      <c r="Q432" s="6"/>
      <c r="R432" s="6"/>
    </row>
    <row r="433" spans="6:18" x14ac:dyDescent="0.25">
      <c r="F433" s="5">
        <f t="shared" si="50"/>
        <v>4.010362629190292E-7</v>
      </c>
      <c r="G433" s="4">
        <f t="shared" si="47"/>
        <v>2006.4414358525803</v>
      </c>
      <c r="H433" s="3">
        <f t="shared" si="48"/>
        <v>5003142162.8764</v>
      </c>
      <c r="I433">
        <f t="shared" si="49"/>
        <v>10038511745056.309</v>
      </c>
      <c r="J433" s="6"/>
      <c r="K433" s="6"/>
      <c r="L433" s="6"/>
      <c r="M433" s="6"/>
      <c r="N433" s="6"/>
      <c r="O433" s="6"/>
      <c r="P433" s="6"/>
      <c r="Q433" s="6"/>
      <c r="R433" s="6"/>
    </row>
    <row r="434" spans="6:18" x14ac:dyDescent="0.25">
      <c r="F434" s="5">
        <f t="shared" si="50"/>
        <v>3.8515522690743559E-7</v>
      </c>
      <c r="G434" s="4">
        <f t="shared" ref="G434:G497" si="51">G433*(1-$O$1)</f>
        <v>1966.3126071355287</v>
      </c>
      <c r="H434" s="3">
        <f t="shared" ref="H434:H497" si="52">I434/G434</f>
        <v>5105247104.9759188</v>
      </c>
      <c r="I434">
        <f t="shared" ref="I434:I497" si="53">I433</f>
        <v>10038511745056.309</v>
      </c>
      <c r="J434" s="6"/>
      <c r="K434" s="6"/>
      <c r="L434" s="6"/>
      <c r="M434" s="6"/>
      <c r="N434" s="6"/>
      <c r="O434" s="6"/>
      <c r="P434" s="6"/>
      <c r="Q434" s="6"/>
      <c r="R434" s="6"/>
    </row>
    <row r="435" spans="6:18" x14ac:dyDescent="0.25">
      <c r="F435" s="5">
        <f t="shared" si="50"/>
        <v>3.6990307992190107E-7</v>
      </c>
      <c r="G435" s="4">
        <f t="shared" si="51"/>
        <v>1926.986354992818</v>
      </c>
      <c r="H435" s="3">
        <f t="shared" si="52"/>
        <v>5209435821.4039993</v>
      </c>
      <c r="I435">
        <f t="shared" si="53"/>
        <v>10038511745056.309</v>
      </c>
      <c r="J435" s="6"/>
      <c r="K435" s="6"/>
      <c r="L435" s="6"/>
      <c r="M435" s="6"/>
      <c r="N435" s="6"/>
      <c r="O435" s="6"/>
      <c r="P435" s="6"/>
      <c r="Q435" s="6"/>
      <c r="R435" s="6"/>
    </row>
    <row r="436" spans="6:18" x14ac:dyDescent="0.25">
      <c r="F436" s="5">
        <f t="shared" si="50"/>
        <v>3.5525491795699382E-7</v>
      </c>
      <c r="G436" s="4">
        <f t="shared" si="51"/>
        <v>1888.4466278929615</v>
      </c>
      <c r="H436" s="3">
        <f t="shared" si="52"/>
        <v>5315750838.167346</v>
      </c>
      <c r="I436">
        <f t="shared" si="53"/>
        <v>10038511745056.309</v>
      </c>
      <c r="J436" s="6"/>
      <c r="K436" s="6"/>
      <c r="L436" s="6"/>
      <c r="M436" s="6"/>
      <c r="N436" s="6"/>
      <c r="O436" s="6"/>
      <c r="P436" s="6"/>
      <c r="Q436" s="6"/>
      <c r="R436" s="6"/>
    </row>
    <row r="437" spans="6:18" x14ac:dyDescent="0.25">
      <c r="F437" s="5">
        <f t="shared" si="50"/>
        <v>3.4118682320589684E-7</v>
      </c>
      <c r="G437" s="4">
        <f t="shared" si="51"/>
        <v>1850.6776953351023</v>
      </c>
      <c r="H437" s="3">
        <f t="shared" si="52"/>
        <v>5424235549.1503534</v>
      </c>
      <c r="I437">
        <f t="shared" si="53"/>
        <v>10038511745056.309</v>
      </c>
      <c r="J437" s="6"/>
      <c r="K437" s="6"/>
      <c r="L437" s="6"/>
      <c r="M437" s="6"/>
      <c r="N437" s="6"/>
      <c r="O437" s="6"/>
      <c r="P437" s="6"/>
      <c r="Q437" s="6"/>
      <c r="R437" s="6"/>
    </row>
    <row r="438" spans="6:18" x14ac:dyDescent="0.25">
      <c r="F438" s="5">
        <f t="shared" si="50"/>
        <v>3.2767582500694332E-7</v>
      </c>
      <c r="G438" s="4">
        <f t="shared" si="51"/>
        <v>1813.6641414284002</v>
      </c>
      <c r="H438" s="3">
        <f t="shared" si="52"/>
        <v>5534934233.8268909</v>
      </c>
      <c r="I438">
        <f t="shared" si="53"/>
        <v>10038511745056.309</v>
      </c>
      <c r="J438" s="6"/>
      <c r="K438" s="6"/>
      <c r="L438" s="6"/>
      <c r="M438" s="6"/>
      <c r="N438" s="6"/>
      <c r="O438" s="6"/>
      <c r="P438" s="6"/>
      <c r="Q438" s="6"/>
      <c r="R438" s="6"/>
    </row>
    <row r="439" spans="6:18" x14ac:dyDescent="0.25">
      <c r="F439" s="5">
        <f t="shared" si="50"/>
        <v>3.1469986233666834E-7</v>
      </c>
      <c r="G439" s="4">
        <f t="shared" si="51"/>
        <v>1777.3908585998322</v>
      </c>
      <c r="H439" s="3">
        <f t="shared" si="52"/>
        <v>5647892075.3335629</v>
      </c>
      <c r="I439">
        <f t="shared" si="53"/>
        <v>10038511745056.309</v>
      </c>
      <c r="J439" s="6"/>
      <c r="K439" s="6"/>
      <c r="L439" s="6"/>
      <c r="M439" s="6"/>
      <c r="N439" s="6"/>
      <c r="O439" s="6"/>
      <c r="P439" s="6"/>
      <c r="Q439" s="6"/>
      <c r="R439" s="6"/>
    </row>
    <row r="440" spans="6:18" x14ac:dyDescent="0.25">
      <c r="F440" s="5">
        <f t="shared" si="50"/>
        <v>3.0223774778813628E-7</v>
      </c>
      <c r="G440" s="4">
        <f t="shared" si="51"/>
        <v>1741.8430414278355</v>
      </c>
      <c r="H440" s="3">
        <f t="shared" si="52"/>
        <v>5763155178.9117985</v>
      </c>
      <c r="I440">
        <f t="shared" si="53"/>
        <v>10038511745056.309</v>
      </c>
      <c r="J440" s="6"/>
      <c r="K440" s="6"/>
      <c r="L440" s="6"/>
      <c r="M440" s="6"/>
      <c r="N440" s="6"/>
      <c r="O440" s="6"/>
      <c r="P440" s="6"/>
      <c r="Q440" s="6"/>
      <c r="R440" s="6"/>
    </row>
    <row r="441" spans="6:18" x14ac:dyDescent="0.25">
      <c r="F441" s="5">
        <f t="shared" si="50"/>
        <v>2.9026913297572604E-7</v>
      </c>
      <c r="G441" s="4">
        <f t="shared" si="51"/>
        <v>1707.0061805992787</v>
      </c>
      <c r="H441" s="3">
        <f t="shared" si="52"/>
        <v>5880770590.726325</v>
      </c>
      <c r="I441">
        <f t="shared" si="53"/>
        <v>10038511745056.309</v>
      </c>
      <c r="J441" s="6"/>
      <c r="K441" s="6"/>
      <c r="L441" s="6"/>
      <c r="M441" s="6"/>
      <c r="N441" s="6"/>
      <c r="O441" s="6"/>
      <c r="P441" s="6"/>
      <c r="Q441" s="6"/>
      <c r="R441" s="6"/>
    </row>
    <row r="442" spans="6:18" x14ac:dyDescent="0.25">
      <c r="F442" s="5">
        <f t="shared" si="50"/>
        <v>2.7877447530988725E-7</v>
      </c>
      <c r="G442" s="4">
        <f t="shared" si="51"/>
        <v>1672.8660569872929</v>
      </c>
      <c r="H442" s="3">
        <f t="shared" si="52"/>
        <v>6000786317.0676794</v>
      </c>
      <c r="I442">
        <f t="shared" si="53"/>
        <v>10038511745056.309</v>
      </c>
      <c r="J442" s="6"/>
      <c r="K442" s="6"/>
      <c r="L442" s="6"/>
      <c r="M442" s="6"/>
      <c r="N442" s="6"/>
      <c r="O442" s="6"/>
      <c r="P442" s="6"/>
      <c r="Q442" s="6"/>
      <c r="R442" s="6"/>
    </row>
    <row r="443" spans="6:18" x14ac:dyDescent="0.25">
      <c r="F443" s="5">
        <f t="shared" si="50"/>
        <v>2.6773500608761564E-7</v>
      </c>
      <c r="G443" s="4">
        <f t="shared" si="51"/>
        <v>1639.408735847547</v>
      </c>
      <c r="H443" s="3">
        <f t="shared" si="52"/>
        <v>6123251343.9466124</v>
      </c>
      <c r="I443">
        <f t="shared" si="53"/>
        <v>10038511745056.309</v>
      </c>
      <c r="J443" s="6"/>
      <c r="K443" s="6"/>
      <c r="L443" s="6"/>
      <c r="M443" s="6"/>
      <c r="N443" s="6"/>
      <c r="O443" s="6"/>
      <c r="P443" s="6"/>
      <c r="Q443" s="6"/>
      <c r="R443" s="6"/>
    </row>
    <row r="444" spans="6:18" x14ac:dyDescent="0.25">
      <c r="F444" s="5">
        <f t="shared" si="50"/>
        <v>2.5713269984654603E-7</v>
      </c>
      <c r="G444" s="4">
        <f t="shared" si="51"/>
        <v>1606.6205611305959</v>
      </c>
      <c r="H444" s="3">
        <f t="shared" si="52"/>
        <v>6248215657.0883808</v>
      </c>
      <c r="I444">
        <f t="shared" si="53"/>
        <v>10038511745056.309</v>
      </c>
      <c r="J444" s="6"/>
      <c r="K444" s="6"/>
      <c r="L444" s="6"/>
      <c r="M444" s="6"/>
      <c r="N444" s="6"/>
      <c r="O444" s="6"/>
      <c r="P444" s="6"/>
      <c r="Q444" s="6"/>
      <c r="R444" s="6"/>
    </row>
    <row r="445" spans="6:18" x14ac:dyDescent="0.25">
      <c r="F445" s="5">
        <f t="shared" si="50"/>
        <v>2.4695024493262283E-7</v>
      </c>
      <c r="G445" s="4">
        <f t="shared" si="51"/>
        <v>1574.4881499079841</v>
      </c>
      <c r="H445" s="3">
        <f t="shared" si="52"/>
        <v>6375730262.3350821</v>
      </c>
      <c r="I445">
        <f t="shared" si="53"/>
        <v>10038511745056.309</v>
      </c>
      <c r="J445" s="6"/>
      <c r="K445" s="6"/>
      <c r="L445" s="6"/>
      <c r="M445" s="6"/>
      <c r="N445" s="6"/>
      <c r="O445" s="6"/>
      <c r="P445" s="6"/>
      <c r="Q445" s="6"/>
      <c r="R445" s="6"/>
    </row>
    <row r="446" spans="6:18" x14ac:dyDescent="0.25">
      <c r="F446" s="5">
        <f t="shared" si="50"/>
        <v>2.3717101523329098E-7</v>
      </c>
      <c r="G446" s="4">
        <f t="shared" si="51"/>
        <v>1542.9983869098244</v>
      </c>
      <c r="H446" s="3">
        <f t="shared" si="52"/>
        <v>6505847206.4643688</v>
      </c>
      <c r="I446">
        <f t="shared" si="53"/>
        <v>10038511745056.309</v>
      </c>
      <c r="J446" s="6"/>
      <c r="K446" s="6"/>
      <c r="L446" s="6"/>
      <c r="M446" s="6"/>
      <c r="N446" s="6"/>
      <c r="O446" s="6"/>
      <c r="P446" s="6"/>
      <c r="Q446" s="6"/>
      <c r="R446" s="6"/>
    </row>
    <row r="447" spans="6:18" x14ac:dyDescent="0.25">
      <c r="F447" s="5">
        <f t="shared" si="50"/>
        <v>2.2777904303005266E-7</v>
      </c>
      <c r="G447" s="4">
        <f t="shared" si="51"/>
        <v>1512.1384191716279</v>
      </c>
      <c r="H447" s="3">
        <f t="shared" si="52"/>
        <v>6638619598.4330292</v>
      </c>
      <c r="I447">
        <f t="shared" si="53"/>
        <v>10038511745056.309</v>
      </c>
      <c r="J447" s="6"/>
      <c r="K447" s="6"/>
      <c r="L447" s="6"/>
      <c r="M447" s="6"/>
      <c r="N447" s="6"/>
      <c r="O447" s="6"/>
      <c r="P447" s="6"/>
      <c r="Q447" s="6"/>
      <c r="R447" s="6"/>
    </row>
    <row r="448" spans="6:18" x14ac:dyDescent="0.25">
      <c r="F448" s="5">
        <f t="shared" si="50"/>
        <v>2.1875899292606258E-7</v>
      </c>
      <c r="G448" s="4">
        <f t="shared" si="51"/>
        <v>1481.8956507881953</v>
      </c>
      <c r="H448" s="3">
        <f t="shared" si="52"/>
        <v>6774101631.0541115</v>
      </c>
      <c r="I448">
        <f t="shared" si="53"/>
        <v>10038511745056.309</v>
      </c>
      <c r="J448" s="6"/>
      <c r="K448" s="6"/>
      <c r="L448" s="6"/>
      <c r="M448" s="6"/>
      <c r="N448" s="6"/>
      <c r="O448" s="6"/>
      <c r="P448" s="6"/>
      <c r="Q448" s="6"/>
      <c r="R448" s="6"/>
    </row>
    <row r="449" spans="6:18" x14ac:dyDescent="0.25">
      <c r="F449" s="5">
        <f t="shared" si="50"/>
        <v>2.100961368061905E-7</v>
      </c>
      <c r="G449" s="4">
        <f t="shared" si="51"/>
        <v>1452.2577377724315</v>
      </c>
      <c r="H449" s="3">
        <f t="shared" si="52"/>
        <v>6912348603.1164408</v>
      </c>
      <c r="I449">
        <f t="shared" si="53"/>
        <v>10038511745056.309</v>
      </c>
      <c r="J449" s="6"/>
      <c r="K449" s="6"/>
      <c r="L449" s="6"/>
      <c r="M449" s="6"/>
      <c r="N449" s="6"/>
      <c r="O449" s="6"/>
      <c r="P449" s="6"/>
      <c r="Q449" s="6"/>
      <c r="R449" s="6"/>
    </row>
    <row r="450" spans="6:18" x14ac:dyDescent="0.25">
      <c r="F450" s="5">
        <f t="shared" si="50"/>
        <v>2.0177632978866533E-7</v>
      </c>
      <c r="G450" s="4">
        <f t="shared" si="51"/>
        <v>1423.2125830169828</v>
      </c>
      <c r="H450" s="3">
        <f t="shared" si="52"/>
        <v>7053416941.9555521</v>
      </c>
      <c r="I450">
        <f t="shared" si="53"/>
        <v>10038511745056.309</v>
      </c>
      <c r="J450" s="6"/>
      <c r="K450" s="6"/>
      <c r="L450" s="6"/>
      <c r="M450" s="6"/>
      <c r="N450" s="6"/>
      <c r="O450" s="6"/>
      <c r="P450" s="6"/>
      <c r="Q450" s="6"/>
      <c r="R450" s="6"/>
    </row>
    <row r="451" spans="6:18" x14ac:dyDescent="0.25">
      <c r="F451" s="5">
        <f t="shared" si="50"/>
        <v>1.9378598712903418E-7</v>
      </c>
      <c r="G451" s="4">
        <f t="shared" si="51"/>
        <v>1394.7483313566431</v>
      </c>
      <c r="H451" s="3">
        <f t="shared" si="52"/>
        <v>7197364226.4852571</v>
      </c>
      <c r="I451">
        <f t="shared" si="53"/>
        <v>10038511745056.309</v>
      </c>
      <c r="J451" s="6"/>
      <c r="K451" s="6"/>
      <c r="L451" s="6"/>
      <c r="M451" s="6"/>
      <c r="N451" s="6"/>
      <c r="O451" s="6"/>
      <c r="P451" s="6"/>
      <c r="Q451" s="6"/>
      <c r="R451" s="6"/>
    </row>
    <row r="452" spans="6:18" x14ac:dyDescent="0.25">
      <c r="F452" s="5">
        <f t="shared" si="50"/>
        <v>1.8611206203872445E-7</v>
      </c>
      <c r="G452" s="4">
        <f t="shared" si="51"/>
        <v>1366.8533647295103</v>
      </c>
      <c r="H452" s="3">
        <f t="shared" si="52"/>
        <v>7344249210.6992416</v>
      </c>
      <c r="I452">
        <f t="shared" si="53"/>
        <v>10038511745056.309</v>
      </c>
      <c r="J452" s="6"/>
      <c r="K452" s="6"/>
      <c r="L452" s="6"/>
      <c r="M452" s="6"/>
      <c r="N452" s="6"/>
      <c r="O452" s="6"/>
      <c r="P452" s="6"/>
      <c r="Q452" s="6"/>
      <c r="R452" s="6"/>
    </row>
    <row r="453" spans="6:18" x14ac:dyDescent="0.25">
      <c r="F453" s="5">
        <f t="shared" si="50"/>
        <v>1.7874202438199096E-7</v>
      </c>
      <c r="G453" s="4">
        <f t="shared" si="51"/>
        <v>1339.51629743492</v>
      </c>
      <c r="H453" s="3">
        <f t="shared" si="52"/>
        <v>7494131847.6522875</v>
      </c>
      <c r="I453">
        <f t="shared" si="53"/>
        <v>10038511745056.309</v>
      </c>
      <c r="J453" s="6"/>
      <c r="K453" s="6"/>
      <c r="L453" s="6"/>
      <c r="M453" s="6"/>
      <c r="N453" s="6"/>
      <c r="O453" s="6"/>
      <c r="P453" s="6"/>
      <c r="Q453" s="6"/>
      <c r="R453" s="6"/>
    </row>
    <row r="454" spans="6:18" x14ac:dyDescent="0.25">
      <c r="F454" s="5">
        <f t="shared" si="50"/>
        <v>1.7166384021646408E-7</v>
      </c>
      <c r="G454" s="4">
        <f t="shared" si="51"/>
        <v>1312.7259714862216</v>
      </c>
      <c r="H454" s="3">
        <f t="shared" si="52"/>
        <v>7647073313.9309063</v>
      </c>
      <c r="I454">
        <f t="shared" si="53"/>
        <v>10038511745056.309</v>
      </c>
      <c r="J454" s="6"/>
      <c r="K454" s="6"/>
      <c r="L454" s="6"/>
      <c r="M454" s="6"/>
      <c r="N454" s="6"/>
      <c r="O454" s="6"/>
      <c r="P454" s="6"/>
      <c r="Q454" s="6"/>
      <c r="R454" s="6"/>
    </row>
    <row r="455" spans="6:18" x14ac:dyDescent="0.25">
      <c r="F455" s="5">
        <f t="shared" si="50"/>
        <v>1.648659521438921E-7</v>
      </c>
      <c r="G455" s="4">
        <f t="shared" si="51"/>
        <v>1286.4714520564971</v>
      </c>
      <c r="H455" s="3">
        <f t="shared" si="52"/>
        <v>7803136034.623374</v>
      </c>
      <c r="I455">
        <f t="shared" si="53"/>
        <v>10038511745056.309</v>
      </c>
      <c r="J455" s="6"/>
      <c r="K455" s="6"/>
      <c r="L455" s="6"/>
      <c r="M455" s="6"/>
      <c r="N455" s="6"/>
      <c r="O455" s="6"/>
      <c r="P455" s="6"/>
      <c r="Q455" s="6"/>
      <c r="R455" s="6"/>
    </row>
    <row r="456" spans="6:18" x14ac:dyDescent="0.25">
      <c r="F456" s="5">
        <f t="shared" si="50"/>
        <v>1.5833726043899395E-7</v>
      </c>
      <c r="G456" s="4">
        <f t="shared" si="51"/>
        <v>1260.7420230153671</v>
      </c>
      <c r="H456" s="3">
        <f t="shared" si="52"/>
        <v>7962383708.7993612</v>
      </c>
      <c r="I456">
        <f t="shared" si="53"/>
        <v>10038511745056.309</v>
      </c>
      <c r="J456" s="6"/>
      <c r="K456" s="6"/>
      <c r="L456" s="6"/>
      <c r="M456" s="6"/>
      <c r="N456" s="6"/>
      <c r="O456" s="6"/>
      <c r="P456" s="6"/>
      <c r="Q456" s="6"/>
      <c r="R456" s="6"/>
    </row>
    <row r="457" spans="6:18" x14ac:dyDescent="0.25">
      <c r="F457" s="5">
        <f t="shared" ref="F457:F520" si="54">G457/H457</f>
        <v>1.5206710492560977E-7</v>
      </c>
      <c r="G457" s="4">
        <f t="shared" si="51"/>
        <v>1235.5271825550597</v>
      </c>
      <c r="H457" s="3">
        <f t="shared" si="52"/>
        <v>8124881335.509553</v>
      </c>
      <c r="I457">
        <f t="shared" si="53"/>
        <v>10038511745056.309</v>
      </c>
      <c r="J457" s="6"/>
      <c r="K457" s="6"/>
      <c r="L457" s="6"/>
      <c r="M457" s="6"/>
      <c r="N457" s="6"/>
      <c r="O457" s="6"/>
      <c r="P457" s="6"/>
      <c r="Q457" s="6"/>
      <c r="R457" s="6"/>
    </row>
    <row r="458" spans="6:18" x14ac:dyDescent="0.25">
      <c r="F458" s="5">
        <f t="shared" si="54"/>
        <v>1.460452475705556E-7</v>
      </c>
      <c r="G458" s="4">
        <f t="shared" si="51"/>
        <v>1210.8166389039584</v>
      </c>
      <c r="H458" s="3">
        <f t="shared" si="52"/>
        <v>8290695240.3158712</v>
      </c>
      <c r="I458">
        <f t="shared" si="53"/>
        <v>10038511745056.309</v>
      </c>
      <c r="J458" s="6"/>
      <c r="K458" s="6"/>
      <c r="L458" s="6"/>
      <c r="M458" s="6"/>
      <c r="N458" s="6"/>
      <c r="O458" s="6"/>
      <c r="P458" s="6"/>
      <c r="Q458" s="6"/>
      <c r="R458" s="6"/>
    </row>
    <row r="459" spans="6:18" x14ac:dyDescent="0.25">
      <c r="F459" s="5">
        <f t="shared" si="54"/>
        <v>1.4026185576676159E-7</v>
      </c>
      <c r="G459" s="4">
        <f t="shared" si="51"/>
        <v>1186.6003061258791</v>
      </c>
      <c r="H459" s="3">
        <f t="shared" si="52"/>
        <v>8459893102.3631344</v>
      </c>
      <c r="I459">
        <f t="shared" si="53"/>
        <v>10038511745056.309</v>
      </c>
      <c r="J459" s="6"/>
      <c r="K459" s="6"/>
      <c r="L459" s="6"/>
      <c r="M459" s="6"/>
      <c r="N459" s="6"/>
      <c r="O459" s="6"/>
      <c r="P459" s="6"/>
      <c r="Q459" s="6"/>
      <c r="R459" s="6"/>
    </row>
    <row r="460" spans="6:18" x14ac:dyDescent="0.25">
      <c r="F460" s="5">
        <f t="shared" si="54"/>
        <v>1.3470748627839782E-7</v>
      </c>
      <c r="G460" s="4">
        <f t="shared" si="51"/>
        <v>1162.8683000033616</v>
      </c>
      <c r="H460" s="3">
        <f t="shared" si="52"/>
        <v>8632543982.0031986</v>
      </c>
      <c r="I460">
        <f t="shared" si="53"/>
        <v>10038511745056.309</v>
      </c>
      <c r="J460" s="6"/>
      <c r="K460" s="6"/>
      <c r="L460" s="6"/>
      <c r="M460" s="6"/>
      <c r="N460" s="6"/>
      <c r="O460" s="6"/>
      <c r="P460" s="6"/>
      <c r="Q460" s="6"/>
      <c r="R460" s="6"/>
    </row>
    <row r="461" spans="6:18" x14ac:dyDescent="0.25">
      <c r="F461" s="5">
        <f t="shared" si="54"/>
        <v>1.2937306982177325E-7</v>
      </c>
      <c r="G461" s="4">
        <f t="shared" si="51"/>
        <v>1139.6109340032942</v>
      </c>
      <c r="H461" s="3">
        <f t="shared" si="52"/>
        <v>8808718348.9828568</v>
      </c>
      <c r="I461">
        <f t="shared" si="53"/>
        <v>10038511745056.309</v>
      </c>
      <c r="J461" s="6"/>
      <c r="K461" s="6"/>
      <c r="L461" s="6"/>
      <c r="M461" s="6"/>
      <c r="N461" s="6"/>
      <c r="O461" s="6"/>
      <c r="P461" s="6"/>
      <c r="Q461" s="6"/>
      <c r="R461" s="6"/>
    </row>
    <row r="462" spans="6:18" x14ac:dyDescent="0.25">
      <c r="F462" s="5">
        <f t="shared" si="54"/>
        <v>1.2424989625683104E-7</v>
      </c>
      <c r="G462" s="4">
        <f t="shared" si="51"/>
        <v>1116.8187153232284</v>
      </c>
      <c r="H462" s="3">
        <f t="shared" si="52"/>
        <v>8988488111.206995</v>
      </c>
      <c r="I462">
        <f t="shared" si="53"/>
        <v>10038511745056.309</v>
      </c>
      <c r="J462" s="6"/>
      <c r="K462" s="6"/>
      <c r="L462" s="6"/>
      <c r="M462" s="6"/>
      <c r="N462" s="6"/>
      <c r="O462" s="6"/>
      <c r="P462" s="6"/>
      <c r="Q462" s="6"/>
      <c r="R462" s="6"/>
    </row>
    <row r="463" spans="6:18" x14ac:dyDescent="0.25">
      <c r="F463" s="5">
        <f t="shared" si="54"/>
        <v>1.1932960036506051E-7</v>
      </c>
      <c r="G463" s="4">
        <f t="shared" si="51"/>
        <v>1094.4823410167637</v>
      </c>
      <c r="H463" s="3">
        <f t="shared" si="52"/>
        <v>9171926644.0887718</v>
      </c>
      <c r="I463">
        <f t="shared" si="53"/>
        <v>10038511745056.309</v>
      </c>
      <c r="J463" s="6"/>
      <c r="K463" s="6"/>
      <c r="L463" s="6"/>
      <c r="M463" s="6"/>
      <c r="N463" s="6"/>
      <c r="O463" s="6"/>
      <c r="P463" s="6"/>
      <c r="Q463" s="6"/>
      <c r="R463" s="6"/>
    </row>
    <row r="464" spans="6:18" x14ac:dyDescent="0.25">
      <c r="F464" s="5">
        <f t="shared" si="54"/>
        <v>1.1460414819060412E-7</v>
      </c>
      <c r="G464" s="4">
        <f t="shared" si="51"/>
        <v>1072.5926941964285</v>
      </c>
      <c r="H464" s="3">
        <f t="shared" si="52"/>
        <v>9359108820.4987469</v>
      </c>
      <c r="I464">
        <f t="shared" si="53"/>
        <v>10038511745056.309</v>
      </c>
      <c r="J464" s="6"/>
      <c r="K464" s="6"/>
      <c r="L464" s="6"/>
      <c r="M464" s="6"/>
      <c r="N464" s="6"/>
      <c r="O464" s="6"/>
      <c r="P464" s="6"/>
      <c r="Q464" s="6"/>
      <c r="R464" s="6"/>
    </row>
    <row r="465" spans="6:18" x14ac:dyDescent="0.25">
      <c r="F465" s="5">
        <f t="shared" si="54"/>
        <v>1.1006582392225619E-7</v>
      </c>
      <c r="G465" s="4">
        <f t="shared" si="51"/>
        <v>1051.1408403124999</v>
      </c>
      <c r="H465" s="3">
        <f t="shared" si="52"/>
        <v>9550111041.3252525</v>
      </c>
      <c r="I465">
        <f t="shared" si="53"/>
        <v>10038511745056.309</v>
      </c>
      <c r="J465" s="6"/>
      <c r="K465" s="6"/>
      <c r="L465" s="6"/>
      <c r="M465" s="6"/>
      <c r="N465" s="6"/>
      <c r="O465" s="6"/>
      <c r="P465" s="6"/>
      <c r="Q465" s="6"/>
      <c r="R465" s="6"/>
    </row>
    <row r="466" spans="6:18" x14ac:dyDescent="0.25">
      <c r="F466" s="5">
        <f t="shared" si="54"/>
        <v>1.0570721729493487E-7</v>
      </c>
      <c r="G466" s="4">
        <f t="shared" si="51"/>
        <v>1030.11802350625</v>
      </c>
      <c r="H466" s="3">
        <f t="shared" si="52"/>
        <v>9745011266.6584187</v>
      </c>
      <c r="I466">
        <f t="shared" si="53"/>
        <v>10038511745056.309</v>
      </c>
      <c r="J466" s="6"/>
      <c r="K466" s="6"/>
      <c r="L466" s="6"/>
      <c r="M466" s="6"/>
      <c r="N466" s="6"/>
      <c r="O466" s="6"/>
      <c r="P466" s="6"/>
      <c r="Q466" s="6"/>
      <c r="R466" s="6"/>
    </row>
    <row r="467" spans="6:18" x14ac:dyDescent="0.25">
      <c r="F467" s="5">
        <f t="shared" si="54"/>
        <v>1.0152121149005544E-7</v>
      </c>
      <c r="G467" s="4">
        <f t="shared" si="51"/>
        <v>1009.5156630361249</v>
      </c>
      <c r="H467" s="3">
        <f t="shared" si="52"/>
        <v>9943889047.6106319</v>
      </c>
      <c r="I467">
        <f t="shared" si="53"/>
        <v>10038511745056.309</v>
      </c>
      <c r="J467" s="6"/>
      <c r="K467" s="6"/>
      <c r="L467" s="6"/>
      <c r="M467" s="6"/>
      <c r="N467" s="6"/>
      <c r="O467" s="6"/>
      <c r="P467" s="6"/>
      <c r="Q467" s="6"/>
      <c r="R467" s="6"/>
    </row>
    <row r="468" spans="6:18" x14ac:dyDescent="0.25">
      <c r="F468" s="5">
        <f t="shared" si="54"/>
        <v>9.7500971515049231E-8</v>
      </c>
      <c r="G468" s="4">
        <f t="shared" si="51"/>
        <v>989.3253497754024</v>
      </c>
      <c r="H468" s="3">
        <f t="shared" si="52"/>
        <v>10146825558.78636</v>
      </c>
      <c r="I468">
        <f t="shared" si="53"/>
        <v>10038511745056.309</v>
      </c>
      <c r="J468" s="6"/>
      <c r="K468" s="6"/>
      <c r="L468" s="6"/>
      <c r="M468" s="6"/>
      <c r="N468" s="6"/>
      <c r="O468" s="6"/>
      <c r="P468" s="6"/>
      <c r="Q468" s="6"/>
      <c r="R468" s="6"/>
    </row>
    <row r="469" spans="6:18" x14ac:dyDescent="0.25">
      <c r="F469" s="5">
        <f t="shared" si="54"/>
        <v>9.3639933043053274E-8</v>
      </c>
      <c r="G469" s="4">
        <f t="shared" si="51"/>
        <v>969.53884277989437</v>
      </c>
      <c r="H469" s="3">
        <f t="shared" si="52"/>
        <v>10353903631.414654</v>
      </c>
      <c r="I469">
        <f t="shared" si="53"/>
        <v>10038511745056.309</v>
      </c>
      <c r="J469" s="6"/>
      <c r="K469" s="6"/>
      <c r="L469" s="6"/>
      <c r="M469" s="6"/>
      <c r="N469" s="6"/>
      <c r="O469" s="6"/>
      <c r="P469" s="6"/>
      <c r="Q469" s="6"/>
      <c r="R469" s="6"/>
    </row>
    <row r="470" spans="6:18" x14ac:dyDescent="0.25">
      <c r="F470" s="5">
        <f t="shared" si="54"/>
        <v>8.9931791694548379E-8</v>
      </c>
      <c r="G470" s="4">
        <f t="shared" si="51"/>
        <v>950.14806592429647</v>
      </c>
      <c r="H470" s="3">
        <f t="shared" si="52"/>
        <v>10565207787.157808</v>
      </c>
      <c r="I470">
        <f t="shared" si="53"/>
        <v>10038511745056.309</v>
      </c>
      <c r="J470" s="6"/>
      <c r="K470" s="6"/>
      <c r="L470" s="6"/>
      <c r="M470" s="6"/>
      <c r="N470" s="6"/>
      <c r="O470" s="6"/>
      <c r="P470" s="6"/>
      <c r="Q470" s="6"/>
      <c r="R470" s="6"/>
    </row>
    <row r="471" spans="6:18" x14ac:dyDescent="0.25">
      <c r="F471" s="5">
        <f t="shared" si="54"/>
        <v>8.6370492743444242E-8</v>
      </c>
      <c r="G471" s="4">
        <f t="shared" si="51"/>
        <v>931.1451046058105</v>
      </c>
      <c r="H471" s="3">
        <f t="shared" si="52"/>
        <v>10780824272.61001</v>
      </c>
      <c r="I471">
        <f t="shared" si="53"/>
        <v>10038511745056.309</v>
      </c>
      <c r="J471" s="6"/>
      <c r="K471" s="6"/>
      <c r="L471" s="6"/>
      <c r="M471" s="6"/>
      <c r="N471" s="6"/>
      <c r="O471" s="6"/>
      <c r="P471" s="6"/>
      <c r="Q471" s="6"/>
      <c r="R471" s="6"/>
    </row>
    <row r="472" spans="6:18" x14ac:dyDescent="0.25">
      <c r="F472" s="5">
        <f t="shared" si="54"/>
        <v>8.2950221230803858E-8</v>
      </c>
      <c r="G472" s="4">
        <f t="shared" si="51"/>
        <v>912.52220251369431</v>
      </c>
      <c r="H472" s="3">
        <f t="shared" si="52"/>
        <v>11000841094.50001</v>
      </c>
      <c r="I472">
        <f t="shared" si="53"/>
        <v>10038511745056.309</v>
      </c>
      <c r="J472" s="6"/>
      <c r="K472" s="6"/>
      <c r="L472" s="6"/>
      <c r="M472" s="6"/>
      <c r="N472" s="6"/>
      <c r="O472" s="6"/>
      <c r="P472" s="6"/>
      <c r="Q472" s="6"/>
      <c r="R472" s="6"/>
    </row>
    <row r="473" spans="6:18" x14ac:dyDescent="0.25">
      <c r="F473" s="5">
        <f t="shared" si="54"/>
        <v>7.9665392470064029E-8</v>
      </c>
      <c r="G473" s="4">
        <f t="shared" si="51"/>
        <v>894.27175846342038</v>
      </c>
      <c r="H473" s="3">
        <f t="shared" si="52"/>
        <v>11225348055.612255</v>
      </c>
      <c r="I473">
        <f t="shared" si="53"/>
        <v>10038511745056.309</v>
      </c>
      <c r="J473" s="6"/>
      <c r="K473" s="6"/>
      <c r="L473" s="6"/>
      <c r="M473" s="6"/>
      <c r="N473" s="6"/>
      <c r="O473" s="6"/>
      <c r="P473" s="6"/>
      <c r="Q473" s="6"/>
      <c r="R473" s="6"/>
    </row>
    <row r="474" spans="6:18" x14ac:dyDescent="0.25">
      <c r="F474" s="5">
        <f t="shared" si="54"/>
        <v>7.6510642928249472E-8</v>
      </c>
      <c r="G474" s="4">
        <f t="shared" si="51"/>
        <v>876.38632329415191</v>
      </c>
      <c r="H474" s="3">
        <f t="shared" si="52"/>
        <v>11454436791.441078</v>
      </c>
      <c r="I474">
        <f t="shared" si="53"/>
        <v>10038511745056.309</v>
      </c>
      <c r="J474" s="6"/>
      <c r="K474" s="6"/>
      <c r="L474" s="6"/>
      <c r="M474" s="6"/>
      <c r="N474" s="6"/>
      <c r="O474" s="6"/>
      <c r="P474" s="6"/>
      <c r="Q474" s="6"/>
      <c r="R474" s="6"/>
    </row>
    <row r="475" spans="6:18" x14ac:dyDescent="0.25">
      <c r="F475" s="5">
        <f t="shared" si="54"/>
        <v>7.3480821468290801E-8</v>
      </c>
      <c r="G475" s="4">
        <f t="shared" si="51"/>
        <v>858.8585968282689</v>
      </c>
      <c r="H475" s="3">
        <f t="shared" si="52"/>
        <v>11688200807.592936</v>
      </c>
      <c r="I475">
        <f t="shared" si="53"/>
        <v>10038511745056.309</v>
      </c>
      <c r="J475" s="6"/>
      <c r="K475" s="6"/>
      <c r="L475" s="6"/>
      <c r="M475" s="6"/>
      <c r="N475" s="6"/>
      <c r="O475" s="6"/>
      <c r="P475" s="6"/>
      <c r="Q475" s="6"/>
      <c r="R475" s="6"/>
    </row>
    <row r="476" spans="6:18" x14ac:dyDescent="0.25">
      <c r="F476" s="5">
        <f t="shared" si="54"/>
        <v>7.0570980938146479E-8</v>
      </c>
      <c r="G476" s="4">
        <f t="shared" si="51"/>
        <v>841.6814248917035</v>
      </c>
      <c r="H476" s="3">
        <f t="shared" si="52"/>
        <v>11926735517.951977</v>
      </c>
      <c r="I476">
        <f t="shared" si="53"/>
        <v>10038511745056.309</v>
      </c>
      <c r="J476" s="6"/>
      <c r="K476" s="6"/>
      <c r="L476" s="6"/>
      <c r="M476" s="6"/>
      <c r="N476" s="6"/>
      <c r="O476" s="6"/>
      <c r="P476" s="6"/>
      <c r="Q476" s="6"/>
      <c r="R476" s="6"/>
    </row>
    <row r="477" spans="6:18" x14ac:dyDescent="0.25">
      <c r="F477" s="5">
        <f t="shared" si="54"/>
        <v>6.7776370092995883E-8</v>
      </c>
      <c r="G477" s="4">
        <f t="shared" si="51"/>
        <v>824.84779639386943</v>
      </c>
      <c r="H477" s="3">
        <f t="shared" si="52"/>
        <v>12170138283.624466</v>
      </c>
      <c r="I477">
        <f t="shared" si="53"/>
        <v>10038511745056.309</v>
      </c>
      <c r="J477" s="6"/>
      <c r="K477" s="6"/>
      <c r="L477" s="6"/>
      <c r="M477" s="6"/>
      <c r="N477" s="6"/>
      <c r="O477" s="6"/>
      <c r="P477" s="6"/>
      <c r="Q477" s="6"/>
      <c r="R477" s="6"/>
    </row>
    <row r="478" spans="6:18" x14ac:dyDescent="0.25">
      <c r="F478" s="5">
        <f t="shared" si="54"/>
        <v>6.5092425837313249E-8</v>
      </c>
      <c r="G478" s="4">
        <f t="shared" si="51"/>
        <v>808.35084046599206</v>
      </c>
      <c r="H478" s="3">
        <f t="shared" si="52"/>
        <v>12418508452.678026</v>
      </c>
      <c r="I478">
        <f t="shared" si="53"/>
        <v>10038511745056.309</v>
      </c>
      <c r="J478" s="6"/>
      <c r="K478" s="6"/>
      <c r="L478" s="6"/>
      <c r="M478" s="6"/>
      <c r="N478" s="6"/>
      <c r="O478" s="6"/>
      <c r="P478" s="6"/>
      <c r="Q478" s="6"/>
      <c r="R478" s="6"/>
    </row>
    <row r="479" spans="6:18" x14ac:dyDescent="0.25">
      <c r="F479" s="5">
        <f t="shared" si="54"/>
        <v>6.2514765774155631E-8</v>
      </c>
      <c r="G479" s="4">
        <f t="shared" si="51"/>
        <v>792.18382365667219</v>
      </c>
      <c r="H479" s="3">
        <f t="shared" si="52"/>
        <v>12671947400.691864</v>
      </c>
      <c r="I479">
        <f t="shared" si="53"/>
        <v>10038511745056.309</v>
      </c>
      <c r="J479" s="6"/>
      <c r="K479" s="6"/>
      <c r="L479" s="6"/>
      <c r="M479" s="6"/>
      <c r="N479" s="6"/>
      <c r="O479" s="6"/>
      <c r="P479" s="6"/>
      <c r="Q479" s="6"/>
      <c r="R479" s="6"/>
    </row>
    <row r="480" spans="6:18" x14ac:dyDescent="0.25">
      <c r="F480" s="5">
        <f t="shared" si="54"/>
        <v>6.0039181049499077E-8</v>
      </c>
      <c r="G480" s="4">
        <f t="shared" si="51"/>
        <v>776.34014718353876</v>
      </c>
      <c r="H480" s="3">
        <f t="shared" si="52"/>
        <v>12930558572.134554</v>
      </c>
      <c r="I480">
        <f t="shared" si="53"/>
        <v>10038511745056.309</v>
      </c>
      <c r="J480" s="6"/>
      <c r="K480" s="6"/>
      <c r="L480" s="6"/>
      <c r="M480" s="6"/>
      <c r="N480" s="6"/>
      <c r="O480" s="6"/>
      <c r="P480" s="6"/>
      <c r="Q480" s="6"/>
      <c r="R480" s="6"/>
    </row>
    <row r="481" spans="6:18" x14ac:dyDescent="0.25">
      <c r="F481" s="5">
        <f t="shared" si="54"/>
        <v>5.7661629479938921E-8</v>
      </c>
      <c r="G481" s="4">
        <f t="shared" si="51"/>
        <v>760.813344239868</v>
      </c>
      <c r="H481" s="3">
        <f t="shared" si="52"/>
        <v>13194447522.586279</v>
      </c>
      <c r="I481">
        <f t="shared" si="53"/>
        <v>10038511745056.309</v>
      </c>
      <c r="J481" s="6"/>
      <c r="K481" s="6"/>
      <c r="L481" s="6"/>
      <c r="M481" s="6"/>
      <c r="N481" s="6"/>
      <c r="O481" s="6"/>
      <c r="P481" s="6"/>
      <c r="Q481" s="6"/>
      <c r="R481" s="6"/>
    </row>
    <row r="482" spans="6:18" x14ac:dyDescent="0.25">
      <c r="F482" s="5">
        <f t="shared" si="54"/>
        <v>5.5378228952533331E-8</v>
      </c>
      <c r="G482" s="4">
        <f t="shared" si="51"/>
        <v>745.59707735507061</v>
      </c>
      <c r="H482" s="3">
        <f t="shared" si="52"/>
        <v>13463721961.822735</v>
      </c>
      <c r="I482">
        <f t="shared" si="53"/>
        <v>10038511745056.309</v>
      </c>
      <c r="J482" s="6"/>
      <c r="K482" s="6"/>
      <c r="L482" s="6"/>
      <c r="M482" s="6"/>
      <c r="N482" s="6"/>
      <c r="O482" s="6"/>
      <c r="P482" s="6"/>
      <c r="Q482" s="6"/>
      <c r="R482" s="6"/>
    </row>
    <row r="483" spans="6:18" x14ac:dyDescent="0.25">
      <c r="F483" s="5">
        <f t="shared" si="54"/>
        <v>5.3185251086013019E-8</v>
      </c>
      <c r="G483" s="4">
        <f t="shared" si="51"/>
        <v>730.68513580796923</v>
      </c>
      <c r="H483" s="3">
        <f t="shared" si="52"/>
        <v>13738491797.778299</v>
      </c>
      <c r="I483">
        <f t="shared" si="53"/>
        <v>10038511745056.309</v>
      </c>
      <c r="J483" s="6"/>
      <c r="K483" s="6"/>
      <c r="L483" s="6"/>
      <c r="M483" s="6"/>
      <c r="N483" s="6"/>
      <c r="O483" s="6"/>
      <c r="P483" s="6"/>
      <c r="Q483" s="6"/>
      <c r="R483" s="6"/>
    </row>
    <row r="484" spans="6:18" x14ac:dyDescent="0.25">
      <c r="F484" s="5">
        <f t="shared" si="54"/>
        <v>5.1079115143006892E-8</v>
      </c>
      <c r="G484" s="4">
        <f t="shared" si="51"/>
        <v>716.07143309180981</v>
      </c>
      <c r="H484" s="3">
        <f t="shared" si="52"/>
        <v>14018869181.406429</v>
      </c>
      <c r="I484">
        <f t="shared" si="53"/>
        <v>10038511745056.309</v>
      </c>
      <c r="J484" s="6"/>
      <c r="K484" s="6"/>
      <c r="L484" s="6"/>
      <c r="M484" s="6"/>
      <c r="N484" s="6"/>
      <c r="O484" s="6"/>
      <c r="P484" s="6"/>
      <c r="Q484" s="6"/>
      <c r="R484" s="6"/>
    </row>
    <row r="485" spans="6:18" x14ac:dyDescent="0.25">
      <c r="F485" s="5">
        <f t="shared" si="54"/>
        <v>4.9056382183343824E-8</v>
      </c>
      <c r="G485" s="4">
        <f t="shared" si="51"/>
        <v>701.75000442997361</v>
      </c>
      <c r="H485" s="3">
        <f t="shared" si="52"/>
        <v>14304968552.45554</v>
      </c>
      <c r="I485">
        <f t="shared" si="53"/>
        <v>10038511745056.309</v>
      </c>
      <c r="J485" s="6"/>
      <c r="K485" s="6"/>
      <c r="L485" s="6"/>
      <c r="M485" s="6"/>
      <c r="N485" s="6"/>
      <c r="O485" s="6"/>
      <c r="P485" s="6"/>
      <c r="Q485" s="6"/>
      <c r="R485" s="6"/>
    </row>
    <row r="486" spans="6:18" x14ac:dyDescent="0.25">
      <c r="F486" s="5">
        <f t="shared" si="54"/>
        <v>4.7113749448883393E-8</v>
      </c>
      <c r="G486" s="4">
        <f t="shared" si="51"/>
        <v>687.71500434137408</v>
      </c>
      <c r="H486" s="3">
        <f t="shared" si="52"/>
        <v>14596906686.179125</v>
      </c>
      <c r="I486">
        <f t="shared" si="53"/>
        <v>10038511745056.309</v>
      </c>
      <c r="J486" s="6"/>
      <c r="K486" s="6"/>
      <c r="L486" s="6"/>
      <c r="M486" s="6"/>
      <c r="N486" s="6"/>
      <c r="O486" s="6"/>
      <c r="P486" s="6"/>
      <c r="Q486" s="6"/>
      <c r="R486" s="6"/>
    </row>
    <row r="487" spans="6:18" x14ac:dyDescent="0.25">
      <c r="F487" s="5">
        <f t="shared" si="54"/>
        <v>4.5248044970707616E-8</v>
      </c>
      <c r="G487" s="4">
        <f t="shared" si="51"/>
        <v>673.96070425454661</v>
      </c>
      <c r="H487" s="3">
        <f t="shared" si="52"/>
        <v>14894802740.999105</v>
      </c>
      <c r="I487">
        <f t="shared" si="53"/>
        <v>10038511745056.309</v>
      </c>
      <c r="J487" s="6"/>
      <c r="K487" s="6"/>
      <c r="L487" s="6"/>
      <c r="M487" s="6"/>
      <c r="N487" s="6"/>
      <c r="O487" s="6"/>
      <c r="P487" s="6"/>
      <c r="Q487" s="6"/>
      <c r="R487" s="6"/>
    </row>
    <row r="488" spans="6:18" x14ac:dyDescent="0.25">
      <c r="F488" s="5">
        <f t="shared" si="54"/>
        <v>4.3456222389867594E-8</v>
      </c>
      <c r="G488" s="4">
        <f t="shared" si="51"/>
        <v>660.4814901694557</v>
      </c>
      <c r="H488" s="3">
        <f t="shared" si="52"/>
        <v>15198778307.141945</v>
      </c>
      <c r="I488">
        <f t="shared" si="53"/>
        <v>10038511745056.309</v>
      </c>
      <c r="J488" s="6"/>
      <c r="K488" s="6"/>
      <c r="L488" s="6"/>
      <c r="M488" s="6"/>
      <c r="N488" s="6"/>
      <c r="O488" s="6"/>
      <c r="P488" s="6"/>
      <c r="Q488" s="6"/>
      <c r="R488" s="6"/>
    </row>
    <row r="489" spans="6:18" x14ac:dyDescent="0.25">
      <c r="F489" s="5">
        <f t="shared" si="54"/>
        <v>4.1735355983228837E-8</v>
      </c>
      <c r="G489" s="4">
        <f t="shared" si="51"/>
        <v>647.27186036606656</v>
      </c>
      <c r="H489" s="3">
        <f t="shared" si="52"/>
        <v>15508957456.26729</v>
      </c>
      <c r="I489">
        <f t="shared" si="53"/>
        <v>10038511745056.309</v>
      </c>
      <c r="J489" s="6"/>
      <c r="K489" s="6"/>
      <c r="L489" s="6"/>
      <c r="M489" s="6"/>
      <c r="N489" s="6"/>
      <c r="O489" s="6"/>
      <c r="P489" s="6"/>
      <c r="Q489" s="6"/>
      <c r="R489" s="6"/>
    </row>
    <row r="490" spans="6:18" x14ac:dyDescent="0.25">
      <c r="F490" s="5">
        <f t="shared" si="54"/>
        <v>4.0082635886292979E-8</v>
      </c>
      <c r="G490" s="4">
        <f t="shared" si="51"/>
        <v>634.32642315874523</v>
      </c>
      <c r="H490" s="3">
        <f t="shared" si="52"/>
        <v>15825466792.10948</v>
      </c>
      <c r="I490">
        <f t="shared" si="53"/>
        <v>10038511745056.309</v>
      </c>
      <c r="J490" s="6"/>
      <c r="K490" s="6"/>
      <c r="L490" s="6"/>
      <c r="M490" s="6"/>
      <c r="N490" s="6"/>
      <c r="O490" s="6"/>
      <c r="P490" s="6"/>
      <c r="Q490" s="6"/>
      <c r="R490" s="6"/>
    </row>
    <row r="491" spans="6:18" x14ac:dyDescent="0.25">
      <c r="F491" s="5">
        <f t="shared" si="54"/>
        <v>3.8495363505195776E-8</v>
      </c>
      <c r="G491" s="4">
        <f t="shared" si="51"/>
        <v>621.63989469557032</v>
      </c>
      <c r="H491" s="3">
        <f t="shared" si="52"/>
        <v>16148435502.152531</v>
      </c>
      <c r="I491">
        <f t="shared" si="53"/>
        <v>10038511745056.309</v>
      </c>
      <c r="J491" s="6"/>
      <c r="K491" s="6"/>
      <c r="L491" s="6"/>
      <c r="M491" s="6"/>
      <c r="N491" s="6"/>
      <c r="O491" s="6"/>
      <c r="P491" s="6"/>
      <c r="Q491" s="6"/>
      <c r="R491" s="6"/>
    </row>
    <row r="492" spans="6:18" x14ac:dyDescent="0.25">
      <c r="F492" s="5">
        <f t="shared" si="54"/>
        <v>3.6970947110390013E-8</v>
      </c>
      <c r="G492" s="4">
        <f t="shared" si="51"/>
        <v>609.20709680165885</v>
      </c>
      <c r="H492" s="3">
        <f t="shared" si="52"/>
        <v>16477995410.359728</v>
      </c>
      <c r="I492">
        <f t="shared" si="53"/>
        <v>10038511745056.309</v>
      </c>
      <c r="J492" s="6"/>
      <c r="K492" s="6"/>
      <c r="L492" s="6"/>
      <c r="M492" s="6"/>
      <c r="N492" s="6"/>
      <c r="O492" s="6"/>
      <c r="P492" s="6"/>
      <c r="Q492" s="6"/>
      <c r="R492" s="6"/>
    </row>
    <row r="493" spans="6:18" x14ac:dyDescent="0.25">
      <c r="F493" s="5">
        <f t="shared" si="54"/>
        <v>3.5506897604818574E-8</v>
      </c>
      <c r="G493" s="4">
        <f t="shared" si="51"/>
        <v>597.02295486562571</v>
      </c>
      <c r="H493" s="3">
        <f t="shared" si="52"/>
        <v>16814281030.979313</v>
      </c>
      <c r="I493">
        <f t="shared" si="53"/>
        <v>10038511745056.309</v>
      </c>
      <c r="J493" s="6"/>
      <c r="K493" s="6"/>
      <c r="L493" s="6"/>
      <c r="M493" s="6"/>
      <c r="N493" s="6"/>
      <c r="O493" s="6"/>
      <c r="P493" s="6"/>
      <c r="Q493" s="6"/>
      <c r="R493" s="6"/>
    </row>
    <row r="494" spans="6:18" x14ac:dyDescent="0.25">
      <c r="F494" s="5">
        <f t="shared" si="54"/>
        <v>3.4100824459667753E-8</v>
      </c>
      <c r="G494" s="4">
        <f t="shared" si="51"/>
        <v>585.08249576831315</v>
      </c>
      <c r="H494" s="3">
        <f t="shared" si="52"/>
        <v>17157429623.448278</v>
      </c>
      <c r="I494">
        <f t="shared" si="53"/>
        <v>10038511745056.309</v>
      </c>
      <c r="J494" s="6"/>
      <c r="K494" s="6"/>
      <c r="L494" s="6"/>
      <c r="M494" s="6"/>
      <c r="N494" s="6"/>
      <c r="O494" s="6"/>
      <c r="P494" s="6"/>
      <c r="Q494" s="6"/>
      <c r="R494" s="6"/>
    </row>
    <row r="495" spans="6:18" x14ac:dyDescent="0.25">
      <c r="F495" s="5">
        <f t="shared" si="54"/>
        <v>3.2750431811064911E-8</v>
      </c>
      <c r="G495" s="4">
        <f t="shared" si="51"/>
        <v>573.38084585294689</v>
      </c>
      <c r="H495" s="3">
        <f t="shared" si="52"/>
        <v>17507581248.416611</v>
      </c>
      <c r="I495">
        <f t="shared" si="53"/>
        <v>10038511745056.309</v>
      </c>
      <c r="J495" s="6"/>
      <c r="K495" s="6"/>
      <c r="L495" s="6"/>
      <c r="M495" s="6"/>
      <c r="N495" s="6"/>
      <c r="O495" s="6"/>
      <c r="P495" s="6"/>
      <c r="Q495" s="6"/>
      <c r="R495" s="6"/>
    </row>
    <row r="496" spans="6:18" x14ac:dyDescent="0.25">
      <c r="F496" s="5">
        <f t="shared" si="54"/>
        <v>3.1453514711346728E-8</v>
      </c>
      <c r="G496" s="4">
        <f t="shared" si="51"/>
        <v>561.9132289358879</v>
      </c>
      <c r="H496" s="3">
        <f t="shared" si="52"/>
        <v>17864878824.914913</v>
      </c>
      <c r="I496">
        <f t="shared" si="53"/>
        <v>10038511745056.309</v>
      </c>
      <c r="J496" s="6"/>
      <c r="K496" s="6"/>
      <c r="L496" s="6"/>
      <c r="M496" s="6"/>
      <c r="N496" s="6"/>
      <c r="O496" s="6"/>
      <c r="P496" s="6"/>
      <c r="Q496" s="6"/>
      <c r="R496" s="6"/>
    </row>
    <row r="497" spans="6:18" x14ac:dyDescent="0.25">
      <c r="F497" s="5">
        <f t="shared" si="54"/>
        <v>3.0207955528777401E-8</v>
      </c>
      <c r="G497" s="4">
        <f t="shared" si="51"/>
        <v>550.6749643571701</v>
      </c>
      <c r="H497" s="3">
        <f t="shared" si="52"/>
        <v>18229468188.688686</v>
      </c>
      <c r="I497">
        <f t="shared" si="53"/>
        <v>10038511745056.309</v>
      </c>
      <c r="J497" s="6"/>
      <c r="K497" s="6"/>
      <c r="L497" s="6"/>
      <c r="M497" s="6"/>
      <c r="N497" s="6"/>
      <c r="O497" s="6"/>
      <c r="P497" s="6"/>
      <c r="Q497" s="6"/>
      <c r="R497" s="6"/>
    </row>
    <row r="498" spans="6:18" x14ac:dyDescent="0.25">
      <c r="F498" s="5">
        <f t="shared" si="54"/>
        <v>2.9011720489837812E-8</v>
      </c>
      <c r="G498" s="4">
        <f t="shared" ref="G498:G561" si="55">G497*(1-$O$1)</f>
        <v>539.66146507002668</v>
      </c>
      <c r="H498" s="3">
        <f t="shared" ref="H498:H561" si="56">I498/G498</f>
        <v>18601498151.723148</v>
      </c>
      <c r="I498">
        <f t="shared" ref="I498:I561" si="57">I497</f>
        <v>10038511745056.309</v>
      </c>
      <c r="J498" s="6"/>
      <c r="K498" s="6"/>
      <c r="L498" s="6"/>
      <c r="M498" s="6"/>
      <c r="N498" s="6"/>
      <c r="O498" s="6"/>
      <c r="P498" s="6"/>
      <c r="Q498" s="6"/>
      <c r="R498" s="6"/>
    </row>
    <row r="499" spans="6:18" x14ac:dyDescent="0.25">
      <c r="F499" s="5">
        <f t="shared" si="54"/>
        <v>2.7862856358440232E-8</v>
      </c>
      <c r="G499" s="4">
        <f t="shared" si="55"/>
        <v>528.86823576862616</v>
      </c>
      <c r="H499" s="3">
        <f t="shared" si="56"/>
        <v>18981120562.982807</v>
      </c>
      <c r="I499">
        <f t="shared" si="57"/>
        <v>10038511745056.309</v>
      </c>
      <c r="J499" s="6"/>
      <c r="K499" s="6"/>
      <c r="L499" s="6"/>
      <c r="M499" s="6"/>
      <c r="N499" s="6"/>
      <c r="O499" s="6"/>
      <c r="P499" s="6"/>
      <c r="Q499" s="6"/>
      <c r="R499" s="6"/>
    </row>
    <row r="500" spans="6:18" x14ac:dyDescent="0.25">
      <c r="F500" s="5">
        <f t="shared" si="54"/>
        <v>2.6759487246646007E-8</v>
      </c>
      <c r="G500" s="4">
        <f t="shared" si="55"/>
        <v>518.29087105325368</v>
      </c>
      <c r="H500" s="3">
        <f t="shared" si="56"/>
        <v>19368490370.390617</v>
      </c>
      <c r="I500">
        <f t="shared" si="57"/>
        <v>10038511745056.309</v>
      </c>
      <c r="J500" s="6"/>
      <c r="K500" s="6"/>
      <c r="L500" s="6"/>
      <c r="M500" s="6"/>
      <c r="N500" s="6"/>
      <c r="O500" s="6"/>
      <c r="P500" s="6"/>
      <c r="Q500" s="6"/>
      <c r="R500" s="6"/>
    </row>
    <row r="501" spans="6:18" x14ac:dyDescent="0.25">
      <c r="F501" s="5">
        <f t="shared" si="54"/>
        <v>2.5699811551678826E-8</v>
      </c>
      <c r="G501" s="4">
        <f t="shared" si="55"/>
        <v>507.92505363218862</v>
      </c>
      <c r="H501" s="3">
        <f t="shared" si="56"/>
        <v>19763765684.072056</v>
      </c>
      <c r="I501">
        <f t="shared" si="57"/>
        <v>10038511745056.309</v>
      </c>
      <c r="J501" s="6"/>
      <c r="K501" s="6"/>
      <c r="L501" s="6"/>
      <c r="M501" s="6"/>
      <c r="N501" s="6"/>
      <c r="O501" s="6"/>
      <c r="P501" s="6"/>
      <c r="Q501" s="6"/>
      <c r="R501" s="6"/>
    </row>
    <row r="502" spans="6:18" x14ac:dyDescent="0.25">
      <c r="F502" s="5">
        <f t="shared" si="54"/>
        <v>2.4682099014232345E-8</v>
      </c>
      <c r="G502" s="4">
        <f t="shared" si="55"/>
        <v>497.76655255954483</v>
      </c>
      <c r="H502" s="3">
        <f t="shared" si="56"/>
        <v>20167107840.889854</v>
      </c>
      <c r="I502">
        <f t="shared" si="57"/>
        <v>10038511745056.309</v>
      </c>
      <c r="J502" s="6"/>
      <c r="K502" s="6"/>
      <c r="L502" s="6"/>
      <c r="M502" s="6"/>
      <c r="N502" s="6"/>
      <c r="O502" s="6"/>
      <c r="P502" s="6"/>
      <c r="Q502" s="6"/>
      <c r="R502" s="6"/>
    </row>
    <row r="503" spans="6:18" x14ac:dyDescent="0.25">
      <c r="F503" s="5">
        <f t="shared" si="54"/>
        <v>2.3704687893268739E-8</v>
      </c>
      <c r="G503" s="4">
        <f t="shared" si="55"/>
        <v>487.81122150835392</v>
      </c>
      <c r="H503" s="3">
        <f t="shared" si="56"/>
        <v>20578681470.295773</v>
      </c>
      <c r="I503">
        <f t="shared" si="57"/>
        <v>10038511745056.309</v>
      </c>
      <c r="J503" s="6"/>
      <c r="K503" s="6"/>
      <c r="L503" s="6"/>
      <c r="M503" s="6"/>
      <c r="N503" s="6"/>
      <c r="O503" s="6"/>
      <c r="P503" s="6"/>
      <c r="Q503" s="6"/>
      <c r="R503" s="6"/>
    </row>
    <row r="504" spans="6:18" x14ac:dyDescent="0.25">
      <c r="F504" s="5">
        <f t="shared" si="54"/>
        <v>2.2765982252695297E-8</v>
      </c>
      <c r="G504" s="4">
        <f t="shared" si="55"/>
        <v>478.05499707818683</v>
      </c>
      <c r="H504" s="3">
        <f t="shared" si="56"/>
        <v>20998654561.526299</v>
      </c>
      <c r="I504">
        <f t="shared" si="57"/>
        <v>10038511745056.309</v>
      </c>
      <c r="J504" s="6"/>
      <c r="K504" s="6"/>
      <c r="L504" s="6"/>
      <c r="M504" s="6"/>
      <c r="N504" s="6"/>
      <c r="O504" s="6"/>
      <c r="P504" s="6"/>
      <c r="Q504" s="6"/>
      <c r="R504" s="6"/>
    </row>
    <row r="505" spans="6:18" x14ac:dyDescent="0.25">
      <c r="F505" s="5">
        <f t="shared" si="54"/>
        <v>2.1864449355488565E-8</v>
      </c>
      <c r="G505" s="4">
        <f t="shared" si="55"/>
        <v>468.4938971366231</v>
      </c>
      <c r="H505" s="3">
        <f t="shared" si="56"/>
        <v>21427198532.169689</v>
      </c>
      <c r="I505">
        <f t="shared" si="57"/>
        <v>10038511745056.309</v>
      </c>
      <c r="J505" s="6"/>
      <c r="K505" s="6"/>
      <c r="L505" s="6"/>
      <c r="M505" s="6"/>
      <c r="N505" s="6"/>
      <c r="O505" s="6"/>
      <c r="P505" s="6"/>
      <c r="Q505" s="6"/>
      <c r="R505" s="6"/>
    </row>
    <row r="506" spans="6:18" x14ac:dyDescent="0.25">
      <c r="F506" s="5">
        <f t="shared" si="54"/>
        <v>2.0998617161011221E-8</v>
      </c>
      <c r="G506" s="4">
        <f t="shared" si="55"/>
        <v>459.12401919389066</v>
      </c>
      <c r="H506" s="3">
        <f t="shared" si="56"/>
        <v>21864488298.132336</v>
      </c>
      <c r="I506">
        <f t="shared" si="57"/>
        <v>10038511745056.309</v>
      </c>
      <c r="J506" s="6"/>
      <c r="K506" s="6"/>
      <c r="L506" s="6"/>
      <c r="M506" s="6"/>
      <c r="N506" s="6"/>
      <c r="O506" s="6"/>
      <c r="P506" s="6"/>
      <c r="Q506" s="6"/>
      <c r="R506" s="6"/>
    </row>
    <row r="507" spans="6:18" x14ac:dyDescent="0.25">
      <c r="F507" s="5">
        <f t="shared" si="54"/>
        <v>2.0167071921435174E-8</v>
      </c>
      <c r="G507" s="4">
        <f t="shared" si="55"/>
        <v>449.94153881001284</v>
      </c>
      <c r="H507" s="3">
        <f t="shared" si="56"/>
        <v>22310702345.032997</v>
      </c>
      <c r="I507">
        <f t="shared" si="57"/>
        <v>10038511745056.309</v>
      </c>
      <c r="J507" s="6"/>
      <c r="K507" s="6"/>
      <c r="L507" s="6"/>
      <c r="M507" s="6"/>
      <c r="N507" s="6"/>
      <c r="O507" s="6"/>
      <c r="P507" s="6"/>
      <c r="Q507" s="6"/>
      <c r="R507" s="6"/>
    </row>
    <row r="508" spans="6:18" x14ac:dyDescent="0.25">
      <c r="F508" s="5">
        <f t="shared" si="54"/>
        <v>1.9368455873346338E-8</v>
      </c>
      <c r="G508" s="4">
        <f t="shared" si="55"/>
        <v>440.94270803381255</v>
      </c>
      <c r="H508" s="3">
        <f t="shared" si="56"/>
        <v>22766022801.054081</v>
      </c>
      <c r="I508">
        <f t="shared" si="57"/>
        <v>10038511745056.309</v>
      </c>
      <c r="J508" s="6"/>
      <c r="K508" s="6"/>
      <c r="L508" s="6"/>
      <c r="M508" s="6"/>
      <c r="N508" s="6"/>
      <c r="O508" s="6"/>
      <c r="P508" s="6"/>
      <c r="Q508" s="6"/>
      <c r="R508" s="6"/>
    </row>
    <row r="509" spans="6:18" x14ac:dyDescent="0.25">
      <c r="F509" s="5">
        <f t="shared" si="54"/>
        <v>1.8601465020761821E-8</v>
      </c>
      <c r="G509" s="4">
        <f t="shared" si="55"/>
        <v>432.12385387313628</v>
      </c>
      <c r="H509" s="3">
        <f t="shared" si="56"/>
        <v>23230635511.279675</v>
      </c>
      <c r="I509">
        <f t="shared" si="57"/>
        <v>10038511745056.309</v>
      </c>
      <c r="J509" s="6"/>
      <c r="K509" s="6"/>
      <c r="L509" s="6"/>
      <c r="M509" s="6"/>
      <c r="N509" s="6"/>
      <c r="O509" s="6"/>
      <c r="P509" s="6"/>
      <c r="Q509" s="6"/>
      <c r="R509" s="6"/>
    </row>
    <row r="510" spans="6:18" x14ac:dyDescent="0.25">
      <c r="F510" s="5">
        <f t="shared" si="54"/>
        <v>1.7864847005939652E-8</v>
      </c>
      <c r="G510" s="4">
        <f t="shared" si="55"/>
        <v>423.48137679567355</v>
      </c>
      <c r="H510" s="3">
        <f t="shared" si="56"/>
        <v>23704730113.55069</v>
      </c>
      <c r="I510">
        <f t="shared" si="57"/>
        <v>10038511745056.309</v>
      </c>
      <c r="J510" s="6"/>
      <c r="K510" s="6"/>
      <c r="L510" s="6"/>
      <c r="M510" s="6"/>
      <c r="N510" s="6"/>
      <c r="O510" s="6"/>
      <c r="P510" s="6"/>
      <c r="Q510" s="6"/>
      <c r="R510" s="6"/>
    </row>
    <row r="511" spans="6:18" x14ac:dyDescent="0.25">
      <c r="F511" s="5">
        <f t="shared" si="54"/>
        <v>1.7157399064504442E-8</v>
      </c>
      <c r="G511" s="4">
        <f t="shared" si="55"/>
        <v>415.01174925976005</v>
      </c>
      <c r="H511" s="3">
        <f t="shared" si="56"/>
        <v>24188500115.86805</v>
      </c>
      <c r="I511">
        <f t="shared" si="57"/>
        <v>10038511745056.309</v>
      </c>
      <c r="J511" s="6"/>
      <c r="K511" s="6"/>
      <c r="L511" s="6"/>
      <c r="M511" s="6"/>
      <c r="N511" s="6"/>
      <c r="O511" s="6"/>
      <c r="P511" s="6"/>
      <c r="Q511" s="6"/>
      <c r="R511" s="6"/>
    </row>
    <row r="512" spans="6:18" x14ac:dyDescent="0.25">
      <c r="F512" s="5">
        <f t="shared" si="54"/>
        <v>1.6477966061550062E-8</v>
      </c>
      <c r="G512" s="4">
        <f t="shared" si="55"/>
        <v>406.71151427456482</v>
      </c>
      <c r="H512" s="3">
        <f t="shared" si="56"/>
        <v>24682142975.375565</v>
      </c>
      <c r="I512">
        <f t="shared" si="57"/>
        <v>10038511745056.309</v>
      </c>
      <c r="J512" s="6"/>
      <c r="K512" s="6"/>
      <c r="L512" s="6"/>
      <c r="M512" s="6"/>
      <c r="N512" s="6"/>
      <c r="O512" s="6"/>
      <c r="P512" s="6"/>
      <c r="Q512" s="6"/>
      <c r="R512" s="6"/>
    </row>
    <row r="513" spans="6:18" x14ac:dyDescent="0.25">
      <c r="F513" s="5">
        <f t="shared" si="54"/>
        <v>1.5825438605512678E-8</v>
      </c>
      <c r="G513" s="4">
        <f t="shared" si="55"/>
        <v>398.57728398907352</v>
      </c>
      <c r="H513" s="3">
        <f t="shared" si="56"/>
        <v>25185860178.954659</v>
      </c>
      <c r="I513">
        <f t="shared" si="57"/>
        <v>10038511745056.309</v>
      </c>
      <c r="J513" s="6"/>
      <c r="K513" s="6"/>
      <c r="L513" s="6"/>
      <c r="M513" s="6"/>
      <c r="N513" s="6"/>
      <c r="O513" s="6"/>
      <c r="P513" s="6"/>
      <c r="Q513" s="6"/>
      <c r="R513" s="6"/>
    </row>
    <row r="514" spans="6:18" x14ac:dyDescent="0.25">
      <c r="F514" s="5">
        <f t="shared" si="54"/>
        <v>1.5198751236734379E-8</v>
      </c>
      <c r="G514" s="4">
        <f t="shared" si="55"/>
        <v>390.60573830929206</v>
      </c>
      <c r="H514" s="3">
        <f t="shared" si="56"/>
        <v>25699857325.463936</v>
      </c>
      <c r="I514">
        <f t="shared" si="57"/>
        <v>10038511745056.309</v>
      </c>
      <c r="J514" s="6"/>
      <c r="K514" s="6"/>
      <c r="L514" s="6"/>
      <c r="M514" s="6"/>
      <c r="N514" s="6"/>
      <c r="O514" s="6"/>
      <c r="P514" s="6"/>
      <c r="Q514" s="6"/>
      <c r="R514" s="6"/>
    </row>
    <row r="515" spans="6:18" x14ac:dyDescent="0.25">
      <c r="F515" s="5">
        <f t="shared" si="54"/>
        <v>1.4596880687759696E-8</v>
      </c>
      <c r="G515" s="4">
        <f t="shared" si="55"/>
        <v>382.79362354310621</v>
      </c>
      <c r="H515" s="3">
        <f t="shared" si="56"/>
        <v>26224344209.657078</v>
      </c>
      <c r="I515">
        <f t="shared" si="57"/>
        <v>10038511745056.309</v>
      </c>
      <c r="J515" s="6"/>
      <c r="K515" s="6"/>
      <c r="L515" s="6"/>
      <c r="M515" s="6"/>
      <c r="N515" s="6"/>
      <c r="O515" s="6"/>
      <c r="P515" s="6"/>
      <c r="Q515" s="6"/>
      <c r="R515" s="6"/>
    </row>
    <row r="516" spans="6:18" x14ac:dyDescent="0.25">
      <c r="F516" s="5">
        <f t="shared" si="54"/>
        <v>1.4018844212524414E-8</v>
      </c>
      <c r="G516" s="4">
        <f t="shared" si="55"/>
        <v>375.1377510722441</v>
      </c>
      <c r="H516" s="3">
        <f t="shared" si="56"/>
        <v>26759534907.813343</v>
      </c>
      <c r="I516">
        <f t="shared" si="57"/>
        <v>10038511745056.309</v>
      </c>
      <c r="J516" s="6"/>
      <c r="K516" s="6"/>
      <c r="L516" s="6"/>
      <c r="M516" s="6"/>
      <c r="N516" s="6"/>
      <c r="O516" s="6"/>
      <c r="P516" s="6"/>
      <c r="Q516" s="6"/>
      <c r="R516" s="6"/>
    </row>
    <row r="517" spans="6:18" x14ac:dyDescent="0.25">
      <c r="F517" s="5">
        <f t="shared" si="54"/>
        <v>1.3463697981708445E-8</v>
      </c>
      <c r="G517" s="4">
        <f t="shared" si="55"/>
        <v>367.6349960507992</v>
      </c>
      <c r="H517" s="3">
        <f t="shared" si="56"/>
        <v>27305647865.115658</v>
      </c>
      <c r="I517">
        <f t="shared" si="57"/>
        <v>10038511745056.309</v>
      </c>
      <c r="J517" s="6"/>
      <c r="K517" s="6"/>
      <c r="L517" s="6"/>
      <c r="M517" s="6"/>
      <c r="N517" s="6"/>
      <c r="O517" s="6"/>
      <c r="P517" s="6"/>
      <c r="Q517" s="6"/>
      <c r="R517" s="6"/>
    </row>
    <row r="518" spans="6:18" x14ac:dyDescent="0.25">
      <c r="F518" s="5">
        <f t="shared" si="54"/>
        <v>1.293053554163279E-8</v>
      </c>
      <c r="G518" s="4">
        <f t="shared" si="55"/>
        <v>360.28229612978322</v>
      </c>
      <c r="H518" s="3">
        <f t="shared" si="56"/>
        <v>27862905984.811897</v>
      </c>
      <c r="I518">
        <f t="shared" si="57"/>
        <v>10038511745056.309</v>
      </c>
      <c r="J518" s="6"/>
      <c r="K518" s="6"/>
      <c r="L518" s="6"/>
      <c r="M518" s="6"/>
      <c r="N518" s="6"/>
      <c r="O518" s="6"/>
      <c r="P518" s="6"/>
      <c r="Q518" s="6"/>
      <c r="R518" s="6"/>
    </row>
    <row r="519" spans="6:18" x14ac:dyDescent="0.25">
      <c r="F519" s="5">
        <f t="shared" si="54"/>
        <v>1.2418486334184129E-8</v>
      </c>
      <c r="G519" s="4">
        <f t="shared" si="55"/>
        <v>353.07665020718753</v>
      </c>
      <c r="H519" s="3">
        <f t="shared" si="56"/>
        <v>28431536719.195816</v>
      </c>
      <c r="I519">
        <f t="shared" si="57"/>
        <v>10038511745056.309</v>
      </c>
      <c r="J519" s="6"/>
      <c r="K519" s="6"/>
      <c r="L519" s="6"/>
      <c r="M519" s="6"/>
      <c r="N519" s="6"/>
      <c r="O519" s="6"/>
      <c r="P519" s="6"/>
      <c r="Q519" s="6"/>
      <c r="R519" s="6"/>
    </row>
    <row r="520" spans="6:18" x14ac:dyDescent="0.25">
      <c r="F520" s="5">
        <f t="shared" si="54"/>
        <v>1.1926714275350438E-8</v>
      </c>
      <c r="G520" s="4">
        <f t="shared" si="55"/>
        <v>346.01511720304376</v>
      </c>
      <c r="H520" s="3">
        <f t="shared" si="56"/>
        <v>29011772162.44471</v>
      </c>
      <c r="I520">
        <f t="shared" si="57"/>
        <v>10038511745056.309</v>
      </c>
      <c r="J520" s="6"/>
      <c r="K520" s="6"/>
      <c r="L520" s="6"/>
      <c r="M520" s="6"/>
      <c r="N520" s="6"/>
      <c r="O520" s="6"/>
      <c r="P520" s="6"/>
      <c r="Q520" s="6"/>
      <c r="R520" s="6"/>
    </row>
    <row r="521" spans="6:18" x14ac:dyDescent="0.25">
      <c r="F521" s="5">
        <f t="shared" ref="F521:F584" si="58">G521/H521</f>
        <v>1.145441639004656E-8</v>
      </c>
      <c r="G521" s="4">
        <f t="shared" si="55"/>
        <v>339.09481485898289</v>
      </c>
      <c r="H521" s="3">
        <f t="shared" si="56"/>
        <v>29603849145.351746</v>
      </c>
      <c r="I521">
        <f t="shared" si="57"/>
        <v>10038511745056.309</v>
      </c>
      <c r="J521" s="6"/>
      <c r="K521" s="6"/>
      <c r="L521" s="6"/>
      <c r="M521" s="6"/>
      <c r="N521" s="6"/>
      <c r="O521" s="6"/>
      <c r="P521" s="6"/>
      <c r="Q521" s="6"/>
      <c r="R521" s="6"/>
    </row>
    <row r="522" spans="6:18" x14ac:dyDescent="0.25">
      <c r="F522" s="5">
        <f t="shared" si="58"/>
        <v>1.1000821501000716E-8</v>
      </c>
      <c r="G522" s="4">
        <f t="shared" si="55"/>
        <v>332.3129185618032</v>
      </c>
      <c r="H522" s="3">
        <f t="shared" si="56"/>
        <v>30208009331.991577</v>
      </c>
      <c r="I522">
        <f t="shared" si="57"/>
        <v>10038511745056.309</v>
      </c>
      <c r="J522" s="6"/>
      <c r="K522" s="6"/>
      <c r="L522" s="6"/>
      <c r="M522" s="6"/>
      <c r="N522" s="6"/>
      <c r="O522" s="6"/>
      <c r="P522" s="6"/>
      <c r="Q522" s="6"/>
      <c r="R522" s="6"/>
    </row>
    <row r="523" spans="6:18" x14ac:dyDescent="0.25">
      <c r="F523" s="5">
        <f t="shared" si="58"/>
        <v>1.0565188969561087E-8</v>
      </c>
      <c r="G523" s="4">
        <f t="shared" si="55"/>
        <v>325.66666019056714</v>
      </c>
      <c r="H523" s="3">
        <f t="shared" si="56"/>
        <v>30824499318.358753</v>
      </c>
      <c r="I523">
        <f t="shared" si="57"/>
        <v>10038511745056.309</v>
      </c>
      <c r="J523" s="6"/>
      <c r="K523" s="6"/>
      <c r="L523" s="6"/>
      <c r="M523" s="6"/>
      <c r="N523" s="6"/>
      <c r="O523" s="6"/>
      <c r="P523" s="6"/>
      <c r="Q523" s="6"/>
      <c r="R523" s="6"/>
    </row>
    <row r="524" spans="6:18" x14ac:dyDescent="0.25">
      <c r="F524" s="5">
        <f t="shared" si="58"/>
        <v>1.0146807486366468E-8</v>
      </c>
      <c r="G524" s="4">
        <f t="shared" si="55"/>
        <v>319.15332698675581</v>
      </c>
      <c r="H524" s="3">
        <f t="shared" si="56"/>
        <v>31453570733.019135</v>
      </c>
      <c r="I524">
        <f t="shared" si="57"/>
        <v>10038511745056.309</v>
      </c>
      <c r="J524" s="6"/>
      <c r="K524" s="6"/>
      <c r="L524" s="6"/>
      <c r="M524" s="6"/>
      <c r="N524" s="6"/>
      <c r="O524" s="6"/>
      <c r="P524" s="6"/>
      <c r="Q524" s="6"/>
      <c r="R524" s="6"/>
    </row>
    <row r="525" spans="6:18" x14ac:dyDescent="0.25">
      <c r="F525" s="5">
        <f t="shared" si="58"/>
        <v>9.7449939099063567E-9</v>
      </c>
      <c r="G525" s="4">
        <f t="shared" si="55"/>
        <v>312.77026044702069</v>
      </c>
      <c r="H525" s="3">
        <f t="shared" si="56"/>
        <v>32095480339.815445</v>
      </c>
      <c r="I525">
        <f t="shared" si="57"/>
        <v>10038511745056.309</v>
      </c>
      <c r="J525" s="6"/>
      <c r="K525" s="6"/>
      <c r="L525" s="6"/>
      <c r="M525" s="6"/>
      <c r="N525" s="6"/>
      <c r="O525" s="6"/>
      <c r="P525" s="6"/>
      <c r="Q525" s="6"/>
      <c r="R525" s="6"/>
    </row>
    <row r="526" spans="6:18" x14ac:dyDescent="0.25">
      <c r="F526" s="5">
        <f t="shared" si="58"/>
        <v>9.3590921510740626E-9</v>
      </c>
      <c r="G526" s="4">
        <f t="shared" si="55"/>
        <v>306.51485523808026</v>
      </c>
      <c r="H526" s="3">
        <f t="shared" si="56"/>
        <v>32750490142.668823</v>
      </c>
      <c r="I526">
        <f t="shared" si="57"/>
        <v>10038511745056.309</v>
      </c>
      <c r="J526" s="6"/>
      <c r="K526" s="6"/>
      <c r="L526" s="6"/>
      <c r="M526" s="6"/>
      <c r="N526" s="6"/>
      <c r="O526" s="6"/>
      <c r="P526" s="6"/>
      <c r="Q526" s="6"/>
      <c r="R526" s="6"/>
    </row>
    <row r="527" spans="6:18" x14ac:dyDescent="0.25">
      <c r="F527" s="5">
        <f t="shared" si="58"/>
        <v>8.9884721018915295E-9</v>
      </c>
      <c r="G527" s="4">
        <f t="shared" si="55"/>
        <v>300.38455813331865</v>
      </c>
      <c r="H527" s="3">
        <f t="shared" si="56"/>
        <v>33418867492.519207</v>
      </c>
      <c r="I527">
        <f t="shared" si="57"/>
        <v>10038511745056.309</v>
      </c>
      <c r="J527" s="6"/>
      <c r="K527" s="6"/>
      <c r="L527" s="6"/>
      <c r="M527" s="6"/>
      <c r="N527" s="6"/>
      <c r="O527" s="6"/>
      <c r="P527" s="6"/>
      <c r="Q527" s="6"/>
      <c r="R527" s="6"/>
    </row>
    <row r="528" spans="6:18" x14ac:dyDescent="0.25">
      <c r="F528" s="5">
        <f t="shared" si="58"/>
        <v>8.632528606656624E-9</v>
      </c>
      <c r="G528" s="4">
        <f t="shared" si="55"/>
        <v>294.37686697065226</v>
      </c>
      <c r="H528" s="3">
        <f t="shared" si="56"/>
        <v>34100885196.448174</v>
      </c>
      <c r="I528">
        <f t="shared" si="57"/>
        <v>10038511745056.309</v>
      </c>
      <c r="J528" s="6"/>
      <c r="K528" s="6"/>
      <c r="L528" s="6"/>
      <c r="M528" s="6"/>
      <c r="N528" s="6"/>
      <c r="O528" s="6"/>
      <c r="P528" s="6"/>
      <c r="Q528" s="6"/>
      <c r="R528" s="6"/>
    </row>
    <row r="529" spans="6:18" x14ac:dyDescent="0.25">
      <c r="F529" s="5">
        <f t="shared" si="58"/>
        <v>8.2906804738330234E-9</v>
      </c>
      <c r="G529" s="4">
        <f t="shared" si="55"/>
        <v>288.48932963123923</v>
      </c>
      <c r="H529" s="3">
        <f t="shared" si="56"/>
        <v>34796821629.028748</v>
      </c>
      <c r="I529">
        <f t="shared" si="57"/>
        <v>10038511745056.309</v>
      </c>
      <c r="J529" s="6"/>
      <c r="K529" s="6"/>
      <c r="L529" s="6"/>
      <c r="M529" s="6"/>
      <c r="N529" s="6"/>
      <c r="O529" s="6"/>
      <c r="P529" s="6"/>
      <c r="Q529" s="6"/>
      <c r="R529" s="6"/>
    </row>
    <row r="530" spans="6:18" x14ac:dyDescent="0.25">
      <c r="F530" s="5">
        <f t="shared" si="58"/>
        <v>7.9623695270692365E-9</v>
      </c>
      <c r="G530" s="4">
        <f t="shared" si="55"/>
        <v>282.71954303861446</v>
      </c>
      <c r="H530" s="3">
        <f t="shared" si="56"/>
        <v>35506960845.947701</v>
      </c>
      <c r="I530">
        <f t="shared" si="57"/>
        <v>10038511745056.309</v>
      </c>
      <c r="J530" s="6"/>
      <c r="K530" s="6"/>
      <c r="L530" s="6"/>
      <c r="M530" s="6"/>
      <c r="N530" s="6"/>
      <c r="O530" s="6"/>
      <c r="P530" s="6"/>
      <c r="Q530" s="6"/>
      <c r="R530" s="6"/>
    </row>
    <row r="531" spans="6:18" x14ac:dyDescent="0.25">
      <c r="F531" s="5">
        <f t="shared" si="58"/>
        <v>7.6470596937972933E-9</v>
      </c>
      <c r="G531" s="4">
        <f t="shared" si="55"/>
        <v>277.06515217784215</v>
      </c>
      <c r="H531" s="3">
        <f t="shared" si="56"/>
        <v>36231592699.946632</v>
      </c>
      <c r="I531">
        <f t="shared" si="57"/>
        <v>10038511745056.309</v>
      </c>
      <c r="J531" s="6"/>
      <c r="K531" s="6"/>
      <c r="L531" s="6"/>
      <c r="M531" s="6"/>
      <c r="N531" s="6"/>
      <c r="O531" s="6"/>
      <c r="P531" s="6"/>
      <c r="Q531" s="6"/>
      <c r="R531" s="6"/>
    </row>
    <row r="532" spans="6:18" x14ac:dyDescent="0.25">
      <c r="F532" s="5">
        <f t="shared" si="58"/>
        <v>7.3442361299229198E-9</v>
      </c>
      <c r="G532" s="4">
        <f t="shared" si="55"/>
        <v>271.52384913428529</v>
      </c>
      <c r="H532" s="3">
        <f t="shared" si="56"/>
        <v>36971012959.129219</v>
      </c>
      <c r="I532">
        <f t="shared" si="57"/>
        <v>10038511745056.309</v>
      </c>
      <c r="J532" s="6"/>
      <c r="K532" s="6"/>
      <c r="L532" s="6"/>
      <c r="M532" s="6"/>
      <c r="N532" s="6"/>
      <c r="O532" s="6"/>
      <c r="P532" s="6"/>
      <c r="Q532" s="6"/>
      <c r="R532" s="6"/>
    </row>
    <row r="533" spans="6:18" x14ac:dyDescent="0.25">
      <c r="F533" s="5">
        <f t="shared" si="58"/>
        <v>7.0534043791779716E-9</v>
      </c>
      <c r="G533" s="4">
        <f t="shared" si="55"/>
        <v>266.09337215159957</v>
      </c>
      <c r="H533" s="3">
        <f t="shared" si="56"/>
        <v>37725523427.682877</v>
      </c>
      <c r="I533">
        <f t="shared" si="57"/>
        <v>10038511745056.309</v>
      </c>
      <c r="J533" s="6"/>
      <c r="K533" s="6"/>
      <c r="L533" s="6"/>
      <c r="M533" s="6"/>
      <c r="N533" s="6"/>
      <c r="O533" s="6"/>
      <c r="P533" s="6"/>
      <c r="Q533" s="6"/>
      <c r="R533" s="6"/>
    </row>
    <row r="534" spans="6:18" x14ac:dyDescent="0.25">
      <c r="F534" s="5">
        <f t="shared" si="58"/>
        <v>6.7740895657625242E-9</v>
      </c>
      <c r="G534" s="4">
        <f t="shared" si="55"/>
        <v>260.77150470856759</v>
      </c>
      <c r="H534" s="3">
        <f t="shared" si="56"/>
        <v>38495432069.064163</v>
      </c>
      <c r="I534">
        <f t="shared" si="57"/>
        <v>10038511745056.309</v>
      </c>
      <c r="J534" s="6"/>
      <c r="K534" s="6"/>
      <c r="L534" s="6"/>
      <c r="M534" s="6"/>
      <c r="N534" s="6"/>
      <c r="O534" s="6"/>
      <c r="P534" s="6"/>
      <c r="Q534" s="6"/>
      <c r="R534" s="6"/>
    </row>
    <row r="535" spans="6:18" x14ac:dyDescent="0.25">
      <c r="F535" s="5">
        <f t="shared" si="58"/>
        <v>6.5058356189583288E-9</v>
      </c>
      <c r="G535" s="4">
        <f t="shared" si="55"/>
        <v>255.55607461439624</v>
      </c>
      <c r="H535" s="3">
        <f t="shared" si="56"/>
        <v>39281053131.69812</v>
      </c>
      <c r="I535">
        <f t="shared" si="57"/>
        <v>10038511745056.309</v>
      </c>
      <c r="J535" s="6"/>
      <c r="K535" s="6"/>
      <c r="L535" s="6"/>
      <c r="M535" s="6"/>
      <c r="N535" s="6"/>
      <c r="O535" s="6"/>
      <c r="P535" s="6"/>
      <c r="Q535" s="6"/>
      <c r="R535" s="6"/>
    </row>
    <row r="536" spans="6:18" x14ac:dyDescent="0.25">
      <c r="F536" s="5">
        <f t="shared" si="58"/>
        <v>6.2482045284475781E-9</v>
      </c>
      <c r="G536" s="4">
        <f t="shared" si="55"/>
        <v>250.4449531221083</v>
      </c>
      <c r="H536" s="3">
        <f t="shared" si="56"/>
        <v>40082707277.242981</v>
      </c>
      <c r="I536">
        <f t="shared" si="57"/>
        <v>10038511745056.309</v>
      </c>
      <c r="J536" s="6"/>
      <c r="K536" s="6"/>
      <c r="L536" s="6"/>
      <c r="M536" s="6"/>
      <c r="N536" s="6"/>
      <c r="O536" s="6"/>
      <c r="P536" s="6"/>
      <c r="Q536" s="6"/>
      <c r="R536" s="6"/>
    </row>
    <row r="537" spans="6:18" x14ac:dyDescent="0.25">
      <c r="F537" s="5">
        <f t="shared" si="58"/>
        <v>6.0007756291210538E-9</v>
      </c>
      <c r="G537" s="4">
        <f t="shared" si="55"/>
        <v>245.43605405966613</v>
      </c>
      <c r="H537" s="3">
        <f t="shared" si="56"/>
        <v>40900721711.472435</v>
      </c>
      <c r="I537">
        <f t="shared" si="57"/>
        <v>10038511745056.309</v>
      </c>
      <c r="J537" s="6"/>
      <c r="K537" s="6"/>
      <c r="L537" s="6"/>
      <c r="M537" s="6"/>
      <c r="N537" s="6"/>
      <c r="O537" s="6"/>
      <c r="P537" s="6"/>
      <c r="Q537" s="6"/>
      <c r="R537" s="6"/>
    </row>
    <row r="538" spans="6:18" x14ac:dyDescent="0.25">
      <c r="F538" s="5">
        <f t="shared" si="58"/>
        <v>5.7631449142078593E-9</v>
      </c>
      <c r="G538" s="4">
        <f t="shared" si="55"/>
        <v>240.5273329784728</v>
      </c>
      <c r="H538" s="3">
        <f t="shared" si="56"/>
        <v>41735430317.829018</v>
      </c>
      <c r="I538">
        <f t="shared" si="57"/>
        <v>10038511745056.309</v>
      </c>
      <c r="J538" s="6"/>
      <c r="K538" s="6"/>
      <c r="L538" s="6"/>
      <c r="M538" s="6"/>
      <c r="N538" s="6"/>
      <c r="O538" s="6"/>
      <c r="P538" s="6"/>
      <c r="Q538" s="6"/>
      <c r="R538" s="6"/>
    </row>
    <row r="539" spans="6:18" x14ac:dyDescent="0.25">
      <c r="F539" s="5">
        <f t="shared" si="58"/>
        <v>5.5349243756052273E-9</v>
      </c>
      <c r="G539" s="4">
        <f t="shared" si="55"/>
        <v>235.71678631890333</v>
      </c>
      <c r="H539" s="3">
        <f t="shared" si="56"/>
        <v>42587173793.703079</v>
      </c>
      <c r="I539">
        <f t="shared" si="57"/>
        <v>10038511745056.309</v>
      </c>
      <c r="J539" s="6"/>
      <c r="K539" s="6"/>
      <c r="L539" s="6"/>
      <c r="M539" s="6"/>
      <c r="N539" s="6"/>
      <c r="O539" s="6"/>
      <c r="P539" s="6"/>
      <c r="Q539" s="6"/>
      <c r="R539" s="6"/>
    </row>
    <row r="540" spans="6:18" x14ac:dyDescent="0.25">
      <c r="F540" s="5">
        <f t="shared" si="58"/>
        <v>5.3157413703312612E-9</v>
      </c>
      <c r="G540" s="4">
        <f t="shared" si="55"/>
        <v>231.00245059252526</v>
      </c>
      <c r="H540" s="3">
        <f t="shared" si="56"/>
        <v>43456299789.492935</v>
      </c>
      <c r="I540">
        <f t="shared" si="57"/>
        <v>10038511745056.309</v>
      </c>
      <c r="J540" s="6"/>
      <c r="K540" s="6"/>
      <c r="L540" s="6"/>
      <c r="M540" s="6"/>
      <c r="N540" s="6"/>
      <c r="O540" s="6"/>
      <c r="P540" s="6"/>
      <c r="Q540" s="6"/>
      <c r="R540" s="6"/>
    </row>
    <row r="541" spans="6:18" x14ac:dyDescent="0.25">
      <c r="F541" s="5">
        <f t="shared" si="58"/>
        <v>5.1052380120661421E-9</v>
      </c>
      <c r="G541" s="4">
        <f t="shared" si="55"/>
        <v>226.38240158067475</v>
      </c>
      <c r="H541" s="3">
        <f t="shared" si="56"/>
        <v>44343163050.502998</v>
      </c>
      <c r="I541">
        <f t="shared" si="57"/>
        <v>10038511745056.309</v>
      </c>
      <c r="J541" s="6"/>
      <c r="K541" s="6"/>
      <c r="L541" s="6"/>
      <c r="M541" s="6"/>
      <c r="N541" s="6"/>
      <c r="O541" s="6"/>
      <c r="P541" s="6"/>
      <c r="Q541" s="6"/>
      <c r="R541" s="6"/>
    </row>
    <row r="542" spans="6:18" x14ac:dyDescent="0.25">
      <c r="F542" s="5">
        <f t="shared" si="58"/>
        <v>4.9030705867883228E-9</v>
      </c>
      <c r="G542" s="4">
        <f t="shared" si="55"/>
        <v>221.85475354906126</v>
      </c>
      <c r="H542" s="3">
        <f t="shared" si="56"/>
        <v>45248125561.737755</v>
      </c>
      <c r="I542">
        <f t="shared" si="57"/>
        <v>10038511745056.309</v>
      </c>
      <c r="J542" s="6"/>
      <c r="K542" s="6"/>
      <c r="L542" s="6"/>
      <c r="M542" s="6"/>
      <c r="N542" s="6"/>
      <c r="O542" s="6"/>
      <c r="P542" s="6"/>
      <c r="Q542" s="6"/>
      <c r="R542" s="6"/>
    </row>
    <row r="543" spans="6:18" x14ac:dyDescent="0.25">
      <c r="F543" s="5">
        <f t="shared" si="58"/>
        <v>4.7089089915515049E-9</v>
      </c>
      <c r="G543" s="4">
        <f t="shared" si="55"/>
        <v>217.41765847808003</v>
      </c>
      <c r="H543" s="3">
        <f t="shared" si="56"/>
        <v>46171556695.650772</v>
      </c>
      <c r="I543">
        <f t="shared" si="57"/>
        <v>10038511745056.309</v>
      </c>
      <c r="J543" s="6"/>
      <c r="K543" s="6"/>
      <c r="L543" s="6"/>
      <c r="M543" s="6"/>
      <c r="N543" s="6"/>
      <c r="O543" s="6"/>
      <c r="P543" s="6"/>
      <c r="Q543" s="6"/>
      <c r="R543" s="6"/>
    </row>
    <row r="544" spans="6:18" x14ac:dyDescent="0.25">
      <c r="F544" s="5">
        <f t="shared" si="58"/>
        <v>4.5224361954860663E-9</v>
      </c>
      <c r="G544" s="4">
        <f t="shared" si="55"/>
        <v>213.06930530851844</v>
      </c>
      <c r="H544" s="3">
        <f t="shared" si="56"/>
        <v>47113833362.908951</v>
      </c>
      <c r="I544">
        <f t="shared" si="57"/>
        <v>10038511745056.309</v>
      </c>
      <c r="J544" s="6"/>
      <c r="K544" s="6"/>
      <c r="L544" s="6"/>
      <c r="M544" s="6"/>
      <c r="N544" s="6"/>
      <c r="O544" s="6"/>
      <c r="P544" s="6"/>
      <c r="Q544" s="6"/>
      <c r="R544" s="6"/>
    </row>
    <row r="545" spans="6:18" x14ac:dyDescent="0.25">
      <c r="F545" s="5">
        <f t="shared" si="58"/>
        <v>4.3433477221448182E-9</v>
      </c>
      <c r="G545" s="4">
        <f t="shared" si="55"/>
        <v>208.80791920234807</v>
      </c>
      <c r="H545" s="3">
        <f t="shared" si="56"/>
        <v>48075340166.23362</v>
      </c>
      <c r="I545">
        <f t="shared" si="57"/>
        <v>10038511745056.309</v>
      </c>
      <c r="J545" s="6"/>
      <c r="K545" s="6"/>
      <c r="L545" s="6"/>
      <c r="M545" s="6"/>
      <c r="N545" s="6"/>
      <c r="O545" s="6"/>
      <c r="P545" s="6"/>
      <c r="Q545" s="6"/>
      <c r="R545" s="6"/>
    </row>
    <row r="546" spans="6:18" x14ac:dyDescent="0.25">
      <c r="F546" s="5">
        <f t="shared" si="58"/>
        <v>4.1713511523478827E-9</v>
      </c>
      <c r="G546" s="4">
        <f t="shared" si="55"/>
        <v>204.6317608183011</v>
      </c>
      <c r="H546" s="3">
        <f t="shared" si="56"/>
        <v>49056469557.381248</v>
      </c>
      <c r="I546">
        <f t="shared" si="57"/>
        <v>10038511745056.309</v>
      </c>
      <c r="J546" s="6"/>
      <c r="K546" s="6"/>
      <c r="L546" s="6"/>
      <c r="M546" s="6"/>
      <c r="N546" s="6"/>
      <c r="O546" s="6"/>
      <c r="P546" s="6"/>
      <c r="Q546" s="6"/>
      <c r="R546" s="6"/>
    </row>
    <row r="547" spans="6:18" x14ac:dyDescent="0.25">
      <c r="F547" s="5">
        <f t="shared" si="58"/>
        <v>4.0061656467149063E-9</v>
      </c>
      <c r="G547" s="4">
        <f t="shared" si="55"/>
        <v>200.53912560193507</v>
      </c>
      <c r="H547" s="3">
        <f t="shared" si="56"/>
        <v>50057621997.327805</v>
      </c>
      <c r="I547">
        <f t="shared" si="57"/>
        <v>10038511745056.309</v>
      </c>
      <c r="J547" s="6"/>
      <c r="K547" s="6"/>
      <c r="L547" s="6"/>
      <c r="M547" s="6"/>
      <c r="N547" s="6"/>
      <c r="O547" s="6"/>
      <c r="P547" s="6"/>
      <c r="Q547" s="6"/>
      <c r="R547" s="6"/>
    </row>
    <row r="548" spans="6:18" x14ac:dyDescent="0.25">
      <c r="F548" s="5">
        <f t="shared" si="58"/>
        <v>3.8475214871049958E-9</v>
      </c>
      <c r="G548" s="4">
        <f t="shared" si="55"/>
        <v>196.52834308989637</v>
      </c>
      <c r="H548" s="3">
        <f t="shared" si="56"/>
        <v>51079206119.722252</v>
      </c>
      <c r="I548">
        <f t="shared" si="57"/>
        <v>10038511745056.309</v>
      </c>
      <c r="J548" s="6"/>
      <c r="K548" s="6"/>
      <c r="L548" s="6"/>
      <c r="M548" s="6"/>
      <c r="N548" s="6"/>
      <c r="O548" s="6"/>
      <c r="P548" s="6"/>
      <c r="Q548" s="6"/>
      <c r="R548" s="6"/>
    </row>
    <row r="549" spans="6:18" x14ac:dyDescent="0.25">
      <c r="F549" s="5">
        <f t="shared" si="58"/>
        <v>3.6951596362156383E-9</v>
      </c>
      <c r="G549" s="4">
        <f t="shared" si="55"/>
        <v>192.59777622809844</v>
      </c>
      <c r="H549" s="3">
        <f t="shared" si="56"/>
        <v>52121638897.675766</v>
      </c>
      <c r="I549">
        <f t="shared" si="57"/>
        <v>10038511745056.309</v>
      </c>
      <c r="J549" s="6"/>
      <c r="K549" s="6"/>
      <c r="L549" s="6"/>
      <c r="M549" s="6"/>
      <c r="N549" s="6"/>
      <c r="O549" s="6"/>
      <c r="P549" s="6"/>
      <c r="Q549" s="6"/>
      <c r="R549" s="6"/>
    </row>
    <row r="550" spans="6:18" x14ac:dyDescent="0.25">
      <c r="F550" s="5">
        <f t="shared" si="58"/>
        <v>3.5488313146214993E-9</v>
      </c>
      <c r="G550" s="4">
        <f t="shared" si="55"/>
        <v>188.74582070353648</v>
      </c>
      <c r="H550" s="3">
        <f t="shared" si="56"/>
        <v>53185345813.954857</v>
      </c>
      <c r="I550">
        <f t="shared" si="57"/>
        <v>10038511745056.309</v>
      </c>
      <c r="J550" s="6"/>
      <c r="K550" s="6"/>
      <c r="L550" s="6"/>
      <c r="M550" s="6"/>
      <c r="N550" s="6"/>
      <c r="O550" s="6"/>
      <c r="P550" s="6"/>
      <c r="Q550" s="6"/>
      <c r="R550" s="6"/>
    </row>
    <row r="551" spans="6:18" x14ac:dyDescent="0.25">
      <c r="F551" s="5">
        <f t="shared" si="58"/>
        <v>3.4082975945624877E-9</v>
      </c>
      <c r="G551" s="4">
        <f t="shared" si="55"/>
        <v>184.97090428946575</v>
      </c>
      <c r="H551" s="3">
        <f t="shared" si="56"/>
        <v>54270761034.64782</v>
      </c>
      <c r="I551">
        <f t="shared" si="57"/>
        <v>10038511745056.309</v>
      </c>
      <c r="J551" s="6"/>
      <c r="K551" s="6"/>
      <c r="L551" s="6"/>
      <c r="M551" s="6"/>
      <c r="N551" s="6"/>
      <c r="O551" s="6"/>
      <c r="P551" s="6"/>
      <c r="Q551" s="6"/>
      <c r="R551" s="6"/>
    </row>
    <row r="552" spans="6:18" x14ac:dyDescent="0.25">
      <c r="F552" s="5">
        <f t="shared" si="58"/>
        <v>3.2733290098178129E-9</v>
      </c>
      <c r="G552" s="4">
        <f t="shared" si="55"/>
        <v>181.27148620367643</v>
      </c>
      <c r="H552" s="3">
        <f t="shared" si="56"/>
        <v>55378327586.375328</v>
      </c>
      <c r="I552">
        <f t="shared" si="57"/>
        <v>10038511745056.309</v>
      </c>
      <c r="J552" s="6"/>
      <c r="K552" s="6"/>
      <c r="L552" s="6"/>
      <c r="M552" s="6"/>
      <c r="N552" s="6"/>
      <c r="O552" s="6"/>
      <c r="P552" s="6"/>
      <c r="Q552" s="6"/>
      <c r="R552" s="6"/>
    </row>
    <row r="553" spans="6:18" x14ac:dyDescent="0.25">
      <c r="F553" s="5">
        <f t="shared" si="58"/>
        <v>3.1437051810290273E-9</v>
      </c>
      <c r="G553" s="4">
        <f t="shared" si="55"/>
        <v>177.64605647960289</v>
      </c>
      <c r="H553" s="3">
        <f t="shared" si="56"/>
        <v>56508497537.117683</v>
      </c>
      <c r="I553">
        <f t="shared" si="57"/>
        <v>10038511745056.309</v>
      </c>
      <c r="J553" s="6"/>
      <c r="K553" s="6"/>
      <c r="L553" s="6"/>
      <c r="M553" s="6"/>
      <c r="N553" s="6"/>
      <c r="O553" s="6"/>
      <c r="P553" s="6"/>
      <c r="Q553" s="6"/>
      <c r="R553" s="6"/>
    </row>
    <row r="554" spans="6:18" x14ac:dyDescent="0.25">
      <c r="F554" s="5">
        <f t="shared" si="58"/>
        <v>3.0192144558602782E-9</v>
      </c>
      <c r="G554" s="4">
        <f t="shared" si="55"/>
        <v>174.09313535001084</v>
      </c>
      <c r="H554" s="3">
        <f t="shared" si="56"/>
        <v>57661732180.732323</v>
      </c>
      <c r="I554">
        <f t="shared" si="57"/>
        <v>10038511745056.309</v>
      </c>
      <c r="J554" s="6"/>
      <c r="K554" s="6"/>
      <c r="L554" s="6"/>
      <c r="M554" s="6"/>
      <c r="N554" s="6"/>
      <c r="O554" s="6"/>
      <c r="P554" s="6"/>
      <c r="Q554" s="6"/>
      <c r="R554" s="6"/>
    </row>
    <row r="555" spans="6:18" x14ac:dyDescent="0.25">
      <c r="F555" s="5">
        <f t="shared" si="58"/>
        <v>2.8996535634082105E-9</v>
      </c>
      <c r="G555" s="4">
        <f t="shared" si="55"/>
        <v>170.61127264301061</v>
      </c>
      <c r="H555" s="3">
        <f t="shared" si="56"/>
        <v>58838502225.237076</v>
      </c>
      <c r="I555">
        <f t="shared" si="57"/>
        <v>10038511745056.309</v>
      </c>
      <c r="J555" s="6"/>
      <c r="K555" s="6"/>
      <c r="L555" s="6"/>
      <c r="M555" s="6"/>
      <c r="N555" s="6"/>
      <c r="O555" s="6"/>
      <c r="P555" s="6"/>
      <c r="Q555" s="6"/>
      <c r="R555" s="6"/>
    </row>
    <row r="556" spans="6:18" x14ac:dyDescent="0.25">
      <c r="F556" s="5">
        <f t="shared" si="58"/>
        <v>2.7848272822972452E-9</v>
      </c>
      <c r="G556" s="4">
        <f t="shared" si="55"/>
        <v>167.1990471901504</v>
      </c>
      <c r="H556" s="3">
        <f t="shared" si="56"/>
        <v>60039287984.935791</v>
      </c>
      <c r="I556">
        <f t="shared" si="57"/>
        <v>10038511745056.309</v>
      </c>
      <c r="J556" s="6"/>
      <c r="K556" s="6"/>
      <c r="L556" s="6"/>
      <c r="M556" s="6"/>
      <c r="N556" s="6"/>
      <c r="O556" s="6"/>
      <c r="P556" s="6"/>
      <c r="Q556" s="6"/>
      <c r="R556" s="6"/>
    </row>
    <row r="557" spans="6:18" x14ac:dyDescent="0.25">
      <c r="F557" s="5">
        <f t="shared" si="58"/>
        <v>2.674548121918274E-9</v>
      </c>
      <c r="G557" s="4">
        <f t="shared" si="55"/>
        <v>163.85506624634738</v>
      </c>
      <c r="H557" s="3">
        <f t="shared" si="56"/>
        <v>61264579576.465096</v>
      </c>
      <c r="I557">
        <f t="shared" si="57"/>
        <v>10038511745056.309</v>
      </c>
      <c r="J557" s="6"/>
      <c r="K557" s="6"/>
      <c r="L557" s="6"/>
      <c r="M557" s="6"/>
      <c r="N557" s="6"/>
      <c r="O557" s="6"/>
      <c r="P557" s="6"/>
      <c r="Q557" s="6"/>
      <c r="R557" s="6"/>
    </row>
    <row r="558" spans="6:18" x14ac:dyDescent="0.25">
      <c r="F558" s="5">
        <f t="shared" si="58"/>
        <v>2.5686360162903104E-9</v>
      </c>
      <c r="G558" s="4">
        <f t="shared" si="55"/>
        <v>160.57796492142043</v>
      </c>
      <c r="H558" s="3">
        <f t="shared" si="56"/>
        <v>62514877118.841934</v>
      </c>
      <c r="I558">
        <f t="shared" si="57"/>
        <v>10038511745056.309</v>
      </c>
      <c r="J558" s="6"/>
      <c r="K558" s="6"/>
      <c r="L558" s="6"/>
      <c r="M558" s="6"/>
      <c r="N558" s="6"/>
      <c r="O558" s="6"/>
      <c r="P558" s="6"/>
      <c r="Q558" s="6"/>
      <c r="R558" s="6"/>
    </row>
    <row r="559" spans="6:18" x14ac:dyDescent="0.25">
      <c r="F559" s="5">
        <f t="shared" si="58"/>
        <v>2.4669180300452146E-9</v>
      </c>
      <c r="G559" s="4">
        <f t="shared" si="55"/>
        <v>157.36640562299203</v>
      </c>
      <c r="H559" s="3">
        <f t="shared" si="56"/>
        <v>63790690937.593803</v>
      </c>
      <c r="I559">
        <f t="shared" si="57"/>
        <v>10038511745056.309</v>
      </c>
      <c r="J559" s="6"/>
      <c r="K559" s="6"/>
      <c r="L559" s="6"/>
      <c r="M559" s="6"/>
      <c r="N559" s="6"/>
      <c r="O559" s="6"/>
      <c r="P559" s="6"/>
      <c r="Q559" s="6"/>
      <c r="R559" s="6"/>
    </row>
    <row r="560" spans="6:18" x14ac:dyDescent="0.25">
      <c r="F560" s="5">
        <f t="shared" si="58"/>
        <v>2.3692280760554245E-9</v>
      </c>
      <c r="G560" s="4">
        <f t="shared" si="55"/>
        <v>154.2190775105322</v>
      </c>
      <c r="H560" s="3">
        <f t="shared" si="56"/>
        <v>65092541773.054901</v>
      </c>
      <c r="I560">
        <f t="shared" si="57"/>
        <v>10038511745056.309</v>
      </c>
      <c r="J560" s="6"/>
      <c r="K560" s="6"/>
      <c r="L560" s="6"/>
      <c r="M560" s="6"/>
      <c r="N560" s="6"/>
      <c r="O560" s="6"/>
      <c r="P560" s="6"/>
      <c r="Q560" s="6"/>
      <c r="R560" s="6"/>
    </row>
    <row r="561" spans="6:18" x14ac:dyDescent="0.25">
      <c r="F561" s="5">
        <f t="shared" si="58"/>
        <v>2.2754066442436293E-9</v>
      </c>
      <c r="G561" s="4">
        <f t="shared" si="55"/>
        <v>151.13469596032155</v>
      </c>
      <c r="H561" s="3">
        <f t="shared" si="56"/>
        <v>66420960992.913162</v>
      </c>
      <c r="I561">
        <f t="shared" si="57"/>
        <v>10038511745056.309</v>
      </c>
      <c r="J561" s="6"/>
      <c r="K561" s="6"/>
      <c r="L561" s="6"/>
      <c r="M561" s="6"/>
      <c r="N561" s="6"/>
      <c r="O561" s="6"/>
      <c r="P561" s="6"/>
      <c r="Q561" s="6"/>
      <c r="R561" s="6"/>
    </row>
    <row r="562" spans="6:18" x14ac:dyDescent="0.25">
      <c r="F562" s="5">
        <f t="shared" si="58"/>
        <v>2.1853005411315816E-9</v>
      </c>
      <c r="G562" s="4">
        <f t="shared" ref="G562:G625" si="59">G561*(1-$O$1)</f>
        <v>148.11200204111512</v>
      </c>
      <c r="H562" s="3">
        <f t="shared" ref="H562:H625" si="60">I562/G562</f>
        <v>67776490809.09507</v>
      </c>
      <c r="I562">
        <f t="shared" ref="I562:I625" si="61">I561</f>
        <v>10038511745056.309</v>
      </c>
      <c r="J562" s="6"/>
      <c r="K562" s="6"/>
      <c r="L562" s="6"/>
      <c r="M562" s="6"/>
      <c r="N562" s="6"/>
      <c r="O562" s="6"/>
      <c r="P562" s="6"/>
      <c r="Q562" s="6"/>
      <c r="R562" s="6"/>
    </row>
    <row r="563" spans="6:18" x14ac:dyDescent="0.25">
      <c r="F563" s="5">
        <f t="shared" si="58"/>
        <v>2.0987626397027709E-9</v>
      </c>
      <c r="G563" s="4">
        <f t="shared" si="59"/>
        <v>145.14976200029281</v>
      </c>
      <c r="H563" s="3">
        <f t="shared" si="60"/>
        <v>69159684499.076599</v>
      </c>
      <c r="I563">
        <f t="shared" si="61"/>
        <v>10038511745056.309</v>
      </c>
      <c r="J563" s="6"/>
      <c r="K563" s="6"/>
      <c r="L563" s="6"/>
      <c r="M563" s="6"/>
      <c r="N563" s="6"/>
      <c r="O563" s="6"/>
      <c r="P563" s="6"/>
      <c r="Q563" s="6"/>
      <c r="R563" s="6"/>
    </row>
    <row r="564" spans="6:18" x14ac:dyDescent="0.25">
      <c r="F564" s="5">
        <f t="shared" si="58"/>
        <v>2.0156516391705414E-9</v>
      </c>
      <c r="G564" s="4">
        <f t="shared" si="59"/>
        <v>142.24676676028696</v>
      </c>
      <c r="H564" s="3">
        <f t="shared" si="60"/>
        <v>70571106631.710815</v>
      </c>
      <c r="I564">
        <f t="shared" si="61"/>
        <v>10038511745056.309</v>
      </c>
      <c r="J564" s="6"/>
      <c r="K564" s="6"/>
      <c r="L564" s="6"/>
      <c r="M564" s="6"/>
      <c r="N564" s="6"/>
      <c r="O564" s="6"/>
      <c r="P564" s="6"/>
      <c r="Q564" s="6"/>
      <c r="R564" s="6"/>
    </row>
    <row r="565" spans="6:18" x14ac:dyDescent="0.25">
      <c r="F565" s="5">
        <f t="shared" si="58"/>
        <v>1.9358318342593875E-9</v>
      </c>
      <c r="G565" s="4">
        <f t="shared" si="59"/>
        <v>139.40183142508121</v>
      </c>
      <c r="H565" s="3">
        <f t="shared" si="60"/>
        <v>72011333297.664108</v>
      </c>
      <c r="I565">
        <f t="shared" si="61"/>
        <v>10038511745056.309</v>
      </c>
      <c r="J565" s="6"/>
      <c r="K565" s="6"/>
      <c r="L565" s="6"/>
      <c r="M565" s="6"/>
      <c r="N565" s="6"/>
      <c r="O565" s="6"/>
      <c r="P565" s="6"/>
      <c r="Q565" s="6"/>
      <c r="R565" s="6"/>
    </row>
    <row r="566" spans="6:18" x14ac:dyDescent="0.25">
      <c r="F566" s="5">
        <f t="shared" si="58"/>
        <v>1.8591728936227158E-9</v>
      </c>
      <c r="G566" s="4">
        <f t="shared" si="59"/>
        <v>136.61379479657958</v>
      </c>
      <c r="H566" s="3">
        <f t="shared" si="60"/>
        <v>73480952344.555206</v>
      </c>
      <c r="I566">
        <f t="shared" si="61"/>
        <v>10038511745056.309</v>
      </c>
      <c r="J566" s="6"/>
      <c r="K566" s="6"/>
      <c r="L566" s="6"/>
      <c r="M566" s="6"/>
      <c r="N566" s="6"/>
      <c r="O566" s="6"/>
      <c r="P566" s="6"/>
      <c r="Q566" s="6"/>
      <c r="R566" s="6"/>
    </row>
    <row r="567" spans="6:18" x14ac:dyDescent="0.25">
      <c r="F567" s="5">
        <f t="shared" si="58"/>
        <v>1.7855496470352563E-9</v>
      </c>
      <c r="G567" s="4">
        <f t="shared" si="59"/>
        <v>133.88151890064799</v>
      </c>
      <c r="H567" s="3">
        <f t="shared" si="60"/>
        <v>74980563616.893066</v>
      </c>
      <c r="I567">
        <f t="shared" si="61"/>
        <v>10038511745056.309</v>
      </c>
      <c r="J567" s="6"/>
      <c r="K567" s="6"/>
      <c r="L567" s="6"/>
      <c r="M567" s="6"/>
      <c r="N567" s="6"/>
      <c r="O567" s="6"/>
      <c r="P567" s="6"/>
      <c r="Q567" s="6"/>
      <c r="R567" s="6"/>
    </row>
    <row r="568" spans="6:18" x14ac:dyDescent="0.25">
      <c r="F568" s="5">
        <f t="shared" si="58"/>
        <v>1.7148418810126599E-9</v>
      </c>
      <c r="G568" s="4">
        <f t="shared" si="59"/>
        <v>131.20388852263503</v>
      </c>
      <c r="H568" s="3">
        <f t="shared" si="60"/>
        <v>76510779200.911301</v>
      </c>
      <c r="I568">
        <f t="shared" si="61"/>
        <v>10038511745056.309</v>
      </c>
      <c r="J568" s="6"/>
      <c r="K568" s="6"/>
      <c r="L568" s="6"/>
      <c r="M568" s="6"/>
      <c r="N568" s="6"/>
      <c r="O568" s="6"/>
      <c r="P568" s="6"/>
      <c r="Q568" s="6"/>
      <c r="R568" s="6"/>
    </row>
    <row r="569" spans="6:18" x14ac:dyDescent="0.25">
      <c r="F569" s="5">
        <f t="shared" si="58"/>
        <v>1.6469341425245582E-9</v>
      </c>
      <c r="G569" s="4">
        <f t="shared" si="59"/>
        <v>128.57981075218231</v>
      </c>
      <c r="H569" s="3">
        <f t="shared" si="60"/>
        <v>78072223674.399292</v>
      </c>
      <c r="I569">
        <f t="shared" si="61"/>
        <v>10038511745056.309</v>
      </c>
      <c r="J569" s="6"/>
      <c r="K569" s="6"/>
      <c r="L569" s="6"/>
      <c r="M569" s="6"/>
      <c r="N569" s="6"/>
      <c r="O569" s="6"/>
      <c r="P569" s="6"/>
      <c r="Q569" s="6"/>
      <c r="R569" s="6"/>
    </row>
    <row r="570" spans="6:18" x14ac:dyDescent="0.25">
      <c r="F570" s="5">
        <f t="shared" si="58"/>
        <v>1.5817155504805853E-9</v>
      </c>
      <c r="G570" s="4">
        <f t="shared" si="59"/>
        <v>126.00821453713866</v>
      </c>
      <c r="H570" s="3">
        <f t="shared" si="60"/>
        <v>79665534361.631943</v>
      </c>
      <c r="I570">
        <f t="shared" si="61"/>
        <v>10038511745056.309</v>
      </c>
      <c r="J570" s="6"/>
      <c r="K570" s="6"/>
      <c r="L570" s="6"/>
      <c r="M570" s="6"/>
      <c r="N570" s="6"/>
      <c r="O570" s="6"/>
      <c r="P570" s="6"/>
      <c r="Q570" s="6"/>
      <c r="R570" s="6"/>
    </row>
    <row r="571" spans="6:18" x14ac:dyDescent="0.25">
      <c r="F571" s="5">
        <f t="shared" si="58"/>
        <v>1.5190796146815544E-9</v>
      </c>
      <c r="G571" s="4">
        <f t="shared" si="59"/>
        <v>123.48805024639589</v>
      </c>
      <c r="H571" s="3">
        <f t="shared" si="60"/>
        <v>81291361593.501968</v>
      </c>
      <c r="I571">
        <f t="shared" si="61"/>
        <v>10038511745056.309</v>
      </c>
      <c r="J571" s="6"/>
      <c r="K571" s="6"/>
      <c r="L571" s="6"/>
      <c r="M571" s="6"/>
      <c r="N571" s="6"/>
      <c r="O571" s="6"/>
      <c r="P571" s="6"/>
      <c r="Q571" s="6"/>
      <c r="R571" s="6"/>
    </row>
    <row r="572" spans="6:18" x14ac:dyDescent="0.25">
      <c r="F572" s="5">
        <f t="shared" si="58"/>
        <v>1.4589240619401648E-9</v>
      </c>
      <c r="G572" s="4">
        <f t="shared" si="59"/>
        <v>121.01828924146797</v>
      </c>
      <c r="H572" s="3">
        <f t="shared" si="60"/>
        <v>82950368972.961197</v>
      </c>
      <c r="I572">
        <f t="shared" si="61"/>
        <v>10038511745056.309</v>
      </c>
      <c r="J572" s="6"/>
      <c r="K572" s="6"/>
      <c r="L572" s="6"/>
      <c r="M572" s="6"/>
      <c r="N572" s="6"/>
      <c r="O572" s="6"/>
      <c r="P572" s="6"/>
      <c r="Q572" s="6"/>
      <c r="R572" s="6"/>
    </row>
    <row r="573" spans="6:18" x14ac:dyDescent="0.25">
      <c r="F573" s="5">
        <f t="shared" si="58"/>
        <v>1.4011506690873344E-9</v>
      </c>
      <c r="G573" s="4">
        <f t="shared" si="59"/>
        <v>118.59792345663861</v>
      </c>
      <c r="H573" s="3">
        <f t="shared" si="60"/>
        <v>84643233645.878769</v>
      </c>
      <c r="I573">
        <f t="shared" si="61"/>
        <v>10038511745056.309</v>
      </c>
      <c r="J573" s="6"/>
      <c r="K573" s="6"/>
      <c r="L573" s="6"/>
      <c r="M573" s="6"/>
      <c r="N573" s="6"/>
      <c r="O573" s="6"/>
      <c r="P573" s="6"/>
      <c r="Q573" s="6"/>
      <c r="R573" s="6"/>
    </row>
    <row r="574" spans="6:18" x14ac:dyDescent="0.25">
      <c r="F574" s="5">
        <f t="shared" si="58"/>
        <v>1.3456651025914759E-9</v>
      </c>
      <c r="G574" s="4">
        <f t="shared" si="59"/>
        <v>116.22596498750583</v>
      </c>
      <c r="H574" s="3">
        <f t="shared" si="60"/>
        <v>86370646577.427322</v>
      </c>
      <c r="I574">
        <f t="shared" si="61"/>
        <v>10038511745056.309</v>
      </c>
      <c r="J574" s="6"/>
      <c r="K574" s="6"/>
      <c r="L574" s="6"/>
      <c r="M574" s="6"/>
      <c r="N574" s="6"/>
      <c r="O574" s="6"/>
      <c r="P574" s="6"/>
      <c r="Q574" s="6"/>
      <c r="R574" s="6"/>
    </row>
    <row r="575" spans="6:18" x14ac:dyDescent="0.25">
      <c r="F575" s="5">
        <f t="shared" si="58"/>
        <v>1.2923767645288532E-9</v>
      </c>
      <c r="G575" s="4">
        <f t="shared" si="59"/>
        <v>113.90144568775571</v>
      </c>
      <c r="H575" s="3">
        <f t="shared" si="60"/>
        <v>88133312834.109512</v>
      </c>
      <c r="I575">
        <f t="shared" si="61"/>
        <v>10038511745056.309</v>
      </c>
      <c r="J575" s="6"/>
      <c r="K575" s="6"/>
      <c r="L575" s="6"/>
      <c r="M575" s="6"/>
      <c r="N575" s="6"/>
      <c r="O575" s="6"/>
      <c r="P575" s="6"/>
      <c r="Q575" s="6"/>
      <c r="R575" s="6"/>
    </row>
    <row r="576" spans="6:18" x14ac:dyDescent="0.25">
      <c r="F576" s="5">
        <f t="shared" si="58"/>
        <v>1.2411986446535105E-9</v>
      </c>
      <c r="G576" s="4">
        <f t="shared" si="59"/>
        <v>111.62341677400059</v>
      </c>
      <c r="H576" s="3">
        <f t="shared" si="60"/>
        <v>89931951871.540329</v>
      </c>
      <c r="I576">
        <f t="shared" si="61"/>
        <v>10038511745056.309</v>
      </c>
      <c r="J576" s="6"/>
      <c r="K576" s="6"/>
      <c r="L576" s="6"/>
      <c r="M576" s="6"/>
      <c r="N576" s="6"/>
      <c r="O576" s="6"/>
      <c r="P576" s="6"/>
      <c r="Q576" s="6"/>
      <c r="R576" s="6"/>
    </row>
    <row r="577" spans="6:18" x14ac:dyDescent="0.25">
      <c r="F577" s="5">
        <f t="shared" si="58"/>
        <v>1.1920471783252315E-9</v>
      </c>
      <c r="G577" s="4">
        <f t="shared" si="59"/>
        <v>109.39094843852058</v>
      </c>
      <c r="H577" s="3">
        <f t="shared" si="60"/>
        <v>91767297828.102371</v>
      </c>
      <c r="I577">
        <f t="shared" si="61"/>
        <v>10038511745056.309</v>
      </c>
      <c r="J577" s="6"/>
      <c r="K577" s="6"/>
      <c r="L577" s="6"/>
      <c r="M577" s="6"/>
      <c r="N577" s="6"/>
      <c r="O577" s="6"/>
      <c r="P577" s="6"/>
      <c r="Q577" s="6"/>
      <c r="R577" s="6"/>
    </row>
    <row r="578" spans="6:18" x14ac:dyDescent="0.25">
      <c r="F578" s="5">
        <f t="shared" si="58"/>
        <v>1.1448421100635521E-9</v>
      </c>
      <c r="G578" s="4">
        <f t="shared" si="59"/>
        <v>107.20312946975017</v>
      </c>
      <c r="H578" s="3">
        <f t="shared" si="60"/>
        <v>93640099824.594269</v>
      </c>
      <c r="I578">
        <f t="shared" si="61"/>
        <v>10038511745056.309</v>
      </c>
      <c r="J578" s="6"/>
      <c r="K578" s="6"/>
      <c r="L578" s="6"/>
      <c r="M578" s="6"/>
      <c r="N578" s="6"/>
      <c r="O578" s="6"/>
      <c r="P578" s="6"/>
      <c r="Q578" s="6"/>
      <c r="R578" s="6"/>
    </row>
    <row r="579" spans="6:18" x14ac:dyDescent="0.25">
      <c r="F579" s="5">
        <f t="shared" si="58"/>
        <v>1.0995063625050356E-9</v>
      </c>
      <c r="G579" s="4">
        <f t="shared" si="59"/>
        <v>105.05906688035516</v>
      </c>
      <c r="H579" s="3">
        <f t="shared" si="60"/>
        <v>95551122269.994141</v>
      </c>
      <c r="I579">
        <f t="shared" si="61"/>
        <v>10038511745056.309</v>
      </c>
      <c r="J579" s="6"/>
      <c r="K579" s="6"/>
      <c r="L579" s="6"/>
      <c r="M579" s="6"/>
      <c r="N579" s="6"/>
      <c r="O579" s="6"/>
      <c r="P579" s="6"/>
      <c r="Q579" s="6"/>
      <c r="R579" s="6"/>
    </row>
    <row r="580" spans="6:18" x14ac:dyDescent="0.25">
      <c r="F580" s="5">
        <f t="shared" si="58"/>
        <v>1.0559659105498363E-9</v>
      </c>
      <c r="G580" s="4">
        <f t="shared" si="59"/>
        <v>102.95788554274806</v>
      </c>
      <c r="H580" s="3">
        <f t="shared" si="60"/>
        <v>97501145173.463409</v>
      </c>
      <c r="I580">
        <f t="shared" si="61"/>
        <v>10038511745056.309</v>
      </c>
      <c r="J580" s="6"/>
      <c r="K580" s="6"/>
      <c r="L580" s="6"/>
      <c r="M580" s="6"/>
      <c r="N580" s="6"/>
      <c r="O580" s="6"/>
      <c r="P580" s="6"/>
      <c r="Q580" s="6"/>
      <c r="R580" s="6"/>
    </row>
    <row r="581" spans="6:18" x14ac:dyDescent="0.25">
      <c r="F581" s="5">
        <f t="shared" si="58"/>
        <v>1.0141496604920626E-9</v>
      </c>
      <c r="G581" s="4">
        <f t="shared" si="59"/>
        <v>100.8987278318931</v>
      </c>
      <c r="H581" s="3">
        <f t="shared" si="60"/>
        <v>99490964462.717773</v>
      </c>
      <c r="I581">
        <f t="shared" si="61"/>
        <v>10038511745056.309</v>
      </c>
      <c r="J581" s="6"/>
      <c r="K581" s="6"/>
      <c r="L581" s="6"/>
      <c r="M581" s="6"/>
      <c r="N581" s="6"/>
      <c r="O581" s="6"/>
      <c r="P581" s="6"/>
      <c r="Q581" s="6"/>
      <c r="R581" s="6"/>
    </row>
    <row r="582" spans="6:18" x14ac:dyDescent="0.25">
      <c r="F582" s="5">
        <f t="shared" si="58"/>
        <v>9.7398933393657691E-10</v>
      </c>
      <c r="G582" s="4">
        <f t="shared" si="59"/>
        <v>98.880753275255231</v>
      </c>
      <c r="H582" s="3">
        <f t="shared" si="60"/>
        <v>101521392308.89569</v>
      </c>
      <c r="I582">
        <f t="shared" si="61"/>
        <v>10038511745056.309</v>
      </c>
      <c r="J582" s="6"/>
      <c r="K582" s="6"/>
      <c r="L582" s="6"/>
      <c r="M582" s="6"/>
      <c r="N582" s="6"/>
      <c r="O582" s="6"/>
      <c r="P582" s="6"/>
      <c r="Q582" s="6"/>
      <c r="R582" s="6"/>
    </row>
    <row r="583" spans="6:18" x14ac:dyDescent="0.25">
      <c r="F583" s="5">
        <f t="shared" si="58"/>
        <v>9.3541935631268847E-10</v>
      </c>
      <c r="G583" s="4">
        <f t="shared" si="59"/>
        <v>96.903138209750125</v>
      </c>
      <c r="H583" s="3">
        <f t="shared" si="60"/>
        <v>103593257458.05682</v>
      </c>
      <c r="I583">
        <f t="shared" si="61"/>
        <v>10038511745056.309</v>
      </c>
      <c r="J583" s="6"/>
      <c r="K583" s="6"/>
      <c r="L583" s="6"/>
      <c r="M583" s="6"/>
      <c r="N583" s="6"/>
      <c r="O583" s="6"/>
      <c r="P583" s="6"/>
      <c r="Q583" s="6"/>
      <c r="R583" s="6"/>
    </row>
    <row r="584" spans="6:18" x14ac:dyDescent="0.25">
      <c r="F584" s="5">
        <f t="shared" si="58"/>
        <v>8.9837674980270579E-10</v>
      </c>
      <c r="G584" s="4">
        <f t="shared" si="59"/>
        <v>94.965075445555115</v>
      </c>
      <c r="H584" s="3">
        <f t="shared" si="60"/>
        <v>105707405569.44576</v>
      </c>
      <c r="I584">
        <f t="shared" si="61"/>
        <v>10038511745056.309</v>
      </c>
      <c r="J584" s="6"/>
      <c r="K584" s="6"/>
      <c r="L584" s="6"/>
      <c r="M584" s="6"/>
      <c r="N584" s="6"/>
      <c r="O584" s="6"/>
      <c r="P584" s="6"/>
      <c r="Q584" s="6"/>
      <c r="R584" s="6"/>
    </row>
    <row r="585" spans="6:18" x14ac:dyDescent="0.25">
      <c r="F585" s="5">
        <f t="shared" ref="F585:F648" si="62">G585/H585</f>
        <v>8.628010305105185E-10</v>
      </c>
      <c r="G585" s="4">
        <f t="shared" si="59"/>
        <v>93.065773936644007</v>
      </c>
      <c r="H585" s="3">
        <f t="shared" si="60"/>
        <v>107864699560.65894</v>
      </c>
      <c r="I585">
        <f t="shared" si="61"/>
        <v>10038511745056.309</v>
      </c>
      <c r="J585" s="6"/>
      <c r="K585" s="6"/>
      <c r="L585" s="6"/>
      <c r="M585" s="6"/>
      <c r="N585" s="6"/>
      <c r="O585" s="6"/>
      <c r="P585" s="6"/>
      <c r="Q585" s="6"/>
      <c r="R585" s="6"/>
    </row>
    <row r="586" spans="6:18" x14ac:dyDescent="0.25">
      <c r="F586" s="5">
        <f t="shared" si="62"/>
        <v>8.2863410970230211E-10</v>
      </c>
      <c r="G586" s="4">
        <f t="shared" si="59"/>
        <v>91.20445845791113</v>
      </c>
      <c r="H586" s="3">
        <f t="shared" si="60"/>
        <v>110066019959.85605</v>
      </c>
      <c r="I586">
        <f t="shared" si="61"/>
        <v>10038511745056.309</v>
      </c>
      <c r="J586" s="6"/>
      <c r="K586" s="6"/>
      <c r="L586" s="6"/>
      <c r="M586" s="6"/>
      <c r="N586" s="6"/>
      <c r="O586" s="6"/>
      <c r="P586" s="6"/>
      <c r="Q586" s="6"/>
      <c r="R586" s="6"/>
    </row>
    <row r="587" spans="6:18" x14ac:dyDescent="0.25">
      <c r="F587" s="5">
        <f t="shared" si="62"/>
        <v>7.9582019895809086E-10</v>
      </c>
      <c r="G587" s="4">
        <f t="shared" si="59"/>
        <v>89.380369288752902</v>
      </c>
      <c r="H587" s="3">
        <f t="shared" si="60"/>
        <v>112312265265.15924</v>
      </c>
      <c r="I587">
        <f t="shared" si="61"/>
        <v>10038511745056.309</v>
      </c>
      <c r="J587" s="6"/>
      <c r="K587" s="6"/>
      <c r="L587" s="6"/>
      <c r="M587" s="6"/>
      <c r="N587" s="6"/>
      <c r="O587" s="6"/>
      <c r="P587" s="6"/>
      <c r="Q587" s="6"/>
      <c r="R587" s="6"/>
    </row>
    <row r="588" spans="6:18" x14ac:dyDescent="0.25">
      <c r="F588" s="5">
        <f t="shared" si="62"/>
        <v>7.6430571907935034E-10</v>
      </c>
      <c r="G588" s="4">
        <f t="shared" si="59"/>
        <v>87.592761902977841</v>
      </c>
      <c r="H588" s="3">
        <f t="shared" si="60"/>
        <v>114604352311.38699</v>
      </c>
      <c r="I588">
        <f t="shared" si="61"/>
        <v>10038511745056.309</v>
      </c>
      <c r="J588" s="6"/>
      <c r="K588" s="6"/>
      <c r="L588" s="6"/>
      <c r="M588" s="6"/>
      <c r="N588" s="6"/>
      <c r="O588" s="6"/>
      <c r="P588" s="6"/>
      <c r="Q588" s="6"/>
      <c r="R588" s="6"/>
    </row>
    <row r="589" spans="6:18" x14ac:dyDescent="0.25">
      <c r="F589" s="5">
        <f t="shared" si="62"/>
        <v>7.34039212603808E-10</v>
      </c>
      <c r="G589" s="4">
        <f t="shared" si="59"/>
        <v>85.840906664918279</v>
      </c>
      <c r="H589" s="3">
        <f t="shared" si="60"/>
        <v>116943216644.27245</v>
      </c>
      <c r="I589">
        <f t="shared" si="61"/>
        <v>10038511745056.309</v>
      </c>
      <c r="J589" s="6"/>
      <c r="K589" s="6"/>
      <c r="L589" s="6"/>
      <c r="M589" s="6"/>
      <c r="N589" s="6"/>
      <c r="O589" s="6"/>
      <c r="P589" s="6"/>
      <c r="Q589" s="6"/>
      <c r="R589" s="6"/>
    </row>
    <row r="590" spans="6:18" x14ac:dyDescent="0.25">
      <c r="F590" s="5">
        <f t="shared" si="62"/>
        <v>7.0497125978469722E-10</v>
      </c>
      <c r="G590" s="4">
        <f t="shared" si="59"/>
        <v>84.124088531619918</v>
      </c>
      <c r="H590" s="3">
        <f t="shared" si="60"/>
        <v>119329812902.31882</v>
      </c>
      <c r="I590">
        <f t="shared" si="61"/>
        <v>10038511745056.309</v>
      </c>
      <c r="J590" s="6"/>
      <c r="K590" s="6"/>
      <c r="L590" s="6"/>
      <c r="M590" s="6"/>
      <c r="N590" s="6"/>
      <c r="O590" s="6"/>
      <c r="P590" s="6"/>
      <c r="Q590" s="6"/>
      <c r="R590" s="6"/>
    </row>
    <row r="591" spans="6:18" x14ac:dyDescent="0.25">
      <c r="F591" s="5">
        <f t="shared" si="62"/>
        <v>6.7705439789722314E-10</v>
      </c>
      <c r="G591" s="4">
        <f t="shared" si="59"/>
        <v>82.441606760987511</v>
      </c>
      <c r="H591" s="3">
        <f t="shared" si="60"/>
        <v>121765115206.44778</v>
      </c>
      <c r="I591">
        <f t="shared" si="61"/>
        <v>10038511745056.309</v>
      </c>
      <c r="J591" s="6"/>
      <c r="K591" s="6"/>
      <c r="L591" s="6"/>
      <c r="M591" s="6"/>
      <c r="N591" s="6"/>
      <c r="O591" s="6"/>
      <c r="P591" s="6"/>
      <c r="Q591" s="6"/>
      <c r="R591" s="6"/>
    </row>
    <row r="592" spans="6:18" x14ac:dyDescent="0.25">
      <c r="F592" s="5">
        <f t="shared" si="62"/>
        <v>6.5024304374049307E-10</v>
      </c>
      <c r="G592" s="4">
        <f t="shared" si="59"/>
        <v>80.792774625767763</v>
      </c>
      <c r="H592" s="3">
        <f t="shared" si="60"/>
        <v>124250117557.59978</v>
      </c>
      <c r="I592">
        <f t="shared" si="61"/>
        <v>10038511745056.309</v>
      </c>
      <c r="J592" s="6"/>
      <c r="K592" s="6"/>
      <c r="L592" s="6"/>
      <c r="M592" s="6"/>
      <c r="N592" s="6"/>
      <c r="O592" s="6"/>
      <c r="P592" s="6"/>
      <c r="Q592" s="6"/>
      <c r="R592" s="6"/>
    </row>
    <row r="593" spans="6:18" x14ac:dyDescent="0.25">
      <c r="F593" s="5">
        <f t="shared" si="62"/>
        <v>6.2449341920836966E-10</v>
      </c>
      <c r="G593" s="4">
        <f t="shared" si="59"/>
        <v>79.176919133252412</v>
      </c>
      <c r="H593" s="3">
        <f t="shared" si="60"/>
        <v>126785834242.44875</v>
      </c>
      <c r="I593">
        <f t="shared" si="61"/>
        <v>10038511745056.309</v>
      </c>
      <c r="J593" s="6"/>
      <c r="K593" s="6"/>
      <c r="L593" s="6"/>
      <c r="M593" s="6"/>
      <c r="N593" s="6"/>
      <c r="O593" s="6"/>
      <c r="P593" s="6"/>
      <c r="Q593" s="6"/>
      <c r="R593" s="6"/>
    </row>
    <row r="594" spans="6:18" x14ac:dyDescent="0.25">
      <c r="F594" s="5">
        <f t="shared" si="62"/>
        <v>5.9976347980771814E-10</v>
      </c>
      <c r="G594" s="4">
        <f t="shared" si="59"/>
        <v>77.593380750587357</v>
      </c>
      <c r="H594" s="3">
        <f t="shared" si="60"/>
        <v>129373300247.39668</v>
      </c>
      <c r="I594">
        <f t="shared" si="61"/>
        <v>10038511745056.309</v>
      </c>
      <c r="J594" s="6"/>
      <c r="K594" s="6"/>
      <c r="L594" s="6"/>
      <c r="M594" s="6"/>
      <c r="N594" s="6"/>
      <c r="O594" s="6"/>
      <c r="P594" s="6"/>
      <c r="Q594" s="6"/>
      <c r="R594" s="6"/>
    </row>
    <row r="595" spans="6:18" x14ac:dyDescent="0.25">
      <c r="F595" s="5">
        <f t="shared" si="62"/>
        <v>5.760128460073325E-10</v>
      </c>
      <c r="G595" s="4">
        <f t="shared" si="59"/>
        <v>76.041513135575613</v>
      </c>
      <c r="H595" s="3">
        <f t="shared" si="60"/>
        <v>132013571681.01703</v>
      </c>
      <c r="I595">
        <f t="shared" si="61"/>
        <v>10038511745056.309</v>
      </c>
      <c r="J595" s="6"/>
      <c r="K595" s="6"/>
      <c r="L595" s="6"/>
      <c r="M595" s="6"/>
      <c r="N595" s="6"/>
      <c r="O595" s="6"/>
      <c r="P595" s="6"/>
      <c r="Q595" s="6"/>
      <c r="R595" s="6"/>
    </row>
    <row r="596" spans="6:18" x14ac:dyDescent="0.25">
      <c r="F596" s="5">
        <f t="shared" si="62"/>
        <v>5.5320273730544211E-10</v>
      </c>
      <c r="G596" s="4">
        <f t="shared" si="59"/>
        <v>74.5206828728641</v>
      </c>
      <c r="H596" s="3">
        <f t="shared" si="60"/>
        <v>134707726205.11942</v>
      </c>
      <c r="I596">
        <f t="shared" si="61"/>
        <v>10038511745056.309</v>
      </c>
      <c r="J596" s="6"/>
      <c r="K596" s="6"/>
      <c r="L596" s="6"/>
      <c r="M596" s="6"/>
      <c r="N596" s="6"/>
      <c r="O596" s="6"/>
      <c r="P596" s="6"/>
      <c r="Q596" s="6"/>
      <c r="R596" s="6"/>
    </row>
    <row r="597" spans="6:18" x14ac:dyDescent="0.25">
      <c r="F597" s="5">
        <f t="shared" si="62"/>
        <v>5.3129590890814671E-10</v>
      </c>
      <c r="G597" s="4">
        <f t="shared" si="59"/>
        <v>73.030269215406818</v>
      </c>
      <c r="H597" s="3">
        <f t="shared" si="60"/>
        <v>137456863474.61163</v>
      </c>
      <c r="I597">
        <f t="shared" si="61"/>
        <v>10038511745056.309</v>
      </c>
      <c r="J597" s="6"/>
      <c r="K597" s="6"/>
      <c r="L597" s="6"/>
      <c r="M597" s="6"/>
      <c r="N597" s="6"/>
      <c r="O597" s="6"/>
      <c r="P597" s="6"/>
      <c r="Q597" s="6"/>
      <c r="R597" s="6"/>
    </row>
    <row r="598" spans="6:18" x14ac:dyDescent="0.25">
      <c r="F598" s="5">
        <f t="shared" si="62"/>
        <v>5.1025659091538408E-10</v>
      </c>
      <c r="G598" s="4">
        <f t="shared" si="59"/>
        <v>71.56966383109868</v>
      </c>
      <c r="H598" s="3">
        <f t="shared" si="60"/>
        <v>140262105586.33841</v>
      </c>
      <c r="I598">
        <f t="shared" si="61"/>
        <v>10038511745056.309</v>
      </c>
      <c r="J598" s="6"/>
      <c r="K598" s="6"/>
      <c r="L598" s="6"/>
      <c r="M598" s="6"/>
      <c r="N598" s="6"/>
      <c r="O598" s="6"/>
      <c r="P598" s="6"/>
      <c r="Q598" s="6"/>
      <c r="R598" s="6"/>
    </row>
    <row r="599" spans="6:18" x14ac:dyDescent="0.25">
      <c r="F599" s="5">
        <f t="shared" si="62"/>
        <v>4.9005042991513482E-10</v>
      </c>
      <c r="G599" s="4">
        <f t="shared" si="59"/>
        <v>70.138270554476705</v>
      </c>
      <c r="H599" s="3">
        <f t="shared" si="60"/>
        <v>143124597537.08002</v>
      </c>
      <c r="I599">
        <f t="shared" si="61"/>
        <v>10038511745056.309</v>
      </c>
      <c r="J599" s="6"/>
      <c r="K599" s="6"/>
      <c r="L599" s="6"/>
      <c r="M599" s="6"/>
      <c r="N599" s="6"/>
      <c r="O599" s="6"/>
      <c r="P599" s="6"/>
      <c r="Q599" s="6"/>
      <c r="R599" s="6"/>
    </row>
    <row r="600" spans="6:18" x14ac:dyDescent="0.25">
      <c r="F600" s="5">
        <f t="shared" si="62"/>
        <v>4.7064443289049541E-10</v>
      </c>
      <c r="G600" s="4">
        <f t="shared" si="59"/>
        <v>68.735505143387172</v>
      </c>
      <c r="H600" s="3">
        <f t="shared" si="60"/>
        <v>146045507690.89798</v>
      </c>
      <c r="I600">
        <f t="shared" si="61"/>
        <v>10038511745056.309</v>
      </c>
      <c r="J600" s="6"/>
      <c r="K600" s="6"/>
      <c r="L600" s="6"/>
      <c r="M600" s="6"/>
      <c r="N600" s="6"/>
      <c r="O600" s="6"/>
      <c r="P600" s="6"/>
      <c r="Q600" s="6"/>
      <c r="R600" s="6"/>
    </row>
    <row r="601" spans="6:18" x14ac:dyDescent="0.25">
      <c r="F601" s="5">
        <f t="shared" si="62"/>
        <v>4.5200691334803189E-10</v>
      </c>
      <c r="G601" s="4">
        <f t="shared" si="59"/>
        <v>67.360795040519434</v>
      </c>
      <c r="H601" s="3">
        <f t="shared" si="60"/>
        <v>149026028256.01834</v>
      </c>
      <c r="I601">
        <f t="shared" si="61"/>
        <v>10038511745056.309</v>
      </c>
      <c r="J601" s="6"/>
      <c r="K601" s="6"/>
      <c r="L601" s="6"/>
      <c r="M601" s="6"/>
      <c r="N601" s="6"/>
      <c r="O601" s="6"/>
      <c r="P601" s="6"/>
      <c r="Q601" s="6"/>
      <c r="R601" s="6"/>
    </row>
    <row r="602" spans="6:18" x14ac:dyDescent="0.25">
      <c r="F602" s="5">
        <f t="shared" si="62"/>
        <v>4.3410743957944993E-10</v>
      </c>
      <c r="G602" s="4">
        <f t="shared" si="59"/>
        <v>66.013579139709051</v>
      </c>
      <c r="H602" s="3">
        <f t="shared" si="60"/>
        <v>152067375771.44727</v>
      </c>
      <c r="I602">
        <f t="shared" si="61"/>
        <v>10038511745056.309</v>
      </c>
      <c r="J602" s="6"/>
      <c r="K602" s="6"/>
      <c r="L602" s="6"/>
      <c r="M602" s="6"/>
      <c r="N602" s="6"/>
      <c r="O602" s="6"/>
      <c r="P602" s="6"/>
      <c r="Q602" s="6"/>
      <c r="R602" s="6"/>
    </row>
    <row r="603" spans="6:18" x14ac:dyDescent="0.25">
      <c r="F603" s="5">
        <f t="shared" si="62"/>
        <v>4.1691678497210374E-10</v>
      </c>
      <c r="G603" s="4">
        <f t="shared" si="59"/>
        <v>64.693307556914874</v>
      </c>
      <c r="H603" s="3">
        <f t="shared" si="60"/>
        <v>155170791603.51761</v>
      </c>
      <c r="I603">
        <f t="shared" si="61"/>
        <v>10038511745056.309</v>
      </c>
      <c r="J603" s="6"/>
      <c r="K603" s="6"/>
      <c r="L603" s="6"/>
      <c r="M603" s="6"/>
      <c r="N603" s="6"/>
      <c r="O603" s="6"/>
      <c r="P603" s="6"/>
      <c r="Q603" s="6"/>
      <c r="R603" s="6"/>
    </row>
    <row r="604" spans="6:18" x14ac:dyDescent="0.25">
      <c r="F604" s="5">
        <f t="shared" si="62"/>
        <v>4.0040688028720851E-10</v>
      </c>
      <c r="G604" s="4">
        <f t="shared" si="59"/>
        <v>63.399441405776578</v>
      </c>
      <c r="H604" s="3">
        <f t="shared" si="60"/>
        <v>158337542452.56897</v>
      </c>
      <c r="I604">
        <f t="shared" si="61"/>
        <v>10038511745056.309</v>
      </c>
      <c r="J604" s="6"/>
      <c r="K604" s="6"/>
      <c r="L604" s="6"/>
      <c r="M604" s="6"/>
      <c r="N604" s="6"/>
      <c r="O604" s="6"/>
      <c r="P604" s="6"/>
      <c r="Q604" s="6"/>
      <c r="R604" s="6"/>
    </row>
    <row r="605" spans="6:18" x14ac:dyDescent="0.25">
      <c r="F605" s="5">
        <f t="shared" si="62"/>
        <v>3.8455076782783498E-10</v>
      </c>
      <c r="G605" s="4">
        <f t="shared" si="59"/>
        <v>62.131452577661044</v>
      </c>
      <c r="H605" s="3">
        <f t="shared" si="60"/>
        <v>161568920869.96835</v>
      </c>
      <c r="I605">
        <f t="shared" si="61"/>
        <v>10038511745056.309</v>
      </c>
      <c r="J605" s="6"/>
      <c r="K605" s="6"/>
      <c r="L605" s="6"/>
      <c r="M605" s="6"/>
      <c r="N605" s="6"/>
      <c r="O605" s="6"/>
      <c r="P605" s="6"/>
      <c r="Q605" s="6"/>
      <c r="R605" s="6"/>
    </row>
    <row r="606" spans="6:18" x14ac:dyDescent="0.25">
      <c r="F606" s="5">
        <f t="shared" si="62"/>
        <v>3.6932255742185267E-10</v>
      </c>
      <c r="G606" s="4">
        <f t="shared" si="59"/>
        <v>60.888823526107821</v>
      </c>
      <c r="H606" s="3">
        <f t="shared" si="60"/>
        <v>164866245785.68201</v>
      </c>
      <c r="I606">
        <f t="shared" si="61"/>
        <v>10038511745056.309</v>
      </c>
      <c r="J606" s="6"/>
      <c r="K606" s="6"/>
      <c r="L606" s="6"/>
      <c r="M606" s="6"/>
      <c r="N606" s="6"/>
      <c r="O606" s="6"/>
      <c r="P606" s="6"/>
      <c r="Q606" s="6"/>
      <c r="R606" s="6"/>
    </row>
    <row r="607" spans="6:18" x14ac:dyDescent="0.25">
      <c r="F607" s="5">
        <f t="shared" si="62"/>
        <v>3.5469738414794732E-10</v>
      </c>
      <c r="G607" s="4">
        <f t="shared" si="59"/>
        <v>59.67104705558566</v>
      </c>
      <c r="H607" s="3">
        <f t="shared" si="60"/>
        <v>168230863046.61429</v>
      </c>
      <c r="I607">
        <f t="shared" si="61"/>
        <v>10038511745056.309</v>
      </c>
      <c r="J607" s="6"/>
      <c r="K607" s="6"/>
      <c r="L607" s="6"/>
      <c r="M607" s="6"/>
      <c r="N607" s="6"/>
      <c r="O607" s="6"/>
      <c r="P607" s="6"/>
      <c r="Q607" s="6"/>
      <c r="R607" s="6"/>
    </row>
    <row r="608" spans="6:18" x14ac:dyDescent="0.25">
      <c r="F608" s="5">
        <f t="shared" si="62"/>
        <v>3.4065136773568857E-10</v>
      </c>
      <c r="G608" s="4">
        <f t="shared" si="59"/>
        <v>58.477626114473949</v>
      </c>
      <c r="H608" s="3">
        <f t="shared" si="60"/>
        <v>171664145965.93295</v>
      </c>
      <c r="I608">
        <f t="shared" si="61"/>
        <v>10038511745056.309</v>
      </c>
      <c r="J608" s="6"/>
      <c r="K608" s="6"/>
      <c r="L608" s="6"/>
      <c r="M608" s="6"/>
      <c r="N608" s="6"/>
      <c r="O608" s="6"/>
      <c r="P608" s="6"/>
      <c r="Q608" s="6"/>
      <c r="R608" s="6"/>
    </row>
    <row r="609" spans="6:18" x14ac:dyDescent="0.25">
      <c r="F609" s="5">
        <f t="shared" si="62"/>
        <v>3.2716157357335536E-10</v>
      </c>
      <c r="G609" s="4">
        <f t="shared" si="59"/>
        <v>57.308073592184471</v>
      </c>
      <c r="H609" s="3">
        <f t="shared" si="60"/>
        <v>175167495883.60504</v>
      </c>
      <c r="I609">
        <f t="shared" si="61"/>
        <v>10038511745056.309</v>
      </c>
      <c r="J609" s="6"/>
      <c r="K609" s="6"/>
      <c r="L609" s="6"/>
      <c r="M609" s="6"/>
      <c r="N609" s="6"/>
      <c r="O609" s="6"/>
      <c r="P609" s="6"/>
      <c r="Q609" s="6"/>
      <c r="R609" s="6"/>
    </row>
    <row r="610" spans="6:18" x14ac:dyDescent="0.25">
      <c r="F610" s="5">
        <f t="shared" si="62"/>
        <v>3.1420597525985047E-10</v>
      </c>
      <c r="G610" s="4">
        <f t="shared" si="59"/>
        <v>56.16191212034078</v>
      </c>
      <c r="H610" s="3">
        <f t="shared" si="60"/>
        <v>178742342738.3725</v>
      </c>
      <c r="I610">
        <f t="shared" si="61"/>
        <v>10038511745056.309</v>
      </c>
      <c r="J610" s="6"/>
      <c r="K610" s="6"/>
      <c r="L610" s="6"/>
      <c r="M610" s="6"/>
      <c r="N610" s="6"/>
      <c r="O610" s="6"/>
      <c r="P610" s="6"/>
      <c r="Q610" s="6"/>
      <c r="R610" s="6"/>
    </row>
    <row r="611" spans="6:18" x14ac:dyDescent="0.25">
      <c r="F611" s="5">
        <f t="shared" si="62"/>
        <v>3.0176341863956038E-10</v>
      </c>
      <c r="G611" s="4">
        <f t="shared" si="59"/>
        <v>55.038673877933967</v>
      </c>
      <c r="H611" s="3">
        <f t="shared" si="60"/>
        <v>182390145651.40051</v>
      </c>
      <c r="I611">
        <f t="shared" si="61"/>
        <v>10038511745056.309</v>
      </c>
      <c r="J611" s="6"/>
      <c r="K611" s="6"/>
      <c r="L611" s="6"/>
      <c r="M611" s="6"/>
      <c r="N611" s="6"/>
      <c r="O611" s="6"/>
      <c r="P611" s="6"/>
      <c r="Q611" s="6"/>
      <c r="R611" s="6"/>
    </row>
    <row r="612" spans="6:18" x14ac:dyDescent="0.25">
      <c r="F612" s="5">
        <f t="shared" si="62"/>
        <v>2.8981358726143378E-10</v>
      </c>
      <c r="G612" s="4">
        <f t="shared" si="59"/>
        <v>53.937900400375284</v>
      </c>
      <c r="H612" s="3">
        <f t="shared" si="60"/>
        <v>186112393521.83725</v>
      </c>
      <c r="I612">
        <f t="shared" si="61"/>
        <v>10038511745056.309</v>
      </c>
      <c r="J612" s="6"/>
      <c r="K612" s="6"/>
      <c r="L612" s="6"/>
      <c r="M612" s="6"/>
      <c r="N612" s="6"/>
      <c r="O612" s="6"/>
      <c r="P612" s="6"/>
      <c r="Q612" s="6"/>
      <c r="R612" s="6"/>
    </row>
    <row r="613" spans="6:18" x14ac:dyDescent="0.25">
      <c r="F613" s="5">
        <f t="shared" si="62"/>
        <v>2.7833696920588101E-10</v>
      </c>
      <c r="G613" s="4">
        <f t="shared" si="59"/>
        <v>52.859142392367779</v>
      </c>
      <c r="H613" s="3">
        <f t="shared" si="60"/>
        <v>189910605634.5278</v>
      </c>
      <c r="I613">
        <f t="shared" si="61"/>
        <v>10038511745056.309</v>
      </c>
      <c r="J613" s="6"/>
      <c r="K613" s="6"/>
      <c r="L613" s="6"/>
      <c r="M613" s="6"/>
      <c r="N613" s="6"/>
      <c r="O613" s="6"/>
      <c r="P613" s="6"/>
      <c r="Q613" s="6"/>
      <c r="R613" s="6"/>
    </row>
    <row r="614" spans="6:18" x14ac:dyDescent="0.25">
      <c r="F614" s="5">
        <f t="shared" si="62"/>
        <v>2.673148252253281E-10</v>
      </c>
      <c r="G614" s="4">
        <f t="shared" si="59"/>
        <v>51.801959544520422</v>
      </c>
      <c r="H614" s="3">
        <f t="shared" si="60"/>
        <v>193786332280.13043</v>
      </c>
      <c r="I614">
        <f t="shared" si="61"/>
        <v>10038511745056.309</v>
      </c>
      <c r="J614" s="6"/>
      <c r="K614" s="6"/>
      <c r="L614" s="6"/>
      <c r="M614" s="6"/>
      <c r="N614" s="6"/>
      <c r="O614" s="6"/>
      <c r="P614" s="6"/>
      <c r="Q614" s="6"/>
      <c r="R614" s="6"/>
    </row>
    <row r="615" spans="6:18" x14ac:dyDescent="0.25">
      <c r="F615" s="5">
        <f t="shared" si="62"/>
        <v>2.5672915814640512E-10</v>
      </c>
      <c r="G615" s="4">
        <f t="shared" si="59"/>
        <v>50.765920353630015</v>
      </c>
      <c r="H615" s="3">
        <f t="shared" si="60"/>
        <v>197741155387.88818</v>
      </c>
      <c r="I615">
        <f t="shared" si="61"/>
        <v>10038511745056.309</v>
      </c>
      <c r="J615" s="6"/>
      <c r="K615" s="6"/>
      <c r="L615" s="6"/>
      <c r="M615" s="6"/>
      <c r="N615" s="6"/>
      <c r="O615" s="6"/>
      <c r="P615" s="6"/>
      <c r="Q615" s="6"/>
      <c r="R615" s="6"/>
    </row>
    <row r="616" spans="6:18" x14ac:dyDescent="0.25">
      <c r="F616" s="5">
        <f t="shared" si="62"/>
        <v>2.465626834838075E-10</v>
      </c>
      <c r="G616" s="4">
        <f t="shared" si="59"/>
        <v>49.750601946557417</v>
      </c>
      <c r="H616" s="3">
        <f t="shared" si="60"/>
        <v>201776689171.31448</v>
      </c>
      <c r="I616">
        <f t="shared" si="61"/>
        <v>10038511745056.309</v>
      </c>
      <c r="J616" s="6"/>
      <c r="K616" s="6"/>
      <c r="L616" s="6"/>
      <c r="M616" s="6"/>
      <c r="N616" s="6"/>
      <c r="O616" s="6"/>
      <c r="P616" s="6"/>
      <c r="Q616" s="6"/>
      <c r="R616" s="6"/>
    </row>
    <row r="617" spans="6:18" x14ac:dyDescent="0.25">
      <c r="F617" s="5">
        <f t="shared" si="62"/>
        <v>2.3679880121784869E-10</v>
      </c>
      <c r="G617" s="4">
        <f t="shared" si="59"/>
        <v>48.755589907626266</v>
      </c>
      <c r="H617" s="3">
        <f t="shared" si="60"/>
        <v>205894580787.0556</v>
      </c>
      <c r="I617">
        <f t="shared" si="61"/>
        <v>10038511745056.309</v>
      </c>
      <c r="J617" s="6"/>
      <c r="K617" s="6"/>
      <c r="L617" s="6"/>
      <c r="M617" s="6"/>
      <c r="N617" s="6"/>
      <c r="O617" s="6"/>
      <c r="P617" s="6"/>
      <c r="Q617" s="6"/>
      <c r="R617" s="6"/>
    </row>
    <row r="618" spans="6:18" x14ac:dyDescent="0.25">
      <c r="F618" s="5">
        <f t="shared" si="62"/>
        <v>2.2742156868962187E-10</v>
      </c>
      <c r="G618" s="4">
        <f t="shared" si="59"/>
        <v>47.780478109473741</v>
      </c>
      <c r="H618" s="3">
        <f t="shared" si="60"/>
        <v>210096511007.19958</v>
      </c>
      <c r="I618">
        <f t="shared" si="61"/>
        <v>10038511745056.309</v>
      </c>
      <c r="J618" s="6"/>
      <c r="K618" s="6"/>
      <c r="L618" s="6"/>
      <c r="M618" s="6"/>
      <c r="N618" s="6"/>
      <c r="O618" s="6"/>
      <c r="P618" s="6"/>
      <c r="Q618" s="6"/>
      <c r="R618" s="6"/>
    </row>
    <row r="619" spans="6:18" x14ac:dyDescent="0.25">
      <c r="F619" s="5">
        <f t="shared" si="62"/>
        <v>2.1841567456951287E-10</v>
      </c>
      <c r="G619" s="4">
        <f t="shared" si="59"/>
        <v>46.824868547284268</v>
      </c>
      <c r="H619" s="3">
        <f t="shared" si="60"/>
        <v>214384194905.30569</v>
      </c>
      <c r="I619">
        <f t="shared" si="61"/>
        <v>10038511745056.309</v>
      </c>
      <c r="J619" s="6"/>
      <c r="K619" s="6"/>
      <c r="L619" s="6"/>
      <c r="M619" s="6"/>
      <c r="N619" s="6"/>
      <c r="O619" s="6"/>
      <c r="P619" s="6"/>
      <c r="Q619" s="6"/>
      <c r="R619" s="6"/>
    </row>
    <row r="620" spans="6:18" x14ac:dyDescent="0.25">
      <c r="F620" s="5">
        <f t="shared" si="62"/>
        <v>2.0976641385656014E-10</v>
      </c>
      <c r="G620" s="4">
        <f t="shared" si="59"/>
        <v>45.88837117633858</v>
      </c>
      <c r="H620" s="3">
        <f t="shared" si="60"/>
        <v>218759382556.43439</v>
      </c>
      <c r="I620">
        <f t="shared" si="61"/>
        <v>10038511745056.309</v>
      </c>
      <c r="J620" s="6"/>
      <c r="K620" s="6"/>
      <c r="L620" s="6"/>
      <c r="M620" s="6"/>
      <c r="N620" s="6"/>
      <c r="O620" s="6"/>
      <c r="P620" s="6"/>
      <c r="Q620" s="6"/>
      <c r="R620" s="6"/>
    </row>
    <row r="621" spans="6:18" x14ac:dyDescent="0.25">
      <c r="F621" s="5">
        <f t="shared" si="62"/>
        <v>2.0145966386784033E-10</v>
      </c>
      <c r="G621" s="4">
        <f t="shared" si="59"/>
        <v>44.970603752811805</v>
      </c>
      <c r="H621" s="3">
        <f t="shared" si="60"/>
        <v>223223859751.46368</v>
      </c>
      <c r="I621">
        <f t="shared" si="61"/>
        <v>10038511745056.309</v>
      </c>
      <c r="J621" s="6"/>
      <c r="K621" s="6"/>
      <c r="L621" s="6"/>
      <c r="M621" s="6"/>
      <c r="N621" s="6"/>
      <c r="O621" s="6"/>
      <c r="P621" s="6"/>
      <c r="Q621" s="6"/>
      <c r="R621" s="6"/>
    </row>
    <row r="622" spans="6:18" x14ac:dyDescent="0.25">
      <c r="F622" s="5">
        <f t="shared" si="62"/>
        <v>1.9348186117867383E-10</v>
      </c>
      <c r="G622" s="4">
        <f t="shared" si="59"/>
        <v>44.071191677755564</v>
      </c>
      <c r="H622" s="3">
        <f t="shared" si="60"/>
        <v>227779448725.98337</v>
      </c>
      <c r="I622">
        <f t="shared" si="61"/>
        <v>10038511745056.309</v>
      </c>
      <c r="J622" s="6"/>
      <c r="K622" s="6"/>
      <c r="L622" s="6"/>
      <c r="M622" s="6"/>
      <c r="N622" s="6"/>
      <c r="O622" s="6"/>
      <c r="P622" s="6"/>
      <c r="Q622" s="6"/>
      <c r="R622" s="6"/>
    </row>
    <row r="623" spans="6:18" x14ac:dyDescent="0.25">
      <c r="F623" s="5">
        <f t="shared" si="62"/>
        <v>1.8581997947599832E-10</v>
      </c>
      <c r="G623" s="4">
        <f t="shared" si="59"/>
        <v>43.189767844200453</v>
      </c>
      <c r="H623" s="3">
        <f t="shared" si="60"/>
        <v>232428008904.06467</v>
      </c>
      <c r="I623">
        <f t="shared" si="61"/>
        <v>10038511745056.309</v>
      </c>
      <c r="J623" s="6"/>
      <c r="K623" s="6"/>
      <c r="L623" s="6"/>
      <c r="M623" s="6"/>
      <c r="N623" s="6"/>
      <c r="O623" s="6"/>
      <c r="P623" s="6"/>
      <c r="Q623" s="6"/>
      <c r="R623" s="6"/>
    </row>
    <row r="624" spans="6:18" x14ac:dyDescent="0.25">
      <c r="F624" s="5">
        <f t="shared" si="62"/>
        <v>1.7846150828874876E-10</v>
      </c>
      <c r="G624" s="4">
        <f t="shared" si="59"/>
        <v>42.325972487316442</v>
      </c>
      <c r="H624" s="3">
        <f t="shared" si="60"/>
        <v>237171437657.20886</v>
      </c>
      <c r="I624">
        <f t="shared" si="61"/>
        <v>10038511745056.309</v>
      </c>
      <c r="J624" s="6"/>
      <c r="K624" s="6"/>
      <c r="L624" s="6"/>
      <c r="M624" s="6"/>
      <c r="N624" s="6"/>
      <c r="O624" s="6"/>
      <c r="P624" s="6"/>
      <c r="Q624" s="6"/>
      <c r="R624" s="6"/>
    </row>
    <row r="625" spans="6:18" x14ac:dyDescent="0.25">
      <c r="F625" s="5">
        <f t="shared" si="62"/>
        <v>1.7139443256051432E-10</v>
      </c>
      <c r="G625" s="4">
        <f t="shared" si="59"/>
        <v>41.47945303757011</v>
      </c>
      <c r="H625" s="3">
        <f t="shared" si="60"/>
        <v>242011671078.78455</v>
      </c>
      <c r="I625">
        <f t="shared" si="61"/>
        <v>10038511745056.309</v>
      </c>
      <c r="J625" s="6"/>
      <c r="K625" s="6"/>
      <c r="L625" s="6"/>
      <c r="M625" s="6"/>
      <c r="N625" s="6"/>
      <c r="O625" s="6"/>
      <c r="P625" s="6"/>
      <c r="Q625" s="6"/>
      <c r="R625" s="6"/>
    </row>
    <row r="626" spans="6:18" x14ac:dyDescent="0.25">
      <c r="F626" s="5">
        <f t="shared" si="62"/>
        <v>1.6460721303111794E-10</v>
      </c>
      <c r="G626" s="4">
        <f t="shared" ref="G626:G689" si="63">G625*(1-$O$1)</f>
        <v>40.649863976818708</v>
      </c>
      <c r="H626" s="3">
        <f t="shared" ref="H626:H689" si="64">I626/G626</f>
        <v>246950684774.26996</v>
      </c>
      <c r="I626">
        <f t="shared" ref="I626:I689" si="65">I625</f>
        <v>10038511745056.309</v>
      </c>
      <c r="J626" s="6"/>
      <c r="K626" s="6"/>
      <c r="L626" s="6"/>
      <c r="M626" s="6"/>
      <c r="N626" s="6"/>
      <c r="O626" s="6"/>
      <c r="P626" s="6"/>
      <c r="Q626" s="6"/>
      <c r="R626" s="6"/>
    </row>
    <row r="627" spans="6:18" x14ac:dyDescent="0.25">
      <c r="F627" s="5">
        <f t="shared" si="62"/>
        <v>1.5808876739508567E-10</v>
      </c>
      <c r="G627" s="4">
        <f t="shared" si="63"/>
        <v>39.836866697282332</v>
      </c>
      <c r="H627" s="3">
        <f t="shared" si="64"/>
        <v>251990494667.62241</v>
      </c>
      <c r="I627">
        <f t="shared" si="65"/>
        <v>10038511745056.309</v>
      </c>
      <c r="J627" s="6"/>
      <c r="K627" s="6"/>
      <c r="L627" s="6"/>
      <c r="M627" s="6"/>
      <c r="N627" s="6"/>
      <c r="O627" s="6"/>
      <c r="P627" s="6"/>
      <c r="Q627" s="6"/>
      <c r="R627" s="6"/>
    </row>
    <row r="628" spans="6:18" x14ac:dyDescent="0.25">
      <c r="F628" s="5">
        <f t="shared" si="62"/>
        <v>1.5182845220624024E-10</v>
      </c>
      <c r="G628" s="4">
        <f t="shared" si="63"/>
        <v>39.040129363336682</v>
      </c>
      <c r="H628" s="3">
        <f t="shared" si="64"/>
        <v>257133157824.10452</v>
      </c>
      <c r="I628">
        <f t="shared" si="65"/>
        <v>10038511745056.309</v>
      </c>
      <c r="J628" s="6"/>
      <c r="K628" s="6"/>
      <c r="L628" s="6"/>
      <c r="M628" s="6"/>
      <c r="N628" s="6"/>
      <c r="O628" s="6"/>
      <c r="P628" s="6"/>
      <c r="Q628" s="6"/>
      <c r="R628" s="6"/>
    </row>
    <row r="629" spans="6:18" x14ac:dyDescent="0.25">
      <c r="F629" s="5">
        <f t="shared" si="62"/>
        <v>1.4581604549887312E-10</v>
      </c>
      <c r="G629" s="4">
        <f t="shared" si="63"/>
        <v>38.259326776069948</v>
      </c>
      <c r="H629" s="3">
        <f t="shared" si="64"/>
        <v>262380773289.90259</v>
      </c>
      <c r="I629">
        <f t="shared" si="65"/>
        <v>10038511745056.309</v>
      </c>
      <c r="J629" s="6"/>
      <c r="K629" s="6"/>
      <c r="L629" s="6"/>
      <c r="M629" s="6"/>
      <c r="N629" s="6"/>
      <c r="O629" s="6"/>
      <c r="P629" s="6"/>
      <c r="Q629" s="6"/>
      <c r="R629" s="6"/>
    </row>
    <row r="630" spans="6:18" x14ac:dyDescent="0.25">
      <c r="F630" s="5">
        <f t="shared" si="62"/>
        <v>1.4004173009711772E-10</v>
      </c>
      <c r="G630" s="4">
        <f t="shared" si="63"/>
        <v>37.494140240548546</v>
      </c>
      <c r="H630" s="3">
        <f t="shared" si="64"/>
        <v>267735482948.88022</v>
      </c>
      <c r="I630">
        <f t="shared" si="65"/>
        <v>10038511745056.309</v>
      </c>
      <c r="J630" s="6"/>
      <c r="K630" s="6"/>
      <c r="L630" s="6"/>
      <c r="M630" s="6"/>
      <c r="N630" s="6"/>
      <c r="O630" s="6"/>
      <c r="P630" s="6"/>
      <c r="Q630" s="6"/>
      <c r="R630" s="6"/>
    </row>
    <row r="631" spans="6:18" x14ac:dyDescent="0.25">
      <c r="F631" s="5">
        <f t="shared" si="62"/>
        <v>1.3449607758527185E-10</v>
      </c>
      <c r="G631" s="4">
        <f t="shared" si="63"/>
        <v>36.744257435737573</v>
      </c>
      <c r="H631" s="3">
        <f t="shared" si="64"/>
        <v>273199472396.81656</v>
      </c>
      <c r="I631">
        <f t="shared" si="65"/>
        <v>10038511745056.309</v>
      </c>
      <c r="J631" s="6"/>
      <c r="K631" s="6"/>
      <c r="L631" s="6"/>
      <c r="M631" s="6"/>
      <c r="N631" s="6"/>
      <c r="O631" s="6"/>
      <c r="P631" s="6"/>
      <c r="Q631" s="6"/>
      <c r="R631" s="6"/>
    </row>
    <row r="632" spans="6:18" x14ac:dyDescent="0.25">
      <c r="F632" s="5">
        <f t="shared" si="62"/>
        <v>1.2917003291289508E-10</v>
      </c>
      <c r="G632" s="4">
        <f t="shared" si="63"/>
        <v>36.009372287022821</v>
      </c>
      <c r="H632" s="3">
        <f t="shared" si="64"/>
        <v>278774971833.48627</v>
      </c>
      <c r="I632">
        <f t="shared" si="65"/>
        <v>10038511745056.309</v>
      </c>
      <c r="J632" s="6"/>
      <c r="K632" s="6"/>
      <c r="L632" s="6"/>
      <c r="M632" s="6"/>
      <c r="N632" s="6"/>
      <c r="O632" s="6"/>
      <c r="P632" s="6"/>
      <c r="Q632" s="6"/>
      <c r="R632" s="6"/>
    </row>
    <row r="633" spans="6:18" x14ac:dyDescent="0.25">
      <c r="F633" s="5">
        <f t="shared" si="62"/>
        <v>1.2405489960954442E-10</v>
      </c>
      <c r="G633" s="4">
        <f t="shared" si="63"/>
        <v>35.289184841282363</v>
      </c>
      <c r="H633" s="3">
        <f t="shared" si="64"/>
        <v>284464256972.94519</v>
      </c>
      <c r="I633">
        <f t="shared" si="65"/>
        <v>10038511745056.309</v>
      </c>
      <c r="J633" s="6"/>
      <c r="K633" s="6"/>
      <c r="L633" s="6"/>
      <c r="M633" s="6"/>
      <c r="N633" s="6"/>
      <c r="O633" s="6"/>
      <c r="P633" s="6"/>
      <c r="Q633" s="6"/>
      <c r="R633" s="6"/>
    </row>
    <row r="634" spans="6:18" x14ac:dyDescent="0.25">
      <c r="F634" s="5">
        <f t="shared" si="62"/>
        <v>1.1914232558500646E-10</v>
      </c>
      <c r="G634" s="4">
        <f t="shared" si="63"/>
        <v>34.583401144456715</v>
      </c>
      <c r="H634" s="3">
        <f t="shared" si="64"/>
        <v>290269649972.39307</v>
      </c>
      <c r="I634">
        <f t="shared" si="65"/>
        <v>10038511745056.309</v>
      </c>
      <c r="J634" s="6"/>
      <c r="K634" s="6"/>
      <c r="L634" s="6"/>
      <c r="M634" s="6"/>
      <c r="N634" s="6"/>
      <c r="O634" s="6"/>
      <c r="P634" s="6"/>
      <c r="Q634" s="6"/>
      <c r="R634" s="6"/>
    </row>
    <row r="635" spans="6:18" x14ac:dyDescent="0.25">
      <c r="F635" s="5">
        <f t="shared" si="62"/>
        <v>1.1442428949184021E-10</v>
      </c>
      <c r="G635" s="4">
        <f t="shared" si="63"/>
        <v>33.891733121567583</v>
      </c>
      <c r="H635" s="3">
        <f t="shared" si="64"/>
        <v>296193520379.99292</v>
      </c>
      <c r="I635">
        <f t="shared" si="65"/>
        <v>10038511745056.309</v>
      </c>
      <c r="J635" s="6"/>
      <c r="K635" s="6"/>
      <c r="L635" s="6"/>
      <c r="M635" s="6"/>
      <c r="N635" s="6"/>
      <c r="O635" s="6"/>
      <c r="P635" s="6"/>
      <c r="Q635" s="6"/>
      <c r="R635" s="6"/>
    </row>
    <row r="636" spans="6:18" x14ac:dyDescent="0.25">
      <c r="F636" s="5">
        <f t="shared" si="62"/>
        <v>1.0989308762796335E-10</v>
      </c>
      <c r="G636" s="4">
        <f t="shared" si="63"/>
        <v>33.213898459136232</v>
      </c>
      <c r="H636" s="3">
        <f t="shared" si="64"/>
        <v>302238286102.03357</v>
      </c>
      <c r="I636">
        <f t="shared" si="65"/>
        <v>10038511745056.309</v>
      </c>
      <c r="J636" s="6"/>
      <c r="K636" s="6"/>
      <c r="L636" s="6"/>
      <c r="M636" s="6"/>
      <c r="N636" s="6"/>
      <c r="O636" s="6"/>
      <c r="P636" s="6"/>
      <c r="Q636" s="6"/>
      <c r="R636" s="6"/>
    </row>
    <row r="637" spans="6:18" x14ac:dyDescent="0.25">
      <c r="F637" s="5">
        <f t="shared" si="62"/>
        <v>1.0554132135789598E-10</v>
      </c>
      <c r="G637" s="4">
        <f t="shared" si="63"/>
        <v>32.549620489953504</v>
      </c>
      <c r="H637" s="3">
        <f t="shared" si="64"/>
        <v>308406414389.8302</v>
      </c>
      <c r="I637">
        <f t="shared" si="65"/>
        <v>10038511745056.309</v>
      </c>
      <c r="J637" s="6"/>
      <c r="K637" s="6"/>
      <c r="L637" s="6"/>
      <c r="M637" s="6"/>
      <c r="N637" s="6"/>
      <c r="O637" s="6"/>
      <c r="P637" s="6"/>
      <c r="Q637" s="6"/>
      <c r="R637" s="6"/>
    </row>
    <row r="638" spans="6:18" x14ac:dyDescent="0.25">
      <c r="F638" s="5">
        <f t="shared" si="62"/>
        <v>1.0136188503212331E-10</v>
      </c>
      <c r="G638" s="4">
        <f t="shared" si="63"/>
        <v>31.898628080154435</v>
      </c>
      <c r="H638" s="3">
        <f t="shared" si="64"/>
        <v>314700422846.7655</v>
      </c>
      <c r="I638">
        <f t="shared" si="65"/>
        <v>10038511745056.309</v>
      </c>
      <c r="J638" s="6"/>
      <c r="K638" s="6"/>
      <c r="L638" s="6"/>
      <c r="M638" s="6"/>
      <c r="N638" s="6"/>
      <c r="O638" s="6"/>
      <c r="P638" s="6"/>
      <c r="Q638" s="6"/>
      <c r="R638" s="6"/>
    </row>
    <row r="639" spans="6:18" x14ac:dyDescent="0.25">
      <c r="F639" s="5">
        <f t="shared" si="62"/>
        <v>9.7347954384851221E-11</v>
      </c>
      <c r="G639" s="4">
        <f t="shared" si="63"/>
        <v>31.260655518551346</v>
      </c>
      <c r="H639" s="3">
        <f t="shared" si="64"/>
        <v>321122880455.88318</v>
      </c>
      <c r="I639">
        <f t="shared" si="65"/>
        <v>10038511745056.309</v>
      </c>
      <c r="J639" s="6"/>
      <c r="K639" s="6"/>
      <c r="L639" s="6"/>
      <c r="M639" s="6"/>
      <c r="N639" s="6"/>
      <c r="O639" s="6"/>
      <c r="P639" s="6"/>
      <c r="Q639" s="6"/>
      <c r="R639" s="6"/>
    </row>
    <row r="640" spans="6:18" x14ac:dyDescent="0.25">
      <c r="F640" s="5">
        <f t="shared" si="62"/>
        <v>9.3492975391211113E-11</v>
      </c>
      <c r="G640" s="4">
        <f t="shared" si="63"/>
        <v>30.635442408180317</v>
      </c>
      <c r="H640" s="3">
        <f t="shared" si="64"/>
        <v>327676408628.45221</v>
      </c>
      <c r="I640">
        <f t="shared" si="65"/>
        <v>10038511745056.309</v>
      </c>
      <c r="J640" s="6"/>
      <c r="K640" s="6"/>
      <c r="L640" s="6"/>
      <c r="M640" s="6"/>
      <c r="N640" s="6"/>
      <c r="O640" s="6"/>
      <c r="P640" s="6"/>
      <c r="Q640" s="6"/>
      <c r="R640" s="6"/>
    </row>
    <row r="641" spans="6:18" x14ac:dyDescent="0.25">
      <c r="F641" s="5">
        <f t="shared" si="62"/>
        <v>8.9790653565719138E-11</v>
      </c>
      <c r="G641" s="4">
        <f t="shared" si="63"/>
        <v>30.022733560016711</v>
      </c>
      <c r="H641" s="3">
        <f t="shared" si="64"/>
        <v>334363682273.93085</v>
      </c>
      <c r="I641">
        <f t="shared" si="65"/>
        <v>10038511745056.309</v>
      </c>
      <c r="J641" s="6"/>
      <c r="K641" s="6"/>
      <c r="L641" s="6"/>
      <c r="M641" s="6"/>
      <c r="N641" s="6"/>
      <c r="O641" s="6"/>
      <c r="P641" s="6"/>
      <c r="Q641" s="6"/>
      <c r="R641" s="6"/>
    </row>
    <row r="642" spans="6:18" x14ac:dyDescent="0.25">
      <c r="F642" s="5">
        <f t="shared" si="62"/>
        <v>8.6234943684516655E-11</v>
      </c>
      <c r="G642" s="4">
        <f t="shared" si="63"/>
        <v>29.422278888816376</v>
      </c>
      <c r="H642" s="3">
        <f t="shared" si="64"/>
        <v>341187430891.76617</v>
      </c>
      <c r="I642">
        <f t="shared" si="65"/>
        <v>10038511745056.309</v>
      </c>
      <c r="J642" s="6"/>
      <c r="K642" s="6"/>
      <c r="L642" s="6"/>
      <c r="M642" s="6"/>
      <c r="N642" s="6"/>
      <c r="O642" s="6"/>
      <c r="P642" s="6"/>
      <c r="Q642" s="6"/>
      <c r="R642" s="6"/>
    </row>
    <row r="643" spans="6:18" x14ac:dyDescent="0.25">
      <c r="F643" s="5">
        <f t="shared" si="62"/>
        <v>8.2820039914609798E-11</v>
      </c>
      <c r="G643" s="4">
        <f t="shared" si="63"/>
        <v>28.833833311040049</v>
      </c>
      <c r="H643" s="3">
        <f t="shared" si="64"/>
        <v>348150439685.47571</v>
      </c>
      <c r="I643">
        <f t="shared" si="65"/>
        <v>10038511745056.309</v>
      </c>
      <c r="J643" s="6"/>
      <c r="K643" s="6"/>
      <c r="L643" s="6"/>
      <c r="M643" s="6"/>
      <c r="N643" s="6"/>
      <c r="O643" s="6"/>
      <c r="P643" s="6"/>
      <c r="Q643" s="6"/>
      <c r="R643" s="6"/>
    </row>
    <row r="644" spans="6:18" x14ac:dyDescent="0.25">
      <c r="F644" s="5">
        <f t="shared" si="62"/>
        <v>7.9540366333991241E-11</v>
      </c>
      <c r="G644" s="4">
        <f t="shared" si="63"/>
        <v>28.257156644819247</v>
      </c>
      <c r="H644" s="3">
        <f t="shared" si="64"/>
        <v>355255550699.46503</v>
      </c>
      <c r="I644">
        <f t="shared" si="65"/>
        <v>10038511745056.309</v>
      </c>
      <c r="J644" s="6"/>
      <c r="K644" s="6"/>
      <c r="L644" s="6"/>
      <c r="M644" s="6"/>
      <c r="N644" s="6"/>
      <c r="O644" s="6"/>
      <c r="P644" s="6"/>
      <c r="Q644" s="6"/>
      <c r="R644" s="6"/>
    </row>
    <row r="645" spans="6:18" x14ac:dyDescent="0.25">
      <c r="F645" s="5">
        <f t="shared" si="62"/>
        <v>7.6390567827165198E-11</v>
      </c>
      <c r="G645" s="4">
        <f t="shared" si="63"/>
        <v>27.692013511922863</v>
      </c>
      <c r="H645" s="3">
        <f t="shared" si="64"/>
        <v>362505663979.0459</v>
      </c>
      <c r="I645">
        <f t="shared" si="65"/>
        <v>10038511745056.309</v>
      </c>
      <c r="J645" s="6"/>
      <c r="K645" s="6"/>
      <c r="L645" s="6"/>
      <c r="M645" s="6"/>
      <c r="N645" s="6"/>
      <c r="O645" s="6"/>
      <c r="P645" s="6"/>
      <c r="Q645" s="6"/>
      <c r="R645" s="6"/>
    </row>
    <row r="646" spans="6:18" x14ac:dyDescent="0.25">
      <c r="F646" s="5">
        <f t="shared" si="62"/>
        <v>7.3365501341209452E-11</v>
      </c>
      <c r="G646" s="4">
        <f t="shared" si="63"/>
        <v>27.138173241684406</v>
      </c>
      <c r="H646" s="3">
        <f t="shared" si="64"/>
        <v>369903738754.12848</v>
      </c>
      <c r="I646">
        <f t="shared" si="65"/>
        <v>10038511745056.309</v>
      </c>
      <c r="J646" s="6"/>
      <c r="K646" s="6"/>
      <c r="L646" s="6"/>
      <c r="M646" s="6"/>
      <c r="N646" s="6"/>
      <c r="O646" s="6"/>
      <c r="P646" s="6"/>
      <c r="Q646" s="6"/>
      <c r="R646" s="6"/>
    </row>
    <row r="647" spans="6:18" x14ac:dyDescent="0.25">
      <c r="F647" s="5">
        <f t="shared" si="62"/>
        <v>7.0460227488097569E-11</v>
      </c>
      <c r="G647" s="4">
        <f t="shared" si="63"/>
        <v>26.595409776850719</v>
      </c>
      <c r="H647" s="3">
        <f t="shared" si="64"/>
        <v>377452794647.06989</v>
      </c>
      <c r="I647">
        <f t="shared" si="65"/>
        <v>10038511745056.309</v>
      </c>
      <c r="J647" s="6"/>
      <c r="K647" s="6"/>
      <c r="L647" s="6"/>
      <c r="M647" s="6"/>
      <c r="N647" s="6"/>
      <c r="O647" s="6"/>
      <c r="P647" s="6"/>
      <c r="Q647" s="6"/>
      <c r="R647" s="6"/>
    </row>
    <row r="648" spans="6:18" x14ac:dyDescent="0.25">
      <c r="F648" s="5">
        <f t="shared" si="62"/>
        <v>6.7670002479568906E-11</v>
      </c>
      <c r="G648" s="4">
        <f t="shared" si="63"/>
        <v>26.063501581313705</v>
      </c>
      <c r="H648" s="3">
        <f t="shared" si="64"/>
        <v>385155912905.17334</v>
      </c>
      <c r="I648">
        <f t="shared" si="65"/>
        <v>10038511745056.309</v>
      </c>
      <c r="J648" s="6"/>
      <c r="K648" s="6"/>
      <c r="L648" s="6"/>
      <c r="M648" s="6"/>
      <c r="N648" s="6"/>
      <c r="O648" s="6"/>
      <c r="P648" s="6"/>
      <c r="Q648" s="6"/>
      <c r="R648" s="6"/>
    </row>
    <row r="649" spans="6:18" x14ac:dyDescent="0.25">
      <c r="F649" s="5">
        <f t="shared" ref="F649:F712" si="66">G649/H649</f>
        <v>6.4990270381377968E-11</v>
      </c>
      <c r="G649" s="4">
        <f t="shared" si="63"/>
        <v>25.542231549687429</v>
      </c>
      <c r="H649" s="3">
        <f t="shared" si="64"/>
        <v>393016237658.34015</v>
      </c>
      <c r="I649">
        <f t="shared" si="65"/>
        <v>10038511745056.309</v>
      </c>
      <c r="J649" s="6"/>
      <c r="K649" s="6"/>
      <c r="L649" s="6"/>
      <c r="M649" s="6"/>
      <c r="N649" s="6"/>
      <c r="O649" s="6"/>
      <c r="P649" s="6"/>
      <c r="Q649" s="6"/>
      <c r="R649" s="6"/>
    </row>
    <row r="650" spans="6:18" x14ac:dyDescent="0.25">
      <c r="F650" s="5">
        <f t="shared" si="66"/>
        <v>6.2416655674275401E-11</v>
      </c>
      <c r="G650" s="4">
        <f t="shared" si="63"/>
        <v>25.031386918693681</v>
      </c>
      <c r="H650" s="3">
        <f t="shared" si="64"/>
        <v>401036977202.38794</v>
      </c>
      <c r="I650">
        <f t="shared" si="65"/>
        <v>10038511745056.309</v>
      </c>
      <c r="J650" s="6"/>
      <c r="K650" s="6"/>
      <c r="L650" s="6"/>
      <c r="M650" s="6"/>
      <c r="N650" s="6"/>
      <c r="O650" s="6"/>
      <c r="P650" s="6"/>
      <c r="Q650" s="6"/>
      <c r="R650" s="6"/>
    </row>
    <row r="651" spans="6:18" x14ac:dyDescent="0.25">
      <c r="F651" s="5">
        <f t="shared" si="66"/>
        <v>5.9944956109574089E-11</v>
      </c>
      <c r="G651" s="4">
        <f t="shared" si="63"/>
        <v>24.530759180319805</v>
      </c>
      <c r="H651" s="3">
        <f t="shared" si="64"/>
        <v>409221405308.55914</v>
      </c>
      <c r="I651">
        <f t="shared" si="65"/>
        <v>10038511745056.309</v>
      </c>
      <c r="J651" s="6"/>
      <c r="K651" s="6"/>
      <c r="L651" s="6"/>
      <c r="M651" s="6"/>
      <c r="N651" s="6"/>
      <c r="O651" s="6"/>
      <c r="P651" s="6"/>
      <c r="Q651" s="6"/>
      <c r="R651" s="6"/>
    </row>
    <row r="652" spans="6:18" x14ac:dyDescent="0.25">
      <c r="F652" s="5">
        <f t="shared" si="66"/>
        <v>5.7571135847634951E-11</v>
      </c>
      <c r="G652" s="4">
        <f t="shared" si="63"/>
        <v>24.040143996713407</v>
      </c>
      <c r="H652" s="3">
        <f t="shared" si="64"/>
        <v>417572862559.75421</v>
      </c>
      <c r="I652">
        <f t="shared" si="65"/>
        <v>10038511745056.309</v>
      </c>
      <c r="J652" s="6"/>
      <c r="K652" s="6"/>
      <c r="L652" s="6"/>
      <c r="M652" s="6"/>
      <c r="N652" s="6"/>
      <c r="O652" s="6"/>
      <c r="P652" s="6"/>
      <c r="Q652" s="6"/>
      <c r="R652" s="6"/>
    </row>
    <row r="653" spans="6:18" x14ac:dyDescent="0.25">
      <c r="F653" s="5">
        <f t="shared" si="66"/>
        <v>5.5291318868068592E-11</v>
      </c>
      <c r="G653" s="4">
        <f t="shared" si="63"/>
        <v>23.559341116779137</v>
      </c>
      <c r="H653" s="3">
        <f t="shared" si="64"/>
        <v>426094757714.03497</v>
      </c>
      <c r="I653">
        <f t="shared" si="65"/>
        <v>10038511745056.309</v>
      </c>
      <c r="J653" s="6"/>
      <c r="K653" s="6"/>
      <c r="L653" s="6"/>
      <c r="M653" s="6"/>
      <c r="N653" s="6"/>
      <c r="O653" s="6"/>
      <c r="P653" s="6"/>
      <c r="Q653" s="6"/>
      <c r="R653" s="6"/>
    </row>
    <row r="654" spans="6:18" x14ac:dyDescent="0.25">
      <c r="F654" s="5">
        <f t="shared" si="66"/>
        <v>5.310178264089308E-11</v>
      </c>
      <c r="G654" s="4">
        <f t="shared" si="63"/>
        <v>23.088154294443555</v>
      </c>
      <c r="H654" s="3">
        <f t="shared" si="64"/>
        <v>434790569095.95404</v>
      </c>
      <c r="I654">
        <f t="shared" si="65"/>
        <v>10038511745056.309</v>
      </c>
      <c r="J654" s="6"/>
      <c r="K654" s="6"/>
      <c r="L654" s="6"/>
      <c r="M654" s="6"/>
      <c r="N654" s="6"/>
      <c r="O654" s="6"/>
      <c r="P654" s="6"/>
      <c r="Q654" s="6"/>
      <c r="R654" s="6"/>
    </row>
    <row r="655" spans="6:18" x14ac:dyDescent="0.25">
      <c r="F655" s="5">
        <f t="shared" si="66"/>
        <v>5.0998952048313708E-11</v>
      </c>
      <c r="G655" s="4">
        <f t="shared" si="63"/>
        <v>22.626391208554683</v>
      </c>
      <c r="H655" s="3">
        <f t="shared" si="64"/>
        <v>443663846016.27966</v>
      </c>
      <c r="I655">
        <f t="shared" si="65"/>
        <v>10038511745056.309</v>
      </c>
      <c r="J655" s="6"/>
      <c r="K655" s="6"/>
      <c r="L655" s="6"/>
      <c r="M655" s="6"/>
      <c r="N655" s="6"/>
      <c r="O655" s="6"/>
      <c r="P655" s="6"/>
      <c r="Q655" s="6"/>
      <c r="R655" s="6"/>
    </row>
    <row r="656" spans="6:18" x14ac:dyDescent="0.25">
      <c r="F656" s="5">
        <f t="shared" si="66"/>
        <v>4.8979393547200481E-11</v>
      </c>
      <c r="G656" s="4">
        <f t="shared" si="63"/>
        <v>22.173863384383587</v>
      </c>
      <c r="H656" s="3">
        <f t="shared" si="64"/>
        <v>452718210220.69354</v>
      </c>
      <c r="I656">
        <f t="shared" si="65"/>
        <v>10038511745056.309</v>
      </c>
      <c r="J656" s="6"/>
      <c r="K656" s="6"/>
      <c r="L656" s="6"/>
      <c r="M656" s="6"/>
      <c r="N656" s="6"/>
      <c r="O656" s="6"/>
      <c r="P656" s="6"/>
      <c r="Q656" s="6"/>
      <c r="R656" s="6"/>
    </row>
    <row r="657" spans="6:18" x14ac:dyDescent="0.25">
      <c r="F657" s="5">
        <f t="shared" si="66"/>
        <v>4.7039809562731332E-11</v>
      </c>
      <c r="G657" s="4">
        <f t="shared" si="63"/>
        <v>21.730386116695914</v>
      </c>
      <c r="H657" s="3">
        <f t="shared" si="64"/>
        <v>461957357368.05469</v>
      </c>
      <c r="I657">
        <f t="shared" si="65"/>
        <v>10038511745056.309</v>
      </c>
      <c r="J657" s="6"/>
      <c r="K657" s="6"/>
      <c r="L657" s="6"/>
      <c r="M657" s="6"/>
      <c r="N657" s="6"/>
      <c r="O657" s="6"/>
      <c r="P657" s="6"/>
      <c r="Q657" s="6"/>
      <c r="R657" s="6"/>
    </row>
    <row r="658" spans="6:18" x14ac:dyDescent="0.25">
      <c r="F658" s="5">
        <f t="shared" si="66"/>
        <v>4.5177033104047171E-11</v>
      </c>
      <c r="G658" s="4">
        <f t="shared" si="63"/>
        <v>21.295778394361996</v>
      </c>
      <c r="H658" s="3">
        <f t="shared" si="64"/>
        <v>471385058538.8313</v>
      </c>
      <c r="I658">
        <f t="shared" si="65"/>
        <v>10038511745056.309</v>
      </c>
      <c r="J658" s="6"/>
      <c r="K658" s="6"/>
      <c r="L658" s="6"/>
      <c r="M658" s="6"/>
      <c r="N658" s="6"/>
      <c r="O658" s="6"/>
      <c r="P658" s="6"/>
      <c r="Q658" s="6"/>
      <c r="R658" s="6"/>
    </row>
    <row r="659" spans="6:18" x14ac:dyDescent="0.25">
      <c r="F659" s="5">
        <f t="shared" si="66"/>
        <v>4.3388022593126899E-11</v>
      </c>
      <c r="G659" s="4">
        <f t="shared" si="63"/>
        <v>20.869862826474755</v>
      </c>
      <c r="H659" s="3">
        <f t="shared" si="64"/>
        <v>481005161774.31769</v>
      </c>
      <c r="I659">
        <f t="shared" si="65"/>
        <v>10038511745056.309</v>
      </c>
      <c r="J659" s="6"/>
      <c r="K659" s="6"/>
      <c r="L659" s="6"/>
      <c r="M659" s="6"/>
      <c r="N659" s="6"/>
      <c r="O659" s="6"/>
      <c r="P659" s="6"/>
      <c r="Q659" s="6"/>
      <c r="R659" s="6"/>
    </row>
    <row r="660" spans="6:18" x14ac:dyDescent="0.25">
      <c r="F660" s="5">
        <f t="shared" si="66"/>
        <v>4.1669856898439079E-11</v>
      </c>
      <c r="G660" s="4">
        <f t="shared" si="63"/>
        <v>20.452465569945261</v>
      </c>
      <c r="H660" s="3">
        <f t="shared" si="64"/>
        <v>490821593647.26294</v>
      </c>
      <c r="I660">
        <f t="shared" si="65"/>
        <v>10038511745056.309</v>
      </c>
      <c r="J660" s="6"/>
      <c r="K660" s="6"/>
      <c r="L660" s="6"/>
      <c r="M660" s="6"/>
      <c r="N660" s="6"/>
      <c r="O660" s="6"/>
      <c r="P660" s="6"/>
      <c r="Q660" s="6"/>
      <c r="R660" s="6"/>
    </row>
    <row r="661" spans="6:18" x14ac:dyDescent="0.25">
      <c r="F661" s="5">
        <f t="shared" si="66"/>
        <v>4.001973056526089E-11</v>
      </c>
      <c r="G661" s="4">
        <f t="shared" si="63"/>
        <v>20.043416258546355</v>
      </c>
      <c r="H661" s="3">
        <f t="shared" si="64"/>
        <v>500838360864.55402</v>
      </c>
      <c r="I661">
        <f t="shared" si="65"/>
        <v>10038511745056.309</v>
      </c>
      <c r="J661" s="6"/>
      <c r="K661" s="6"/>
      <c r="L661" s="6"/>
      <c r="M661" s="6"/>
      <c r="N661" s="6"/>
      <c r="O661" s="6"/>
      <c r="P661" s="6"/>
      <c r="Q661" s="6"/>
      <c r="R661" s="6"/>
    </row>
    <row r="662" spans="6:18" x14ac:dyDescent="0.25">
      <c r="F662" s="5">
        <f t="shared" si="66"/>
        <v>3.8434949234876556E-11</v>
      </c>
      <c r="G662" s="4">
        <f t="shared" si="63"/>
        <v>19.642547933375429</v>
      </c>
      <c r="H662" s="3">
        <f t="shared" si="64"/>
        <v>511059551902.60614</v>
      </c>
      <c r="I662">
        <f t="shared" si="65"/>
        <v>10038511745056.309</v>
      </c>
      <c r="J662" s="6"/>
      <c r="K662" s="6"/>
      <c r="L662" s="6"/>
      <c r="M662" s="6"/>
      <c r="N662" s="6"/>
      <c r="O662" s="6"/>
      <c r="P662" s="6"/>
      <c r="Q662" s="6"/>
      <c r="R662" s="6"/>
    </row>
    <row r="663" spans="6:18" x14ac:dyDescent="0.25">
      <c r="F663" s="5">
        <f t="shared" si="66"/>
        <v>3.6912925245175448E-11</v>
      </c>
      <c r="G663" s="4">
        <f t="shared" si="63"/>
        <v>19.24969697470792</v>
      </c>
      <c r="H663" s="3">
        <f t="shared" si="64"/>
        <v>521489338676.12872</v>
      </c>
      <c r="I663">
        <f t="shared" si="65"/>
        <v>10038511745056.309</v>
      </c>
      <c r="J663" s="6"/>
      <c r="K663" s="6"/>
      <c r="L663" s="6"/>
      <c r="M663" s="6"/>
      <c r="N663" s="6"/>
      <c r="O663" s="6"/>
      <c r="P663" s="6"/>
      <c r="Q663" s="6"/>
      <c r="R663" s="6"/>
    </row>
    <row r="664" spans="6:18" x14ac:dyDescent="0.25">
      <c r="F664" s="5">
        <f t="shared" si="66"/>
        <v>3.5451173405466497E-11</v>
      </c>
      <c r="G664" s="4">
        <f t="shared" si="63"/>
        <v>18.864703035213761</v>
      </c>
      <c r="H664" s="3">
        <f t="shared" si="64"/>
        <v>532131978240.94769</v>
      </c>
      <c r="I664">
        <f t="shared" si="65"/>
        <v>10038511745056.309</v>
      </c>
      <c r="J664" s="6"/>
      <c r="K664" s="6"/>
      <c r="L664" s="6"/>
      <c r="M664" s="6"/>
      <c r="N664" s="6"/>
      <c r="O664" s="6"/>
      <c r="P664" s="6"/>
      <c r="Q664" s="6"/>
      <c r="R664" s="6"/>
    </row>
    <row r="665" spans="6:18" x14ac:dyDescent="0.25">
      <c r="F665" s="5">
        <f t="shared" si="66"/>
        <v>3.404730693861002E-11</v>
      </c>
      <c r="G665" s="4">
        <f t="shared" si="63"/>
        <v>18.487408974509485</v>
      </c>
      <c r="H665" s="3">
        <f t="shared" si="64"/>
        <v>542991814531.57928</v>
      </c>
      <c r="I665">
        <f t="shared" si="65"/>
        <v>10038511745056.309</v>
      </c>
      <c r="J665" s="6"/>
      <c r="K665" s="6"/>
      <c r="L665" s="6"/>
      <c r="M665" s="6"/>
      <c r="N665" s="6"/>
      <c r="O665" s="6"/>
      <c r="P665" s="6"/>
      <c r="Q665" s="6"/>
      <c r="R665" s="6"/>
    </row>
    <row r="666" spans="6:18" x14ac:dyDescent="0.25">
      <c r="F666" s="5">
        <f t="shared" si="66"/>
        <v>3.2699033583841058E-11</v>
      </c>
      <c r="G666" s="4">
        <f t="shared" si="63"/>
        <v>18.117660795019294</v>
      </c>
      <c r="H666" s="3">
        <f t="shared" si="64"/>
        <v>554073280134.26465</v>
      </c>
      <c r="I666">
        <f t="shared" si="65"/>
        <v>10038511745056.309</v>
      </c>
      <c r="J666" s="6"/>
      <c r="K666" s="6"/>
      <c r="L666" s="6"/>
      <c r="M666" s="6"/>
      <c r="N666" s="6"/>
      <c r="O666" s="6"/>
      <c r="P666" s="6"/>
      <c r="Q666" s="6"/>
      <c r="R666" s="6"/>
    </row>
    <row r="667" spans="6:18" x14ac:dyDescent="0.25">
      <c r="F667" s="5">
        <f t="shared" si="66"/>
        <v>3.1404151853920946E-11</v>
      </c>
      <c r="G667" s="4">
        <f t="shared" si="63"/>
        <v>17.755307579118906</v>
      </c>
      <c r="H667" s="3">
        <f t="shared" si="64"/>
        <v>565380898096.18848</v>
      </c>
      <c r="I667">
        <f t="shared" si="65"/>
        <v>10038511745056.309</v>
      </c>
      <c r="J667" s="6"/>
      <c r="K667" s="6"/>
      <c r="L667" s="6"/>
      <c r="M667" s="6"/>
      <c r="N667" s="6"/>
      <c r="O667" s="6"/>
      <c r="P667" s="6"/>
      <c r="Q667" s="6"/>
      <c r="R667" s="6"/>
    </row>
    <row r="668" spans="6:18" x14ac:dyDescent="0.25">
      <c r="F668" s="5">
        <f t="shared" si="66"/>
        <v>3.0160547440505666E-11</v>
      </c>
      <c r="G668" s="4">
        <f t="shared" si="63"/>
        <v>17.400201427536526</v>
      </c>
      <c r="H668" s="3">
        <f t="shared" si="64"/>
        <v>576919283771.62097</v>
      </c>
      <c r="I668">
        <f t="shared" si="65"/>
        <v>10038511745056.309</v>
      </c>
      <c r="J668" s="6"/>
      <c r="K668" s="6"/>
      <c r="L668" s="6"/>
      <c r="M668" s="6"/>
      <c r="N668" s="6"/>
      <c r="O668" s="6"/>
      <c r="P668" s="6"/>
      <c r="Q668" s="6"/>
      <c r="R668" s="6"/>
    </row>
    <row r="669" spans="6:18" x14ac:dyDescent="0.25">
      <c r="F669" s="5">
        <f t="shared" si="66"/>
        <v>2.8966189761861651E-11</v>
      </c>
      <c r="G669" s="4">
        <f t="shared" si="63"/>
        <v>17.052197398985797</v>
      </c>
      <c r="H669" s="3">
        <f t="shared" si="64"/>
        <v>588693146705.7356</v>
      </c>
      <c r="I669">
        <f t="shared" si="65"/>
        <v>10038511745056.309</v>
      </c>
      <c r="J669" s="6"/>
      <c r="K669" s="6"/>
      <c r="L669" s="6"/>
      <c r="M669" s="6"/>
      <c r="N669" s="6"/>
      <c r="O669" s="6"/>
      <c r="P669" s="6"/>
      <c r="Q669" s="6"/>
      <c r="R669" s="6"/>
    </row>
    <row r="670" spans="6:18" x14ac:dyDescent="0.25">
      <c r="F670" s="5">
        <f t="shared" si="66"/>
        <v>2.7819128647291927E-11</v>
      </c>
      <c r="G670" s="4">
        <f t="shared" si="63"/>
        <v>16.71115345100608</v>
      </c>
      <c r="H670" s="3">
        <f t="shared" si="64"/>
        <v>600707292556.87305</v>
      </c>
      <c r="I670">
        <f t="shared" si="65"/>
        <v>10038511745056.309</v>
      </c>
      <c r="J670" s="6"/>
      <c r="K670" s="6"/>
      <c r="L670" s="6"/>
      <c r="M670" s="6"/>
      <c r="N670" s="6"/>
      <c r="O670" s="6"/>
      <c r="P670" s="6"/>
      <c r="Q670" s="6"/>
      <c r="R670" s="6"/>
    </row>
    <row r="671" spans="6:18" x14ac:dyDescent="0.25">
      <c r="F671" s="5">
        <f t="shared" si="66"/>
        <v>2.6717491152859163E-11</v>
      </c>
      <c r="G671" s="4">
        <f t="shared" si="63"/>
        <v>16.376930381985957</v>
      </c>
      <c r="H671" s="3">
        <f t="shared" si="64"/>
        <v>612966625058.03381</v>
      </c>
      <c r="I671">
        <f t="shared" si="65"/>
        <v>10038511745056.309</v>
      </c>
      <c r="J671" s="6"/>
      <c r="K671" s="6"/>
      <c r="L671" s="6"/>
      <c r="M671" s="6"/>
      <c r="N671" s="6"/>
      <c r="O671" s="6"/>
      <c r="P671" s="6"/>
      <c r="Q671" s="6"/>
      <c r="R671" s="6"/>
    </row>
    <row r="672" spans="6:18" x14ac:dyDescent="0.25">
      <c r="F672" s="5">
        <f t="shared" si="66"/>
        <v>2.5659478503205937E-11</v>
      </c>
      <c r="G672" s="4">
        <f t="shared" si="63"/>
        <v>16.049391774346237</v>
      </c>
      <c r="H672" s="3">
        <f t="shared" si="64"/>
        <v>625476148018.40186</v>
      </c>
      <c r="I672">
        <f t="shared" si="65"/>
        <v>10038511745056.309</v>
      </c>
      <c r="J672" s="6"/>
      <c r="K672" s="6"/>
      <c r="L672" s="6"/>
      <c r="M672" s="6"/>
      <c r="N672" s="6"/>
      <c r="O672" s="6"/>
      <c r="P672" s="6"/>
      <c r="Q672" s="6"/>
      <c r="R672" s="6"/>
    </row>
    <row r="673" spans="6:18" x14ac:dyDescent="0.25">
      <c r="F673" s="5">
        <f t="shared" si="66"/>
        <v>2.4643363154478982E-11</v>
      </c>
      <c r="G673" s="4">
        <f t="shared" si="63"/>
        <v>15.728403938859312</v>
      </c>
      <c r="H673" s="3">
        <f t="shared" si="64"/>
        <v>638240967365.71619</v>
      </c>
      <c r="I673">
        <f t="shared" si="65"/>
        <v>10038511745056.309</v>
      </c>
      <c r="J673" s="6"/>
      <c r="K673" s="6"/>
      <c r="L673" s="6"/>
      <c r="M673" s="6"/>
      <c r="N673" s="6"/>
      <c r="O673" s="6"/>
      <c r="P673" s="6"/>
      <c r="Q673" s="6"/>
      <c r="R673" s="6"/>
    </row>
    <row r="674" spans="6:18" x14ac:dyDescent="0.25">
      <c r="F674" s="5">
        <f t="shared" si="66"/>
        <v>2.3667485973561608E-11</v>
      </c>
      <c r="G674" s="4">
        <f t="shared" si="63"/>
        <v>15.413835860082125</v>
      </c>
      <c r="H674" s="3">
        <f t="shared" si="64"/>
        <v>651266293230.32275</v>
      </c>
      <c r="I674">
        <f t="shared" si="65"/>
        <v>10038511745056.309</v>
      </c>
      <c r="J674" s="6"/>
      <c r="K674" s="6"/>
      <c r="L674" s="6"/>
      <c r="M674" s="6"/>
      <c r="N674" s="6"/>
      <c r="O674" s="6"/>
      <c r="P674" s="6"/>
      <c r="Q674" s="6"/>
      <c r="R674" s="6"/>
    </row>
    <row r="675" spans="6:18" x14ac:dyDescent="0.25">
      <c r="F675" s="5">
        <f t="shared" si="66"/>
        <v>2.2730253529008568E-11</v>
      </c>
      <c r="G675" s="4">
        <f t="shared" si="63"/>
        <v>15.105559142880482</v>
      </c>
      <c r="H675" s="3">
        <f t="shared" si="64"/>
        <v>664557442071.75793</v>
      </c>
      <c r="I675">
        <f t="shared" si="65"/>
        <v>10038511745056.309</v>
      </c>
      <c r="J675" s="6"/>
      <c r="K675" s="6"/>
      <c r="L675" s="6"/>
      <c r="M675" s="6"/>
      <c r="N675" s="6"/>
      <c r="O675" s="6"/>
      <c r="P675" s="6"/>
      <c r="Q675" s="6"/>
      <c r="R675" s="6"/>
    </row>
    <row r="676" spans="6:18" x14ac:dyDescent="0.25">
      <c r="F676" s="5">
        <f t="shared" si="66"/>
        <v>2.183013548925983E-11</v>
      </c>
      <c r="G676" s="4">
        <f t="shared" si="63"/>
        <v>14.803447960022872</v>
      </c>
      <c r="H676" s="3">
        <f t="shared" si="64"/>
        <v>678119838848.73254</v>
      </c>
      <c r="I676">
        <f t="shared" si="65"/>
        <v>10038511745056.309</v>
      </c>
      <c r="J676" s="6"/>
      <c r="K676" s="6"/>
      <c r="L676" s="6"/>
      <c r="M676" s="6"/>
      <c r="N676" s="6"/>
      <c r="O676" s="6"/>
      <c r="P676" s="6"/>
      <c r="Q676" s="6"/>
      <c r="R676" s="6"/>
    </row>
    <row r="677" spans="6:18" x14ac:dyDescent="0.25">
      <c r="F677" s="5">
        <f t="shared" si="66"/>
        <v>2.096566212388514E-11</v>
      </c>
      <c r="G677" s="4">
        <f t="shared" si="63"/>
        <v>14.507379000822414</v>
      </c>
      <c r="H677" s="3">
        <f t="shared" si="64"/>
        <v>691959019233.40051</v>
      </c>
      <c r="I677">
        <f t="shared" si="65"/>
        <v>10038511745056.309</v>
      </c>
      <c r="J677" s="6"/>
      <c r="K677" s="6"/>
      <c r="L677" s="6"/>
      <c r="M677" s="6"/>
      <c r="N677" s="6"/>
      <c r="O677" s="6"/>
      <c r="P677" s="6"/>
      <c r="Q677" s="6"/>
      <c r="R677" s="6"/>
    </row>
    <row r="678" spans="6:18" x14ac:dyDescent="0.25">
      <c r="F678" s="5">
        <f t="shared" si="66"/>
        <v>2.0135421903779286E-11</v>
      </c>
      <c r="G678" s="4">
        <f t="shared" si="63"/>
        <v>14.217231420805966</v>
      </c>
      <c r="H678" s="3">
        <f t="shared" si="64"/>
        <v>706080631870.81689</v>
      </c>
      <c r="I678">
        <f t="shared" si="65"/>
        <v>10038511745056.309</v>
      </c>
      <c r="J678" s="6"/>
      <c r="K678" s="6"/>
      <c r="L678" s="6"/>
      <c r="M678" s="6"/>
      <c r="N678" s="6"/>
      <c r="O678" s="6"/>
      <c r="P678" s="6"/>
      <c r="Q678" s="6"/>
      <c r="R678" s="6"/>
    </row>
    <row r="679" spans="6:18" x14ac:dyDescent="0.25">
      <c r="F679" s="5">
        <f t="shared" si="66"/>
        <v>1.9338059196389627E-11</v>
      </c>
      <c r="G679" s="4">
        <f t="shared" si="63"/>
        <v>13.932886792389846</v>
      </c>
      <c r="H679" s="3">
        <f t="shared" si="64"/>
        <v>720490440684.50708</v>
      </c>
      <c r="I679">
        <f t="shared" si="65"/>
        <v>10038511745056.309</v>
      </c>
      <c r="J679" s="6"/>
      <c r="K679" s="6"/>
      <c r="L679" s="6"/>
      <c r="M679" s="6"/>
      <c r="N679" s="6"/>
      <c r="O679" s="6"/>
      <c r="P679" s="6"/>
      <c r="Q679" s="6"/>
      <c r="R679" s="6"/>
    </row>
    <row r="680" spans="6:18" x14ac:dyDescent="0.25">
      <c r="F680" s="5">
        <f t="shared" si="66"/>
        <v>1.8572272052212593E-11</v>
      </c>
      <c r="G680" s="4">
        <f t="shared" si="63"/>
        <v>13.654229056542048</v>
      </c>
      <c r="H680" s="3">
        <f t="shared" si="64"/>
        <v>735194327229.08887</v>
      </c>
      <c r="I680">
        <f t="shared" si="65"/>
        <v>10038511745056.309</v>
      </c>
      <c r="J680" s="6"/>
      <c r="K680" s="6"/>
      <c r="L680" s="6"/>
      <c r="M680" s="6"/>
      <c r="N680" s="6"/>
      <c r="O680" s="6"/>
      <c r="P680" s="6"/>
      <c r="Q680" s="6"/>
      <c r="R680" s="6"/>
    </row>
    <row r="681" spans="6:18" x14ac:dyDescent="0.25">
      <c r="F681" s="5">
        <f t="shared" si="66"/>
        <v>1.7836810078944974E-11</v>
      </c>
      <c r="G681" s="4">
        <f t="shared" si="63"/>
        <v>13.381144475411206</v>
      </c>
      <c r="H681" s="3">
        <f t="shared" si="64"/>
        <v>750198293090.9071</v>
      </c>
      <c r="I681">
        <f t="shared" si="65"/>
        <v>10038511745056.309</v>
      </c>
      <c r="J681" s="6"/>
      <c r="K681" s="6"/>
      <c r="L681" s="6"/>
      <c r="M681" s="6"/>
      <c r="N681" s="6"/>
      <c r="O681" s="6"/>
      <c r="P681" s="6"/>
      <c r="Q681" s="6"/>
      <c r="R681" s="6"/>
    </row>
    <row r="682" spans="6:18" x14ac:dyDescent="0.25">
      <c r="F682" s="5">
        <f t="shared" si="66"/>
        <v>1.7130472399818748E-11</v>
      </c>
      <c r="G682" s="4">
        <f t="shared" si="63"/>
        <v>13.113521585902982</v>
      </c>
      <c r="H682" s="3">
        <f t="shared" si="64"/>
        <v>765508462337.6604</v>
      </c>
      <c r="I682">
        <f t="shared" si="65"/>
        <v>10038511745056.309</v>
      </c>
      <c r="J682" s="6"/>
      <c r="K682" s="6"/>
      <c r="L682" s="6"/>
      <c r="M682" s="6"/>
      <c r="N682" s="6"/>
      <c r="O682" s="6"/>
      <c r="P682" s="6"/>
      <c r="Q682" s="6"/>
      <c r="R682" s="6"/>
    </row>
    <row r="683" spans="6:18" x14ac:dyDescent="0.25">
      <c r="F683" s="5">
        <f t="shared" si="66"/>
        <v>1.6452105692785928E-11</v>
      </c>
      <c r="G683" s="4">
        <f t="shared" si="63"/>
        <v>12.851251154184922</v>
      </c>
      <c r="H683" s="3">
        <f t="shared" si="64"/>
        <v>781131084018.02075</v>
      </c>
      <c r="I683">
        <f t="shared" si="65"/>
        <v>10038511745056.309</v>
      </c>
      <c r="J683" s="6"/>
      <c r="K683" s="6"/>
      <c r="L683" s="6"/>
      <c r="M683" s="6"/>
      <c r="N683" s="6"/>
      <c r="O683" s="6"/>
      <c r="P683" s="6"/>
      <c r="Q683" s="6"/>
      <c r="R683" s="6"/>
    </row>
    <row r="684" spans="6:18" x14ac:dyDescent="0.25">
      <c r="F684" s="5">
        <f t="shared" si="66"/>
        <v>1.5800602307351605E-11</v>
      </c>
      <c r="G684" s="4">
        <f t="shared" si="63"/>
        <v>12.594226131101223</v>
      </c>
      <c r="H684" s="3">
        <f t="shared" si="64"/>
        <v>797072534712.26611</v>
      </c>
      <c r="I684">
        <f t="shared" si="65"/>
        <v>10038511745056.309</v>
      </c>
      <c r="J684" s="6"/>
      <c r="K684" s="6"/>
      <c r="L684" s="6"/>
      <c r="M684" s="6"/>
      <c r="N684" s="6"/>
      <c r="O684" s="6"/>
      <c r="P684" s="6"/>
      <c r="Q684" s="6"/>
      <c r="R684" s="6"/>
    </row>
    <row r="685" spans="6:18" x14ac:dyDescent="0.25">
      <c r="F685" s="5">
        <f t="shared" si="66"/>
        <v>1.517489845598048E-11</v>
      </c>
      <c r="G685" s="4">
        <f t="shared" si="63"/>
        <v>12.342341608479199</v>
      </c>
      <c r="H685" s="3">
        <f t="shared" si="64"/>
        <v>813339321134.96545</v>
      </c>
      <c r="I685">
        <f t="shared" si="65"/>
        <v>10038511745056.309</v>
      </c>
      <c r="J685" s="6"/>
      <c r="K685" s="6"/>
      <c r="L685" s="6"/>
      <c r="M685" s="6"/>
      <c r="N685" s="6"/>
      <c r="O685" s="6"/>
      <c r="P685" s="6"/>
      <c r="Q685" s="6"/>
      <c r="R685" s="6"/>
    </row>
    <row r="686" spans="6:18" x14ac:dyDescent="0.25">
      <c r="F686" s="5">
        <f t="shared" si="66"/>
        <v>1.4573972477123655E-11</v>
      </c>
      <c r="G686" s="4">
        <f t="shared" si="63"/>
        <v>12.095494776309614</v>
      </c>
      <c r="H686" s="3">
        <f t="shared" si="64"/>
        <v>829938082790.78101</v>
      </c>
      <c r="I686">
        <f t="shared" si="65"/>
        <v>10038511745056.309</v>
      </c>
      <c r="J686" s="6"/>
      <c r="K686" s="6"/>
      <c r="L686" s="6"/>
      <c r="M686" s="6"/>
      <c r="N686" s="6"/>
      <c r="O686" s="6"/>
      <c r="P686" s="6"/>
      <c r="Q686" s="6"/>
      <c r="R686" s="6"/>
    </row>
    <row r="687" spans="6:18" x14ac:dyDescent="0.25">
      <c r="F687" s="5">
        <f t="shared" si="66"/>
        <v>1.3996843167029552E-11</v>
      </c>
      <c r="G687" s="4">
        <f t="shared" si="63"/>
        <v>11.853584880783421</v>
      </c>
      <c r="H687" s="3">
        <f t="shared" si="64"/>
        <v>846875594684.47058</v>
      </c>
      <c r="I687">
        <f t="shared" si="65"/>
        <v>10038511745056.309</v>
      </c>
      <c r="J687" s="6"/>
      <c r="K687" s="6"/>
      <c r="L687" s="6"/>
      <c r="M687" s="6"/>
      <c r="N687" s="6"/>
      <c r="O687" s="6"/>
      <c r="P687" s="6"/>
      <c r="Q687" s="6"/>
      <c r="R687" s="6"/>
    </row>
    <row r="688" spans="6:18" x14ac:dyDescent="0.25">
      <c r="F688" s="5">
        <f t="shared" si="66"/>
        <v>1.3442568177615183E-11</v>
      </c>
      <c r="G688" s="4">
        <f t="shared" si="63"/>
        <v>11.616513183167752</v>
      </c>
      <c r="H688" s="3">
        <f t="shared" si="64"/>
        <v>864158770086.19446</v>
      </c>
      <c r="I688">
        <f t="shared" si="65"/>
        <v>10038511745056.309</v>
      </c>
      <c r="J688" s="6"/>
      <c r="K688" s="6"/>
      <c r="L688" s="6"/>
      <c r="M688" s="6"/>
      <c r="N688" s="6"/>
      <c r="O688" s="6"/>
      <c r="P688" s="6"/>
      <c r="Q688" s="6"/>
      <c r="R688" s="6"/>
    </row>
    <row r="689" spans="6:18" x14ac:dyDescent="0.25">
      <c r="F689" s="5">
        <f t="shared" si="66"/>
        <v>1.2910242477781622E-11</v>
      </c>
      <c r="G689" s="4">
        <f t="shared" si="63"/>
        <v>11.384182919504397</v>
      </c>
      <c r="H689" s="3">
        <f t="shared" si="64"/>
        <v>881794663353.25964</v>
      </c>
      <c r="I689">
        <f t="shared" si="65"/>
        <v>10038511745056.309</v>
      </c>
      <c r="J689" s="6"/>
      <c r="K689" s="6"/>
      <c r="L689" s="6"/>
      <c r="M689" s="6"/>
      <c r="N689" s="6"/>
      <c r="O689" s="6"/>
      <c r="P689" s="6"/>
      <c r="Q689" s="6"/>
      <c r="R689" s="6"/>
    </row>
    <row r="690" spans="6:18" x14ac:dyDescent="0.25">
      <c r="F690" s="5">
        <f t="shared" si="66"/>
        <v>1.2398996875661469E-11</v>
      </c>
      <c r="G690" s="4">
        <f t="shared" ref="G690:G753" si="67">G689*(1-$O$1)</f>
        <v>11.156499261114309</v>
      </c>
      <c r="H690" s="3">
        <f t="shared" ref="H690:H753" si="68">I690/G690</f>
        <v>899790472809.44861</v>
      </c>
      <c r="I690">
        <f t="shared" ref="I690:I753" si="69">I689</f>
        <v>10038511745056.309</v>
      </c>
      <c r="J690" s="6"/>
      <c r="K690" s="6"/>
      <c r="L690" s="6"/>
      <c r="M690" s="6"/>
      <c r="N690" s="6"/>
      <c r="O690" s="6"/>
      <c r="P690" s="6"/>
      <c r="Q690" s="6"/>
      <c r="R690" s="6"/>
    </row>
    <row r="691" spans="6:18" x14ac:dyDescent="0.25">
      <c r="F691" s="5">
        <f t="shared" si="66"/>
        <v>1.1907996599385275E-11</v>
      </c>
      <c r="G691" s="4">
        <f t="shared" si="67"/>
        <v>10.933369275892023</v>
      </c>
      <c r="H691" s="3">
        <f t="shared" si="68"/>
        <v>918153543683.11084</v>
      </c>
      <c r="I691">
        <f t="shared" si="69"/>
        <v>10038511745056.309</v>
      </c>
      <c r="J691" s="6"/>
      <c r="K691" s="6"/>
      <c r="L691" s="6"/>
      <c r="M691" s="6"/>
      <c r="N691" s="6"/>
      <c r="O691" s="6"/>
      <c r="P691" s="6"/>
      <c r="Q691" s="6"/>
      <c r="R691" s="6"/>
    </row>
    <row r="692" spans="6:18" x14ac:dyDescent="0.25">
      <c r="F692" s="5">
        <f t="shared" si="66"/>
        <v>1.143643993404962E-11</v>
      </c>
      <c r="G692" s="4">
        <f t="shared" si="67"/>
        <v>10.714701890374183</v>
      </c>
      <c r="H692" s="3">
        <f t="shared" si="68"/>
        <v>936891371105.21509</v>
      </c>
      <c r="I692">
        <f t="shared" si="69"/>
        <v>10038511745056.309</v>
      </c>
      <c r="J692" s="6"/>
      <c r="K692" s="6"/>
      <c r="L692" s="6"/>
      <c r="M692" s="6"/>
      <c r="N692" s="6"/>
      <c r="O692" s="6"/>
      <c r="P692" s="6"/>
      <c r="Q692" s="6"/>
      <c r="R692" s="6"/>
    </row>
    <row r="693" spans="6:18" x14ac:dyDescent="0.25">
      <c r="F693" s="5">
        <f t="shared" si="66"/>
        <v>1.0983556912661253E-11</v>
      </c>
      <c r="G693" s="4">
        <f t="shared" si="67"/>
        <v>10.500407852566699</v>
      </c>
      <c r="H693" s="3">
        <f t="shared" si="68"/>
        <v>956011603168.58691</v>
      </c>
      <c r="I693">
        <f t="shared" si="69"/>
        <v>10038511745056.309</v>
      </c>
      <c r="J693" s="6"/>
      <c r="K693" s="6"/>
      <c r="L693" s="6"/>
      <c r="M693" s="6"/>
      <c r="N693" s="6"/>
      <c r="O693" s="6"/>
      <c r="P693" s="6"/>
      <c r="Q693" s="6"/>
      <c r="R693" s="6"/>
    </row>
    <row r="694" spans="6:18" x14ac:dyDescent="0.25">
      <c r="F694" s="5">
        <f t="shared" si="66"/>
        <v>1.0548608058919868E-11</v>
      </c>
      <c r="G694" s="4">
        <f t="shared" si="67"/>
        <v>10.290399695515365</v>
      </c>
      <c r="H694" s="3">
        <f t="shared" si="68"/>
        <v>975522044049.57849</v>
      </c>
      <c r="I694">
        <f t="shared" si="69"/>
        <v>10038511745056.309</v>
      </c>
      <c r="J694" s="6"/>
      <c r="K694" s="6"/>
      <c r="L694" s="6"/>
      <c r="M694" s="6"/>
      <c r="N694" s="6"/>
      <c r="O694" s="6"/>
      <c r="P694" s="6"/>
      <c r="Q694" s="6"/>
      <c r="R694" s="6"/>
    </row>
    <row r="695" spans="6:18" x14ac:dyDescent="0.25">
      <c r="F695" s="5">
        <f t="shared" si="66"/>
        <v>1.0130883179786641E-11</v>
      </c>
      <c r="G695" s="4">
        <f t="shared" si="67"/>
        <v>10.084591701605058</v>
      </c>
      <c r="H695" s="3">
        <f t="shared" si="68"/>
        <v>995430657193.44739</v>
      </c>
      <c r="I695">
        <f t="shared" si="69"/>
        <v>10038511745056.309</v>
      </c>
      <c r="J695" s="6"/>
      <c r="K695" s="6"/>
      <c r="L695" s="6"/>
      <c r="M695" s="6"/>
      <c r="N695" s="6"/>
      <c r="O695" s="6"/>
      <c r="P695" s="6"/>
      <c r="Q695" s="6"/>
      <c r="R695" s="6"/>
    </row>
    <row r="696" spans="6:18" x14ac:dyDescent="0.25">
      <c r="F696" s="5">
        <f t="shared" si="66"/>
        <v>9.7297002058670917E-12</v>
      </c>
      <c r="G696" s="4">
        <f t="shared" si="67"/>
        <v>9.8828998675729576</v>
      </c>
      <c r="H696" s="3">
        <f t="shared" si="68"/>
        <v>1015745568564.7422</v>
      </c>
      <c r="I696">
        <f t="shared" si="69"/>
        <v>10038511745056.309</v>
      </c>
      <c r="J696" s="6"/>
      <c r="K696" s="6"/>
      <c r="L696" s="6"/>
      <c r="M696" s="6"/>
      <c r="N696" s="6"/>
      <c r="O696" s="6"/>
      <c r="P696" s="6"/>
      <c r="Q696" s="6"/>
      <c r="R696" s="6"/>
    </row>
    <row r="697" spans="6:18" x14ac:dyDescent="0.25">
      <c r="F697" s="5">
        <f t="shared" si="66"/>
        <v>9.3444040777147538E-12</v>
      </c>
      <c r="G697" s="4">
        <f t="shared" si="67"/>
        <v>9.685241870221498</v>
      </c>
      <c r="H697" s="3">
        <f t="shared" si="68"/>
        <v>1036475069964.0226</v>
      </c>
      <c r="I697">
        <f t="shared" si="69"/>
        <v>10038511745056.309</v>
      </c>
      <c r="J697" s="6"/>
      <c r="K697" s="6"/>
      <c r="L697" s="6"/>
      <c r="M697" s="6"/>
      <c r="N697" s="6"/>
      <c r="O697" s="6"/>
      <c r="P697" s="6"/>
      <c r="Q697" s="6"/>
      <c r="R697" s="6"/>
    </row>
    <row r="698" spans="6:18" x14ac:dyDescent="0.25">
      <c r="F698" s="5">
        <f t="shared" si="66"/>
        <v>8.9743656762372487E-12</v>
      </c>
      <c r="G698" s="4">
        <f t="shared" si="67"/>
        <v>9.4915370328170674</v>
      </c>
      <c r="H698" s="3">
        <f t="shared" si="68"/>
        <v>1057627622412.2681</v>
      </c>
      <c r="I698">
        <f t="shared" si="69"/>
        <v>10038511745056.309</v>
      </c>
      <c r="J698" s="6"/>
      <c r="K698" s="6"/>
      <c r="L698" s="6"/>
      <c r="M698" s="6"/>
      <c r="N698" s="6"/>
      <c r="O698" s="6"/>
      <c r="P698" s="6"/>
      <c r="Q698" s="6"/>
      <c r="R698" s="6"/>
    </row>
    <row r="699" spans="6:18" x14ac:dyDescent="0.25">
      <c r="F699" s="5">
        <f t="shared" si="66"/>
        <v>8.6189807954582515E-12</v>
      </c>
      <c r="G699" s="4">
        <f t="shared" si="67"/>
        <v>9.3017062921607252</v>
      </c>
      <c r="H699" s="3">
        <f t="shared" si="68"/>
        <v>1079211859604.3552</v>
      </c>
      <c r="I699">
        <f t="shared" si="69"/>
        <v>10038511745056.309</v>
      </c>
      <c r="J699" s="6"/>
      <c r="K699" s="6"/>
      <c r="L699" s="6"/>
      <c r="M699" s="6"/>
      <c r="N699" s="6"/>
      <c r="O699" s="6"/>
      <c r="P699" s="6"/>
      <c r="Q699" s="6"/>
      <c r="R699" s="6"/>
    </row>
    <row r="700" spans="6:18" x14ac:dyDescent="0.25">
      <c r="F700" s="5">
        <f t="shared" si="66"/>
        <v>8.2776691559581041E-12</v>
      </c>
      <c r="G700" s="4">
        <f t="shared" si="67"/>
        <v>9.1156721663175109</v>
      </c>
      <c r="H700" s="3">
        <f t="shared" si="68"/>
        <v>1101236591433.0156</v>
      </c>
      <c r="I700">
        <f t="shared" si="69"/>
        <v>10038511745056.309</v>
      </c>
      <c r="J700" s="6"/>
      <c r="K700" s="6"/>
      <c r="L700" s="6"/>
      <c r="M700" s="6"/>
      <c r="N700" s="6"/>
      <c r="O700" s="6"/>
      <c r="P700" s="6"/>
      <c r="Q700" s="6"/>
      <c r="R700" s="6"/>
    </row>
    <row r="701" spans="6:18" x14ac:dyDescent="0.25">
      <c r="F701" s="5">
        <f t="shared" si="66"/>
        <v>7.949873457382164E-12</v>
      </c>
      <c r="G701" s="4">
        <f t="shared" si="67"/>
        <v>8.9333587229911604</v>
      </c>
      <c r="H701" s="3">
        <f t="shared" si="68"/>
        <v>1123710807584.7097</v>
      </c>
      <c r="I701">
        <f t="shared" si="69"/>
        <v>10038511745056.309</v>
      </c>
      <c r="J701" s="6"/>
      <c r="K701" s="6"/>
      <c r="L701" s="6"/>
      <c r="M701" s="6"/>
      <c r="N701" s="6"/>
      <c r="O701" s="6"/>
      <c r="P701" s="6"/>
      <c r="Q701" s="6"/>
      <c r="R701" s="6"/>
    </row>
    <row r="702" spans="6:18" x14ac:dyDescent="0.25">
      <c r="F702" s="5">
        <f t="shared" si="66"/>
        <v>7.635058468469831E-12</v>
      </c>
      <c r="G702" s="4">
        <f t="shared" si="67"/>
        <v>8.754691548531337</v>
      </c>
      <c r="H702" s="3">
        <f t="shared" si="68"/>
        <v>1146643681208.8875</v>
      </c>
      <c r="I702">
        <f t="shared" si="69"/>
        <v>10038511745056.309</v>
      </c>
      <c r="J702" s="6"/>
      <c r="K702" s="6"/>
      <c r="L702" s="6"/>
      <c r="M702" s="6"/>
      <c r="N702" s="6"/>
      <c r="O702" s="6"/>
      <c r="P702" s="6"/>
      <c r="Q702" s="6"/>
      <c r="R702" s="6"/>
    </row>
    <row r="703" spans="6:18" x14ac:dyDescent="0.25">
      <c r="F703" s="5">
        <f t="shared" si="66"/>
        <v>7.3327101531184251E-12</v>
      </c>
      <c r="G703" s="4">
        <f t="shared" si="67"/>
        <v>8.579597717560711</v>
      </c>
      <c r="H703" s="3">
        <f t="shared" si="68"/>
        <v>1170044572662.1301</v>
      </c>
      <c r="I703">
        <f t="shared" si="69"/>
        <v>10038511745056.309</v>
      </c>
      <c r="J703" s="6"/>
      <c r="K703" s="6"/>
      <c r="L703" s="6"/>
      <c r="M703" s="6"/>
      <c r="N703" s="6"/>
      <c r="O703" s="6"/>
      <c r="P703" s="6"/>
      <c r="Q703" s="6"/>
      <c r="R703" s="6"/>
    </row>
    <row r="704" spans="6:18" x14ac:dyDescent="0.25">
      <c r="F704" s="5">
        <f t="shared" si="66"/>
        <v>7.0423348310549365E-12</v>
      </c>
      <c r="G704" s="4">
        <f t="shared" si="67"/>
        <v>8.4080057632094967</v>
      </c>
      <c r="H704" s="3">
        <f t="shared" si="68"/>
        <v>1193923033328.7041</v>
      </c>
      <c r="I704">
        <f t="shared" si="69"/>
        <v>10038511745056.309</v>
      </c>
      <c r="J704" s="6"/>
      <c r="K704" s="6"/>
      <c r="L704" s="6"/>
      <c r="M704" s="6"/>
      <c r="N704" s="6"/>
      <c r="O704" s="6"/>
      <c r="P704" s="6"/>
      <c r="Q704" s="6"/>
      <c r="R704" s="6"/>
    </row>
    <row r="705" spans="6:18" x14ac:dyDescent="0.25">
      <c r="F705" s="5">
        <f t="shared" si="66"/>
        <v>6.7634583717451604E-12</v>
      </c>
      <c r="G705" s="4">
        <f t="shared" si="67"/>
        <v>8.2398456479453071</v>
      </c>
      <c r="H705" s="3">
        <f t="shared" si="68"/>
        <v>1218288809519.0859</v>
      </c>
      <c r="I705">
        <f t="shared" si="69"/>
        <v>10038511745056.309</v>
      </c>
      <c r="J705" s="6"/>
      <c r="K705" s="6"/>
      <c r="L705" s="6"/>
      <c r="M705" s="6"/>
      <c r="N705" s="6"/>
      <c r="O705" s="6"/>
      <c r="P705" s="6"/>
      <c r="Q705" s="6"/>
      <c r="R705" s="6"/>
    </row>
    <row r="706" spans="6:18" x14ac:dyDescent="0.25">
      <c r="F706" s="5">
        <f t="shared" si="66"/>
        <v>6.4956254202240539E-12</v>
      </c>
      <c r="G706" s="4">
        <f t="shared" si="67"/>
        <v>8.0750487349864013</v>
      </c>
      <c r="H706" s="3">
        <f t="shared" si="68"/>
        <v>1243151846448.0466</v>
      </c>
      <c r="I706">
        <f t="shared" si="69"/>
        <v>10038511745056.309</v>
      </c>
      <c r="J706" s="6"/>
      <c r="K706" s="6"/>
      <c r="L706" s="6"/>
      <c r="M706" s="6"/>
      <c r="N706" s="6"/>
      <c r="O706" s="6"/>
      <c r="P706" s="6"/>
      <c r="Q706" s="6"/>
      <c r="R706" s="6"/>
    </row>
    <row r="707" spans="6:18" x14ac:dyDescent="0.25">
      <c r="F707" s="5">
        <f t="shared" si="66"/>
        <v>6.2383986535831806E-12</v>
      </c>
      <c r="G707" s="4">
        <f t="shared" si="67"/>
        <v>7.9135477602866731</v>
      </c>
      <c r="H707" s="3">
        <f t="shared" si="68"/>
        <v>1268522292293.9253</v>
      </c>
      <c r="I707">
        <f t="shared" si="69"/>
        <v>10038511745056.309</v>
      </c>
      <c r="J707" s="6"/>
      <c r="K707" s="6"/>
      <c r="L707" s="6"/>
      <c r="M707" s="6"/>
      <c r="N707" s="6"/>
      <c r="O707" s="6"/>
      <c r="P707" s="6"/>
      <c r="Q707" s="6"/>
      <c r="R707" s="6"/>
    </row>
    <row r="708" spans="6:18" x14ac:dyDescent="0.25">
      <c r="F708" s="5">
        <f t="shared" si="66"/>
        <v>5.9913580669012852E-12</v>
      </c>
      <c r="G708" s="4">
        <f t="shared" si="67"/>
        <v>7.7552768050809391</v>
      </c>
      <c r="H708" s="3">
        <f t="shared" si="68"/>
        <v>1294410502340.7402</v>
      </c>
      <c r="I708">
        <f t="shared" si="69"/>
        <v>10038511745056.309</v>
      </c>
      <c r="J708" s="6"/>
      <c r="K708" s="6"/>
      <c r="L708" s="6"/>
      <c r="M708" s="6"/>
      <c r="N708" s="6"/>
      <c r="O708" s="6"/>
      <c r="P708" s="6"/>
      <c r="Q708" s="6"/>
      <c r="R708" s="6"/>
    </row>
    <row r="709" spans="6:18" x14ac:dyDescent="0.25">
      <c r="F709" s="5">
        <f t="shared" si="66"/>
        <v>5.7541002874519945E-12</v>
      </c>
      <c r="G709" s="4">
        <f t="shared" si="67"/>
        <v>7.6001712689793202</v>
      </c>
      <c r="H709" s="3">
        <f t="shared" si="68"/>
        <v>1320827043204.8369</v>
      </c>
      <c r="I709">
        <f t="shared" si="69"/>
        <v>10038511745056.309</v>
      </c>
      <c r="J709" s="6"/>
      <c r="K709" s="6"/>
      <c r="L709" s="6"/>
      <c r="M709" s="6"/>
      <c r="N709" s="6"/>
      <c r="O709" s="6"/>
      <c r="P709" s="6"/>
      <c r="Q709" s="6"/>
      <c r="R709" s="6"/>
    </row>
    <row r="710" spans="6:18" x14ac:dyDescent="0.25">
      <c r="F710" s="5">
        <f t="shared" si="66"/>
        <v>5.5262379160688959E-12</v>
      </c>
      <c r="G710" s="4">
        <f t="shared" si="67"/>
        <v>7.4481678435997338</v>
      </c>
      <c r="H710" s="3">
        <f t="shared" si="68"/>
        <v>1347782697147.7927</v>
      </c>
      <c r="I710">
        <f t="shared" si="69"/>
        <v>10038511745056.309</v>
      </c>
      <c r="J710" s="6"/>
      <c r="K710" s="6"/>
      <c r="L710" s="6"/>
      <c r="M710" s="6"/>
      <c r="N710" s="6"/>
      <c r="O710" s="6"/>
      <c r="P710" s="6"/>
      <c r="Q710" s="6"/>
      <c r="R710" s="6"/>
    </row>
    <row r="711" spans="6:18" x14ac:dyDescent="0.25">
      <c r="F711" s="5">
        <f t="shared" si="66"/>
        <v>5.3073988945925668E-12</v>
      </c>
      <c r="G711" s="4">
        <f t="shared" si="67"/>
        <v>7.2992044867277386</v>
      </c>
      <c r="H711" s="3">
        <f t="shared" si="68"/>
        <v>1375288466477.3396</v>
      </c>
      <c r="I711">
        <f t="shared" si="69"/>
        <v>10038511745056.309</v>
      </c>
      <c r="J711" s="6"/>
      <c r="K711" s="6"/>
      <c r="L711" s="6"/>
      <c r="M711" s="6"/>
      <c r="N711" s="6"/>
      <c r="O711" s="6"/>
      <c r="P711" s="6"/>
      <c r="Q711" s="6"/>
      <c r="R711" s="6"/>
    </row>
    <row r="712" spans="6:18" x14ac:dyDescent="0.25">
      <c r="F712" s="5">
        <f t="shared" si="66"/>
        <v>5.0972258983667005E-12</v>
      </c>
      <c r="G712" s="4">
        <f t="shared" si="67"/>
        <v>7.1532203969931833</v>
      </c>
      <c r="H712" s="3">
        <f t="shared" si="68"/>
        <v>1403355578038.1018</v>
      </c>
      <c r="I712">
        <f t="shared" si="69"/>
        <v>10038511745056.309</v>
      </c>
      <c r="J712" s="6"/>
      <c r="K712" s="6"/>
      <c r="L712" s="6"/>
      <c r="M712" s="6"/>
      <c r="N712" s="6"/>
      <c r="O712" s="6"/>
      <c r="P712" s="6"/>
      <c r="Q712" s="6"/>
      <c r="R712" s="6"/>
    </row>
    <row r="713" spans="6:18" x14ac:dyDescent="0.25">
      <c r="F713" s="5">
        <f t="shared" ref="F713:F776" si="70">G713/H713</f>
        <v>4.8953757527913784E-12</v>
      </c>
      <c r="G713" s="4">
        <f t="shared" si="67"/>
        <v>7.0101559890533194</v>
      </c>
      <c r="H713" s="3">
        <f t="shared" si="68"/>
        <v>1431995487793.9814</v>
      </c>
      <c r="I713">
        <f t="shared" si="69"/>
        <v>10038511745056.309</v>
      </c>
      <c r="J713" s="6"/>
      <c r="K713" s="6"/>
      <c r="L713" s="6"/>
      <c r="M713" s="6"/>
      <c r="N713" s="6"/>
      <c r="O713" s="6"/>
      <c r="P713" s="6"/>
      <c r="Q713" s="6"/>
      <c r="R713" s="6"/>
    </row>
    <row r="714" spans="6:18" x14ac:dyDescent="0.25">
      <c r="F714" s="5">
        <f t="shared" si="70"/>
        <v>4.7015188729808401E-12</v>
      </c>
      <c r="G714" s="4">
        <f t="shared" si="67"/>
        <v>6.8699528692722529</v>
      </c>
      <c r="H714" s="3">
        <f t="shared" si="68"/>
        <v>1461219885504.0627</v>
      </c>
      <c r="I714">
        <f t="shared" si="69"/>
        <v>10038511745056.309</v>
      </c>
      <c r="J714" s="6"/>
      <c r="K714" s="6"/>
      <c r="L714" s="6"/>
      <c r="M714" s="6"/>
      <c r="N714" s="6"/>
      <c r="O714" s="6"/>
      <c r="P714" s="6"/>
      <c r="Q714" s="6"/>
      <c r="R714" s="6"/>
    </row>
    <row r="715" spans="6:18" x14ac:dyDescent="0.25">
      <c r="F715" s="5">
        <f t="shared" si="70"/>
        <v>4.5153387256107987E-12</v>
      </c>
      <c r="G715" s="4">
        <f t="shared" si="67"/>
        <v>6.7325538118868078</v>
      </c>
      <c r="H715" s="3">
        <f t="shared" si="68"/>
        <v>1491040699493.9417</v>
      </c>
      <c r="I715">
        <f t="shared" si="69"/>
        <v>10038511745056.309</v>
      </c>
      <c r="J715" s="6"/>
      <c r="K715" s="6"/>
      <c r="L715" s="6"/>
      <c r="M715" s="6"/>
      <c r="N715" s="6"/>
      <c r="O715" s="6"/>
      <c r="P715" s="6"/>
      <c r="Q715" s="6"/>
      <c r="R715" s="6"/>
    </row>
    <row r="716" spans="6:18" x14ac:dyDescent="0.25">
      <c r="F716" s="5">
        <f t="shared" si="70"/>
        <v>4.3365313120766114E-12</v>
      </c>
      <c r="G716" s="4">
        <f t="shared" si="67"/>
        <v>6.5979027356490718</v>
      </c>
      <c r="H716" s="3">
        <f t="shared" si="68"/>
        <v>1521470101524.4302</v>
      </c>
      <c r="I716">
        <f t="shared" si="69"/>
        <v>10038511745056.309</v>
      </c>
      <c r="J716" s="6"/>
      <c r="K716" s="6"/>
      <c r="L716" s="6"/>
      <c r="M716" s="6"/>
      <c r="N716" s="6"/>
      <c r="O716" s="6"/>
      <c r="P716" s="6"/>
      <c r="Q716" s="6"/>
      <c r="R716" s="6"/>
    </row>
    <row r="717" spans="6:18" x14ac:dyDescent="0.25">
      <c r="F717" s="5">
        <f t="shared" si="70"/>
        <v>4.164804672118377E-12</v>
      </c>
      <c r="G717" s="4">
        <f t="shared" si="67"/>
        <v>6.4659446809360901</v>
      </c>
      <c r="H717" s="3">
        <f t="shared" si="68"/>
        <v>1552520511759.6226</v>
      </c>
      <c r="I717">
        <f t="shared" si="69"/>
        <v>10038511745056.309</v>
      </c>
      <c r="J717" s="6"/>
      <c r="K717" s="6"/>
      <c r="L717" s="6"/>
      <c r="M717" s="6"/>
      <c r="N717" s="6"/>
      <c r="O717" s="6"/>
      <c r="P717" s="6"/>
      <c r="Q717" s="6"/>
      <c r="R717" s="6"/>
    </row>
    <row r="718" spans="6:18" x14ac:dyDescent="0.25">
      <c r="F718" s="5">
        <f t="shared" si="70"/>
        <v>3.9998784071024894E-12</v>
      </c>
      <c r="G718" s="4">
        <f t="shared" si="67"/>
        <v>6.3366257873173684</v>
      </c>
      <c r="H718" s="3">
        <f t="shared" si="68"/>
        <v>1584204603836.3496</v>
      </c>
      <c r="I718">
        <f t="shared" si="69"/>
        <v>10038511745056.309</v>
      </c>
      <c r="J718" s="6"/>
      <c r="K718" s="6"/>
      <c r="L718" s="6"/>
      <c r="M718" s="6"/>
      <c r="N718" s="6"/>
      <c r="O718" s="6"/>
      <c r="P718" s="6"/>
      <c r="Q718" s="6"/>
      <c r="R718" s="6"/>
    </row>
    <row r="719" spans="6:18" x14ac:dyDescent="0.25">
      <c r="F719" s="5">
        <f t="shared" si="70"/>
        <v>3.8414832221812308E-12</v>
      </c>
      <c r="G719" s="4">
        <f t="shared" si="67"/>
        <v>6.2098932715710209</v>
      </c>
      <c r="H719" s="3">
        <f t="shared" si="68"/>
        <v>1616535310037.0916</v>
      </c>
      <c r="I719">
        <f t="shared" si="69"/>
        <v>10038511745056.309</v>
      </c>
      <c r="J719" s="6"/>
      <c r="K719" s="6"/>
      <c r="L719" s="6"/>
      <c r="M719" s="6"/>
      <c r="N719" s="6"/>
      <c r="O719" s="6"/>
      <c r="P719" s="6"/>
      <c r="Q719" s="6"/>
      <c r="R719" s="6"/>
    </row>
    <row r="720" spans="6:18" x14ac:dyDescent="0.25">
      <c r="F720" s="5">
        <f t="shared" si="70"/>
        <v>3.689360486582854E-12</v>
      </c>
      <c r="G720" s="4">
        <f t="shared" si="67"/>
        <v>6.0856954061396005</v>
      </c>
      <c r="H720" s="3">
        <f t="shared" si="68"/>
        <v>1649525826568.4607</v>
      </c>
      <c r="I720">
        <f t="shared" si="69"/>
        <v>10038511745056.309</v>
      </c>
      <c r="J720" s="6"/>
      <c r="K720" s="6"/>
      <c r="L720" s="6"/>
      <c r="M720" s="6"/>
      <c r="N720" s="6"/>
      <c r="O720" s="6"/>
      <c r="P720" s="6"/>
      <c r="Q720" s="6"/>
      <c r="R720" s="6"/>
    </row>
    <row r="721" spans="6:18" x14ac:dyDescent="0.25">
      <c r="F721" s="5">
        <f t="shared" si="70"/>
        <v>3.543261811314173E-12</v>
      </c>
      <c r="G721" s="4">
        <f t="shared" si="67"/>
        <v>5.9639814980168087</v>
      </c>
      <c r="H721" s="3">
        <f t="shared" si="68"/>
        <v>1683189618947.4089</v>
      </c>
      <c r="I721">
        <f t="shared" si="69"/>
        <v>10038511745056.309</v>
      </c>
      <c r="J721" s="6"/>
      <c r="K721" s="6"/>
      <c r="L721" s="6"/>
      <c r="M721" s="6"/>
      <c r="N721" s="6"/>
      <c r="O721" s="6"/>
      <c r="P721" s="6"/>
      <c r="Q721" s="6"/>
      <c r="R721" s="6"/>
    </row>
    <row r="722" spans="6:18" x14ac:dyDescent="0.25">
      <c r="F722" s="5">
        <f t="shared" si="70"/>
        <v>3.4029486435861318E-12</v>
      </c>
      <c r="G722" s="4">
        <f t="shared" si="67"/>
        <v>5.8447018680564726</v>
      </c>
      <c r="H722" s="3">
        <f t="shared" si="68"/>
        <v>1717540427497.356</v>
      </c>
      <c r="I722">
        <f t="shared" si="69"/>
        <v>10038511745056.309</v>
      </c>
      <c r="J722" s="6"/>
      <c r="K722" s="6"/>
      <c r="L722" s="6"/>
      <c r="M722" s="6"/>
      <c r="N722" s="6"/>
      <c r="O722" s="6"/>
      <c r="P722" s="6"/>
      <c r="Q722" s="6"/>
      <c r="R722" s="6"/>
    </row>
    <row r="723" spans="6:18" x14ac:dyDescent="0.25">
      <c r="F723" s="5">
        <f t="shared" si="70"/>
        <v>3.268191877300121E-12</v>
      </c>
      <c r="G723" s="4">
        <f t="shared" si="67"/>
        <v>5.727807830695343</v>
      </c>
      <c r="H723" s="3">
        <f t="shared" si="68"/>
        <v>1752592272956.4856</v>
      </c>
      <c r="I723">
        <f t="shared" si="69"/>
        <v>10038511745056.309</v>
      </c>
      <c r="J723" s="6"/>
      <c r="K723" s="6"/>
      <c r="L723" s="6"/>
      <c r="M723" s="6"/>
      <c r="N723" s="6"/>
      <c r="O723" s="6"/>
      <c r="P723" s="6"/>
      <c r="Q723" s="6"/>
      <c r="R723" s="6"/>
    </row>
    <row r="724" spans="6:18" x14ac:dyDescent="0.25">
      <c r="F724" s="5">
        <f t="shared" si="70"/>
        <v>3.1387714789590363E-12</v>
      </c>
      <c r="G724" s="4">
        <f t="shared" si="67"/>
        <v>5.613251674081436</v>
      </c>
      <c r="H724" s="3">
        <f t="shared" si="68"/>
        <v>1788359462200.4956</v>
      </c>
      <c r="I724">
        <f t="shared" si="69"/>
        <v>10038511745056.309</v>
      </c>
      <c r="J724" s="6"/>
      <c r="K724" s="6"/>
      <c r="L724" s="6"/>
      <c r="M724" s="6"/>
      <c r="N724" s="6"/>
      <c r="O724" s="6"/>
      <c r="P724" s="6"/>
      <c r="Q724" s="6"/>
      <c r="R724" s="6"/>
    </row>
    <row r="725" spans="6:18" x14ac:dyDescent="0.25">
      <c r="F725" s="5">
        <f t="shared" si="70"/>
        <v>3.0144761283922581E-12</v>
      </c>
      <c r="G725" s="4">
        <f t="shared" si="67"/>
        <v>5.5009866405998071</v>
      </c>
      <c r="H725" s="3">
        <f t="shared" si="68"/>
        <v>1824856594082.1384</v>
      </c>
      <c r="I725">
        <f t="shared" si="69"/>
        <v>10038511745056.309</v>
      </c>
      <c r="J725" s="6"/>
      <c r="K725" s="6"/>
      <c r="L725" s="6"/>
      <c r="M725" s="6"/>
      <c r="N725" s="6"/>
      <c r="O725" s="6"/>
      <c r="P725" s="6"/>
      <c r="Q725" s="6"/>
      <c r="R725" s="6"/>
    </row>
    <row r="726" spans="6:18" x14ac:dyDescent="0.25">
      <c r="F726" s="5">
        <f t="shared" si="70"/>
        <v>2.8951028737079246E-12</v>
      </c>
      <c r="G726" s="4">
        <f t="shared" si="67"/>
        <v>5.3909669077878108</v>
      </c>
      <c r="H726" s="3">
        <f t="shared" si="68"/>
        <v>1862098565389.9373</v>
      </c>
      <c r="I726">
        <f t="shared" si="69"/>
        <v>10038511745056.309</v>
      </c>
      <c r="J726" s="6"/>
      <c r="K726" s="6"/>
      <c r="L726" s="6"/>
      <c r="M726" s="6"/>
      <c r="N726" s="6"/>
      <c r="O726" s="6"/>
      <c r="P726" s="6"/>
      <c r="Q726" s="6"/>
      <c r="R726" s="6"/>
    </row>
    <row r="727" spans="6:18" x14ac:dyDescent="0.25">
      <c r="F727" s="5">
        <f t="shared" si="70"/>
        <v>2.7804567999090907E-12</v>
      </c>
      <c r="G727" s="4">
        <f t="shared" si="67"/>
        <v>5.2831475696320549</v>
      </c>
      <c r="H727" s="3">
        <f t="shared" si="68"/>
        <v>1900100576928.5073</v>
      </c>
      <c r="I727">
        <f t="shared" si="69"/>
        <v>10038511745056.309</v>
      </c>
      <c r="J727" s="6"/>
      <c r="K727" s="6"/>
      <c r="L727" s="6"/>
      <c r="M727" s="6"/>
      <c r="N727" s="6"/>
      <c r="O727" s="6"/>
      <c r="P727" s="6"/>
      <c r="Q727" s="6"/>
      <c r="R727" s="6"/>
    </row>
    <row r="728" spans="6:18" x14ac:dyDescent="0.25">
      <c r="F728" s="5">
        <f t="shared" si="70"/>
        <v>2.6703507106326913E-12</v>
      </c>
      <c r="G728" s="4">
        <f t="shared" si="67"/>
        <v>5.1774846182394141</v>
      </c>
      <c r="H728" s="3">
        <f t="shared" si="68"/>
        <v>1938878139722.9666</v>
      </c>
      <c r="I728">
        <f t="shared" si="69"/>
        <v>10038511745056.309</v>
      </c>
      <c r="J728" s="6"/>
      <c r="K728" s="6"/>
      <c r="L728" s="6"/>
      <c r="M728" s="6"/>
      <c r="N728" s="6"/>
      <c r="O728" s="6"/>
      <c r="P728" s="6"/>
      <c r="Q728" s="6"/>
      <c r="R728" s="6"/>
    </row>
    <row r="729" spans="6:18" x14ac:dyDescent="0.25">
      <c r="F729" s="5">
        <f t="shared" si="70"/>
        <v>2.5646048224916363E-12</v>
      </c>
      <c r="G729" s="4">
        <f t="shared" si="67"/>
        <v>5.0739349258746254</v>
      </c>
      <c r="H729" s="3">
        <f t="shared" si="68"/>
        <v>1978447081349.9661</v>
      </c>
      <c r="I729">
        <f t="shared" si="69"/>
        <v>10038511745056.309</v>
      </c>
      <c r="J729" s="6"/>
      <c r="K729" s="6"/>
      <c r="L729" s="6"/>
      <c r="M729" s="6"/>
      <c r="N729" s="6"/>
      <c r="O729" s="6"/>
      <c r="P729" s="6"/>
      <c r="Q729" s="6"/>
      <c r="R729" s="6"/>
    </row>
    <row r="730" spans="6:18" x14ac:dyDescent="0.25">
      <c r="F730" s="5">
        <f t="shared" si="70"/>
        <v>2.4630464715209673E-12</v>
      </c>
      <c r="G730" s="4">
        <f t="shared" si="67"/>
        <v>4.9724562273571324</v>
      </c>
      <c r="H730" s="3">
        <f t="shared" si="68"/>
        <v>2018823552397.9246</v>
      </c>
      <c r="I730">
        <f t="shared" si="69"/>
        <v>10038511745056.309</v>
      </c>
      <c r="J730" s="6"/>
      <c r="K730" s="6"/>
      <c r="L730" s="6"/>
      <c r="M730" s="6"/>
      <c r="N730" s="6"/>
      <c r="O730" s="6"/>
      <c r="P730" s="6"/>
      <c r="Q730" s="6"/>
      <c r="R730" s="6"/>
    </row>
    <row r="731" spans="6:18" x14ac:dyDescent="0.25">
      <c r="F731" s="5">
        <f t="shared" si="70"/>
        <v>2.3655098312487364E-12</v>
      </c>
      <c r="G731" s="4">
        <f t="shared" si="67"/>
        <v>4.8730071028099893</v>
      </c>
      <c r="H731" s="3">
        <f t="shared" si="68"/>
        <v>2060024033059.1069</v>
      </c>
      <c r="I731">
        <f t="shared" si="69"/>
        <v>10038511745056.309</v>
      </c>
      <c r="J731" s="6"/>
      <c r="K731" s="6"/>
      <c r="L731" s="6"/>
      <c r="M731" s="6"/>
      <c r="N731" s="6"/>
      <c r="O731" s="6"/>
      <c r="P731" s="6"/>
      <c r="Q731" s="6"/>
      <c r="R731" s="6"/>
    </row>
    <row r="732" spans="6:18" x14ac:dyDescent="0.25">
      <c r="F732" s="5">
        <f t="shared" si="70"/>
        <v>2.2718356419312866E-12</v>
      </c>
      <c r="G732" s="4">
        <f t="shared" si="67"/>
        <v>4.7755469607537897</v>
      </c>
      <c r="H732" s="3">
        <f t="shared" si="68"/>
        <v>2102065339856.2314</v>
      </c>
      <c r="I732">
        <f t="shared" si="69"/>
        <v>10038511745056.309</v>
      </c>
      <c r="J732" s="6"/>
      <c r="K732" s="6"/>
      <c r="L732" s="6"/>
      <c r="M732" s="6"/>
      <c r="N732" s="6"/>
      <c r="O732" s="6"/>
      <c r="P732" s="6"/>
      <c r="Q732" s="6"/>
      <c r="R732" s="6"/>
    </row>
    <row r="733" spans="6:18" x14ac:dyDescent="0.25">
      <c r="F733" s="5">
        <f t="shared" si="70"/>
        <v>2.1818709505108079E-12</v>
      </c>
      <c r="G733" s="4">
        <f t="shared" si="67"/>
        <v>4.6800360215387142</v>
      </c>
      <c r="H733" s="3">
        <f t="shared" si="68"/>
        <v>2144964632506.3586</v>
      </c>
      <c r="I733">
        <f t="shared" si="69"/>
        <v>10038511745056.309</v>
      </c>
      <c r="J733" s="6"/>
      <c r="K733" s="6"/>
      <c r="L733" s="6"/>
      <c r="M733" s="6"/>
      <c r="N733" s="6"/>
      <c r="O733" s="6"/>
      <c r="P733" s="6"/>
      <c r="Q733" s="6"/>
      <c r="R733" s="6"/>
    </row>
    <row r="734" spans="6:18" x14ac:dyDescent="0.25">
      <c r="F734" s="5">
        <f t="shared" si="70"/>
        <v>2.0954688608705801E-12</v>
      </c>
      <c r="G734" s="4">
        <f t="shared" si="67"/>
        <v>4.5864353011079402</v>
      </c>
      <c r="H734" s="3">
        <f t="shared" si="68"/>
        <v>2188739420924.8555</v>
      </c>
      <c r="I734">
        <f t="shared" si="69"/>
        <v>10038511745056.309</v>
      </c>
      <c r="J734" s="6"/>
      <c r="K734" s="6"/>
      <c r="L734" s="6"/>
      <c r="M734" s="6"/>
      <c r="N734" s="6"/>
      <c r="O734" s="6"/>
      <c r="P734" s="6"/>
      <c r="Q734" s="6"/>
      <c r="R734" s="6"/>
    </row>
    <row r="735" spans="6:18" x14ac:dyDescent="0.25">
      <c r="F735" s="5">
        <f t="shared" si="70"/>
        <v>2.0124882939801049E-12</v>
      </c>
      <c r="G735" s="4">
        <f t="shared" si="67"/>
        <v>4.4947065950857814</v>
      </c>
      <c r="H735" s="3">
        <f t="shared" si="68"/>
        <v>2233407572372.3018</v>
      </c>
      <c r="I735">
        <f t="shared" si="69"/>
        <v>10038511745056.309</v>
      </c>
      <c r="J735" s="6"/>
      <c r="K735" s="6"/>
      <c r="L735" s="6"/>
      <c r="M735" s="6"/>
      <c r="N735" s="6"/>
      <c r="O735" s="6"/>
      <c r="P735" s="6"/>
      <c r="Q735" s="6"/>
      <c r="R735" s="6"/>
    </row>
    <row r="736" spans="6:18" x14ac:dyDescent="0.25">
      <c r="F736" s="5">
        <f t="shared" si="70"/>
        <v>1.9327937575384932E-12</v>
      </c>
      <c r="G736" s="4">
        <f t="shared" si="67"/>
        <v>4.4048124631840659</v>
      </c>
      <c r="H736" s="3">
        <f t="shared" si="68"/>
        <v>2278987318747.2466</v>
      </c>
      <c r="I736">
        <f t="shared" si="69"/>
        <v>10038511745056.309</v>
      </c>
      <c r="J736" s="6"/>
      <c r="K736" s="6"/>
      <c r="L736" s="6"/>
      <c r="M736" s="6"/>
      <c r="N736" s="6"/>
      <c r="O736" s="6"/>
      <c r="P736" s="6"/>
      <c r="Q736" s="6"/>
      <c r="R736" s="6"/>
    </row>
    <row r="737" spans="6:18" x14ac:dyDescent="0.25">
      <c r="F737" s="5">
        <f t="shared" si="70"/>
        <v>1.8562551247399693E-12</v>
      </c>
      <c r="G737" s="4">
        <f t="shared" si="67"/>
        <v>4.316716213920385</v>
      </c>
      <c r="H737" s="3">
        <f t="shared" si="68"/>
        <v>2325497264027.8022</v>
      </c>
      <c r="I737">
        <f t="shared" si="69"/>
        <v>10038511745056.309</v>
      </c>
      <c r="J737" s="6"/>
      <c r="K737" s="6"/>
      <c r="L737" s="6"/>
      <c r="M737" s="6"/>
      <c r="N737" s="6"/>
      <c r="O737" s="6"/>
      <c r="P737" s="6"/>
      <c r="Q737" s="6"/>
      <c r="R737" s="6"/>
    </row>
    <row r="738" spans="6:18" x14ac:dyDescent="0.25">
      <c r="F738" s="5">
        <f t="shared" si="70"/>
        <v>1.7827474218002662E-12</v>
      </c>
      <c r="G738" s="4">
        <f t="shared" si="67"/>
        <v>4.2303818896419774</v>
      </c>
      <c r="H738" s="3">
        <f t="shared" si="68"/>
        <v>2372956391865.1045</v>
      </c>
      <c r="I738">
        <f t="shared" si="69"/>
        <v>10038511745056.309</v>
      </c>
      <c r="J738" s="6"/>
      <c r="K738" s="6"/>
      <c r="L738" s="6"/>
      <c r="M738" s="6"/>
      <c r="N738" s="6"/>
      <c r="O738" s="6"/>
      <c r="P738" s="6"/>
      <c r="Q738" s="6"/>
      <c r="R738" s="6"/>
    </row>
    <row r="739" spans="6:18" x14ac:dyDescent="0.25">
      <c r="F739" s="5">
        <f t="shared" si="70"/>
        <v>1.7121506238969755E-12</v>
      </c>
      <c r="G739" s="4">
        <f t="shared" si="67"/>
        <v>4.1457742518491374</v>
      </c>
      <c r="H739" s="3">
        <f t="shared" si="68"/>
        <v>2421384073331.7393</v>
      </c>
      <c r="I739">
        <f t="shared" si="69"/>
        <v>10038511745056.309</v>
      </c>
      <c r="J739" s="6"/>
      <c r="K739" s="6"/>
      <c r="L739" s="6"/>
      <c r="M739" s="6"/>
      <c r="N739" s="6"/>
      <c r="O739" s="6"/>
      <c r="P739" s="6"/>
      <c r="Q739" s="6"/>
      <c r="R739" s="6"/>
    </row>
    <row r="740" spans="6:18" x14ac:dyDescent="0.25">
      <c r="F740" s="5">
        <f t="shared" si="70"/>
        <v>1.644349459190655E-12</v>
      </c>
      <c r="G740" s="4">
        <f t="shared" si="67"/>
        <v>4.0628587668121545</v>
      </c>
      <c r="H740" s="3">
        <f t="shared" si="68"/>
        <v>2470800074828.3057</v>
      </c>
      <c r="I740">
        <f t="shared" si="69"/>
        <v>10038511745056.309</v>
      </c>
      <c r="J740" s="6"/>
      <c r="K740" s="6"/>
      <c r="L740" s="6"/>
      <c r="M740" s="6"/>
      <c r="N740" s="6"/>
      <c r="O740" s="6"/>
      <c r="P740" s="6"/>
      <c r="Q740" s="6"/>
      <c r="R740" s="6"/>
    </row>
    <row r="741" spans="6:18" x14ac:dyDescent="0.25">
      <c r="F741" s="5">
        <f t="shared" si="70"/>
        <v>1.5792332206067052E-12</v>
      </c>
      <c r="G741" s="4">
        <f t="shared" si="67"/>
        <v>3.9816015914759113</v>
      </c>
      <c r="H741" s="3">
        <f t="shared" si="68"/>
        <v>2521224566151.332</v>
      </c>
      <c r="I741">
        <f t="shared" si="69"/>
        <v>10038511745056.309</v>
      </c>
      <c r="J741" s="6"/>
      <c r="K741" s="6"/>
      <c r="L741" s="6"/>
      <c r="M741" s="6"/>
      <c r="N741" s="6"/>
      <c r="O741" s="6"/>
      <c r="P741" s="6"/>
      <c r="Q741" s="6"/>
      <c r="R741" s="6"/>
    </row>
    <row r="742" spans="6:18" x14ac:dyDescent="0.25">
      <c r="F742" s="5">
        <f t="shared" si="70"/>
        <v>1.5166955850706797E-12</v>
      </c>
      <c r="G742" s="4">
        <f t="shared" si="67"/>
        <v>3.901969559646393</v>
      </c>
      <c r="H742" s="3">
        <f t="shared" si="68"/>
        <v>2572678128725.8491</v>
      </c>
      <c r="I742">
        <f t="shared" si="69"/>
        <v>10038511745056.309</v>
      </c>
      <c r="J742" s="6"/>
      <c r="K742" s="6"/>
      <c r="L742" s="6"/>
      <c r="M742" s="6"/>
      <c r="N742" s="6"/>
      <c r="O742" s="6"/>
      <c r="P742" s="6"/>
      <c r="Q742" s="6"/>
      <c r="R742" s="6"/>
    </row>
    <row r="743" spans="6:18" x14ac:dyDescent="0.25">
      <c r="F743" s="5">
        <f t="shared" si="70"/>
        <v>1.4566344399018806E-12</v>
      </c>
      <c r="G743" s="4">
        <f t="shared" si="67"/>
        <v>3.8239301684534652</v>
      </c>
      <c r="H743" s="3">
        <f t="shared" si="68"/>
        <v>2625181764005.9688</v>
      </c>
      <c r="I743">
        <f t="shared" si="69"/>
        <v>10038511745056.309</v>
      </c>
      <c r="J743" s="6"/>
      <c r="K743" s="6"/>
      <c r="L743" s="6"/>
      <c r="M743" s="6"/>
      <c r="N743" s="6"/>
      <c r="O743" s="6"/>
      <c r="P743" s="6"/>
      <c r="Q743" s="6"/>
      <c r="R743" s="6"/>
    </row>
    <row r="744" spans="6:18" x14ac:dyDescent="0.25">
      <c r="F744" s="5">
        <f t="shared" si="70"/>
        <v>1.3989517160817664E-12</v>
      </c>
      <c r="G744" s="4">
        <f t="shared" si="67"/>
        <v>3.747451565084396</v>
      </c>
      <c r="H744" s="3">
        <f t="shared" si="68"/>
        <v>2678756902046.9067</v>
      </c>
      <c r="I744">
        <f t="shared" si="69"/>
        <v>10038511745056.309</v>
      </c>
      <c r="J744" s="6"/>
      <c r="K744" s="6"/>
      <c r="L744" s="6"/>
      <c r="M744" s="6"/>
      <c r="N744" s="6"/>
      <c r="O744" s="6"/>
      <c r="P744" s="6"/>
      <c r="Q744" s="6"/>
      <c r="R744" s="6"/>
    </row>
    <row r="745" spans="6:18" x14ac:dyDescent="0.25">
      <c r="F745" s="5">
        <f t="shared" si="70"/>
        <v>1.3435532281249281E-12</v>
      </c>
      <c r="G745" s="4">
        <f t="shared" si="67"/>
        <v>3.672502533782708</v>
      </c>
      <c r="H745" s="3">
        <f t="shared" si="68"/>
        <v>2733425410251.9458</v>
      </c>
      <c r="I745">
        <f t="shared" si="69"/>
        <v>10038511745056.309</v>
      </c>
      <c r="J745" s="6"/>
      <c r="K745" s="6"/>
      <c r="L745" s="6"/>
      <c r="M745" s="6"/>
      <c r="N745" s="6"/>
      <c r="O745" s="6"/>
      <c r="P745" s="6"/>
      <c r="Q745" s="6"/>
      <c r="R745" s="6"/>
    </row>
    <row r="746" spans="6:18" x14ac:dyDescent="0.25">
      <c r="F746" s="5">
        <f t="shared" si="70"/>
        <v>1.2903485202911811E-12</v>
      </c>
      <c r="G746" s="4">
        <f t="shared" si="67"/>
        <v>3.5990524831070538</v>
      </c>
      <c r="H746" s="3">
        <f t="shared" si="68"/>
        <v>2789209602297.9038</v>
      </c>
      <c r="I746">
        <f t="shared" si="69"/>
        <v>10038511745056.309</v>
      </c>
      <c r="J746" s="6"/>
      <c r="K746" s="6"/>
      <c r="L746" s="6"/>
      <c r="M746" s="6"/>
      <c r="N746" s="6"/>
      <c r="O746" s="6"/>
      <c r="P746" s="6"/>
      <c r="Q746" s="6"/>
      <c r="R746" s="6"/>
    </row>
    <row r="747" spans="6:18" x14ac:dyDescent="0.25">
      <c r="F747" s="5">
        <f t="shared" si="70"/>
        <v>1.2392507188876505E-12</v>
      </c>
      <c r="G747" s="4">
        <f t="shared" si="67"/>
        <v>3.5270714334449127</v>
      </c>
      <c r="H747" s="3">
        <f t="shared" si="68"/>
        <v>2846132247242.7588</v>
      </c>
      <c r="I747">
        <f t="shared" si="69"/>
        <v>10038511745056.309</v>
      </c>
      <c r="J747" s="6"/>
      <c r="K747" s="6"/>
      <c r="L747" s="6"/>
      <c r="M747" s="6"/>
      <c r="N747" s="6"/>
      <c r="O747" s="6"/>
      <c r="P747" s="6"/>
      <c r="Q747" s="6"/>
      <c r="R747" s="6"/>
    </row>
    <row r="748" spans="6:18" x14ac:dyDescent="0.25">
      <c r="F748" s="5">
        <f t="shared" si="70"/>
        <v>1.1901763904196994E-12</v>
      </c>
      <c r="G748" s="4">
        <f t="shared" si="67"/>
        <v>3.4565300047760146</v>
      </c>
      <c r="H748" s="3">
        <f t="shared" si="68"/>
        <v>2904216578819.1416</v>
      </c>
      <c r="I748">
        <f t="shared" si="69"/>
        <v>10038511745056.309</v>
      </c>
      <c r="J748" s="6"/>
      <c r="K748" s="6"/>
      <c r="L748" s="6"/>
      <c r="M748" s="6"/>
      <c r="N748" s="6"/>
      <c r="O748" s="6"/>
      <c r="P748" s="6"/>
      <c r="Q748" s="6"/>
      <c r="R748" s="6"/>
    </row>
    <row r="749" spans="6:18" x14ac:dyDescent="0.25">
      <c r="F749" s="5">
        <f t="shared" si="70"/>
        <v>1.1430454053590793E-12</v>
      </c>
      <c r="G749" s="4">
        <f t="shared" si="67"/>
        <v>3.3873994046804943</v>
      </c>
      <c r="H749" s="3">
        <f t="shared" si="68"/>
        <v>2963486304917.4917</v>
      </c>
      <c r="I749">
        <f t="shared" si="69"/>
        <v>10038511745056.309</v>
      </c>
      <c r="J749" s="6"/>
      <c r="K749" s="6"/>
      <c r="L749" s="6"/>
      <c r="M749" s="6"/>
      <c r="N749" s="6"/>
      <c r="O749" s="6"/>
      <c r="P749" s="6"/>
      <c r="Q749" s="6"/>
      <c r="R749" s="6"/>
    </row>
    <row r="750" spans="6:18" x14ac:dyDescent="0.25">
      <c r="F750" s="5">
        <f t="shared" si="70"/>
        <v>1.0977808073068598E-12</v>
      </c>
      <c r="G750" s="4">
        <f t="shared" si="67"/>
        <v>3.3196514165868845</v>
      </c>
      <c r="H750" s="3">
        <f t="shared" si="68"/>
        <v>3023965617262.7466</v>
      </c>
      <c r="I750">
        <f t="shared" si="69"/>
        <v>10038511745056.309</v>
      </c>
      <c r="J750" s="6"/>
      <c r="K750" s="6"/>
      <c r="L750" s="6"/>
      <c r="M750" s="6"/>
      <c r="N750" s="6"/>
      <c r="O750" s="6"/>
      <c r="P750" s="6"/>
      <c r="Q750" s="6"/>
      <c r="R750" s="6"/>
    </row>
    <row r="751" spans="6:18" x14ac:dyDescent="0.25">
      <c r="F751" s="5">
        <f t="shared" si="70"/>
        <v>1.0543086873375083E-12</v>
      </c>
      <c r="G751" s="4">
        <f t="shared" si="67"/>
        <v>3.2532583882551469</v>
      </c>
      <c r="H751" s="3">
        <f t="shared" si="68"/>
        <v>3085679201288.5166</v>
      </c>
      <c r="I751">
        <f t="shared" si="69"/>
        <v>10038511745056.309</v>
      </c>
      <c r="J751" s="6"/>
      <c r="K751" s="6"/>
      <c r="L751" s="6"/>
      <c r="M751" s="6"/>
      <c r="N751" s="6"/>
      <c r="O751" s="6"/>
      <c r="P751" s="6"/>
      <c r="Q751" s="6"/>
      <c r="R751" s="6"/>
    </row>
    <row r="752" spans="6:18" x14ac:dyDescent="0.25">
      <c r="F752" s="5">
        <f t="shared" si="70"/>
        <v>1.0125580633189429E-12</v>
      </c>
      <c r="G752" s="4">
        <f t="shared" si="67"/>
        <v>3.1881932204900441</v>
      </c>
      <c r="H752" s="3">
        <f t="shared" si="68"/>
        <v>3148652246212.772</v>
      </c>
      <c r="I752">
        <f t="shared" si="69"/>
        <v>10038511745056.309</v>
      </c>
      <c r="J752" s="6"/>
      <c r="K752" s="6"/>
      <c r="L752" s="6"/>
      <c r="M752" s="6"/>
      <c r="N752" s="6"/>
      <c r="O752" s="6"/>
      <c r="P752" s="6"/>
      <c r="Q752" s="6"/>
      <c r="R752" s="6"/>
    </row>
    <row r="753" spans="6:18" x14ac:dyDescent="0.25">
      <c r="F753" s="5">
        <f t="shared" si="70"/>
        <v>9.7246076401151274E-13</v>
      </c>
      <c r="G753" s="4">
        <f t="shared" si="67"/>
        <v>3.1244293560802432</v>
      </c>
      <c r="H753" s="3">
        <f t="shared" si="68"/>
        <v>3212910455319.1553</v>
      </c>
      <c r="I753">
        <f t="shared" si="69"/>
        <v>10038511745056.309</v>
      </c>
      <c r="J753" s="6"/>
      <c r="K753" s="6"/>
      <c r="L753" s="6"/>
      <c r="M753" s="6"/>
      <c r="N753" s="6"/>
      <c r="O753" s="6"/>
      <c r="P753" s="6"/>
      <c r="Q753" s="6"/>
      <c r="R753" s="6"/>
    </row>
    <row r="754" spans="6:18" x14ac:dyDescent="0.25">
      <c r="F754" s="5">
        <f t="shared" si="70"/>
        <v>9.3395131775665709E-13</v>
      </c>
      <c r="G754" s="4">
        <f t="shared" ref="G754:G815" si="71">G753*(1-$O$1)</f>
        <v>3.0619407689586384</v>
      </c>
      <c r="H754" s="3">
        <f t="shared" ref="H754:H815" si="72">I754/G754</f>
        <v>3278480056448.1172</v>
      </c>
      <c r="I754">
        <f t="shared" ref="I754:I815" si="73">I753</f>
        <v>10038511745056.309</v>
      </c>
      <c r="J754" s="6"/>
      <c r="K754" s="6"/>
      <c r="L754" s="6"/>
      <c r="M754" s="6"/>
      <c r="N754" s="6"/>
      <c r="O754" s="6"/>
      <c r="P754" s="6"/>
      <c r="Q754" s="6"/>
      <c r="R754" s="6"/>
    </row>
    <row r="755" spans="6:18" x14ac:dyDescent="0.25">
      <c r="F755" s="5">
        <f t="shared" si="70"/>
        <v>8.9696684557349327E-13</v>
      </c>
      <c r="G755" s="4">
        <f t="shared" si="71"/>
        <v>3.0007019535794655</v>
      </c>
      <c r="H755" s="3">
        <f t="shared" si="72"/>
        <v>3345387812702.1606</v>
      </c>
      <c r="I755">
        <f t="shared" si="73"/>
        <v>10038511745056.309</v>
      </c>
      <c r="J755" s="6"/>
      <c r="K755" s="6"/>
      <c r="L755" s="6"/>
      <c r="M755" s="6"/>
      <c r="N755" s="6"/>
      <c r="O755" s="6"/>
      <c r="P755" s="6"/>
      <c r="Q755" s="6"/>
      <c r="R755" s="6"/>
    </row>
    <row r="756" spans="6:18" x14ac:dyDescent="0.25">
      <c r="F756" s="5">
        <f t="shared" si="70"/>
        <v>8.614469584887829E-13</v>
      </c>
      <c r="G756" s="4">
        <f t="shared" si="71"/>
        <v>2.9406879145078761</v>
      </c>
      <c r="H756" s="3">
        <f t="shared" si="72"/>
        <v>3413661033369.5518</v>
      </c>
      <c r="I756">
        <f t="shared" si="73"/>
        <v>10038511745056.309</v>
      </c>
      <c r="J756" s="6"/>
      <c r="K756" s="6"/>
      <c r="L756" s="6"/>
      <c r="M756" s="6"/>
      <c r="N756" s="6"/>
      <c r="O756" s="6"/>
      <c r="P756" s="6"/>
      <c r="Q756" s="6"/>
      <c r="R756" s="6"/>
    </row>
    <row r="757" spans="6:18" x14ac:dyDescent="0.25">
      <c r="F757" s="5">
        <f t="shared" si="70"/>
        <v>8.2733365893262716E-13</v>
      </c>
      <c r="G757" s="4">
        <f t="shared" si="71"/>
        <v>2.8818741562177186</v>
      </c>
      <c r="H757" s="3">
        <f t="shared" si="72"/>
        <v>3483327585070.9712</v>
      </c>
      <c r="I757">
        <f t="shared" si="73"/>
        <v>10038511745056.309</v>
      </c>
      <c r="J757" s="6"/>
      <c r="K757" s="6"/>
      <c r="L757" s="6"/>
      <c r="M757" s="6"/>
      <c r="N757" s="6"/>
      <c r="O757" s="6"/>
      <c r="P757" s="6"/>
      <c r="Q757" s="6"/>
      <c r="R757" s="6"/>
    </row>
    <row r="758" spans="6:18" x14ac:dyDescent="0.25">
      <c r="F758" s="5">
        <f t="shared" si="70"/>
        <v>7.9457124603889512E-13</v>
      </c>
      <c r="G758" s="4">
        <f t="shared" si="71"/>
        <v>2.8242366730933641</v>
      </c>
      <c r="H758" s="3">
        <f t="shared" si="72"/>
        <v>3554415903133.644</v>
      </c>
      <c r="I758">
        <f t="shared" si="73"/>
        <v>10038511745056.309</v>
      </c>
      <c r="J758" s="6"/>
      <c r="K758" s="6"/>
      <c r="L758" s="6"/>
      <c r="M758" s="6"/>
      <c r="N758" s="6"/>
      <c r="O758" s="6"/>
      <c r="P758" s="6"/>
      <c r="Q758" s="6"/>
      <c r="R758" s="6"/>
    </row>
    <row r="759" spans="6:18" x14ac:dyDescent="0.25">
      <c r="F759" s="5">
        <f t="shared" si="70"/>
        <v>7.6310622469575476E-13</v>
      </c>
      <c r="G759" s="4">
        <f t="shared" si="71"/>
        <v>2.7677519396314967</v>
      </c>
      <c r="H759" s="3">
        <f t="shared" si="72"/>
        <v>3626955003197.5962</v>
      </c>
      <c r="I759">
        <f t="shared" si="73"/>
        <v>10038511745056.309</v>
      </c>
      <c r="J759" s="6"/>
      <c r="K759" s="6"/>
      <c r="L759" s="6"/>
      <c r="M759" s="6"/>
      <c r="N759" s="6"/>
      <c r="O759" s="6"/>
      <c r="P759" s="6"/>
      <c r="Q759" s="6"/>
      <c r="R759" s="6"/>
    </row>
    <row r="760" spans="6:18" x14ac:dyDescent="0.25">
      <c r="F760" s="5">
        <f t="shared" si="70"/>
        <v>7.3288721819780275E-13</v>
      </c>
      <c r="G760" s="4">
        <f t="shared" si="71"/>
        <v>2.7123969008388666</v>
      </c>
      <c r="H760" s="3">
        <f t="shared" si="72"/>
        <v>3700974493058.772</v>
      </c>
      <c r="I760">
        <f t="shared" si="73"/>
        <v>10038511745056.309</v>
      </c>
      <c r="J760" s="6"/>
      <c r="K760" s="6"/>
      <c r="L760" s="6"/>
      <c r="M760" s="6"/>
      <c r="N760" s="6"/>
      <c r="O760" s="6"/>
      <c r="P760" s="6"/>
      <c r="Q760" s="6"/>
      <c r="R760" s="6"/>
    </row>
    <row r="761" spans="6:18" x14ac:dyDescent="0.25">
      <c r="F761" s="5">
        <f t="shared" si="70"/>
        <v>7.0386488435716986E-13</v>
      </c>
      <c r="G761" s="4">
        <f t="shared" si="71"/>
        <v>2.6581489628220893</v>
      </c>
      <c r="H761" s="3">
        <f t="shared" si="72"/>
        <v>3776504584753.8486</v>
      </c>
      <c r="I761">
        <f t="shared" si="73"/>
        <v>10038511745056.309</v>
      </c>
      <c r="J761" s="6"/>
      <c r="K761" s="6"/>
      <c r="L761" s="6"/>
      <c r="M761" s="6"/>
      <c r="N761" s="6"/>
      <c r="O761" s="6"/>
      <c r="P761" s="6"/>
      <c r="Q761" s="6"/>
      <c r="R761" s="6"/>
    </row>
    <row r="762" spans="6:18" x14ac:dyDescent="0.25">
      <c r="F762" s="5">
        <f t="shared" si="70"/>
        <v>6.7599183493662593E-13</v>
      </c>
      <c r="G762" s="4">
        <f t="shared" si="71"/>
        <v>2.6049859835656477</v>
      </c>
      <c r="H762" s="3">
        <f t="shared" si="72"/>
        <v>3853576106891.6821</v>
      </c>
      <c r="I762">
        <f t="shared" si="73"/>
        <v>10038511745056.309</v>
      </c>
      <c r="J762" s="6"/>
      <c r="K762" s="6"/>
      <c r="L762" s="6"/>
      <c r="M762" s="6"/>
      <c r="N762" s="6"/>
      <c r="O762" s="6"/>
      <c r="P762" s="6"/>
      <c r="Q762" s="6"/>
      <c r="R762" s="6"/>
    </row>
    <row r="763" spans="6:18" x14ac:dyDescent="0.25">
      <c r="F763" s="5">
        <f t="shared" si="70"/>
        <v>6.4922255827313554E-13</v>
      </c>
      <c r="G763" s="4">
        <f t="shared" si="71"/>
        <v>2.5528862638943348</v>
      </c>
      <c r="H763" s="3">
        <f t="shared" si="72"/>
        <v>3932220517236.4106</v>
      </c>
      <c r="I763">
        <f t="shared" si="73"/>
        <v>10038511745056.309</v>
      </c>
      <c r="J763" s="6"/>
      <c r="K763" s="6"/>
      <c r="L763" s="6"/>
      <c r="M763" s="6"/>
      <c r="N763" s="6"/>
      <c r="O763" s="6"/>
      <c r="P763" s="6"/>
      <c r="Q763" s="6"/>
      <c r="R763" s="6"/>
    </row>
    <row r="764" spans="6:18" x14ac:dyDescent="0.25">
      <c r="F764" s="5">
        <f t="shared" si="70"/>
        <v>6.2351334496551934E-13</v>
      </c>
      <c r="G764" s="4">
        <f t="shared" si="71"/>
        <v>2.501828538616448</v>
      </c>
      <c r="H764" s="3">
        <f t="shared" si="72"/>
        <v>4012469915547.3579</v>
      </c>
      <c r="I764">
        <f t="shared" si="73"/>
        <v>10038511745056.309</v>
      </c>
      <c r="J764" s="6"/>
      <c r="K764" s="6"/>
      <c r="L764" s="6"/>
      <c r="M764" s="6"/>
      <c r="N764" s="6"/>
      <c r="O764" s="6"/>
      <c r="P764" s="6"/>
      <c r="Q764" s="6"/>
      <c r="R764" s="6"/>
    </row>
    <row r="765" spans="6:18" x14ac:dyDescent="0.25">
      <c r="F765" s="5">
        <f t="shared" si="70"/>
        <v>5.9882221650488483E-13</v>
      </c>
      <c r="G765" s="4">
        <f t="shared" si="71"/>
        <v>2.4517919678441191</v>
      </c>
      <c r="H765" s="3">
        <f t="shared" si="72"/>
        <v>4094357056680.9771</v>
      </c>
      <c r="I765">
        <f t="shared" si="73"/>
        <v>10038511745056.309</v>
      </c>
      <c r="J765" s="6"/>
      <c r="K765" s="6"/>
      <c r="L765" s="6"/>
      <c r="M765" s="6"/>
      <c r="N765" s="6"/>
      <c r="O765" s="6"/>
      <c r="P765" s="6"/>
      <c r="Q765" s="6"/>
      <c r="R765" s="6"/>
    </row>
    <row r="766" spans="6:18" x14ac:dyDescent="0.25">
      <c r="F766" s="5">
        <f t="shared" si="70"/>
        <v>5.7510885673129129E-13</v>
      </c>
      <c r="G766" s="4">
        <f t="shared" si="71"/>
        <v>2.4027561284872365</v>
      </c>
      <c r="H766" s="3">
        <f t="shared" si="72"/>
        <v>4177915363960.1812</v>
      </c>
      <c r="I766">
        <f t="shared" si="73"/>
        <v>10038511745056.309</v>
      </c>
      <c r="J766" s="6"/>
      <c r="K766" s="6"/>
      <c r="L766" s="6"/>
      <c r="M766" s="6"/>
      <c r="N766" s="6"/>
      <c r="O766" s="6"/>
      <c r="P766" s="6"/>
      <c r="Q766" s="6"/>
      <c r="R766" s="6"/>
    </row>
    <row r="767" spans="6:18" x14ac:dyDescent="0.25">
      <c r="F767" s="5">
        <f t="shared" si="70"/>
        <v>5.5233454600473221E-13</v>
      </c>
      <c r="G767" s="4">
        <f t="shared" si="71"/>
        <v>2.3547010059174918</v>
      </c>
      <c r="H767" s="3">
        <f t="shared" si="72"/>
        <v>4263178942816.5112</v>
      </c>
      <c r="I767">
        <f t="shared" si="73"/>
        <v>10038511745056.309</v>
      </c>
      <c r="J767" s="6"/>
      <c r="K767" s="6"/>
      <c r="L767" s="6"/>
      <c r="M767" s="6"/>
      <c r="N767" s="6"/>
      <c r="O767" s="6"/>
      <c r="P767" s="6"/>
      <c r="Q767" s="6"/>
      <c r="R767" s="6"/>
    </row>
    <row r="768" spans="6:18" x14ac:dyDescent="0.25">
      <c r="F768" s="5">
        <f t="shared" si="70"/>
        <v>5.3046209798294466E-13</v>
      </c>
      <c r="G768" s="4">
        <f t="shared" si="71"/>
        <v>2.3076069857991417</v>
      </c>
      <c r="H768" s="3">
        <f t="shared" si="72"/>
        <v>4350182594710.7266</v>
      </c>
      <c r="I768">
        <f t="shared" si="73"/>
        <v>10038511745056.309</v>
      </c>
      <c r="J768" s="6"/>
      <c r="K768" s="6"/>
      <c r="L768" s="6"/>
      <c r="M768" s="6"/>
      <c r="N768" s="6"/>
      <c r="O768" s="6"/>
      <c r="P768" s="6"/>
      <c r="Q768" s="6"/>
      <c r="R768" s="6"/>
    </row>
    <row r="769" spans="6:18" x14ac:dyDescent="0.25">
      <c r="F769" s="5">
        <f t="shared" si="70"/>
        <v>5.0945579890281997E-13</v>
      </c>
      <c r="G769" s="4">
        <f t="shared" si="71"/>
        <v>2.2614548460831587</v>
      </c>
      <c r="H769" s="3">
        <f t="shared" si="72"/>
        <v>4438961831337.4766</v>
      </c>
      <c r="I769">
        <f t="shared" si="73"/>
        <v>10038511745056.309</v>
      </c>
      <c r="J769" s="6"/>
      <c r="K769" s="6"/>
      <c r="L769" s="6"/>
      <c r="M769" s="6"/>
      <c r="N769" s="6"/>
      <c r="O769" s="6"/>
      <c r="P769" s="6"/>
      <c r="Q769" s="6"/>
      <c r="R769" s="6"/>
    </row>
    <row r="770" spans="6:18" x14ac:dyDescent="0.25">
      <c r="F770" s="5">
        <f t="shared" si="70"/>
        <v>4.8928134926626836E-13</v>
      </c>
      <c r="G770" s="4">
        <f t="shared" si="71"/>
        <v>2.2162257491614956</v>
      </c>
      <c r="H770" s="3">
        <f t="shared" si="72"/>
        <v>4529552889119.873</v>
      </c>
      <c r="I770">
        <f t="shared" si="73"/>
        <v>10038511745056.309</v>
      </c>
      <c r="J770" s="6"/>
      <c r="K770" s="6"/>
      <c r="L770" s="6"/>
      <c r="M770" s="6"/>
      <c r="N770" s="6"/>
      <c r="O770" s="6"/>
      <c r="P770" s="6"/>
      <c r="Q770" s="6"/>
      <c r="R770" s="6"/>
    </row>
    <row r="771" spans="6:18" x14ac:dyDescent="0.25">
      <c r="F771" s="5">
        <f t="shared" si="70"/>
        <v>4.6990580783532412E-13</v>
      </c>
      <c r="G771" s="4">
        <f t="shared" si="71"/>
        <v>2.1719012341782657</v>
      </c>
      <c r="H771" s="3">
        <f t="shared" si="72"/>
        <v>4621992743999.8711</v>
      </c>
      <c r="I771">
        <f t="shared" si="73"/>
        <v>10038511745056.309</v>
      </c>
      <c r="J771" s="6"/>
      <c r="K771" s="6"/>
      <c r="L771" s="6"/>
      <c r="M771" s="6"/>
      <c r="N771" s="6"/>
      <c r="O771" s="6"/>
      <c r="P771" s="6"/>
      <c r="Q771" s="6"/>
      <c r="R771" s="6"/>
    </row>
    <row r="772" spans="6:18" x14ac:dyDescent="0.25">
      <c r="F772" s="5">
        <f t="shared" si="70"/>
        <v>4.5129753784504523E-13</v>
      </c>
      <c r="G772" s="4">
        <f t="shared" si="71"/>
        <v>2.1284632094947002</v>
      </c>
      <c r="H772" s="3">
        <f t="shared" si="72"/>
        <v>4716319126530.4805</v>
      </c>
      <c r="I772">
        <f t="shared" si="73"/>
        <v>10038511745056.309</v>
      </c>
      <c r="J772" s="6"/>
      <c r="K772" s="6"/>
      <c r="L772" s="6"/>
      <c r="M772" s="6"/>
      <c r="N772" s="6"/>
      <c r="O772" s="6"/>
      <c r="P772" s="6"/>
      <c r="Q772" s="6"/>
      <c r="R772" s="6"/>
    </row>
    <row r="773" spans="6:18" x14ac:dyDescent="0.25">
      <c r="F773" s="5">
        <f t="shared" si="70"/>
        <v>4.3342615534638127E-13</v>
      </c>
      <c r="G773" s="4">
        <f t="shared" si="71"/>
        <v>2.085893945304806</v>
      </c>
      <c r="H773" s="3">
        <f t="shared" si="72"/>
        <v>4812570537276.002</v>
      </c>
      <c r="I773">
        <f t="shared" si="73"/>
        <v>10038511745056.309</v>
      </c>
      <c r="J773" s="6"/>
      <c r="K773" s="6"/>
      <c r="L773" s="6"/>
      <c r="M773" s="6"/>
      <c r="N773" s="6"/>
      <c r="O773" s="6"/>
      <c r="P773" s="6"/>
      <c r="Q773" s="6"/>
      <c r="R773" s="6"/>
    </row>
    <row r="774" spans="6:18" x14ac:dyDescent="0.25">
      <c r="F774" s="5">
        <f t="shared" si="70"/>
        <v>4.1626247959466458E-13</v>
      </c>
      <c r="G774" s="4">
        <f t="shared" si="71"/>
        <v>2.0441760663987099</v>
      </c>
      <c r="H774" s="3">
        <f t="shared" si="72"/>
        <v>4910786262526.5322</v>
      </c>
      <c r="I774">
        <f t="shared" si="73"/>
        <v>10038511745056.309</v>
      </c>
      <c r="J774" s="6"/>
      <c r="K774" s="6"/>
      <c r="L774" s="6"/>
      <c r="M774" s="6"/>
      <c r="N774" s="6"/>
      <c r="O774" s="6"/>
      <c r="P774" s="6"/>
      <c r="Q774" s="6"/>
      <c r="R774" s="6"/>
    </row>
    <row r="775" spans="6:18" x14ac:dyDescent="0.25">
      <c r="F775" s="5">
        <f t="shared" si="70"/>
        <v>3.9977848540271589E-13</v>
      </c>
      <c r="G775" s="4">
        <f t="shared" si="71"/>
        <v>2.0032925450707357</v>
      </c>
      <c r="H775" s="3">
        <f t="shared" si="72"/>
        <v>5011006390333.1963</v>
      </c>
      <c r="I775">
        <f t="shared" si="73"/>
        <v>10038511745056.309</v>
      </c>
      <c r="J775" s="6"/>
      <c r="K775" s="6"/>
      <c r="L775" s="6"/>
      <c r="M775" s="6"/>
      <c r="N775" s="6"/>
      <c r="O775" s="6"/>
      <c r="P775" s="6"/>
      <c r="Q775" s="6"/>
      <c r="R775" s="6"/>
    </row>
    <row r="776" spans="6:18" x14ac:dyDescent="0.25">
      <c r="F776" s="5">
        <f t="shared" si="70"/>
        <v>3.8394725738076834E-13</v>
      </c>
      <c r="G776" s="4">
        <f t="shared" si="71"/>
        <v>1.9632266941693211</v>
      </c>
      <c r="H776" s="3">
        <f t="shared" si="72"/>
        <v>5113271826870.6084</v>
      </c>
      <c r="I776">
        <f t="shared" si="73"/>
        <v>10038511745056.309</v>
      </c>
      <c r="J776" s="6"/>
      <c r="K776" s="6"/>
      <c r="L776" s="6"/>
      <c r="M776" s="6"/>
      <c r="N776" s="6"/>
      <c r="O776" s="6"/>
      <c r="P776" s="6"/>
      <c r="Q776" s="6"/>
      <c r="R776" s="6"/>
    </row>
    <row r="777" spans="6:18" x14ac:dyDescent="0.25">
      <c r="F777" s="5">
        <f t="shared" ref="F777:F815" si="74">G777/H777</f>
        <v>3.6874294598848997E-13</v>
      </c>
      <c r="G777" s="4">
        <f t="shared" si="71"/>
        <v>1.9239621602859347</v>
      </c>
      <c r="H777" s="3">
        <f t="shared" si="72"/>
        <v>5217624313133.2734</v>
      </c>
      <c r="I777">
        <f t="shared" si="73"/>
        <v>10038511745056.309</v>
      </c>
      <c r="J777" s="6"/>
      <c r="K777" s="6"/>
      <c r="L777" s="6"/>
      <c r="M777" s="6"/>
      <c r="N777" s="6"/>
      <c r="O777" s="6"/>
      <c r="P777" s="6"/>
      <c r="Q777" s="6"/>
      <c r="R777" s="6"/>
    </row>
    <row r="778" spans="6:18" x14ac:dyDescent="0.25">
      <c r="F778" s="5">
        <f t="shared" si="74"/>
        <v>3.5414072532734568E-13</v>
      </c>
      <c r="G778" s="4">
        <f t="shared" si="71"/>
        <v>1.8854829170802159</v>
      </c>
      <c r="H778" s="3">
        <f t="shared" si="72"/>
        <v>5324106441972.7285</v>
      </c>
      <c r="I778">
        <f t="shared" si="73"/>
        <v>10038511745056.309</v>
      </c>
      <c r="J778" s="6"/>
      <c r="K778" s="6"/>
      <c r="L778" s="6"/>
      <c r="M778" s="6"/>
      <c r="N778" s="6"/>
      <c r="O778" s="6"/>
      <c r="P778" s="6"/>
      <c r="Q778" s="6"/>
      <c r="R778" s="6"/>
    </row>
    <row r="779" spans="6:18" x14ac:dyDescent="0.25">
      <c r="F779" s="5">
        <f t="shared" si="74"/>
        <v>3.4011675260438281E-13</v>
      </c>
      <c r="G779" s="4">
        <f t="shared" si="71"/>
        <v>1.8477732587386115</v>
      </c>
      <c r="H779" s="3">
        <f t="shared" si="72"/>
        <v>5432761675482.376</v>
      </c>
      <c r="I779">
        <f t="shared" si="73"/>
        <v>10038511745056.309</v>
      </c>
      <c r="J779" s="6"/>
      <c r="K779" s="6"/>
      <c r="L779" s="6"/>
      <c r="M779" s="6"/>
      <c r="N779" s="6"/>
      <c r="O779" s="6"/>
      <c r="P779" s="6"/>
      <c r="Q779" s="6"/>
      <c r="R779" s="6"/>
    </row>
    <row r="780" spans="6:18" x14ac:dyDescent="0.25">
      <c r="F780" s="5">
        <f t="shared" si="74"/>
        <v>3.2664812920124923E-13</v>
      </c>
      <c r="G780" s="4">
        <f t="shared" si="71"/>
        <v>1.8108177935638392</v>
      </c>
      <c r="H780" s="3">
        <f t="shared" si="72"/>
        <v>5543634362737.1182</v>
      </c>
      <c r="I780">
        <f t="shared" si="73"/>
        <v>10038511745056.309</v>
      </c>
      <c r="J780" s="6"/>
      <c r="K780" s="6"/>
      <c r="L780" s="6"/>
      <c r="M780" s="6"/>
      <c r="N780" s="6"/>
      <c r="O780" s="6"/>
      <c r="P780" s="6"/>
      <c r="Q780" s="6"/>
      <c r="R780" s="6"/>
    </row>
    <row r="781" spans="6:18" x14ac:dyDescent="0.25">
      <c r="F781" s="5">
        <f t="shared" si="74"/>
        <v>3.1371286328487971E-13</v>
      </c>
      <c r="G781" s="4">
        <f t="shared" si="71"/>
        <v>1.7746014376925623</v>
      </c>
      <c r="H781" s="3">
        <f t="shared" si="72"/>
        <v>5656769757895.0195</v>
      </c>
      <c r="I781">
        <f t="shared" si="73"/>
        <v>10038511745056.309</v>
      </c>
      <c r="J781" s="6"/>
      <c r="K781" s="6"/>
      <c r="L781" s="6"/>
      <c r="M781" s="6"/>
      <c r="N781" s="6"/>
      <c r="O781" s="6"/>
      <c r="P781" s="6"/>
      <c r="Q781" s="6"/>
      <c r="R781" s="6"/>
    </row>
    <row r="782" spans="6:18" x14ac:dyDescent="0.25">
      <c r="F782" s="5">
        <f t="shared" si="74"/>
        <v>3.012898338987984E-13</v>
      </c>
      <c r="G782" s="4">
        <f t="shared" si="71"/>
        <v>1.7391094089387109</v>
      </c>
      <c r="H782" s="3">
        <f t="shared" si="72"/>
        <v>5772214038668.3877</v>
      </c>
      <c r="I782">
        <f t="shared" si="73"/>
        <v>10038511745056.309</v>
      </c>
      <c r="J782" s="6"/>
      <c r="K782" s="6"/>
      <c r="L782" s="6"/>
      <c r="M782" s="6"/>
      <c r="N782" s="6"/>
      <c r="O782" s="6"/>
      <c r="P782" s="6"/>
      <c r="Q782" s="6"/>
      <c r="R782" s="6"/>
    </row>
    <row r="783" spans="6:18" x14ac:dyDescent="0.25">
      <c r="F783" s="5">
        <f t="shared" si="74"/>
        <v>2.8935875647640599E-13</v>
      </c>
      <c r="G783" s="4">
        <f t="shared" si="71"/>
        <v>1.7043272207599367</v>
      </c>
      <c r="H783" s="3">
        <f t="shared" si="72"/>
        <v>5890014325171.8242</v>
      </c>
      <c r="I783">
        <f t="shared" si="73"/>
        <v>10038511745056.309</v>
      </c>
      <c r="J783" s="6"/>
      <c r="K783" s="6"/>
      <c r="L783" s="6"/>
      <c r="M783" s="6"/>
      <c r="N783" s="6"/>
      <c r="O783" s="6"/>
      <c r="P783" s="6"/>
      <c r="Q783" s="6"/>
      <c r="R783" s="6"/>
    </row>
    <row r="784" spans="6:18" x14ac:dyDescent="0.25">
      <c r="F784" s="5">
        <f t="shared" si="74"/>
        <v>2.7790014971994029E-13</v>
      </c>
      <c r="G784" s="4">
        <f t="shared" si="71"/>
        <v>1.6702406763447379</v>
      </c>
      <c r="H784" s="3">
        <f t="shared" si="72"/>
        <v>6010218699154.9229</v>
      </c>
      <c r="I784">
        <f t="shared" si="73"/>
        <v>10038511745056.309</v>
      </c>
      <c r="J784" s="6"/>
      <c r="K784" s="6"/>
      <c r="L784" s="6"/>
      <c r="M784" s="6"/>
      <c r="N784" s="6"/>
      <c r="O784" s="6"/>
      <c r="P784" s="6"/>
      <c r="Q784" s="6"/>
      <c r="R784" s="6"/>
    </row>
    <row r="785" spans="6:18" x14ac:dyDescent="0.25">
      <c r="F785" s="5">
        <f t="shared" si="74"/>
        <v>2.6689530379103071E-13</v>
      </c>
      <c r="G785" s="4">
        <f t="shared" si="71"/>
        <v>1.6368358628178432</v>
      </c>
      <c r="H785" s="3">
        <f t="shared" si="72"/>
        <v>6132876223627.4717</v>
      </c>
      <c r="I785">
        <f t="shared" si="73"/>
        <v>10038511745056.309</v>
      </c>
      <c r="J785" s="6"/>
      <c r="K785" s="6"/>
      <c r="L785" s="6"/>
      <c r="M785" s="6"/>
      <c r="N785" s="6"/>
      <c r="O785" s="6"/>
      <c r="P785" s="6"/>
      <c r="Q785" s="6"/>
      <c r="R785" s="6"/>
    </row>
    <row r="786" spans="6:18" x14ac:dyDescent="0.25">
      <c r="F786" s="5">
        <f t="shared" si="74"/>
        <v>2.5632624976090591E-13</v>
      </c>
      <c r="G786" s="4">
        <f t="shared" si="71"/>
        <v>1.6040991455614864</v>
      </c>
      <c r="H786" s="3">
        <f t="shared" si="72"/>
        <v>6258036962885.1748</v>
      </c>
      <c r="I786">
        <f t="shared" si="73"/>
        <v>10038511745056.309</v>
      </c>
      <c r="J786" s="6"/>
      <c r="K786" s="6"/>
      <c r="L786" s="6"/>
      <c r="M786" s="6"/>
      <c r="N786" s="6"/>
      <c r="O786" s="6"/>
      <c r="P786" s="6"/>
      <c r="Q786" s="6"/>
      <c r="R786" s="6"/>
    </row>
    <row r="787" spans="6:18" x14ac:dyDescent="0.25">
      <c r="F787" s="5">
        <f t="shared" si="74"/>
        <v>2.4617573027037398E-13</v>
      </c>
      <c r="G787" s="4">
        <f t="shared" si="71"/>
        <v>1.5720171626502566</v>
      </c>
      <c r="H787" s="3">
        <f t="shared" si="72"/>
        <v>6385752002944.0566</v>
      </c>
      <c r="I787">
        <f t="shared" si="73"/>
        <v>10038511745056.309</v>
      </c>
      <c r="J787" s="6"/>
      <c r="K787" s="6"/>
      <c r="L787" s="6"/>
      <c r="M787" s="6"/>
      <c r="N787" s="6"/>
      <c r="O787" s="6"/>
      <c r="P787" s="6"/>
      <c r="Q787" s="6"/>
      <c r="R787" s="6"/>
    </row>
    <row r="788" spans="6:18" x14ac:dyDescent="0.25">
      <c r="F788" s="5">
        <f t="shared" si="74"/>
        <v>2.3642717135166717E-13</v>
      </c>
      <c r="G788" s="4">
        <f t="shared" si="71"/>
        <v>1.5405768193972513</v>
      </c>
      <c r="H788" s="3">
        <f t="shared" si="72"/>
        <v>6516073472391.8945</v>
      </c>
      <c r="I788">
        <f t="shared" si="73"/>
        <v>10038511745056.309</v>
      </c>
      <c r="J788" s="6"/>
      <c r="K788" s="6"/>
      <c r="L788" s="6"/>
      <c r="M788" s="6"/>
      <c r="N788" s="6"/>
      <c r="O788" s="6"/>
      <c r="P788" s="6"/>
      <c r="Q788" s="6"/>
      <c r="R788" s="6"/>
    </row>
    <row r="789" spans="6:18" x14ac:dyDescent="0.25">
      <c r="F789" s="5">
        <f t="shared" si="74"/>
        <v>2.2706465536614111E-13</v>
      </c>
      <c r="G789" s="4">
        <f t="shared" si="71"/>
        <v>1.5097652830093062</v>
      </c>
      <c r="H789" s="3">
        <f t="shared" si="72"/>
        <v>6649054563665.1992</v>
      </c>
      <c r="I789">
        <f t="shared" si="73"/>
        <v>10038511745056.309</v>
      </c>
      <c r="J789" s="6"/>
      <c r="K789" s="6"/>
      <c r="L789" s="6"/>
      <c r="M789" s="6"/>
      <c r="N789" s="6"/>
      <c r="O789" s="6"/>
      <c r="P789" s="6"/>
      <c r="Q789" s="6"/>
      <c r="R789" s="6"/>
    </row>
    <row r="790" spans="6:18" x14ac:dyDescent="0.25">
      <c r="F790" s="5">
        <f t="shared" si="74"/>
        <v>2.1807289501364188E-13</v>
      </c>
      <c r="G790" s="4">
        <f t="shared" si="71"/>
        <v>1.47956997734912</v>
      </c>
      <c r="H790" s="3">
        <f t="shared" si="72"/>
        <v>6784749554760.4082</v>
      </c>
      <c r="I790">
        <f t="shared" si="73"/>
        <v>10038511745056.309</v>
      </c>
      <c r="J790" s="6"/>
      <c r="K790" s="6"/>
      <c r="L790" s="6"/>
      <c r="M790" s="6"/>
      <c r="N790" s="6"/>
      <c r="O790" s="6"/>
      <c r="P790" s="6"/>
      <c r="Q790" s="6"/>
      <c r="R790" s="6"/>
    </row>
    <row r="791" spans="6:18" x14ac:dyDescent="0.25">
      <c r="F791" s="5">
        <f t="shared" si="74"/>
        <v>2.0943720837110164E-13</v>
      </c>
      <c r="G791" s="4">
        <f t="shared" si="71"/>
        <v>1.4499785778021375</v>
      </c>
      <c r="H791" s="3">
        <f t="shared" si="72"/>
        <v>6923213831388.1719</v>
      </c>
      <c r="I791">
        <f t="shared" si="73"/>
        <v>10038511745056.309</v>
      </c>
      <c r="J791" s="6"/>
      <c r="K791" s="6"/>
      <c r="L791" s="6"/>
      <c r="M791" s="6"/>
      <c r="N791" s="6"/>
      <c r="O791" s="6"/>
      <c r="P791" s="6"/>
      <c r="Q791" s="6"/>
      <c r="R791" s="6"/>
    </row>
    <row r="792" spans="6:18" x14ac:dyDescent="0.25">
      <c r="F792" s="5">
        <f t="shared" si="74"/>
        <v>2.0114349491960603E-13</v>
      </c>
      <c r="G792" s="4">
        <f t="shared" si="71"/>
        <v>1.4209790062460947</v>
      </c>
      <c r="H792" s="3">
        <f t="shared" si="72"/>
        <v>7064503909579.7666</v>
      </c>
      <c r="I792">
        <f t="shared" si="73"/>
        <v>10038511745056.309</v>
      </c>
      <c r="J792" s="6"/>
      <c r="K792" s="6"/>
      <c r="L792" s="6"/>
      <c r="M792" s="6"/>
      <c r="N792" s="6"/>
      <c r="O792" s="6"/>
      <c r="P792" s="6"/>
      <c r="Q792" s="6"/>
      <c r="R792" s="6"/>
    </row>
    <row r="793" spans="6:18" x14ac:dyDescent="0.25">
      <c r="F793" s="5">
        <f t="shared" si="74"/>
        <v>1.9317821252078962E-13</v>
      </c>
      <c r="G793" s="4">
        <f t="shared" si="71"/>
        <v>1.3925594261211729</v>
      </c>
      <c r="H793" s="3">
        <f t="shared" si="72"/>
        <v>7208677458754.8643</v>
      </c>
      <c r="I793">
        <f t="shared" si="73"/>
        <v>10038511745056.309</v>
      </c>
      <c r="J793" s="6"/>
      <c r="K793" s="6"/>
      <c r="L793" s="6"/>
      <c r="M793" s="6"/>
      <c r="N793" s="6"/>
      <c r="O793" s="6"/>
      <c r="P793" s="6"/>
      <c r="Q793" s="6"/>
      <c r="R793" s="6"/>
    </row>
    <row r="794" spans="6:18" x14ac:dyDescent="0.25">
      <c r="F794" s="5">
        <f t="shared" si="74"/>
        <v>1.8552835530496635E-13</v>
      </c>
      <c r="G794" s="4">
        <f t="shared" si="71"/>
        <v>1.3647082375987494</v>
      </c>
      <c r="H794" s="3">
        <f t="shared" si="72"/>
        <v>7355793325260.0654</v>
      </c>
      <c r="I794">
        <f t="shared" si="73"/>
        <v>10038511745056.309</v>
      </c>
      <c r="J794" s="6"/>
      <c r="K794" s="6"/>
      <c r="L794" s="6"/>
      <c r="M794" s="6"/>
      <c r="N794" s="6"/>
      <c r="O794" s="6"/>
      <c r="P794" s="6"/>
      <c r="Q794" s="6"/>
      <c r="R794" s="6"/>
    </row>
    <row r="795" spans="6:18" x14ac:dyDescent="0.25">
      <c r="F795" s="5">
        <f t="shared" si="74"/>
        <v>1.7818143243488965E-13</v>
      </c>
      <c r="G795" s="4">
        <f t="shared" si="71"/>
        <v>1.3374140728467743</v>
      </c>
      <c r="H795" s="3">
        <f t="shared" si="72"/>
        <v>7505911556387.8232</v>
      </c>
      <c r="I795">
        <f t="shared" si="73"/>
        <v>10038511745056.309</v>
      </c>
      <c r="J795" s="6"/>
      <c r="K795" s="6"/>
      <c r="L795" s="6"/>
      <c r="M795" s="6"/>
      <c r="N795" s="6"/>
      <c r="O795" s="6"/>
      <c r="P795" s="6"/>
      <c r="Q795" s="6"/>
      <c r="R795" s="6"/>
    </row>
    <row r="796" spans="6:18" x14ac:dyDescent="0.25">
      <c r="F796" s="5">
        <f t="shared" si="74"/>
        <v>1.7112544771046799E-13</v>
      </c>
      <c r="G796" s="4">
        <f t="shared" si="71"/>
        <v>1.3106657913898387</v>
      </c>
      <c r="H796" s="3">
        <f t="shared" si="72"/>
        <v>7659093424885.5342</v>
      </c>
      <c r="I796">
        <f t="shared" si="73"/>
        <v>10038511745056.309</v>
      </c>
      <c r="J796" s="6"/>
      <c r="K796" s="6"/>
      <c r="L796" s="6"/>
      <c r="M796" s="6"/>
      <c r="N796" s="6"/>
      <c r="O796" s="6"/>
      <c r="P796" s="6"/>
      <c r="Q796" s="6"/>
      <c r="R796" s="6"/>
    </row>
    <row r="797" spans="6:18" x14ac:dyDescent="0.25">
      <c r="F797" s="5">
        <f t="shared" si="74"/>
        <v>1.6434887998113345E-13</v>
      </c>
      <c r="G797" s="4">
        <f t="shared" si="71"/>
        <v>1.2844524755620419</v>
      </c>
      <c r="H797" s="3">
        <f t="shared" si="72"/>
        <v>7815401453964.8311</v>
      </c>
      <c r="I797">
        <f t="shared" si="73"/>
        <v>10038511745056.309</v>
      </c>
      <c r="J797" s="6"/>
      <c r="K797" s="6"/>
      <c r="L797" s="6"/>
      <c r="M797" s="6"/>
      <c r="N797" s="6"/>
      <c r="O797" s="6"/>
      <c r="P797" s="6"/>
      <c r="Q797" s="6"/>
      <c r="R797" s="6"/>
    </row>
    <row r="798" spans="6:18" x14ac:dyDescent="0.25">
      <c r="F798" s="5">
        <f t="shared" si="74"/>
        <v>1.5784066433388054E-13</v>
      </c>
      <c r="G798" s="4">
        <f t="shared" si="71"/>
        <v>1.2587634260508009</v>
      </c>
      <c r="H798" s="3">
        <f t="shared" si="72"/>
        <v>7974899442821.2568</v>
      </c>
      <c r="I798">
        <f t="shared" si="73"/>
        <v>10038511745056.309</v>
      </c>
      <c r="J798" s="6"/>
      <c r="K798" s="6"/>
      <c r="L798" s="6"/>
      <c r="M798" s="6"/>
      <c r="N798" s="6"/>
      <c r="O798" s="6"/>
      <c r="P798" s="6"/>
      <c r="Q798" s="6"/>
      <c r="R798" s="6"/>
    </row>
    <row r="799" spans="6:18" x14ac:dyDescent="0.25">
      <c r="F799" s="5">
        <f t="shared" si="74"/>
        <v>1.5159017402625886E-13</v>
      </c>
      <c r="G799" s="4">
        <f t="shared" si="71"/>
        <v>1.2335881575297849</v>
      </c>
      <c r="H799" s="3">
        <f t="shared" si="72"/>
        <v>8137652492674.752</v>
      </c>
      <c r="I799">
        <f t="shared" si="73"/>
        <v>10038511745056.309</v>
      </c>
      <c r="J799" s="6"/>
      <c r="K799" s="6"/>
      <c r="L799" s="6"/>
      <c r="M799" s="6"/>
      <c r="N799" s="6"/>
      <c r="O799" s="6"/>
      <c r="P799" s="6"/>
      <c r="Q799" s="6"/>
      <c r="R799" s="6"/>
    </row>
    <row r="800" spans="6:18" x14ac:dyDescent="0.25">
      <c r="F800" s="5">
        <f t="shared" si="74"/>
        <v>1.45587203134819E-13</v>
      </c>
      <c r="G800" s="4">
        <f t="shared" si="71"/>
        <v>1.2089163943791892</v>
      </c>
      <c r="H800" s="3">
        <f t="shared" si="72"/>
        <v>8303727033341.584</v>
      </c>
      <c r="I800">
        <f t="shared" si="73"/>
        <v>10038511745056.309</v>
      </c>
      <c r="J800" s="6"/>
      <c r="K800" s="6"/>
      <c r="L800" s="6"/>
      <c r="M800" s="6"/>
      <c r="N800" s="6"/>
      <c r="O800" s="6"/>
      <c r="P800" s="6"/>
      <c r="Q800" s="6"/>
      <c r="R800" s="6"/>
    </row>
    <row r="801" spans="6:18" x14ac:dyDescent="0.25">
      <c r="F801" s="5">
        <f t="shared" si="74"/>
        <v>1.3982194989068018E-13</v>
      </c>
      <c r="G801" s="4">
        <f t="shared" si="71"/>
        <v>1.1847380664916054</v>
      </c>
      <c r="H801" s="3">
        <f t="shared" si="72"/>
        <v>8473190850348.5547</v>
      </c>
      <c r="I801">
        <f t="shared" si="73"/>
        <v>10038511745056.309</v>
      </c>
      <c r="J801" s="6"/>
      <c r="K801" s="6"/>
      <c r="L801" s="6"/>
      <c r="M801" s="6"/>
      <c r="N801" s="6"/>
      <c r="O801" s="6"/>
      <c r="P801" s="6"/>
      <c r="Q801" s="6"/>
      <c r="R801" s="6"/>
    </row>
    <row r="802" spans="6:18" x14ac:dyDescent="0.25">
      <c r="F802" s="5">
        <f t="shared" si="74"/>
        <v>1.3428500067500924E-13</v>
      </c>
      <c r="G802" s="4">
        <f t="shared" si="71"/>
        <v>1.1610433051617732</v>
      </c>
      <c r="H802" s="3">
        <f t="shared" si="72"/>
        <v>8646113112600.5664</v>
      </c>
      <c r="I802">
        <f t="shared" si="73"/>
        <v>10038511745056.309</v>
      </c>
      <c r="J802" s="6"/>
      <c r="K802" s="6"/>
      <c r="L802" s="6"/>
      <c r="M802" s="6"/>
      <c r="N802" s="6"/>
      <c r="O802" s="6"/>
      <c r="P802" s="6"/>
      <c r="Q802" s="6"/>
      <c r="R802" s="6"/>
    </row>
    <row r="803" spans="6:18" x14ac:dyDescent="0.25">
      <c r="F803" s="5">
        <f t="shared" si="74"/>
        <v>1.2896731464827882E-13</v>
      </c>
      <c r="G803" s="4">
        <f t="shared" si="71"/>
        <v>1.1378224390585376</v>
      </c>
      <c r="H803" s="3">
        <f t="shared" si="72"/>
        <v>8822564400612.8242</v>
      </c>
      <c r="I803">
        <f t="shared" si="73"/>
        <v>10038511745056.309</v>
      </c>
      <c r="J803" s="6"/>
      <c r="K803" s="6"/>
      <c r="L803" s="6"/>
      <c r="M803" s="6"/>
      <c r="N803" s="6"/>
      <c r="O803" s="6"/>
      <c r="P803" s="6"/>
      <c r="Q803" s="6"/>
      <c r="R803" s="6"/>
    </row>
    <row r="804" spans="6:18" x14ac:dyDescent="0.25">
      <c r="F804" s="5">
        <f t="shared" si="74"/>
        <v>1.2386020898820702E-13</v>
      </c>
      <c r="G804" s="4">
        <f t="shared" si="71"/>
        <v>1.115065990277367</v>
      </c>
      <c r="H804" s="3">
        <f t="shared" si="72"/>
        <v>9002616735319.207</v>
      </c>
      <c r="I804">
        <f t="shared" si="73"/>
        <v>10038511745056.309</v>
      </c>
      <c r="J804" s="6"/>
      <c r="K804" s="6"/>
      <c r="L804" s="6"/>
      <c r="M804" s="6"/>
      <c r="N804" s="6"/>
      <c r="O804" s="6"/>
      <c r="P804" s="6"/>
      <c r="Q804" s="6"/>
      <c r="R804" s="6"/>
    </row>
    <row r="805" spans="6:18" x14ac:dyDescent="0.25">
      <c r="F805" s="5">
        <f t="shared" si="74"/>
        <v>1.1895534471227403E-13</v>
      </c>
      <c r="G805" s="4">
        <f t="shared" si="71"/>
        <v>1.0927646704718197</v>
      </c>
      <c r="H805" s="3">
        <f t="shared" si="72"/>
        <v>9186343607468.5781</v>
      </c>
      <c r="I805">
        <f t="shared" si="73"/>
        <v>10038511745056.309</v>
      </c>
      <c r="J805" s="6"/>
      <c r="K805" s="6"/>
      <c r="L805" s="6"/>
      <c r="M805" s="6"/>
      <c r="N805" s="6"/>
      <c r="O805" s="6"/>
      <c r="P805" s="6"/>
      <c r="Q805" s="6"/>
      <c r="R805" s="6"/>
    </row>
    <row r="806" spans="6:18" x14ac:dyDescent="0.25">
      <c r="F806" s="5">
        <f t="shared" si="74"/>
        <v>1.1424471306166795E-13</v>
      </c>
      <c r="G806" s="4">
        <f t="shared" si="71"/>
        <v>1.0709093770623832</v>
      </c>
      <c r="H806" s="3">
        <f t="shared" si="72"/>
        <v>9373820007621</v>
      </c>
      <c r="I806">
        <f t="shared" si="73"/>
        <v>10038511745056.309</v>
      </c>
      <c r="J806" s="6"/>
      <c r="K806" s="6"/>
      <c r="L806" s="6"/>
      <c r="M806" s="6"/>
      <c r="N806" s="6"/>
      <c r="O806" s="6"/>
      <c r="P806" s="6"/>
      <c r="Q806" s="6"/>
      <c r="R806" s="6"/>
    </row>
    <row r="807" spans="6:18" x14ac:dyDescent="0.25">
      <c r="F807" s="5">
        <f t="shared" si="74"/>
        <v>1.0972062242442592E-13</v>
      </c>
      <c r="G807" s="4">
        <f t="shared" si="71"/>
        <v>1.0494911895211356</v>
      </c>
      <c r="H807" s="3">
        <f t="shared" si="72"/>
        <v>9565122456756.1211</v>
      </c>
      <c r="I807">
        <f t="shared" si="73"/>
        <v>10038511745056.309</v>
      </c>
      <c r="J807" s="6"/>
      <c r="K807" s="6"/>
      <c r="L807" s="6"/>
      <c r="M807" s="6"/>
      <c r="N807" s="6"/>
      <c r="O807" s="6"/>
      <c r="P807" s="6"/>
      <c r="Q807" s="6"/>
      <c r="R807" s="6"/>
    </row>
    <row r="808" spans="6:18" x14ac:dyDescent="0.25">
      <c r="F808" s="5">
        <f t="shared" si="74"/>
        <v>1.0537568577641865E-13</v>
      </c>
      <c r="G808" s="4">
        <f t="shared" si="71"/>
        <v>1.0285013657307129</v>
      </c>
      <c r="H808" s="3">
        <f t="shared" si="72"/>
        <v>9760329037506.2461</v>
      </c>
      <c r="I808">
        <f t="shared" si="73"/>
        <v>10038511745056.309</v>
      </c>
      <c r="J808" s="6"/>
      <c r="K808" s="6"/>
      <c r="L808" s="6"/>
      <c r="M808" s="6"/>
      <c r="N808" s="6"/>
      <c r="O808" s="6"/>
      <c r="P808" s="6"/>
      <c r="Q808" s="6"/>
      <c r="R808" s="6"/>
    </row>
    <row r="809" spans="6:18" x14ac:dyDescent="0.25">
      <c r="F809" s="5">
        <f t="shared" si="74"/>
        <v>1.0120280861967248E-13</v>
      </c>
      <c r="G809" s="4">
        <f t="shared" si="71"/>
        <v>1.0079313384160986</v>
      </c>
      <c r="H809" s="3">
        <f t="shared" si="72"/>
        <v>9959519426026.7813</v>
      </c>
      <c r="I809">
        <f t="shared" si="73"/>
        <v>10038511745056.309</v>
      </c>
      <c r="J809" s="6"/>
      <c r="K809" s="6"/>
      <c r="L809" s="6"/>
      <c r="M809" s="6"/>
      <c r="N809" s="6"/>
      <c r="O809" s="6"/>
      <c r="P809" s="6"/>
      <c r="Q809" s="6"/>
      <c r="R809" s="6"/>
    </row>
    <row r="810" spans="6:18" x14ac:dyDescent="0.25">
      <c r="F810" s="5">
        <f t="shared" si="74"/>
        <v>9.7195177398333429E-14</v>
      </c>
      <c r="G810" s="4">
        <f t="shared" si="71"/>
        <v>0.98777271164777658</v>
      </c>
      <c r="H810" s="3">
        <f t="shared" si="72"/>
        <v>10162774924517.125</v>
      </c>
      <c r="I810">
        <f t="shared" si="73"/>
        <v>10038511745056.309</v>
      </c>
      <c r="J810" s="6"/>
      <c r="K810" s="6"/>
      <c r="L810" s="6"/>
      <c r="M810" s="6"/>
      <c r="N810" s="6"/>
      <c r="O810" s="6"/>
      <c r="P810" s="6"/>
      <c r="Q810" s="6"/>
      <c r="R810" s="6"/>
    </row>
    <row r="811" spans="6:18" x14ac:dyDescent="0.25">
      <c r="F811" s="5">
        <f t="shared" si="74"/>
        <v>9.3346248373359417E-14</v>
      </c>
      <c r="G811" s="4">
        <f t="shared" si="71"/>
        <v>0.96801725741482103</v>
      </c>
      <c r="H811" s="3">
        <f t="shared" si="72"/>
        <v>10370178494405.23</v>
      </c>
      <c r="I811">
        <f t="shared" si="73"/>
        <v>10038511745056.309</v>
      </c>
      <c r="J811" s="6"/>
      <c r="K811" s="6"/>
      <c r="L811" s="6"/>
      <c r="M811" s="6"/>
      <c r="R811" s="6"/>
    </row>
    <row r="812" spans="6:18" x14ac:dyDescent="0.25">
      <c r="F812" s="5">
        <f t="shared" si="74"/>
        <v>8.9649736937774392E-14</v>
      </c>
      <c r="G812" s="4">
        <f t="shared" si="71"/>
        <v>0.9486569122665246</v>
      </c>
      <c r="H812" s="3">
        <f t="shared" si="72"/>
        <v>10581814790209.418</v>
      </c>
      <c r="I812">
        <f t="shared" si="73"/>
        <v>10038511745056.309</v>
      </c>
      <c r="J812" s="6"/>
      <c r="K812" s="6"/>
      <c r="L812" s="6"/>
      <c r="M812" s="6"/>
      <c r="R812" s="6"/>
    </row>
    <row r="813" spans="6:18" x14ac:dyDescent="0.25">
      <c r="F813" s="5">
        <f t="shared" si="74"/>
        <v>8.6099607355038508E-14</v>
      </c>
      <c r="G813" s="4">
        <f t="shared" si="71"/>
        <v>0.92968377402119406</v>
      </c>
      <c r="H813" s="3">
        <f t="shared" si="72"/>
        <v>10797770194091.244</v>
      </c>
      <c r="I813">
        <f t="shared" si="73"/>
        <v>10038511745056.309</v>
      </c>
      <c r="J813" s="6"/>
      <c r="K813" s="6"/>
      <c r="L813" s="6"/>
      <c r="M813" s="6"/>
      <c r="R813" s="6"/>
    </row>
    <row r="814" spans="6:18" x14ac:dyDescent="0.25">
      <c r="F814" s="5">
        <f t="shared" si="74"/>
        <v>8.2690062903778982E-14</v>
      </c>
      <c r="G814" s="4">
        <f t="shared" si="71"/>
        <v>0.91109009854077017</v>
      </c>
      <c r="H814" s="3">
        <f t="shared" si="72"/>
        <v>11018132851113.514</v>
      </c>
      <c r="I814">
        <f t="shared" si="73"/>
        <v>10038511745056.309</v>
      </c>
      <c r="J814" s="6"/>
      <c r="K814" s="6"/>
      <c r="L814" s="6"/>
      <c r="M814" s="6"/>
      <c r="R814" s="6"/>
    </row>
    <row r="815" spans="6:18" x14ac:dyDescent="0.25">
      <c r="F815" s="5">
        <f t="shared" si="74"/>
        <v>7.9415536412789316E-14</v>
      </c>
      <c r="G815" s="4">
        <f t="shared" si="71"/>
        <v>0.8928682965699547</v>
      </c>
      <c r="H815" s="3">
        <f t="shared" si="72"/>
        <v>11242992705217.873</v>
      </c>
      <c r="I815">
        <f t="shared" si="73"/>
        <v>10038511745056.309</v>
      </c>
      <c r="J815" s="6"/>
      <c r="K815" s="6"/>
      <c r="L815" s="6"/>
      <c r="M815" s="6"/>
      <c r="R815" s="6"/>
    </row>
  </sheetData>
  <mergeCells count="3">
    <mergeCell ref="N6:Q6"/>
    <mergeCell ref="S6:U6"/>
    <mergeCell ref="V6:X6"/>
  </mergeCells>
  <conditionalFormatting sqref="V8:X100">
    <cfRule type="cellIs" dxfId="45" priority="31" operator="lessThan">
      <formula>0</formula>
    </cfRule>
  </conditionalFormatting>
  <conditionalFormatting sqref="Y8:Y100">
    <cfRule type="cellIs" dxfId="44" priority="1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H48 O48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0B762F-8AC8-4FE0-A7EA-E15CDB20BB5F}">
          <x14:formula1>
            <xm:f>PoolData!$A$12:$A$100</xm:f>
          </x14:formula1>
          <xm:sqref>D1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AC4B-FA82-490A-832D-C08AE784707D}">
  <sheetPr codeName="Sheet6">
    <tabColor theme="9" tint="0.39997558519241921"/>
  </sheetPr>
  <dimension ref="A1:BD815"/>
  <sheetViews>
    <sheetView zoomScale="55" zoomScaleNormal="55" workbookViewId="0">
      <pane ySplit="7" topLeftCell="A8" activePane="bottomLeft" state="frozen"/>
      <selection activeCell="F16" sqref="F16"/>
      <selection pane="bottomLeft" activeCell="A18" sqref="A18"/>
    </sheetView>
  </sheetViews>
  <sheetFormatPr defaultRowHeight="15" x14ac:dyDescent="0.25"/>
  <cols>
    <col min="1" max="3" width="1.42578125" customWidth="1"/>
    <col min="4" max="4" width="13.85546875" bestFit="1" customWidth="1"/>
    <col min="5" max="5" width="1.42578125" customWidth="1"/>
    <col min="6" max="6" width="11" hidden="1" customWidth="1"/>
    <col min="7" max="7" width="23.7109375" hidden="1" customWidth="1"/>
    <col min="8" max="8" width="16.7109375" style="3" hidden="1" customWidth="1"/>
    <col min="9" max="9" width="24.28515625" hidden="1" customWidth="1"/>
    <col min="10" max="10" width="36.28515625" bestFit="1" customWidth="1"/>
    <col min="11" max="11" width="11" bestFit="1" customWidth="1"/>
    <col min="12" max="12" width="27.42578125" bestFit="1" customWidth="1"/>
    <col min="13" max="13" width="1.42578125" customWidth="1"/>
    <col min="14" max="14" width="63.5703125" bestFit="1" customWidth="1"/>
    <col min="15" max="15" width="9.7109375" bestFit="1" customWidth="1"/>
    <col min="16" max="16" width="11.5703125" bestFit="1" customWidth="1"/>
    <col min="17" max="17" width="22.42578125" bestFit="1" customWidth="1"/>
    <col min="18" max="18" width="9.7109375" bestFit="1" customWidth="1"/>
    <col min="19" max="19" width="1.42578125" customWidth="1"/>
    <col min="20" max="22" width="9.7109375" bestFit="1" customWidth="1"/>
    <col min="23" max="23" width="12.85546875" bestFit="1" customWidth="1"/>
    <col min="24" max="24" width="16" bestFit="1" customWidth="1"/>
    <col min="25" max="25" width="14.7109375" bestFit="1" customWidth="1"/>
  </cols>
  <sheetData>
    <row r="1" spans="1:56" ht="18.75" x14ac:dyDescent="0.3">
      <c r="D1" s="98"/>
      <c r="E1" s="25"/>
      <c r="J1" s="10" t="str">
        <f>"ENTRY POOL SIZE "&amp;D3</f>
        <v>ENTRY POOL SIZE FSN</v>
      </c>
      <c r="K1" s="28">
        <f>VLOOKUP($D$3&amp;"-"&amp;$D$4,PoolData!$A$10:$N$1048576,MATCH("Coin 1 Pool Size",PoolData!$A$10:$N$10,0),0)</f>
        <v>495543.17253400001</v>
      </c>
      <c r="N1" s="8" t="s">
        <v>2</v>
      </c>
      <c r="O1" s="26">
        <v>2.5000000000000001E-2</v>
      </c>
      <c r="P1" s="6"/>
      <c r="Q1" s="6"/>
      <c r="R1" s="6"/>
      <c r="S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</row>
    <row r="2" spans="1:56" x14ac:dyDescent="0.25">
      <c r="D2" t="s">
        <v>101</v>
      </c>
      <c r="J2" s="10" t="str">
        <f>"ENTRY POOL SIZE "&amp;D4</f>
        <v>ENTRY POOL SIZE aUSDT</v>
      </c>
      <c r="K2" s="28">
        <f>VLOOKUP($D$3&amp;"-"&amp;$D$4,PoolData!$A$10:$N$1048576,MATCH("Coin 2 Pool Size",PoolData!$A$10:$N$10,0),0)</f>
        <v>229313.84453999999</v>
      </c>
      <c r="L2" s="17" t="str">
        <f>D4&amp;"  required to pool"</f>
        <v>aUSDT  required to pool</v>
      </c>
      <c r="P2" s="6"/>
      <c r="Q2" s="6"/>
      <c r="R2" s="6"/>
      <c r="S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</row>
    <row r="3" spans="1:56" x14ac:dyDescent="0.25">
      <c r="D3" s="66" t="s">
        <v>13</v>
      </c>
      <c r="J3" s="27" t="s">
        <v>5</v>
      </c>
      <c r="K3" s="28">
        <f>VLOOKUP($D$3&amp;"-"&amp;$D$4,'Your Pooling'!$A:$B,2,0)</f>
        <v>1000</v>
      </c>
      <c r="L3" s="18">
        <f>K3/(K1/K2)</f>
        <v>462.75250523054353</v>
      </c>
      <c r="P3" s="6"/>
      <c r="Q3" s="6"/>
      <c r="R3" s="6"/>
      <c r="S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</row>
    <row r="4" spans="1:56" ht="21" x14ac:dyDescent="0.35">
      <c r="D4" s="66" t="s">
        <v>81</v>
      </c>
      <c r="J4" s="40" t="s">
        <v>107</v>
      </c>
      <c r="K4" s="58">
        <f>K3/(K1)</f>
        <v>2.0179876455292873E-3</v>
      </c>
      <c r="N4" s="34" t="str">
        <f>"Starting Balance is "&amp;ROUND(K3,3)&amp;" "&amp;$D$3&amp;" and "&amp;ROUND(L3,1)&amp;" "&amp;$D$4&amp;" - equivalent of "&amp;ROUND(2*K3,0)&amp;" FSN or "&amp;ROUND(2*L3,1)&amp;" "&amp;$D$4</f>
        <v>Starting Balance is 1000 FSN and 462.8 aUSDT - equivalent of 2000 FSN or 925.5 aUSDT</v>
      </c>
      <c r="P4" s="6"/>
      <c r="Q4" s="6"/>
      <c r="R4" s="6"/>
      <c r="S4" s="6"/>
      <c r="U4" s="6"/>
      <c r="V4" s="6"/>
      <c r="W4" s="6"/>
      <c r="X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</row>
    <row r="5" spans="1:56" x14ac:dyDescent="0.25">
      <c r="D5" s="65"/>
      <c r="H5"/>
      <c r="N5" s="12" t="s">
        <v>7</v>
      </c>
      <c r="P5" s="6"/>
      <c r="R5" s="6"/>
      <c r="S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x14ac:dyDescent="0.25">
      <c r="H6"/>
      <c r="N6" s="142" t="s">
        <v>0</v>
      </c>
      <c r="O6" s="142"/>
      <c r="P6" s="142"/>
      <c r="Q6" s="142"/>
      <c r="R6" s="142"/>
      <c r="S6" s="6"/>
      <c r="T6" s="142" t="s">
        <v>10</v>
      </c>
      <c r="U6" s="142"/>
      <c r="V6" s="142"/>
      <c r="W6" s="143" t="s">
        <v>12</v>
      </c>
      <c r="X6" s="143"/>
      <c r="Y6" s="14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x14ac:dyDescent="0.25">
      <c r="F7" s="15" t="s">
        <v>9</v>
      </c>
      <c r="G7" s="15" t="s">
        <v>3</v>
      </c>
      <c r="H7" s="16" t="s">
        <v>8</v>
      </c>
      <c r="I7" s="15" t="s">
        <v>1</v>
      </c>
      <c r="N7" s="14" t="str">
        <f>$D$3&amp;" Price"</f>
        <v>FSN Price</v>
      </c>
      <c r="O7" s="13" t="str">
        <f>"#"&amp;$D$3</f>
        <v>#FSN</v>
      </c>
      <c r="P7" s="13" t="str">
        <f>"#"&amp;$D$4</f>
        <v>#aUSDT</v>
      </c>
      <c r="Q7" s="14" t="str">
        <f>"Equivalent "&amp;$D$3</f>
        <v>Equivalent FSN</v>
      </c>
      <c r="R7" s="14" t="str">
        <f>"Equivalent USDT Pooling"&amp;ROUND(K3,0)&amp;" "&amp;$D$3&amp;" &amp; "&amp;ROUND(L3,0)&amp;" "&amp;$D$4</f>
        <v>Equivalent USDT Pooling1000 FSN &amp; 463 aUSDT</v>
      </c>
      <c r="S7" s="6"/>
      <c r="T7" s="13" t="str">
        <f>"HODL "&amp;ROUND(K3*2,0)&amp;" "&amp;$D$3</f>
        <v>HODL 2000 FSN</v>
      </c>
      <c r="U7" s="13" t="str">
        <f>"HODL "&amp;ROUND(L3*2,0)&amp;" "&amp;$D$4</f>
        <v>HODL 926 aUSDT</v>
      </c>
      <c r="V7" s="13" t="str">
        <f>"HODL "&amp;ROUND(K3,0)&amp;" "&amp;$D$3&amp;"&amp; "&amp;ROUND(L3,0)&amp;" "&amp;$D$4</f>
        <v>HODL 1000 FSN&amp; 463 aUSDT</v>
      </c>
      <c r="W7" s="13" t="str">
        <f>"HODL"&amp;$D$3</f>
        <v>HODLFSN</v>
      </c>
      <c r="X7" s="13" t="str">
        <f>"HODL "&amp;$D$4</f>
        <v>HODL aUSDT</v>
      </c>
      <c r="Y7" s="13" t="s">
        <v>11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x14ac:dyDescent="0.25">
      <c r="A8" s="33"/>
      <c r="B8" s="33"/>
      <c r="C8" s="33"/>
      <c r="D8" s="33"/>
      <c r="E8" s="33"/>
      <c r="F8" s="5">
        <f>H8/G8</f>
        <v>3.5073533614837622</v>
      </c>
      <c r="G8" s="4">
        <f t="shared" ref="G8:G47" si="0">G9*(1-$O$1)</f>
        <v>179997.35562930573</v>
      </c>
      <c r="H8" s="3">
        <f t="shared" ref="H8:H47" si="1">I8/G8</f>
        <v>631314.33032463363</v>
      </c>
      <c r="I8">
        <f t="shared" ref="I8:I40" si="2">I9</f>
        <v>113634910029.32007</v>
      </c>
      <c r="J8" s="33"/>
      <c r="K8" s="33"/>
      <c r="L8" s="33"/>
      <c r="M8" s="33"/>
      <c r="N8" s="30">
        <f t="shared" ref="N8:N39" si="3">F8</f>
        <v>3.5073533614837622</v>
      </c>
      <c r="O8" s="8">
        <f t="shared" ref="O8:O47" si="4">$O$48/$G$48*G8</f>
        <v>363.2324398878805</v>
      </c>
      <c r="P8" s="8">
        <f t="shared" ref="P8:P39" si="5">O8*F8</f>
        <v>1273.9845190407063</v>
      </c>
      <c r="Q8" s="10">
        <f>O8+P8/N8</f>
        <v>726.46487977576101</v>
      </c>
      <c r="R8" s="35">
        <f>P8+O8*N8</f>
        <v>2547.9690380814127</v>
      </c>
      <c r="S8" s="6"/>
      <c r="T8" s="38">
        <f t="shared" ref="T8:T39" si="6">$Q$48*N8</f>
        <v>7014.706722967524</v>
      </c>
      <c r="U8" s="38">
        <f>$P$48*2</f>
        <v>925.50501046108718</v>
      </c>
      <c r="V8" s="38">
        <f t="shared" ref="V8:V39" si="7">$O$48*N8+$P$48</f>
        <v>3970.1058667143056</v>
      </c>
      <c r="W8" s="1">
        <f t="shared" ref="W8:W39" si="8">T8/$R8-1</f>
        <v>1.7530580702226688</v>
      </c>
      <c r="X8" s="1">
        <f t="shared" ref="X8:X39" si="9">U8/$R8-1</f>
        <v>-0.63676756011211966</v>
      </c>
      <c r="Y8" s="1">
        <f t="shared" ref="Y8:Y39" si="10">V8/$R8-1</f>
        <v>0.55814525505527457</v>
      </c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x14ac:dyDescent="0.25">
      <c r="A9" s="33"/>
      <c r="B9" s="33"/>
      <c r="C9" s="33"/>
      <c r="D9" s="33"/>
      <c r="E9" s="33"/>
      <c r="F9" s="5">
        <f t="shared" ref="F9:F72" si="11">H9/G9</f>
        <v>3.3341777892605005</v>
      </c>
      <c r="G9" s="4">
        <f>G10*(1-$O$1)</f>
        <v>184612.67244031359</v>
      </c>
      <c r="H9" s="3">
        <f t="shared" si="1"/>
        <v>615531.47206651769</v>
      </c>
      <c r="I9">
        <f t="shared" si="2"/>
        <v>113634910029.32007</v>
      </c>
      <c r="J9" s="33"/>
      <c r="K9" s="33"/>
      <c r="L9" s="33"/>
      <c r="M9" s="33"/>
      <c r="N9" s="30">
        <f t="shared" si="3"/>
        <v>3.3341777892605005</v>
      </c>
      <c r="O9" s="8">
        <f t="shared" si="4"/>
        <v>372.54609219269798</v>
      </c>
      <c r="P9" s="8">
        <f t="shared" si="5"/>
        <v>1242.1349060646883</v>
      </c>
      <c r="Q9" s="10">
        <f t="shared" ref="Q9:Q71" si="12">O9+P9/N9</f>
        <v>745.09218438539597</v>
      </c>
      <c r="R9" s="35">
        <f t="shared" ref="R9:R71" si="13">P9+O9*N9</f>
        <v>2484.2698121293765</v>
      </c>
      <c r="S9" s="6"/>
      <c r="T9" s="38">
        <f t="shared" si="6"/>
        <v>6668.355578521001</v>
      </c>
      <c r="U9" s="38">
        <f t="shared" ref="U9:U100" si="14">$P$48*2</f>
        <v>925.50501046108718</v>
      </c>
      <c r="V9" s="38">
        <f t="shared" si="7"/>
        <v>3796.9302944910442</v>
      </c>
      <c r="W9" s="1">
        <f t="shared" si="8"/>
        <v>1.6842316184671025</v>
      </c>
      <c r="X9" s="1">
        <f t="shared" si="9"/>
        <v>-0.62745390780730204</v>
      </c>
      <c r="Y9" s="1">
        <f t="shared" si="10"/>
        <v>0.52838885532990032</v>
      </c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</row>
    <row r="10" spans="1:56" x14ac:dyDescent="0.25">
      <c r="A10" s="33"/>
      <c r="B10" s="33"/>
      <c r="C10" s="33"/>
      <c r="D10" s="33"/>
      <c r="E10" s="33"/>
      <c r="F10" s="5">
        <f t="shared" si="11"/>
        <v>3.1695527609157637</v>
      </c>
      <c r="G10" s="4">
        <f t="shared" si="0"/>
        <v>189346.33070801393</v>
      </c>
      <c r="H10" s="3">
        <f t="shared" si="1"/>
        <v>600143.18526485481</v>
      </c>
      <c r="I10">
        <f t="shared" si="2"/>
        <v>113634910029.32007</v>
      </c>
      <c r="J10" s="33"/>
      <c r="K10" s="6"/>
      <c r="L10" s="6"/>
      <c r="M10" s="6"/>
      <c r="N10" s="30">
        <f t="shared" si="3"/>
        <v>3.1695527609157637</v>
      </c>
      <c r="O10" s="8">
        <f t="shared" si="4"/>
        <v>382.09855609507485</v>
      </c>
      <c r="P10" s="8">
        <f t="shared" si="5"/>
        <v>1211.0815334130714</v>
      </c>
      <c r="Q10" s="10">
        <f t="shared" si="12"/>
        <v>764.19711219014971</v>
      </c>
      <c r="R10" s="35">
        <f t="shared" si="13"/>
        <v>2422.1630668261428</v>
      </c>
      <c r="S10" s="6"/>
      <c r="T10" s="38">
        <f t="shared" si="6"/>
        <v>6339.1055218315269</v>
      </c>
      <c r="U10" s="38">
        <f t="shared" si="14"/>
        <v>925.50501046108718</v>
      </c>
      <c r="V10" s="38">
        <f t="shared" si="7"/>
        <v>3632.3052661463071</v>
      </c>
      <c r="W10" s="1">
        <f t="shared" si="8"/>
        <v>1.6171258280054244</v>
      </c>
      <c r="X10" s="1">
        <f t="shared" si="9"/>
        <v>-0.6179014439049253</v>
      </c>
      <c r="Y10" s="1">
        <f t="shared" si="10"/>
        <v>0.49961219205024965</v>
      </c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x14ac:dyDescent="0.25">
      <c r="D11" s="33"/>
      <c r="E11" s="33"/>
      <c r="F11" s="5">
        <f t="shared" si="11"/>
        <v>3.0130560933455479</v>
      </c>
      <c r="G11" s="4">
        <f t="shared" si="0"/>
        <v>194201.36482873224</v>
      </c>
      <c r="H11" s="3">
        <f t="shared" si="1"/>
        <v>585139.60563323344</v>
      </c>
      <c r="I11">
        <f t="shared" si="2"/>
        <v>113634910029.32007</v>
      </c>
      <c r="J11" s="6"/>
      <c r="K11" s="6"/>
      <c r="L11" s="6"/>
      <c r="M11" s="6"/>
      <c r="N11" s="30">
        <f t="shared" si="3"/>
        <v>3.0130560933455479</v>
      </c>
      <c r="O11" s="8">
        <f t="shared" si="4"/>
        <v>391.89595496930752</v>
      </c>
      <c r="P11" s="8">
        <f t="shared" si="5"/>
        <v>1180.8044950777446</v>
      </c>
      <c r="Q11" s="10">
        <f t="shared" si="12"/>
        <v>783.79190993861516</v>
      </c>
      <c r="R11" s="35">
        <f t="shared" si="13"/>
        <v>2361.6089901554892</v>
      </c>
      <c r="S11" s="6"/>
      <c r="T11" s="38">
        <f t="shared" si="6"/>
        <v>6026.1121866910962</v>
      </c>
      <c r="U11" s="38">
        <f t="shared" si="14"/>
        <v>925.50501046108718</v>
      </c>
      <c r="V11" s="38">
        <f t="shared" si="7"/>
        <v>3475.8085985760918</v>
      </c>
      <c r="W11" s="1">
        <f t="shared" si="8"/>
        <v>1.551697682305289</v>
      </c>
      <c r="X11" s="1">
        <f t="shared" si="9"/>
        <v>-0.6081040450306926</v>
      </c>
      <c r="Y11" s="1">
        <f t="shared" si="10"/>
        <v>0.47179681863729828</v>
      </c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x14ac:dyDescent="0.25">
      <c r="D12" s="33"/>
      <c r="E12" s="33"/>
      <c r="F12" s="5">
        <f t="shared" si="11"/>
        <v>2.8642864487366109</v>
      </c>
      <c r="G12" s="4">
        <f t="shared" si="0"/>
        <v>199180.88700382796</v>
      </c>
      <c r="H12" s="3">
        <f t="shared" si="1"/>
        <v>570511.11549240258</v>
      </c>
      <c r="I12">
        <f t="shared" si="2"/>
        <v>113634910029.32007</v>
      </c>
      <c r="J12" s="6"/>
      <c r="K12" s="6"/>
      <c r="L12" s="6"/>
      <c r="M12" s="6"/>
      <c r="N12" s="30">
        <f t="shared" si="3"/>
        <v>2.8642864487366109</v>
      </c>
      <c r="O12" s="8">
        <f t="shared" si="4"/>
        <v>401.94456919928979</v>
      </c>
      <c r="P12" s="8">
        <f t="shared" si="5"/>
        <v>1151.2843827008007</v>
      </c>
      <c r="Q12" s="10">
        <f t="shared" si="12"/>
        <v>803.88913839857958</v>
      </c>
      <c r="R12" s="35">
        <f t="shared" si="13"/>
        <v>2302.5687654016015</v>
      </c>
      <c r="S12" s="6"/>
      <c r="T12" s="38">
        <f t="shared" si="6"/>
        <v>5728.5728974732219</v>
      </c>
      <c r="U12" s="38">
        <f t="shared" si="14"/>
        <v>925.50501046108718</v>
      </c>
      <c r="V12" s="38">
        <f t="shared" si="7"/>
        <v>3327.0389539671546</v>
      </c>
      <c r="W12" s="1">
        <f t="shared" si="8"/>
        <v>1.4879052402476569</v>
      </c>
      <c r="X12" s="1">
        <f t="shared" si="9"/>
        <v>-0.59805543080071022</v>
      </c>
      <c r="Y12" s="1">
        <f t="shared" si="10"/>
        <v>0.44492490472347335</v>
      </c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x14ac:dyDescent="0.25">
      <c r="D13" s="33"/>
      <c r="E13" s="33"/>
      <c r="F13" s="5">
        <f t="shared" si="11"/>
        <v>2.7228623053302408</v>
      </c>
      <c r="G13" s="4">
        <f t="shared" si="0"/>
        <v>204288.08923469533</v>
      </c>
      <c r="H13" s="3">
        <f t="shared" si="1"/>
        <v>556248.33760509244</v>
      </c>
      <c r="I13">
        <f t="shared" si="2"/>
        <v>113634910029.32007</v>
      </c>
      <c r="J13" s="6"/>
      <c r="K13" s="6"/>
      <c r="L13" s="6"/>
      <c r="M13" s="6"/>
      <c r="N13" s="30">
        <f t="shared" si="3"/>
        <v>2.7228623053302408</v>
      </c>
      <c r="O13" s="8">
        <f t="shared" si="4"/>
        <v>412.25084020439976</v>
      </c>
      <c r="P13" s="8">
        <f t="shared" si="5"/>
        <v>1122.5022731332806</v>
      </c>
      <c r="Q13" s="10">
        <f t="shared" si="12"/>
        <v>824.50168040879953</v>
      </c>
      <c r="R13" s="35">
        <f t="shared" si="13"/>
        <v>2245.0045462665612</v>
      </c>
      <c r="S13" s="6"/>
      <c r="T13" s="38">
        <f t="shared" si="6"/>
        <v>5445.7246106604816</v>
      </c>
      <c r="U13" s="38">
        <f t="shared" si="14"/>
        <v>925.50501046108718</v>
      </c>
      <c r="V13" s="38">
        <f t="shared" si="7"/>
        <v>3185.6148105607845</v>
      </c>
      <c r="W13" s="1">
        <f t="shared" si="8"/>
        <v>1.4257076092414658</v>
      </c>
      <c r="X13" s="1">
        <f t="shared" si="9"/>
        <v>-0.58774915979560016</v>
      </c>
      <c r="Y13" s="1">
        <f t="shared" si="10"/>
        <v>0.4189792247229327</v>
      </c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</row>
    <row r="14" spans="1:56" x14ac:dyDescent="0.25">
      <c r="F14" s="5">
        <f t="shared" si="11"/>
        <v>2.5884209790045598</v>
      </c>
      <c r="G14" s="4">
        <f t="shared" si="0"/>
        <v>209526.24536891829</v>
      </c>
      <c r="H14" s="3">
        <f t="shared" si="1"/>
        <v>542342.12916496512</v>
      </c>
      <c r="I14">
        <f t="shared" si="2"/>
        <v>113634910029.32007</v>
      </c>
      <c r="J14" s="6"/>
      <c r="K14" s="6"/>
      <c r="L14" s="6"/>
      <c r="M14" s="6"/>
      <c r="N14" s="30">
        <f t="shared" si="3"/>
        <v>2.5884209790045598</v>
      </c>
      <c r="O14" s="8">
        <f t="shared" si="4"/>
        <v>422.82137456861517</v>
      </c>
      <c r="P14" s="8">
        <f t="shared" si="5"/>
        <v>1094.4397163049487</v>
      </c>
      <c r="Q14" s="10">
        <f t="shared" si="12"/>
        <v>845.64274913723034</v>
      </c>
      <c r="R14" s="35">
        <f t="shared" si="13"/>
        <v>2188.8794326098973</v>
      </c>
      <c r="S14" s="6"/>
      <c r="T14" s="38">
        <f t="shared" si="6"/>
        <v>5176.8419580091195</v>
      </c>
      <c r="U14" s="38">
        <f t="shared" si="14"/>
        <v>925.50501046108718</v>
      </c>
      <c r="V14" s="38">
        <f t="shared" si="7"/>
        <v>3051.1734842351034</v>
      </c>
      <c r="W14" s="1">
        <f t="shared" si="8"/>
        <v>1.3650649190104285</v>
      </c>
      <c r="X14" s="1">
        <f t="shared" si="9"/>
        <v>-0.57717862543138487</v>
      </c>
      <c r="Y14" s="1">
        <f t="shared" si="10"/>
        <v>0.3939431467895218</v>
      </c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x14ac:dyDescent="0.25">
      <c r="F15" s="5">
        <f t="shared" si="11"/>
        <v>2.4606176931662103</v>
      </c>
      <c r="G15" s="4">
        <f t="shared" si="0"/>
        <v>214898.71319889056</v>
      </c>
      <c r="H15" s="3">
        <f t="shared" si="1"/>
        <v>528783.57593584107</v>
      </c>
      <c r="I15">
        <f t="shared" si="2"/>
        <v>113634910029.32007</v>
      </c>
      <c r="J15" s="6"/>
      <c r="K15" s="6"/>
      <c r="L15" s="6"/>
      <c r="M15" s="6"/>
      <c r="N15" s="30">
        <f t="shared" si="3"/>
        <v>2.4606176931662103</v>
      </c>
      <c r="O15" s="8">
        <f t="shared" si="4"/>
        <v>433.66294827550274</v>
      </c>
      <c r="P15" s="8">
        <f t="shared" si="5"/>
        <v>1067.0787233973251</v>
      </c>
      <c r="Q15" s="10">
        <f t="shared" si="12"/>
        <v>867.32589655100548</v>
      </c>
      <c r="R15" s="35">
        <f t="shared" si="13"/>
        <v>2134.1574467946502</v>
      </c>
      <c r="S15" s="6"/>
      <c r="T15" s="38">
        <f t="shared" si="6"/>
        <v>4921.2353863324206</v>
      </c>
      <c r="U15" s="38">
        <f t="shared" si="14"/>
        <v>925.50501046108718</v>
      </c>
      <c r="V15" s="38">
        <f t="shared" si="7"/>
        <v>2923.3701983967539</v>
      </c>
      <c r="W15" s="1">
        <f t="shared" si="8"/>
        <v>1.3059382960351682</v>
      </c>
      <c r="X15" s="1">
        <f t="shared" si="9"/>
        <v>-0.56633705172449744</v>
      </c>
      <c r="Y15" s="1">
        <f t="shared" si="10"/>
        <v>0.36980062215533538</v>
      </c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x14ac:dyDescent="0.25">
      <c r="F16" s="5">
        <f t="shared" si="11"/>
        <v>2.3391246945661286</v>
      </c>
      <c r="G16" s="4">
        <f t="shared" si="0"/>
        <v>220408.93661424672</v>
      </c>
      <c r="H16" s="3">
        <f t="shared" si="1"/>
        <v>515563.98653744505</v>
      </c>
      <c r="I16">
        <f t="shared" si="2"/>
        <v>113634910029.32007</v>
      </c>
      <c r="J16" s="6"/>
      <c r="K16" s="6"/>
      <c r="L16" s="6"/>
      <c r="M16" s="6"/>
      <c r="N16" s="30">
        <f t="shared" si="3"/>
        <v>2.3391246945661286</v>
      </c>
      <c r="O16" s="8">
        <f t="shared" si="4"/>
        <v>444.78251105179766</v>
      </c>
      <c r="P16" s="8">
        <f t="shared" si="5"/>
        <v>1040.401755312392</v>
      </c>
      <c r="Q16" s="10">
        <f t="shared" si="12"/>
        <v>889.56502210359531</v>
      </c>
      <c r="R16" s="35">
        <f t="shared" si="13"/>
        <v>2080.8035106247839</v>
      </c>
      <c r="S16" s="6"/>
      <c r="T16" s="38">
        <f t="shared" si="6"/>
        <v>4678.2493891322574</v>
      </c>
      <c r="U16" s="38">
        <f t="shared" si="14"/>
        <v>925.50501046108718</v>
      </c>
      <c r="V16" s="38">
        <f t="shared" si="7"/>
        <v>2801.8771997966724</v>
      </c>
      <c r="W16" s="1">
        <f t="shared" si="8"/>
        <v>1.2482898386342889</v>
      </c>
      <c r="X16" s="1">
        <f t="shared" si="9"/>
        <v>-0.55521748894820244</v>
      </c>
      <c r="Y16" s="1">
        <f t="shared" si="10"/>
        <v>0.34653617484304333</v>
      </c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6:56" x14ac:dyDescent="0.25">
      <c r="F17" s="5">
        <f t="shared" si="11"/>
        <v>2.2236304127719255</v>
      </c>
      <c r="G17" s="4">
        <f t="shared" si="0"/>
        <v>226060.44780948383</v>
      </c>
      <c r="H17" s="3">
        <f t="shared" si="1"/>
        <v>502674.88687400887</v>
      </c>
      <c r="I17">
        <f t="shared" si="2"/>
        <v>113634910029.32007</v>
      </c>
      <c r="K17" s="6"/>
      <c r="L17" s="6"/>
      <c r="M17" s="6"/>
      <c r="N17" s="30">
        <f t="shared" si="3"/>
        <v>2.2236304127719255</v>
      </c>
      <c r="O17" s="8">
        <f t="shared" si="4"/>
        <v>456.18719082235663</v>
      </c>
      <c r="P17" s="8">
        <f t="shared" si="5"/>
        <v>1014.3917114295821</v>
      </c>
      <c r="Q17" s="10">
        <f t="shared" si="12"/>
        <v>912.37438164471325</v>
      </c>
      <c r="R17" s="35">
        <f t="shared" si="13"/>
        <v>2028.7834228591641</v>
      </c>
      <c r="S17" s="6"/>
      <c r="T17" s="38">
        <f t="shared" si="6"/>
        <v>4447.2608255438508</v>
      </c>
      <c r="U17" s="38">
        <f t="shared" si="14"/>
        <v>925.50501046108718</v>
      </c>
      <c r="V17" s="38">
        <f t="shared" si="7"/>
        <v>2686.3829180024691</v>
      </c>
      <c r="W17" s="1">
        <f t="shared" si="8"/>
        <v>1.1920825926684313</v>
      </c>
      <c r="X17" s="1">
        <f t="shared" si="9"/>
        <v>-0.54381280917764352</v>
      </c>
      <c r="Y17" s="1">
        <f t="shared" si="10"/>
        <v>0.32413489174539389</v>
      </c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6:56" x14ac:dyDescent="0.25">
      <c r="F18" s="5">
        <f t="shared" si="11"/>
        <v>2.1138386611413118</v>
      </c>
      <c r="G18" s="4">
        <f t="shared" si="0"/>
        <v>231856.86954818855</v>
      </c>
      <c r="H18" s="3">
        <f t="shared" si="1"/>
        <v>490108.01470215863</v>
      </c>
      <c r="I18">
        <f t="shared" si="2"/>
        <v>113634910029.32007</v>
      </c>
      <c r="J18" s="6"/>
      <c r="K18" s="6"/>
      <c r="L18" s="6"/>
      <c r="M18" s="6"/>
      <c r="N18" s="30">
        <f t="shared" si="3"/>
        <v>2.1138386611413118</v>
      </c>
      <c r="O18" s="8">
        <f t="shared" si="4"/>
        <v>467.8842982793401</v>
      </c>
      <c r="P18" s="8">
        <f t="shared" si="5"/>
        <v>989.03191864384246</v>
      </c>
      <c r="Q18" s="10">
        <f t="shared" si="12"/>
        <v>935.7685965586802</v>
      </c>
      <c r="R18" s="35">
        <f t="shared" si="13"/>
        <v>1978.0638372876849</v>
      </c>
      <c r="S18" s="6"/>
      <c r="T18" s="38">
        <f t="shared" si="6"/>
        <v>4227.6773222826232</v>
      </c>
      <c r="U18" s="38">
        <f t="shared" si="14"/>
        <v>925.50501046108718</v>
      </c>
      <c r="V18" s="38">
        <f t="shared" si="7"/>
        <v>2576.5911663718553</v>
      </c>
      <c r="W18" s="1">
        <f t="shared" si="8"/>
        <v>1.1372805278517206</v>
      </c>
      <c r="X18" s="1">
        <f t="shared" si="9"/>
        <v>-0.53211570172065992</v>
      </c>
      <c r="Y18" s="1">
        <f t="shared" si="10"/>
        <v>0.30258241306553035</v>
      </c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</row>
    <row r="19" spans="6:56" x14ac:dyDescent="0.25">
      <c r="F19" s="5">
        <f t="shared" si="11"/>
        <v>2.009467877247459</v>
      </c>
      <c r="G19" s="4">
        <f t="shared" si="0"/>
        <v>237801.91748532161</v>
      </c>
      <c r="H19" s="3">
        <f>I19/G19</f>
        <v>477855.3143346046</v>
      </c>
      <c r="I19">
        <f t="shared" si="2"/>
        <v>113634910029.32007</v>
      </c>
      <c r="J19" s="6"/>
      <c r="K19" s="6"/>
      <c r="L19" s="6"/>
      <c r="M19" s="6"/>
      <c r="N19" s="30">
        <f t="shared" si="3"/>
        <v>2.009467877247459</v>
      </c>
      <c r="O19" s="8">
        <f t="shared" si="4"/>
        <v>479.881331568554</v>
      </c>
      <c r="P19" s="8">
        <f t="shared" si="5"/>
        <v>964.30612067774621</v>
      </c>
      <c r="Q19" s="10">
        <f t="shared" si="12"/>
        <v>959.76266313710801</v>
      </c>
      <c r="R19" s="35">
        <f t="shared" si="13"/>
        <v>1928.6122413554924</v>
      </c>
      <c r="S19" s="6"/>
      <c r="T19" s="38">
        <f t="shared" si="6"/>
        <v>4018.935754494918</v>
      </c>
      <c r="U19" s="38">
        <f t="shared" si="14"/>
        <v>925.50501046108718</v>
      </c>
      <c r="V19" s="38">
        <f t="shared" si="7"/>
        <v>2472.2203824780026</v>
      </c>
      <c r="W19" s="1">
        <f t="shared" si="8"/>
        <v>1.0838485146554278</v>
      </c>
      <c r="X19" s="1">
        <f t="shared" si="9"/>
        <v>-0.52011866843144605</v>
      </c>
      <c r="Y19" s="1">
        <f t="shared" si="10"/>
        <v>0.28186492311199096</v>
      </c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6:56" x14ac:dyDescent="0.25">
      <c r="F20" s="5">
        <f t="shared" si="11"/>
        <v>1.9102504008083658</v>
      </c>
      <c r="G20" s="4">
        <f t="shared" si="0"/>
        <v>243899.40254904781</v>
      </c>
      <c r="H20" s="3">
        <f t="shared" si="1"/>
        <v>465908.93147623952</v>
      </c>
      <c r="I20">
        <f>I21</f>
        <v>113634910029.32007</v>
      </c>
      <c r="J20" s="6"/>
      <c r="K20" s="6"/>
      <c r="L20" s="6"/>
      <c r="M20" s="6"/>
      <c r="N20" s="30">
        <f t="shared" si="3"/>
        <v>1.9102504008083658</v>
      </c>
      <c r="O20" s="8">
        <f t="shared" si="4"/>
        <v>492.18598109595285</v>
      </c>
      <c r="P20" s="8">
        <f t="shared" si="5"/>
        <v>940.19846766080275</v>
      </c>
      <c r="Q20" s="10">
        <f t="shared" si="12"/>
        <v>984.37196219190571</v>
      </c>
      <c r="R20" s="35">
        <f t="shared" si="13"/>
        <v>1880.3969353216055</v>
      </c>
      <c r="S20" s="6"/>
      <c r="T20" s="38">
        <f t="shared" si="6"/>
        <v>3820.5008016167317</v>
      </c>
      <c r="U20" s="38">
        <f t="shared" si="14"/>
        <v>925.50501046108718</v>
      </c>
      <c r="V20" s="38">
        <f t="shared" si="7"/>
        <v>2373.0029060389093</v>
      </c>
      <c r="W20" s="1">
        <f t="shared" si="8"/>
        <v>1.0317523017890418</v>
      </c>
      <c r="X20" s="1">
        <f t="shared" si="9"/>
        <v>-0.5078140189040472</v>
      </c>
      <c r="Y20" s="1">
        <f t="shared" si="10"/>
        <v>0.26196914144249717</v>
      </c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6:56" x14ac:dyDescent="0.25">
      <c r="F21" s="5">
        <f t="shared" si="11"/>
        <v>1.8159317872684526</v>
      </c>
      <c r="G21" s="4">
        <f t="shared" si="0"/>
        <v>250153.23338363878</v>
      </c>
      <c r="H21" s="3">
        <f t="shared" si="1"/>
        <v>454261.2081893335</v>
      </c>
      <c r="I21">
        <f t="shared" si="2"/>
        <v>113634910029.32007</v>
      </c>
      <c r="J21" s="6"/>
      <c r="K21" s="6"/>
      <c r="L21" s="6"/>
      <c r="M21" s="6"/>
      <c r="N21" s="30">
        <f t="shared" si="3"/>
        <v>1.8159317872684526</v>
      </c>
      <c r="O21" s="8">
        <f t="shared" si="4"/>
        <v>504.80613445738754</v>
      </c>
      <c r="P21" s="8">
        <f t="shared" si="5"/>
        <v>916.69350596928257</v>
      </c>
      <c r="Q21" s="10">
        <f t="shared" si="12"/>
        <v>1009.6122689147751</v>
      </c>
      <c r="R21" s="35">
        <f t="shared" si="13"/>
        <v>1833.3870119385651</v>
      </c>
      <c r="S21" s="6"/>
      <c r="T21" s="38">
        <f t="shared" si="6"/>
        <v>3631.8635745369052</v>
      </c>
      <c r="U21" s="38">
        <f t="shared" si="14"/>
        <v>925.50501046108718</v>
      </c>
      <c r="V21" s="38">
        <f t="shared" si="7"/>
        <v>2278.684292498996</v>
      </c>
      <c r="W21" s="1">
        <f t="shared" si="8"/>
        <v>0.98095849424431569</v>
      </c>
      <c r="X21" s="1">
        <f t="shared" si="9"/>
        <v>-0.49519386554261247</v>
      </c>
      <c r="Y21" s="1">
        <f t="shared" si="10"/>
        <v>0.24288231435085139</v>
      </c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</row>
    <row r="22" spans="6:56" x14ac:dyDescent="0.25">
      <c r="F22" s="5">
        <f t="shared" si="11"/>
        <v>1.7262701552720725</v>
      </c>
      <c r="G22" s="4">
        <f t="shared" si="0"/>
        <v>256567.41885501414</v>
      </c>
      <c r="H22" s="3">
        <f t="shared" si="1"/>
        <v>442904.67798460013</v>
      </c>
      <c r="I22">
        <f t="shared" si="2"/>
        <v>113634910029.32007</v>
      </c>
      <c r="J22" s="6"/>
      <c r="K22" s="6"/>
      <c r="L22" s="6"/>
      <c r="M22" s="6"/>
      <c r="N22" s="30">
        <f t="shared" si="3"/>
        <v>1.7262701552720725</v>
      </c>
      <c r="O22" s="8">
        <f t="shared" si="4"/>
        <v>517.74988149475644</v>
      </c>
      <c r="P22" s="8">
        <f t="shared" si="5"/>
        <v>893.77616832005037</v>
      </c>
      <c r="Q22" s="10">
        <f t="shared" si="12"/>
        <v>1035.4997629895129</v>
      </c>
      <c r="R22" s="35">
        <f t="shared" si="13"/>
        <v>1787.5523366401007</v>
      </c>
      <c r="S22" s="6"/>
      <c r="T22" s="38">
        <f t="shared" si="6"/>
        <v>3452.5403105441451</v>
      </c>
      <c r="U22" s="38">
        <f t="shared" si="14"/>
        <v>925.50501046108718</v>
      </c>
      <c r="V22" s="38">
        <f t="shared" si="7"/>
        <v>2189.022660502616</v>
      </c>
      <c r="W22" s="1">
        <f t="shared" si="8"/>
        <v>0.9314345318882078</v>
      </c>
      <c r="X22" s="1">
        <f t="shared" si="9"/>
        <v>-0.48225011850524357</v>
      </c>
      <c r="Y22" s="1">
        <f t="shared" si="10"/>
        <v>0.22459220669148205</v>
      </c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6:56" x14ac:dyDescent="0.25">
      <c r="F23" s="5">
        <f t="shared" si="11"/>
        <v>1.6410355663555143</v>
      </c>
      <c r="G23" s="4">
        <f t="shared" si="0"/>
        <v>263146.07062052732</v>
      </c>
      <c r="H23" s="3">
        <f t="shared" si="1"/>
        <v>431832.06103498518</v>
      </c>
      <c r="I23">
        <f t="shared" si="2"/>
        <v>113634910029.32007</v>
      </c>
      <c r="J23" s="6"/>
      <c r="K23" s="6"/>
      <c r="L23" s="6"/>
      <c r="M23" s="6"/>
      <c r="N23" s="30">
        <f t="shared" si="3"/>
        <v>1.6410355663555143</v>
      </c>
      <c r="O23" s="8">
        <f t="shared" si="4"/>
        <v>531.02551948180144</v>
      </c>
      <c r="P23" s="8">
        <f t="shared" si="5"/>
        <v>871.43176411204922</v>
      </c>
      <c r="Q23" s="10">
        <f t="shared" si="12"/>
        <v>1062.0510389636029</v>
      </c>
      <c r="R23" s="35">
        <f t="shared" si="13"/>
        <v>1742.8635282240984</v>
      </c>
      <c r="S23" s="6"/>
      <c r="T23" s="38">
        <f t="shared" si="6"/>
        <v>3282.0711327110284</v>
      </c>
      <c r="U23" s="38">
        <f t="shared" si="14"/>
        <v>925.50501046108718</v>
      </c>
      <c r="V23" s="38">
        <f t="shared" si="7"/>
        <v>2103.7880715860579</v>
      </c>
      <c r="W23" s="1">
        <f t="shared" si="8"/>
        <v>0.88314866859100261</v>
      </c>
      <c r="X23" s="1">
        <f t="shared" si="9"/>
        <v>-0.46897448051819857</v>
      </c>
      <c r="Y23" s="1">
        <f t="shared" si="10"/>
        <v>0.20708709403640202</v>
      </c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6:56" x14ac:dyDescent="0.25">
      <c r="F24" s="5">
        <f t="shared" si="11"/>
        <v>1.5600094352667107</v>
      </c>
      <c r="G24" s="4">
        <f t="shared" si="0"/>
        <v>269893.40576464339</v>
      </c>
      <c r="H24" s="3">
        <f t="shared" si="1"/>
        <v>421036.25950911053</v>
      </c>
      <c r="I24">
        <f t="shared" si="2"/>
        <v>113634910029.32007</v>
      </c>
      <c r="J24" s="6"/>
      <c r="K24" s="6"/>
      <c r="L24" s="6"/>
      <c r="M24" s="6"/>
      <c r="N24" s="30">
        <f t="shared" si="3"/>
        <v>1.5600094352667107</v>
      </c>
      <c r="O24" s="8">
        <f t="shared" si="4"/>
        <v>544.64155844287325</v>
      </c>
      <c r="P24" s="8">
        <f t="shared" si="5"/>
        <v>849.64597000924789</v>
      </c>
      <c r="Q24" s="10">
        <f t="shared" si="12"/>
        <v>1089.2831168857465</v>
      </c>
      <c r="R24" s="35">
        <f t="shared" si="13"/>
        <v>1699.2919400184958</v>
      </c>
      <c r="S24" s="6"/>
      <c r="T24" s="38">
        <f t="shared" si="6"/>
        <v>3120.0188705334213</v>
      </c>
      <c r="U24" s="38">
        <f t="shared" si="14"/>
        <v>925.50501046108718</v>
      </c>
      <c r="V24" s="38">
        <f t="shared" si="7"/>
        <v>2022.7619404972543</v>
      </c>
      <c r="W24" s="1">
        <f t="shared" si="8"/>
        <v>0.83606995187622779</v>
      </c>
      <c r="X24" s="1">
        <f t="shared" si="9"/>
        <v>-0.45535844155712668</v>
      </c>
      <c r="Y24" s="1">
        <f t="shared" si="10"/>
        <v>0.1903557551595505</v>
      </c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</row>
    <row r="25" spans="6:56" x14ac:dyDescent="0.25">
      <c r="F25" s="5">
        <f t="shared" si="11"/>
        <v>1.4829839694004168</v>
      </c>
      <c r="G25" s="4">
        <f t="shared" si="0"/>
        <v>276813.74950219836</v>
      </c>
      <c r="H25" s="3">
        <f t="shared" si="1"/>
        <v>410510.35302138276</v>
      </c>
      <c r="I25">
        <f t="shared" si="2"/>
        <v>113634910029.32007</v>
      </c>
      <c r="J25" s="6"/>
      <c r="K25" s="6"/>
      <c r="L25" s="6"/>
      <c r="M25" s="6"/>
      <c r="N25" s="30">
        <f t="shared" si="3"/>
        <v>1.4829839694004168</v>
      </c>
      <c r="O25" s="8">
        <f t="shared" si="4"/>
        <v>558.60672660807518</v>
      </c>
      <c r="P25" s="8">
        <f t="shared" si="5"/>
        <v>828.40482075901673</v>
      </c>
      <c r="Q25" s="10">
        <f t="shared" si="12"/>
        <v>1117.2134532161504</v>
      </c>
      <c r="R25" s="35">
        <f t="shared" si="13"/>
        <v>1656.8096415180335</v>
      </c>
      <c r="S25" s="6"/>
      <c r="T25" s="38">
        <f t="shared" si="6"/>
        <v>2965.9679388008335</v>
      </c>
      <c r="U25" s="38">
        <f t="shared" si="14"/>
        <v>925.50501046108718</v>
      </c>
      <c r="V25" s="38">
        <f t="shared" si="7"/>
        <v>1945.7364746309604</v>
      </c>
      <c r="W25" s="1">
        <f t="shared" si="8"/>
        <v>0.79016820307932201</v>
      </c>
      <c r="X25" s="1">
        <f t="shared" si="9"/>
        <v>-0.4413932733919248</v>
      </c>
      <c r="Y25" s="1">
        <f t="shared" si="10"/>
        <v>0.17438746484369849</v>
      </c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6:56" x14ac:dyDescent="0.25">
      <c r="F26" s="5">
        <f t="shared" si="11"/>
        <v>1.4097616359112712</v>
      </c>
      <c r="G26" s="4">
        <f t="shared" si="0"/>
        <v>283911.53795097268</v>
      </c>
      <c r="H26" s="3">
        <f t="shared" si="1"/>
        <v>400247.59419584821</v>
      </c>
      <c r="I26">
        <f t="shared" si="2"/>
        <v>113634910029.32007</v>
      </c>
      <c r="J26" s="6"/>
      <c r="K26" s="6"/>
      <c r="L26" s="6"/>
      <c r="M26" s="6"/>
      <c r="N26" s="30">
        <f t="shared" si="3"/>
        <v>1.4097616359112712</v>
      </c>
      <c r="O26" s="8">
        <f t="shared" si="4"/>
        <v>572.92997600828221</v>
      </c>
      <c r="P26" s="8">
        <f t="shared" si="5"/>
        <v>807.69470024004136</v>
      </c>
      <c r="Q26" s="10">
        <f t="shared" si="12"/>
        <v>1145.8599520165644</v>
      </c>
      <c r="R26" s="35">
        <f t="shared" si="13"/>
        <v>1615.3894004800827</v>
      </c>
      <c r="S26" s="6"/>
      <c r="T26" s="38">
        <f t="shared" si="6"/>
        <v>2819.5232718225425</v>
      </c>
      <c r="U26" s="38">
        <f t="shared" si="14"/>
        <v>925.50501046108718</v>
      </c>
      <c r="V26" s="38">
        <f t="shared" si="7"/>
        <v>1872.5141411418149</v>
      </c>
      <c r="W26" s="1">
        <f t="shared" si="8"/>
        <v>0.74541399800233887</v>
      </c>
      <c r="X26" s="1">
        <f t="shared" si="9"/>
        <v>-0.42707002399171778</v>
      </c>
      <c r="Y26" s="1">
        <f t="shared" si="10"/>
        <v>0.15917198700531054</v>
      </c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6:56" x14ac:dyDescent="0.25">
      <c r="F27" s="5">
        <f t="shared" si="11"/>
        <v>1.3401546551381518</v>
      </c>
      <c r="G27" s="4">
        <f t="shared" si="0"/>
        <v>291191.32097535662</v>
      </c>
      <c r="H27" s="3">
        <f t="shared" si="1"/>
        <v>390241.40434095194</v>
      </c>
      <c r="I27">
        <f t="shared" si="2"/>
        <v>113634910029.32007</v>
      </c>
      <c r="J27" s="6"/>
      <c r="K27" s="6"/>
      <c r="L27" s="6"/>
      <c r="M27" s="6"/>
      <c r="N27" s="30">
        <f t="shared" si="3"/>
        <v>1.3401546551381518</v>
      </c>
      <c r="O27" s="8">
        <f t="shared" si="4"/>
        <v>587.62048821362282</v>
      </c>
      <c r="P27" s="8">
        <f t="shared" si="5"/>
        <v>787.50233273404012</v>
      </c>
      <c r="Q27" s="10">
        <f t="shared" si="12"/>
        <v>1175.2409764272456</v>
      </c>
      <c r="R27" s="35">
        <f t="shared" si="13"/>
        <v>1575.0046654680802</v>
      </c>
      <c r="S27" s="6"/>
      <c r="T27" s="38">
        <f t="shared" si="6"/>
        <v>2680.3093102763037</v>
      </c>
      <c r="U27" s="38">
        <f t="shared" si="14"/>
        <v>925.50501046108718</v>
      </c>
      <c r="V27" s="38">
        <f t="shared" si="7"/>
        <v>1802.9071603686955</v>
      </c>
      <c r="W27" s="1">
        <f t="shared" si="8"/>
        <v>0.7017786480522803</v>
      </c>
      <c r="X27" s="1">
        <f t="shared" si="9"/>
        <v>-0.41237951178637711</v>
      </c>
      <c r="Y27" s="1">
        <f t="shared" si="10"/>
        <v>0.14469956813295171</v>
      </c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6:56" x14ac:dyDescent="0.25">
      <c r="F28" s="5">
        <f t="shared" si="11"/>
        <v>1.273984519040706</v>
      </c>
      <c r="G28" s="4">
        <f t="shared" si="0"/>
        <v>298657.76510292984</v>
      </c>
      <c r="H28" s="3">
        <f t="shared" si="1"/>
        <v>380485.3692324282</v>
      </c>
      <c r="I28">
        <f t="shared" si="2"/>
        <v>113634910029.32007</v>
      </c>
      <c r="J28" s="6"/>
      <c r="K28" s="6"/>
      <c r="L28" s="6"/>
      <c r="M28" s="6"/>
      <c r="N28" s="30">
        <f t="shared" si="3"/>
        <v>1.273984519040706</v>
      </c>
      <c r="O28" s="8">
        <f t="shared" si="4"/>
        <v>602.68768021910034</v>
      </c>
      <c r="P28" s="8">
        <f t="shared" si="5"/>
        <v>767.81477441568939</v>
      </c>
      <c r="Q28" s="10">
        <f t="shared" si="12"/>
        <v>1205.3753604382007</v>
      </c>
      <c r="R28" s="35">
        <f t="shared" si="13"/>
        <v>1535.6295488313788</v>
      </c>
      <c r="S28" s="6"/>
      <c r="T28" s="38">
        <f t="shared" si="6"/>
        <v>2547.9690380814118</v>
      </c>
      <c r="U28" s="38">
        <f t="shared" si="14"/>
        <v>925.50501046108718</v>
      </c>
      <c r="V28" s="38">
        <f t="shared" si="7"/>
        <v>1736.7370242712495</v>
      </c>
      <c r="W28" s="1">
        <f t="shared" si="8"/>
        <v>0.65923418185097304</v>
      </c>
      <c r="X28" s="1">
        <f t="shared" si="9"/>
        <v>-0.39731231978089976</v>
      </c>
      <c r="Y28" s="1">
        <f t="shared" si="10"/>
        <v>0.13096093103503681</v>
      </c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6:56" x14ac:dyDescent="0.25">
      <c r="F29" s="5">
        <f t="shared" si="11"/>
        <v>1.2110815334130709</v>
      </c>
      <c r="G29" s="4">
        <f t="shared" si="0"/>
        <v>306315.65651582548</v>
      </c>
      <c r="H29" s="3">
        <f t="shared" si="1"/>
        <v>370973.23500161746</v>
      </c>
      <c r="I29">
        <f t="shared" si="2"/>
        <v>113634910029.32007</v>
      </c>
      <c r="J29" s="6"/>
      <c r="K29" s="6"/>
      <c r="L29" s="6"/>
      <c r="M29" s="6"/>
      <c r="N29" s="30">
        <f t="shared" si="3"/>
        <v>1.2110815334130709</v>
      </c>
      <c r="O29" s="8">
        <f t="shared" si="4"/>
        <v>618.14121048112861</v>
      </c>
      <c r="P29" s="8">
        <f t="shared" si="5"/>
        <v>748.61940505529708</v>
      </c>
      <c r="Q29" s="10">
        <f t="shared" si="12"/>
        <v>1236.2824209622572</v>
      </c>
      <c r="R29" s="35">
        <f t="shared" si="13"/>
        <v>1497.2388101105942</v>
      </c>
      <c r="S29" s="6"/>
      <c r="T29" s="38">
        <f t="shared" si="6"/>
        <v>2422.1630668261419</v>
      </c>
      <c r="U29" s="38">
        <f t="shared" si="14"/>
        <v>925.50501046108718</v>
      </c>
      <c r="V29" s="38">
        <f t="shared" si="7"/>
        <v>1673.8340386436146</v>
      </c>
      <c r="W29" s="1">
        <f t="shared" si="8"/>
        <v>0.6177533273046989</v>
      </c>
      <c r="X29" s="1">
        <f t="shared" si="9"/>
        <v>-0.38185878951887153</v>
      </c>
      <c r="Y29" s="1">
        <f t="shared" si="10"/>
        <v>0.11794726889291374</v>
      </c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6:56" x14ac:dyDescent="0.25">
      <c r="F30" s="5">
        <f t="shared" si="11"/>
        <v>1.1512843827008008</v>
      </c>
      <c r="G30" s="4">
        <f t="shared" si="0"/>
        <v>314169.90411879536</v>
      </c>
      <c r="H30" s="3">
        <f t="shared" si="1"/>
        <v>361698.90412657708</v>
      </c>
      <c r="I30">
        <f t="shared" si="2"/>
        <v>113634910029.32007</v>
      </c>
      <c r="J30" s="6"/>
      <c r="K30" s="6"/>
      <c r="L30" s="6"/>
      <c r="M30" s="6"/>
      <c r="N30" s="30">
        <f t="shared" si="3"/>
        <v>1.1512843827008008</v>
      </c>
      <c r="O30" s="8">
        <f t="shared" si="4"/>
        <v>633.99098510884983</v>
      </c>
      <c r="P30" s="8">
        <f t="shared" si="5"/>
        <v>729.90391992891477</v>
      </c>
      <c r="Q30" s="10">
        <f t="shared" si="12"/>
        <v>1267.9819702176997</v>
      </c>
      <c r="R30" s="35">
        <f t="shared" si="13"/>
        <v>1459.8078398578295</v>
      </c>
      <c r="S30" s="6"/>
      <c r="T30" s="38">
        <f t="shared" si="6"/>
        <v>2302.5687654016015</v>
      </c>
      <c r="U30" s="38">
        <f t="shared" si="14"/>
        <v>925.50501046108718</v>
      </c>
      <c r="V30" s="38">
        <f t="shared" si="7"/>
        <v>1614.0368879313444</v>
      </c>
      <c r="W30" s="1">
        <f t="shared" si="8"/>
        <v>0.57730949412208132</v>
      </c>
      <c r="X30" s="1">
        <f t="shared" si="9"/>
        <v>-0.36600901489115034</v>
      </c>
      <c r="Y30" s="1">
        <f t="shared" si="10"/>
        <v>0.10565023961546549</v>
      </c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</row>
    <row r="31" spans="6:56" x14ac:dyDescent="0.25">
      <c r="F31" s="5">
        <f t="shared" si="11"/>
        <v>1.0944397163049486</v>
      </c>
      <c r="G31" s="4">
        <f t="shared" si="0"/>
        <v>322225.54268594395</v>
      </c>
      <c r="H31" s="3">
        <f t="shared" si="1"/>
        <v>352656.43152341264</v>
      </c>
      <c r="I31">
        <f t="shared" si="2"/>
        <v>113634910029.32007</v>
      </c>
      <c r="J31" s="6"/>
      <c r="K31" s="6"/>
      <c r="L31" s="6"/>
      <c r="M31" s="6"/>
      <c r="N31" s="30">
        <f t="shared" si="3"/>
        <v>1.0944397163049486</v>
      </c>
      <c r="O31" s="8">
        <f t="shared" si="4"/>
        <v>650.24716421420487</v>
      </c>
      <c r="P31" s="8">
        <f t="shared" si="5"/>
        <v>711.65632193069177</v>
      </c>
      <c r="Q31" s="10">
        <f t="shared" si="12"/>
        <v>1300.4943284284097</v>
      </c>
      <c r="R31" s="35">
        <f t="shared" si="13"/>
        <v>1423.3126438613835</v>
      </c>
      <c r="S31" s="6"/>
      <c r="T31" s="38">
        <f t="shared" si="6"/>
        <v>2188.8794326098973</v>
      </c>
      <c r="U31" s="38">
        <f t="shared" si="14"/>
        <v>925.50501046108718</v>
      </c>
      <c r="V31" s="38">
        <f t="shared" si="7"/>
        <v>1557.1922215354923</v>
      </c>
      <c r="W31" s="1">
        <f t="shared" si="8"/>
        <v>0.53787675676902946</v>
      </c>
      <c r="X31" s="1">
        <f t="shared" si="9"/>
        <v>-0.34975283578579508</v>
      </c>
      <c r="Y31" s="1">
        <f t="shared" si="10"/>
        <v>9.4061960491617302E-2</v>
      </c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6:56" x14ac:dyDescent="0.25">
      <c r="F32" s="5">
        <f t="shared" si="11"/>
        <v>1.0404017553123919</v>
      </c>
      <c r="G32" s="4">
        <f t="shared" si="0"/>
        <v>330487.73608814762</v>
      </c>
      <c r="H32" s="3">
        <f t="shared" si="1"/>
        <v>343840.02073532733</v>
      </c>
      <c r="I32">
        <f t="shared" si="2"/>
        <v>113634910029.32007</v>
      </c>
      <c r="J32" s="6"/>
      <c r="K32" s="6"/>
      <c r="L32" s="6"/>
      <c r="M32" s="6"/>
      <c r="N32" s="30">
        <f t="shared" si="3"/>
        <v>1.0404017553123919</v>
      </c>
      <c r="O32" s="8">
        <f t="shared" si="4"/>
        <v>666.92016842482553</v>
      </c>
      <c r="P32" s="8">
        <f t="shared" si="5"/>
        <v>693.8649138824245</v>
      </c>
      <c r="Q32" s="10">
        <f t="shared" si="12"/>
        <v>1333.8403368496511</v>
      </c>
      <c r="R32" s="35">
        <f t="shared" si="13"/>
        <v>1387.729827764849</v>
      </c>
      <c r="S32" s="6"/>
      <c r="T32" s="38">
        <f t="shared" si="6"/>
        <v>2080.8035106247839</v>
      </c>
      <c r="U32" s="38">
        <f t="shared" si="14"/>
        <v>925.50501046108718</v>
      </c>
      <c r="V32" s="38">
        <f t="shared" si="7"/>
        <v>1503.1542605429356</v>
      </c>
      <c r="W32" s="1">
        <f t="shared" si="8"/>
        <v>0.49942983784980388</v>
      </c>
      <c r="X32" s="1">
        <f t="shared" si="9"/>
        <v>-0.33307983157517451</v>
      </c>
      <c r="Y32" s="1">
        <f t="shared" si="10"/>
        <v>8.3175003137314851E-2</v>
      </c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</row>
    <row r="33" spans="4:56" x14ac:dyDescent="0.25">
      <c r="F33" s="5">
        <f t="shared" si="11"/>
        <v>0.98903191864384266</v>
      </c>
      <c r="G33" s="4">
        <f t="shared" si="0"/>
        <v>338961.78060322831</v>
      </c>
      <c r="H33" s="3">
        <f t="shared" si="1"/>
        <v>335244.02021694416</v>
      </c>
      <c r="I33">
        <f t="shared" si="2"/>
        <v>113634910029.32007</v>
      </c>
      <c r="J33" s="6"/>
      <c r="K33" s="6"/>
      <c r="L33" s="6"/>
      <c r="M33" s="6"/>
      <c r="N33" s="30">
        <f t="shared" si="3"/>
        <v>0.98903191864384266</v>
      </c>
      <c r="O33" s="8">
        <f t="shared" si="4"/>
        <v>684.02068556392351</v>
      </c>
      <c r="P33" s="8">
        <f t="shared" si="5"/>
        <v>676.51829103536386</v>
      </c>
      <c r="Q33" s="10">
        <f t="shared" si="12"/>
        <v>1368.041371127847</v>
      </c>
      <c r="R33" s="35">
        <f t="shared" si="13"/>
        <v>1353.0365820707277</v>
      </c>
      <c r="S33" s="6"/>
      <c r="T33" s="38">
        <f t="shared" si="6"/>
        <v>1978.0638372876854</v>
      </c>
      <c r="U33" s="38">
        <f t="shared" si="14"/>
        <v>925.50501046108718</v>
      </c>
      <c r="V33" s="38">
        <f t="shared" si="7"/>
        <v>1451.7844238743862</v>
      </c>
      <c r="W33" s="1">
        <f t="shared" si="8"/>
        <v>0.46194409190355912</v>
      </c>
      <c r="X33" s="1">
        <f t="shared" si="9"/>
        <v>-0.31597931443607641</v>
      </c>
      <c r="Y33" s="1">
        <f t="shared" si="10"/>
        <v>7.2982388733741299E-2</v>
      </c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4:56" x14ac:dyDescent="0.25">
      <c r="F34" s="5">
        <f t="shared" si="11"/>
        <v>0.94019846766080284</v>
      </c>
      <c r="G34" s="4">
        <f t="shared" si="0"/>
        <v>347653.10831100342</v>
      </c>
      <c r="H34" s="3">
        <f t="shared" si="1"/>
        <v>326862.91971152055</v>
      </c>
      <c r="I34">
        <f t="shared" si="2"/>
        <v>113634910029.32007</v>
      </c>
      <c r="J34" s="6"/>
      <c r="K34" s="6"/>
      <c r="L34" s="6"/>
      <c r="M34" s="6"/>
      <c r="N34" s="30">
        <f t="shared" si="3"/>
        <v>0.94019846766080284</v>
      </c>
      <c r="O34" s="8">
        <f t="shared" si="4"/>
        <v>701.5596775014601</v>
      </c>
      <c r="P34" s="8">
        <f t="shared" si="5"/>
        <v>659.60533375947978</v>
      </c>
      <c r="Q34" s="10">
        <f t="shared" si="12"/>
        <v>1403.1193550029202</v>
      </c>
      <c r="R34" s="35">
        <f t="shared" si="13"/>
        <v>1319.2106675189596</v>
      </c>
      <c r="S34" s="6"/>
      <c r="T34" s="38">
        <f t="shared" si="6"/>
        <v>1880.3969353216057</v>
      </c>
      <c r="U34" s="38">
        <f t="shared" si="14"/>
        <v>925.50501046108718</v>
      </c>
      <c r="V34" s="38">
        <f t="shared" si="7"/>
        <v>1402.9509728913465</v>
      </c>
      <c r="W34" s="1">
        <f t="shared" si="8"/>
        <v>0.42539548960596996</v>
      </c>
      <c r="X34" s="1">
        <f t="shared" si="9"/>
        <v>-0.29844032249853991</v>
      </c>
      <c r="Y34" s="1">
        <f t="shared" si="10"/>
        <v>6.3477583553715133E-2</v>
      </c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</row>
    <row r="35" spans="4:56" x14ac:dyDescent="0.25">
      <c r="F35" s="5">
        <f t="shared" si="11"/>
        <v>0.8937761683200508</v>
      </c>
      <c r="G35" s="4">
        <f t="shared" si="0"/>
        <v>356567.29057538812</v>
      </c>
      <c r="H35" s="3">
        <f t="shared" si="1"/>
        <v>318691.34671873256</v>
      </c>
      <c r="I35">
        <f t="shared" si="2"/>
        <v>113634910029.32007</v>
      </c>
      <c r="J35" s="6"/>
      <c r="K35" s="6"/>
      <c r="L35" s="6"/>
      <c r="M35" s="6"/>
      <c r="N35" s="30">
        <f t="shared" si="3"/>
        <v>0.8937761683200508</v>
      </c>
      <c r="O35" s="8">
        <f t="shared" si="4"/>
        <v>719.54838718098472</v>
      </c>
      <c r="P35" s="8">
        <f t="shared" si="5"/>
        <v>643.11520041549284</v>
      </c>
      <c r="Q35" s="10">
        <f t="shared" si="12"/>
        <v>1439.0967743619694</v>
      </c>
      <c r="R35" s="35">
        <f t="shared" si="13"/>
        <v>1286.2304008309857</v>
      </c>
      <c r="S35" s="6"/>
      <c r="T35" s="38">
        <f t="shared" si="6"/>
        <v>1787.5523366401017</v>
      </c>
      <c r="U35" s="38">
        <f t="shared" si="14"/>
        <v>925.50501046108718</v>
      </c>
      <c r="V35" s="38">
        <f t="shared" si="7"/>
        <v>1356.5286735505945</v>
      </c>
      <c r="W35" s="1">
        <f t="shared" si="8"/>
        <v>0.38976060236582066</v>
      </c>
      <c r="X35" s="1">
        <f t="shared" si="9"/>
        <v>-0.28045161281901532</v>
      </c>
      <c r="Y35" s="1">
        <f t="shared" si="10"/>
        <v>5.4654494773402673E-2</v>
      </c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4:56" x14ac:dyDescent="0.25">
      <c r="F36" s="5">
        <f t="shared" si="11"/>
        <v>0.84964597000924813</v>
      </c>
      <c r="G36" s="4">
        <f t="shared" si="0"/>
        <v>365710.04161578271</v>
      </c>
      <c r="H36" s="3">
        <f t="shared" si="1"/>
        <v>310724.06305076421</v>
      </c>
      <c r="I36">
        <f t="shared" si="2"/>
        <v>113634910029.32007</v>
      </c>
      <c r="J36" s="6"/>
      <c r="K36" s="6"/>
      <c r="L36" s="6"/>
      <c r="M36" s="6"/>
      <c r="N36" s="30">
        <f t="shared" si="3"/>
        <v>0.84964597000924813</v>
      </c>
      <c r="O36" s="8">
        <f t="shared" si="4"/>
        <v>737.99834582665108</v>
      </c>
      <c r="P36" s="8">
        <f t="shared" si="5"/>
        <v>627.03732040510556</v>
      </c>
      <c r="Q36" s="10">
        <f t="shared" si="12"/>
        <v>1475.9966916533022</v>
      </c>
      <c r="R36" s="35">
        <f t="shared" si="13"/>
        <v>1254.0746408102111</v>
      </c>
      <c r="S36" s="6"/>
      <c r="T36" s="38">
        <f t="shared" si="6"/>
        <v>1699.2919400184962</v>
      </c>
      <c r="U36" s="38">
        <f t="shared" si="14"/>
        <v>925.50501046108718</v>
      </c>
      <c r="V36" s="38">
        <f t="shared" si="7"/>
        <v>1312.3984752397917</v>
      </c>
      <c r="W36" s="1">
        <f t="shared" si="8"/>
        <v>0.35501658730667485</v>
      </c>
      <c r="X36" s="1">
        <f t="shared" si="9"/>
        <v>-0.26200165417334909</v>
      </c>
      <c r="Y36" s="1">
        <f t="shared" si="10"/>
        <v>4.6507466566662714E-2</v>
      </c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4:56" x14ac:dyDescent="0.25">
      <c r="F37" s="5">
        <f t="shared" si="11"/>
        <v>0.80769470024004153</v>
      </c>
      <c r="G37" s="4">
        <f t="shared" si="0"/>
        <v>375087.22217003355</v>
      </c>
      <c r="H37" s="3">
        <f t="shared" si="1"/>
        <v>302955.96147449513</v>
      </c>
      <c r="I37">
        <f t="shared" si="2"/>
        <v>113634910029.32007</v>
      </c>
      <c r="J37" s="6"/>
      <c r="K37" s="6"/>
      <c r="L37" s="6"/>
      <c r="M37" s="6"/>
      <c r="N37" s="30">
        <f t="shared" si="3"/>
        <v>0.80769470024004153</v>
      </c>
      <c r="O37" s="8">
        <f t="shared" si="4"/>
        <v>756.9213803350267</v>
      </c>
      <c r="P37" s="8">
        <f t="shared" si="5"/>
        <v>611.3613873949779</v>
      </c>
      <c r="Q37" s="10">
        <f t="shared" si="12"/>
        <v>1513.8427606700534</v>
      </c>
      <c r="R37" s="35">
        <f t="shared" si="13"/>
        <v>1222.7227747899558</v>
      </c>
      <c r="S37" s="6"/>
      <c r="T37" s="38">
        <f t="shared" si="6"/>
        <v>1615.3894004800832</v>
      </c>
      <c r="U37" s="38">
        <f t="shared" si="14"/>
        <v>925.50501046108718</v>
      </c>
      <c r="V37" s="38">
        <f t="shared" si="7"/>
        <v>1270.4472054705852</v>
      </c>
      <c r="W37" s="1">
        <f t="shared" si="8"/>
        <v>0.3211411726240081</v>
      </c>
      <c r="X37" s="1">
        <f t="shared" si="9"/>
        <v>-0.24307861966497346</v>
      </c>
      <c r="Y37" s="1">
        <f t="shared" si="10"/>
        <v>3.9031276479517318E-2</v>
      </c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</row>
    <row r="38" spans="4:56" x14ac:dyDescent="0.25">
      <c r="F38" s="5">
        <f t="shared" si="11"/>
        <v>0.76781477441568946</v>
      </c>
      <c r="G38" s="4">
        <f t="shared" si="0"/>
        <v>384704.84325131646</v>
      </c>
      <c r="H38" s="3">
        <f t="shared" si="1"/>
        <v>295382.0624376327</v>
      </c>
      <c r="I38">
        <f t="shared" si="2"/>
        <v>113634910029.32007</v>
      </c>
      <c r="J38" s="6"/>
      <c r="K38" s="6"/>
      <c r="L38" s="6"/>
      <c r="M38" s="6"/>
      <c r="N38" s="30">
        <f t="shared" si="3"/>
        <v>0.76781477441568946</v>
      </c>
      <c r="O38" s="8">
        <f t="shared" si="4"/>
        <v>776.3296208564376</v>
      </c>
      <c r="P38" s="8">
        <f t="shared" si="5"/>
        <v>596.07735271010336</v>
      </c>
      <c r="Q38" s="10">
        <f t="shared" si="12"/>
        <v>1552.6592417128752</v>
      </c>
      <c r="R38" s="35">
        <f t="shared" si="13"/>
        <v>1192.1547054202067</v>
      </c>
      <c r="S38" s="6"/>
      <c r="T38" s="38">
        <f t="shared" si="6"/>
        <v>1535.629548831379</v>
      </c>
      <c r="U38" s="38">
        <f t="shared" si="14"/>
        <v>925.50501046108718</v>
      </c>
      <c r="V38" s="38">
        <f t="shared" si="7"/>
        <v>1230.5672796462331</v>
      </c>
      <c r="W38" s="1">
        <f t="shared" si="8"/>
        <v>0.28811264330840802</v>
      </c>
      <c r="X38" s="1">
        <f t="shared" si="9"/>
        <v>-0.22367037914356236</v>
      </c>
      <c r="Y38" s="1">
        <f t="shared" si="10"/>
        <v>3.2221132082422832E-2</v>
      </c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4:56" x14ac:dyDescent="0.25">
      <c r="F39" s="5">
        <f t="shared" si="11"/>
        <v>0.72990391992891468</v>
      </c>
      <c r="G39" s="4">
        <f t="shared" si="0"/>
        <v>394569.07000135025</v>
      </c>
      <c r="H39" s="3">
        <f t="shared" si="1"/>
        <v>287997.5108766919</v>
      </c>
      <c r="I39">
        <f t="shared" si="2"/>
        <v>113634910029.32007</v>
      </c>
      <c r="J39" s="6"/>
      <c r="K39" s="6"/>
      <c r="L39" s="6"/>
      <c r="M39" s="6"/>
      <c r="N39" s="30">
        <f t="shared" si="3"/>
        <v>0.72990391992891468</v>
      </c>
      <c r="O39" s="8">
        <f t="shared" si="4"/>
        <v>796.23550857070529</v>
      </c>
      <c r="P39" s="8">
        <f t="shared" si="5"/>
        <v>581.17541889235076</v>
      </c>
      <c r="Q39" s="10">
        <f t="shared" si="12"/>
        <v>1592.4710171414106</v>
      </c>
      <c r="R39" s="35">
        <f t="shared" si="13"/>
        <v>1162.3508377847015</v>
      </c>
      <c r="S39" s="6"/>
      <c r="T39" s="38">
        <f t="shared" si="6"/>
        <v>1459.8078398578293</v>
      </c>
      <c r="U39" s="38">
        <f t="shared" si="14"/>
        <v>925.50501046108718</v>
      </c>
      <c r="V39" s="38">
        <f t="shared" si="7"/>
        <v>1192.6564251594582</v>
      </c>
      <c r="W39" s="1">
        <f t="shared" si="8"/>
        <v>0.25590982722569766</v>
      </c>
      <c r="X39" s="1">
        <f t="shared" si="9"/>
        <v>-0.20376449142929476</v>
      </c>
      <c r="Y39" s="1">
        <f t="shared" si="10"/>
        <v>2.6072667898201285E-2</v>
      </c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4:56" x14ac:dyDescent="0.25">
      <c r="F40" s="5">
        <f t="shared" si="11"/>
        <v>0.69386491388242455</v>
      </c>
      <c r="G40" s="4">
        <f t="shared" si="0"/>
        <v>404686.22564241051</v>
      </c>
      <c r="H40" s="3">
        <f t="shared" si="1"/>
        <v>280797.57310477458</v>
      </c>
      <c r="I40">
        <f t="shared" si="2"/>
        <v>113634910029.32007</v>
      </c>
      <c r="J40" s="6"/>
      <c r="K40" s="6"/>
      <c r="L40" s="6"/>
      <c r="M40" s="6"/>
      <c r="N40" s="30">
        <f t="shared" ref="N40:N71" si="15">F40</f>
        <v>0.69386491388242455</v>
      </c>
      <c r="O40" s="8">
        <f t="shared" si="4"/>
        <v>816.65180366226184</v>
      </c>
      <c r="P40" s="8">
        <f t="shared" ref="P40:P71" si="16">O40*F40</f>
        <v>566.64603342004204</v>
      </c>
      <c r="Q40" s="10">
        <f t="shared" si="12"/>
        <v>1633.3036073245239</v>
      </c>
      <c r="R40" s="35">
        <f t="shared" si="13"/>
        <v>1133.2920668400841</v>
      </c>
      <c r="S40" s="6"/>
      <c r="T40" s="38">
        <f t="shared" ref="T40:T71" si="17">$Q$48*N40</f>
        <v>1387.729827764849</v>
      </c>
      <c r="U40" s="38">
        <f t="shared" si="14"/>
        <v>925.50501046108718</v>
      </c>
      <c r="V40" s="38">
        <f t="shared" ref="V40:V71" si="18">$O$48*N40+$P$48</f>
        <v>1156.617419112968</v>
      </c>
      <c r="W40" s="1">
        <f t="shared" ref="W40:W71" si="19">T40/$R40-1</f>
        <v>0.22451208154505498</v>
      </c>
      <c r="X40" s="1">
        <f t="shared" ref="X40:X71" si="20">U40/$R40-1</f>
        <v>-0.18334819633773825</v>
      </c>
      <c r="Y40" s="1">
        <f t="shared" ref="Y40:Y71" si="21">V40/$R40-1</f>
        <v>2.0581942603658421E-2</v>
      </c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</row>
    <row r="41" spans="4:56" x14ac:dyDescent="0.25">
      <c r="F41" s="5">
        <f t="shared" si="11"/>
        <v>0.65960533375947972</v>
      </c>
      <c r="G41" s="4">
        <f t="shared" si="0"/>
        <v>415062.79553067748</v>
      </c>
      <c r="H41" s="3">
        <f t="shared" si="1"/>
        <v>273777.63377715519</v>
      </c>
      <c r="I41">
        <f>I42</f>
        <v>113634910029.32007</v>
      </c>
      <c r="J41" s="6"/>
      <c r="K41" s="6"/>
      <c r="L41" s="6"/>
      <c r="M41" s="6"/>
      <c r="N41" s="30">
        <f t="shared" si="15"/>
        <v>0.65960533375947972</v>
      </c>
      <c r="O41" s="8">
        <f t="shared" si="4"/>
        <v>837.59159349975585</v>
      </c>
      <c r="P41" s="8">
        <f t="shared" si="16"/>
        <v>552.47988258454086</v>
      </c>
      <c r="Q41" s="10">
        <f t="shared" si="12"/>
        <v>1675.1831869995117</v>
      </c>
      <c r="R41" s="35">
        <f t="shared" si="13"/>
        <v>1104.9597651690817</v>
      </c>
      <c r="S41" s="6"/>
      <c r="T41" s="38">
        <f t="shared" si="17"/>
        <v>1319.2106675189593</v>
      </c>
      <c r="U41" s="38">
        <f t="shared" si="14"/>
        <v>925.50501046108718</v>
      </c>
      <c r="V41" s="38">
        <f t="shared" si="18"/>
        <v>1122.3578389900233</v>
      </c>
      <c r="W41" s="1">
        <f t="shared" si="19"/>
        <v>0.19389927950642871</v>
      </c>
      <c r="X41" s="1">
        <f t="shared" si="20"/>
        <v>-0.16240840650024413</v>
      </c>
      <c r="Y41" s="1">
        <f t="shared" si="21"/>
        <v>1.5745436503092236E-2</v>
      </c>
      <c r="Z41" s="6"/>
      <c r="AA41" s="2"/>
      <c r="AB41" s="2"/>
      <c r="AC41" s="2"/>
    </row>
    <row r="42" spans="4:56" x14ac:dyDescent="0.25">
      <c r="F42" s="5">
        <f t="shared" si="11"/>
        <v>0.62703732040510551</v>
      </c>
      <c r="G42" s="4">
        <f t="shared" si="0"/>
        <v>425705.43131351535</v>
      </c>
      <c r="H42" s="3">
        <f t="shared" si="1"/>
        <v>266933.19293272635</v>
      </c>
      <c r="I42">
        <f t="shared" ref="I42:I46" si="22">I43</f>
        <v>113634910029.32007</v>
      </c>
      <c r="J42" s="6"/>
      <c r="K42" s="6"/>
      <c r="L42" s="6"/>
      <c r="M42" s="6"/>
      <c r="N42" s="30">
        <f t="shared" si="15"/>
        <v>0.62703732040510551</v>
      </c>
      <c r="O42" s="8">
        <f t="shared" si="4"/>
        <v>859.06830102539061</v>
      </c>
      <c r="P42" s="8">
        <f t="shared" si="16"/>
        <v>538.66788551992749</v>
      </c>
      <c r="Q42" s="10">
        <f t="shared" si="12"/>
        <v>1718.1366020507812</v>
      </c>
      <c r="R42" s="35">
        <f t="shared" si="13"/>
        <v>1077.335771039855</v>
      </c>
      <c r="S42" s="6"/>
      <c r="T42" s="38">
        <f t="shared" si="17"/>
        <v>1254.0746408102111</v>
      </c>
      <c r="U42" s="38">
        <f t="shared" si="14"/>
        <v>925.50501046108718</v>
      </c>
      <c r="V42" s="38">
        <f t="shared" si="18"/>
        <v>1089.7898256356491</v>
      </c>
      <c r="W42" s="1">
        <f t="shared" si="19"/>
        <v>0.16405179751876808</v>
      </c>
      <c r="X42" s="1">
        <f t="shared" si="20"/>
        <v>-0.14093169897460966</v>
      </c>
      <c r="Y42" s="1">
        <f t="shared" si="21"/>
        <v>1.1560049272079098E-2</v>
      </c>
      <c r="Z42" s="6"/>
      <c r="AA42" s="2"/>
      <c r="AB42" s="2"/>
      <c r="AC42" s="2"/>
    </row>
    <row r="43" spans="4:56" x14ac:dyDescent="0.25">
      <c r="F43" s="5">
        <f t="shared" si="11"/>
        <v>0.59607735271010331</v>
      </c>
      <c r="G43" s="4">
        <f t="shared" si="0"/>
        <v>436620.9551933491</v>
      </c>
      <c r="H43" s="3">
        <f t="shared" si="1"/>
        <v>260259.86310940815</v>
      </c>
      <c r="I43">
        <f t="shared" si="22"/>
        <v>113634910029.32007</v>
      </c>
      <c r="J43" s="6"/>
      <c r="K43" s="6"/>
      <c r="L43" s="6"/>
      <c r="M43" s="6"/>
      <c r="N43" s="30">
        <f t="shared" si="15"/>
        <v>0.59607735271010331</v>
      </c>
      <c r="O43" s="8">
        <f t="shared" si="4"/>
        <v>881.09569335937499</v>
      </c>
      <c r="P43" s="8">
        <f t="shared" si="16"/>
        <v>525.20118838192923</v>
      </c>
      <c r="Q43" s="10">
        <f t="shared" si="12"/>
        <v>1762.19138671875</v>
      </c>
      <c r="R43" s="35">
        <f t="shared" si="13"/>
        <v>1050.4023767638585</v>
      </c>
      <c r="S43" s="6"/>
      <c r="T43" s="38">
        <f t="shared" si="17"/>
        <v>1192.1547054202067</v>
      </c>
      <c r="U43" s="38">
        <f t="shared" si="14"/>
        <v>925.50501046108718</v>
      </c>
      <c r="V43" s="38">
        <f t="shared" si="18"/>
        <v>1058.8298579406469</v>
      </c>
      <c r="W43" s="1">
        <f t="shared" si="19"/>
        <v>0.13495050258079888</v>
      </c>
      <c r="X43" s="1">
        <f t="shared" si="20"/>
        <v>-0.11890430664062512</v>
      </c>
      <c r="Y43" s="1">
        <f t="shared" si="21"/>
        <v>8.0230979700868232E-3</v>
      </c>
      <c r="Z43" s="6"/>
      <c r="AA43" s="2"/>
      <c r="AB43" s="2"/>
      <c r="AC43" s="2"/>
    </row>
    <row r="44" spans="4:56" x14ac:dyDescent="0.25">
      <c r="F44" s="5">
        <f t="shared" si="11"/>
        <v>0.56664603342004194</v>
      </c>
      <c r="G44" s="4">
        <f t="shared" si="0"/>
        <v>447816.36430087086</v>
      </c>
      <c r="H44" s="3">
        <f t="shared" si="1"/>
        <v>253753.36653167295</v>
      </c>
      <c r="I44">
        <f t="shared" si="22"/>
        <v>113634910029.32007</v>
      </c>
      <c r="J44" s="6"/>
      <c r="K44" s="6"/>
      <c r="L44" s="6"/>
      <c r="M44" s="6"/>
      <c r="N44" s="30">
        <f t="shared" si="15"/>
        <v>0.56664603342004194</v>
      </c>
      <c r="O44" s="8">
        <f t="shared" si="4"/>
        <v>903.68789062500002</v>
      </c>
      <c r="P44" s="8">
        <f t="shared" si="16"/>
        <v>512.07115867238099</v>
      </c>
      <c r="Q44" s="10">
        <f t="shared" si="12"/>
        <v>1807.37578125</v>
      </c>
      <c r="R44" s="35">
        <f t="shared" si="13"/>
        <v>1024.142317344762</v>
      </c>
      <c r="S44" s="6"/>
      <c r="T44" s="38">
        <f t="shared" si="17"/>
        <v>1133.2920668400839</v>
      </c>
      <c r="U44" s="38">
        <f t="shared" si="14"/>
        <v>925.50501046108718</v>
      </c>
      <c r="V44" s="38">
        <f t="shared" si="18"/>
        <v>1029.3985386505856</v>
      </c>
      <c r="W44" s="1">
        <f t="shared" si="19"/>
        <v>0.1065767400162787</v>
      </c>
      <c r="X44" s="1">
        <f t="shared" si="20"/>
        <v>-9.6312109375000121E-2</v>
      </c>
      <c r="Y44" s="1">
        <f t="shared" si="21"/>
        <v>5.1323153206392913E-3</v>
      </c>
      <c r="Z44" s="6"/>
      <c r="AA44" s="2"/>
      <c r="AB44" s="2"/>
      <c r="AC44" s="2"/>
    </row>
    <row r="45" spans="4:56" x14ac:dyDescent="0.25">
      <c r="F45" s="5">
        <f t="shared" si="11"/>
        <v>0.53866788551992739</v>
      </c>
      <c r="G45" s="4">
        <f t="shared" si="0"/>
        <v>459298.83518038038</v>
      </c>
      <c r="H45" s="3">
        <f t="shared" si="1"/>
        <v>247409.53236838113</v>
      </c>
      <c r="I45">
        <f t="shared" si="22"/>
        <v>113634910029.32007</v>
      </c>
      <c r="J45" s="6"/>
      <c r="K45" s="6"/>
      <c r="L45" s="6"/>
      <c r="M45" s="6"/>
      <c r="N45" s="30">
        <f t="shared" si="15"/>
        <v>0.53866788551992739</v>
      </c>
      <c r="O45" s="8">
        <f t="shared" si="4"/>
        <v>926.859375</v>
      </c>
      <c r="P45" s="8">
        <f t="shared" si="16"/>
        <v>499.26937970557145</v>
      </c>
      <c r="Q45" s="10">
        <f t="shared" si="12"/>
        <v>1853.71875</v>
      </c>
      <c r="R45" s="35">
        <f t="shared" si="13"/>
        <v>998.53875941114291</v>
      </c>
      <c r="S45" s="9"/>
      <c r="T45" s="38">
        <f t="shared" si="17"/>
        <v>1077.3357710398548</v>
      </c>
      <c r="U45" s="38">
        <f t="shared" si="14"/>
        <v>925.50501046108718</v>
      </c>
      <c r="V45" s="38">
        <f t="shared" si="18"/>
        <v>1001.4203907504709</v>
      </c>
      <c r="W45" s="1">
        <f t="shared" si="19"/>
        <v>7.8912321515871797E-2</v>
      </c>
      <c r="X45" s="1">
        <f t="shared" si="20"/>
        <v>-7.314062500000007E-2</v>
      </c>
      <c r="Y45" s="1">
        <f t="shared" si="21"/>
        <v>2.885848257935697E-3</v>
      </c>
      <c r="Z45" s="6"/>
      <c r="AA45" s="2"/>
      <c r="AB45" s="2"/>
      <c r="AC45" s="2"/>
    </row>
    <row r="46" spans="4:56" x14ac:dyDescent="0.25">
      <c r="F46" s="5">
        <f t="shared" si="11"/>
        <v>0.51207115867238095</v>
      </c>
      <c r="G46" s="4">
        <f t="shared" si="0"/>
        <v>471075.72839013371</v>
      </c>
      <c r="H46" s="3">
        <f t="shared" si="1"/>
        <v>241224.2940591716</v>
      </c>
      <c r="I46">
        <f t="shared" si="22"/>
        <v>113634910029.32007</v>
      </c>
      <c r="J46" s="6"/>
      <c r="K46" s="6"/>
      <c r="L46" s="6"/>
      <c r="M46" s="6"/>
      <c r="N46" s="30">
        <f t="shared" si="15"/>
        <v>0.51207115867238095</v>
      </c>
      <c r="O46" s="8">
        <f t="shared" si="4"/>
        <v>950.625</v>
      </c>
      <c r="P46" s="8">
        <f t="shared" si="16"/>
        <v>486.78764521293215</v>
      </c>
      <c r="Q46" s="10">
        <f t="shared" si="12"/>
        <v>1901.25</v>
      </c>
      <c r="R46" s="35">
        <f t="shared" si="13"/>
        <v>973.5752904258643</v>
      </c>
      <c r="S46" s="9"/>
      <c r="T46" s="38">
        <f t="shared" si="17"/>
        <v>1024.142317344762</v>
      </c>
      <c r="U46" s="38">
        <f t="shared" si="14"/>
        <v>925.50501046108718</v>
      </c>
      <c r="V46" s="38">
        <f t="shared" si="18"/>
        <v>974.82366390292464</v>
      </c>
      <c r="W46" s="1">
        <f t="shared" si="19"/>
        <v>5.1939513477974986E-2</v>
      </c>
      <c r="X46" s="1">
        <f t="shared" si="20"/>
        <v>-4.9375000000000058E-2</v>
      </c>
      <c r="Y46" s="1">
        <f t="shared" si="21"/>
        <v>1.2822567389876305E-3</v>
      </c>
      <c r="Z46" s="6"/>
      <c r="AA46" s="2"/>
      <c r="AB46" s="2"/>
      <c r="AC46" s="2"/>
    </row>
    <row r="47" spans="4:56" x14ac:dyDescent="0.25">
      <c r="F47" s="5">
        <f t="shared" si="11"/>
        <v>0.48678764521293211</v>
      </c>
      <c r="G47" s="4">
        <f t="shared" si="0"/>
        <v>483154.59322064999</v>
      </c>
      <c r="H47" s="3">
        <f t="shared" si="1"/>
        <v>235193.68670769231</v>
      </c>
      <c r="I47">
        <f>I48</f>
        <v>113634910029.32007</v>
      </c>
      <c r="J47" s="6"/>
      <c r="K47" s="6"/>
      <c r="L47" s="6"/>
      <c r="M47" s="6"/>
      <c r="N47" s="30">
        <f t="shared" si="15"/>
        <v>0.48678764521293211</v>
      </c>
      <c r="O47" s="8">
        <f t="shared" si="4"/>
        <v>975</v>
      </c>
      <c r="P47" s="8">
        <f t="shared" si="16"/>
        <v>474.61795408260883</v>
      </c>
      <c r="Q47" s="10">
        <f t="shared" si="12"/>
        <v>1950</v>
      </c>
      <c r="R47" s="35">
        <f t="shared" si="13"/>
        <v>949.23590816521767</v>
      </c>
      <c r="S47" s="9"/>
      <c r="T47" s="38">
        <f t="shared" si="17"/>
        <v>973.57529042586418</v>
      </c>
      <c r="U47" s="38">
        <f t="shared" si="14"/>
        <v>925.50501046108718</v>
      </c>
      <c r="V47" s="38">
        <f t="shared" si="18"/>
        <v>949.54015044347568</v>
      </c>
      <c r="W47" s="1">
        <f t="shared" si="19"/>
        <v>2.564102564102555E-2</v>
      </c>
      <c r="X47" s="1">
        <f t="shared" si="20"/>
        <v>-2.5000000000000022E-2</v>
      </c>
      <c r="Y47" s="1">
        <f t="shared" si="21"/>
        <v>3.2051282051281937E-4</v>
      </c>
      <c r="Z47" s="6"/>
      <c r="AA47" s="2"/>
      <c r="AB47" s="2"/>
      <c r="AC47" s="2"/>
    </row>
    <row r="48" spans="4:56" ht="18.75" x14ac:dyDescent="0.3">
      <c r="D48" s="24" t="s">
        <v>4</v>
      </c>
      <c r="E48" s="24"/>
      <c r="F48" s="5">
        <f t="shared" si="11"/>
        <v>0.46275250523054356</v>
      </c>
      <c r="G48" s="19">
        <f>K1</f>
        <v>495543.17253400001</v>
      </c>
      <c r="H48" s="20">
        <f>K2</f>
        <v>229313.84453999999</v>
      </c>
      <c r="I48" s="21">
        <f>G48*H48</f>
        <v>113634910029.32007</v>
      </c>
      <c r="J48" s="22"/>
      <c r="K48" s="22"/>
      <c r="L48" s="22"/>
      <c r="M48" s="21"/>
      <c r="N48" s="31">
        <f>F48</f>
        <v>0.46275250523054356</v>
      </c>
      <c r="O48" s="11">
        <f>K3</f>
        <v>1000</v>
      </c>
      <c r="P48" s="11">
        <f t="shared" si="16"/>
        <v>462.75250523054359</v>
      </c>
      <c r="Q48" s="11">
        <f t="shared" si="12"/>
        <v>2000</v>
      </c>
      <c r="R48" s="36">
        <f t="shared" si="13"/>
        <v>925.50501046108718</v>
      </c>
      <c r="S48" s="23"/>
      <c r="T48" s="36">
        <f t="shared" si="17"/>
        <v>925.50501046108718</v>
      </c>
      <c r="U48" s="36">
        <f t="shared" si="14"/>
        <v>925.50501046108718</v>
      </c>
      <c r="V48" s="36">
        <f t="shared" si="18"/>
        <v>925.50501046108718</v>
      </c>
      <c r="W48" s="39">
        <f t="shared" si="19"/>
        <v>0</v>
      </c>
      <c r="X48" s="39">
        <f t="shared" si="20"/>
        <v>0</v>
      </c>
      <c r="Y48" s="39">
        <f t="shared" si="21"/>
        <v>0</v>
      </c>
      <c r="Z48" s="6"/>
      <c r="AA48" s="2"/>
      <c r="AB48" s="2"/>
      <c r="AC48" s="2"/>
    </row>
    <row r="49" spans="6:29" x14ac:dyDescent="0.25">
      <c r="F49" s="5">
        <f t="shared" si="11"/>
        <v>0.44045449635268874</v>
      </c>
      <c r="G49" s="4">
        <f t="shared" ref="G49:G112" si="23">G48*(1+$O$1)</f>
        <v>507931.75184734998</v>
      </c>
      <c r="H49" s="3">
        <f>I49/G49</f>
        <v>223720.8239414634</v>
      </c>
      <c r="I49">
        <f>I48</f>
        <v>113634910029.32007</v>
      </c>
      <c r="J49" s="6"/>
      <c r="K49" s="6"/>
      <c r="L49" s="6"/>
      <c r="M49" s="6"/>
      <c r="N49" s="30">
        <f t="shared" si="15"/>
        <v>0.44045449635268874</v>
      </c>
      <c r="O49" s="8">
        <f t="shared" ref="O49:O80" si="24">$O$48/$G$48*G49</f>
        <v>1025</v>
      </c>
      <c r="P49" s="8">
        <f t="shared" si="16"/>
        <v>451.46585876150596</v>
      </c>
      <c r="Q49" s="10">
        <f t="shared" si="12"/>
        <v>2050</v>
      </c>
      <c r="R49" s="35">
        <f t="shared" si="13"/>
        <v>902.93171752301191</v>
      </c>
      <c r="S49" s="9"/>
      <c r="T49" s="38">
        <f t="shared" si="17"/>
        <v>880.9089927053775</v>
      </c>
      <c r="U49" s="38">
        <f t="shared" si="14"/>
        <v>925.50501046108718</v>
      </c>
      <c r="V49" s="38">
        <f t="shared" si="18"/>
        <v>903.20700158323234</v>
      </c>
      <c r="W49" s="1">
        <f t="shared" si="19"/>
        <v>-2.4390243902439046E-2</v>
      </c>
      <c r="X49" s="1">
        <f t="shared" si="20"/>
        <v>2.4999999999999911E-2</v>
      </c>
      <c r="Y49" s="1">
        <f t="shared" si="21"/>
        <v>3.0487804878043256E-4</v>
      </c>
      <c r="Z49" s="6"/>
      <c r="AA49" s="2"/>
      <c r="AB49" s="2"/>
      <c r="AC49" s="2"/>
    </row>
    <row r="50" spans="6:29" x14ac:dyDescent="0.25">
      <c r="F50" s="5">
        <f t="shared" si="11"/>
        <v>0.41923093049631294</v>
      </c>
      <c r="G50" s="4">
        <f t="shared" si="23"/>
        <v>520630.0456435337</v>
      </c>
      <c r="H50" s="3">
        <f t="shared" ref="H50:H113" si="25">I50/G50</f>
        <v>218264.21847947652</v>
      </c>
      <c r="I50">
        <f t="shared" ref="I50:I113" si="26">I49</f>
        <v>113634910029.32007</v>
      </c>
      <c r="J50" s="6"/>
      <c r="K50" s="6"/>
      <c r="L50" s="6"/>
      <c r="M50" s="6"/>
      <c r="N50" s="30">
        <f t="shared" si="15"/>
        <v>0.41923093049631294</v>
      </c>
      <c r="O50" s="8">
        <f t="shared" si="24"/>
        <v>1050.625</v>
      </c>
      <c r="P50" s="8">
        <f t="shared" si="16"/>
        <v>440.45449635268881</v>
      </c>
      <c r="Q50" s="10">
        <f t="shared" si="12"/>
        <v>2101.25</v>
      </c>
      <c r="R50" s="35">
        <f t="shared" si="13"/>
        <v>880.90899270537761</v>
      </c>
      <c r="S50" s="9"/>
      <c r="T50" s="38">
        <f t="shared" si="17"/>
        <v>838.46186099262593</v>
      </c>
      <c r="U50" s="38">
        <f t="shared" si="14"/>
        <v>925.50501046108718</v>
      </c>
      <c r="V50" s="38">
        <f t="shared" si="18"/>
        <v>881.98343572685656</v>
      </c>
      <c r="W50" s="1">
        <f t="shared" si="19"/>
        <v>-4.818560380725756E-2</v>
      </c>
      <c r="X50" s="1">
        <f t="shared" si="20"/>
        <v>5.0624999999999698E-2</v>
      </c>
      <c r="Y50" s="1">
        <f t="shared" si="21"/>
        <v>1.2196980963710136E-3</v>
      </c>
      <c r="Z50" s="6"/>
      <c r="AA50" s="2"/>
      <c r="AB50" s="2"/>
      <c r="AC50" s="2"/>
    </row>
    <row r="51" spans="6:29" x14ac:dyDescent="0.25">
      <c r="F51" s="5">
        <f t="shared" si="11"/>
        <v>0.39903003497566975</v>
      </c>
      <c r="G51" s="4">
        <f t="shared" si="23"/>
        <v>533645.79678462201</v>
      </c>
      <c r="H51" s="3">
        <f t="shared" si="25"/>
        <v>212940.70095558686</v>
      </c>
      <c r="I51">
        <f t="shared" si="26"/>
        <v>113634910029.32007</v>
      </c>
      <c r="J51" s="6"/>
      <c r="K51" s="6"/>
      <c r="L51" s="6"/>
      <c r="M51" s="6"/>
      <c r="N51" s="30">
        <f t="shared" si="15"/>
        <v>0.39903003497566975</v>
      </c>
      <c r="O51" s="8">
        <f t="shared" si="24"/>
        <v>1076.890625</v>
      </c>
      <c r="P51" s="8">
        <f t="shared" si="16"/>
        <v>429.71170375872083</v>
      </c>
      <c r="Q51" s="10">
        <f t="shared" si="12"/>
        <v>2153.78125</v>
      </c>
      <c r="R51" s="35">
        <f t="shared" si="13"/>
        <v>859.42340751744166</v>
      </c>
      <c r="S51" s="9"/>
      <c r="T51" s="38">
        <f t="shared" si="17"/>
        <v>798.06006995133953</v>
      </c>
      <c r="U51" s="38">
        <f t="shared" si="14"/>
        <v>925.50501046108718</v>
      </c>
      <c r="V51" s="38">
        <f t="shared" si="18"/>
        <v>861.7825402062133</v>
      </c>
      <c r="W51" s="1">
        <f t="shared" si="19"/>
        <v>-7.1400589080251264E-2</v>
      </c>
      <c r="X51" s="1">
        <f t="shared" si="20"/>
        <v>7.6890624999999657E-2</v>
      </c>
      <c r="Y51" s="1">
        <f t="shared" si="21"/>
        <v>2.7450179598742519E-3</v>
      </c>
      <c r="Z51" s="6"/>
      <c r="AA51" s="2"/>
      <c r="AB51" s="2"/>
      <c r="AC51" s="2"/>
    </row>
    <row r="52" spans="6:29" x14ac:dyDescent="0.25">
      <c r="F52" s="5">
        <f t="shared" si="11"/>
        <v>0.37980253180313606</v>
      </c>
      <c r="G52" s="4">
        <f t="shared" si="23"/>
        <v>546986.94170423748</v>
      </c>
      <c r="H52" s="3">
        <f t="shared" si="25"/>
        <v>207747.02532252378</v>
      </c>
      <c r="I52">
        <f t="shared" si="26"/>
        <v>113634910029.32007</v>
      </c>
      <c r="J52" s="6"/>
      <c r="K52" s="6"/>
      <c r="L52" s="6"/>
      <c r="M52" s="6"/>
      <c r="N52" s="30">
        <f t="shared" si="15"/>
        <v>0.37980253180313606</v>
      </c>
      <c r="O52" s="8">
        <f t="shared" si="24"/>
        <v>1103.8128906249997</v>
      </c>
      <c r="P52" s="8">
        <f t="shared" si="16"/>
        <v>419.23093049631296</v>
      </c>
      <c r="Q52" s="10">
        <f t="shared" si="12"/>
        <v>2207.6257812499994</v>
      </c>
      <c r="R52" s="35">
        <f t="shared" si="13"/>
        <v>838.46186099262593</v>
      </c>
      <c r="S52" s="9"/>
      <c r="T52" s="38">
        <f t="shared" si="17"/>
        <v>759.6050636062721</v>
      </c>
      <c r="U52" s="38">
        <f t="shared" si="14"/>
        <v>925.50501046108718</v>
      </c>
      <c r="V52" s="38">
        <f t="shared" si="18"/>
        <v>842.55503703367958</v>
      </c>
      <c r="W52" s="1">
        <f t="shared" si="19"/>
        <v>-9.4049355200244933E-2</v>
      </c>
      <c r="X52" s="1">
        <f t="shared" si="20"/>
        <v>0.10381289062499977</v>
      </c>
      <c r="Y52" s="1">
        <f t="shared" si="21"/>
        <v>4.8817677123773606E-3</v>
      </c>
      <c r="Z52" s="6"/>
      <c r="AA52" s="2"/>
      <c r="AB52" s="2"/>
      <c r="AC52" s="2"/>
    </row>
    <row r="53" spans="6:29" x14ac:dyDescent="0.25">
      <c r="F53" s="5">
        <f t="shared" si="11"/>
        <v>0.36150151748067683</v>
      </c>
      <c r="G53" s="4">
        <f t="shared" si="23"/>
        <v>560661.61524684343</v>
      </c>
      <c r="H53" s="3">
        <f t="shared" si="25"/>
        <v>202680.02470490127</v>
      </c>
      <c r="I53">
        <f t="shared" si="26"/>
        <v>113634910029.32007</v>
      </c>
      <c r="J53" s="6"/>
      <c r="K53" s="6"/>
      <c r="L53" s="6"/>
      <c r="M53" s="6"/>
      <c r="N53" s="30">
        <f t="shared" si="15"/>
        <v>0.36150151748067683</v>
      </c>
      <c r="O53" s="8">
        <f t="shared" si="24"/>
        <v>1131.4082128906248</v>
      </c>
      <c r="P53" s="8">
        <f t="shared" si="16"/>
        <v>409.0057858500615</v>
      </c>
      <c r="Q53" s="10">
        <f t="shared" si="12"/>
        <v>2262.8164257812496</v>
      </c>
      <c r="R53" s="35">
        <f t="shared" si="13"/>
        <v>818.011571700123</v>
      </c>
      <c r="S53" s="9"/>
      <c r="T53" s="38">
        <f t="shared" si="17"/>
        <v>723.00303496135371</v>
      </c>
      <c r="U53" s="38">
        <f t="shared" si="14"/>
        <v>925.50501046108718</v>
      </c>
      <c r="V53" s="38">
        <f t="shared" si="18"/>
        <v>824.25402271122039</v>
      </c>
      <c r="W53" s="1">
        <f t="shared" si="19"/>
        <v>-0.11614571239048277</v>
      </c>
      <c r="X53" s="1">
        <f t="shared" si="20"/>
        <v>0.13140821289062465</v>
      </c>
      <c r="Y53" s="1">
        <f t="shared" si="21"/>
        <v>7.6312502500708312E-3</v>
      </c>
      <c r="Z53" s="6"/>
      <c r="AA53" s="2"/>
      <c r="AB53" s="2"/>
      <c r="AC53" s="2"/>
    </row>
    <row r="54" spans="6:29" x14ac:dyDescent="0.25">
      <c r="F54" s="5">
        <f t="shared" si="11"/>
        <v>0.34408234858363057</v>
      </c>
      <c r="G54" s="4">
        <f t="shared" si="23"/>
        <v>574678.15562801447</v>
      </c>
      <c r="H54" s="3">
        <f t="shared" si="25"/>
        <v>197736.60946819637</v>
      </c>
      <c r="I54">
        <f t="shared" si="26"/>
        <v>113634910029.32007</v>
      </c>
      <c r="J54" s="6"/>
      <c r="K54" s="6"/>
      <c r="L54" s="6"/>
      <c r="M54" s="6"/>
      <c r="N54" s="30">
        <f t="shared" si="15"/>
        <v>0.34408234858363057</v>
      </c>
      <c r="O54" s="8">
        <f t="shared" si="24"/>
        <v>1159.6934182128903</v>
      </c>
      <c r="P54" s="8">
        <f t="shared" si="16"/>
        <v>399.03003497566976</v>
      </c>
      <c r="Q54" s="10">
        <f t="shared" si="12"/>
        <v>2319.3868364257805</v>
      </c>
      <c r="R54" s="35">
        <f t="shared" si="13"/>
        <v>798.06006995133953</v>
      </c>
      <c r="S54" s="9"/>
      <c r="T54" s="38">
        <f t="shared" si="17"/>
        <v>688.16469716726112</v>
      </c>
      <c r="U54" s="38">
        <f t="shared" si="14"/>
        <v>925.50501046108718</v>
      </c>
      <c r="V54" s="38">
        <f t="shared" si="18"/>
        <v>806.83485381417415</v>
      </c>
      <c r="W54" s="1">
        <f t="shared" si="19"/>
        <v>-0.13770313403949541</v>
      </c>
      <c r="X54" s="1">
        <f t="shared" si="20"/>
        <v>0.15969341821289018</v>
      </c>
      <c r="Y54" s="1">
        <f t="shared" si="21"/>
        <v>1.0995142086697385E-2</v>
      </c>
      <c r="Z54" s="6"/>
      <c r="AA54" s="2"/>
      <c r="AB54" s="2"/>
      <c r="AC54" s="2"/>
    </row>
    <row r="55" spans="6:29" x14ac:dyDescent="0.25">
      <c r="F55" s="5">
        <f t="shared" si="11"/>
        <v>0.32750253285770903</v>
      </c>
      <c r="G55" s="4">
        <f t="shared" si="23"/>
        <v>589045.10951871483</v>
      </c>
      <c r="H55" s="3">
        <f t="shared" si="25"/>
        <v>192913.76533482573</v>
      </c>
      <c r="I55">
        <f t="shared" si="26"/>
        <v>113634910029.32007</v>
      </c>
      <c r="J55" s="6"/>
      <c r="K55" s="6"/>
      <c r="L55" s="6"/>
      <c r="M55" s="6"/>
      <c r="N55" s="30">
        <f t="shared" si="15"/>
        <v>0.32750253285770903</v>
      </c>
      <c r="O55" s="8">
        <f t="shared" si="24"/>
        <v>1188.6857536682126</v>
      </c>
      <c r="P55" s="8">
        <f t="shared" si="16"/>
        <v>389.2975950982144</v>
      </c>
      <c r="Q55" s="10">
        <f t="shared" si="12"/>
        <v>2377.3715073364251</v>
      </c>
      <c r="R55" s="35">
        <f t="shared" si="13"/>
        <v>778.5951901964288</v>
      </c>
      <c r="S55" s="9"/>
      <c r="T55" s="38">
        <f t="shared" si="17"/>
        <v>655.00506571541803</v>
      </c>
      <c r="U55" s="38">
        <f t="shared" si="14"/>
        <v>925.50501046108718</v>
      </c>
      <c r="V55" s="38">
        <f t="shared" si="18"/>
        <v>790.2550380882526</v>
      </c>
      <c r="W55" s="1">
        <f t="shared" si="19"/>
        <v>-0.15873476491658101</v>
      </c>
      <c r="X55" s="1">
        <f t="shared" si="20"/>
        <v>0.1886857536682125</v>
      </c>
      <c r="Y55" s="1">
        <f t="shared" si="21"/>
        <v>1.4975494375815801E-2</v>
      </c>
      <c r="Z55" s="6"/>
      <c r="AA55" s="2"/>
      <c r="AB55" s="2"/>
      <c r="AC55" s="2"/>
    </row>
    <row r="56" spans="6:29" x14ac:dyDescent="0.25">
      <c r="F56" s="5">
        <f t="shared" si="11"/>
        <v>0.31172162556355421</v>
      </c>
      <c r="G56" s="4">
        <f t="shared" si="23"/>
        <v>603771.23725668259</v>
      </c>
      <c r="H56" s="3">
        <f t="shared" si="25"/>
        <v>188208.55154617145</v>
      </c>
      <c r="I56">
        <f t="shared" si="26"/>
        <v>113634910029.32007</v>
      </c>
      <c r="J56" s="6"/>
      <c r="K56" s="6"/>
      <c r="L56" s="6"/>
      <c r="M56" s="6"/>
      <c r="N56" s="30">
        <f t="shared" si="15"/>
        <v>0.31172162556355421</v>
      </c>
      <c r="O56" s="8">
        <f t="shared" si="24"/>
        <v>1218.4028975099177</v>
      </c>
      <c r="P56" s="8">
        <f t="shared" si="16"/>
        <v>379.80253180313605</v>
      </c>
      <c r="Q56" s="10">
        <f t="shared" si="12"/>
        <v>2436.8057950198354</v>
      </c>
      <c r="R56" s="35">
        <f t="shared" si="13"/>
        <v>759.6050636062721</v>
      </c>
      <c r="S56" s="9"/>
      <c r="T56" s="38">
        <f t="shared" si="17"/>
        <v>623.4432511271084</v>
      </c>
      <c r="U56" s="38">
        <f t="shared" si="14"/>
        <v>925.50501046108718</v>
      </c>
      <c r="V56" s="38">
        <f t="shared" si="18"/>
        <v>774.47413079409785</v>
      </c>
      <c r="W56" s="1">
        <f t="shared" si="19"/>
        <v>-0.17925342918690812</v>
      </c>
      <c r="X56" s="1">
        <f t="shared" si="20"/>
        <v>0.2184028975099177</v>
      </c>
      <c r="Y56" s="1">
        <f t="shared" si="21"/>
        <v>1.9574734161504903E-2</v>
      </c>
      <c r="Z56" s="6"/>
      <c r="AA56" s="2"/>
      <c r="AB56" s="2"/>
      <c r="AC56" s="2"/>
    </row>
    <row r="57" spans="6:29" x14ac:dyDescent="0.25">
      <c r="F57" s="5">
        <f t="shared" si="11"/>
        <v>0.29670113081599453</v>
      </c>
      <c r="G57" s="4">
        <f t="shared" si="23"/>
        <v>618865.51818809961</v>
      </c>
      <c r="H57" s="3">
        <f t="shared" si="25"/>
        <v>183618.09906943559</v>
      </c>
      <c r="I57">
        <f t="shared" si="26"/>
        <v>113634910029.32007</v>
      </c>
      <c r="J57" s="6"/>
      <c r="K57" s="6"/>
      <c r="L57" s="6"/>
      <c r="M57" s="6"/>
      <c r="N57" s="30">
        <f t="shared" si="15"/>
        <v>0.29670113081599453</v>
      </c>
      <c r="O57" s="8">
        <f t="shared" si="24"/>
        <v>1248.8629699476655</v>
      </c>
      <c r="P57" s="8">
        <f t="shared" si="16"/>
        <v>370.53905541769376</v>
      </c>
      <c r="Q57" s="10">
        <f t="shared" si="12"/>
        <v>2497.7259398953311</v>
      </c>
      <c r="R57" s="35">
        <f t="shared" si="13"/>
        <v>741.07811083538752</v>
      </c>
      <c r="S57" s="9"/>
      <c r="T57" s="38">
        <f t="shared" si="17"/>
        <v>593.40226163198906</v>
      </c>
      <c r="U57" s="38">
        <f t="shared" si="14"/>
        <v>925.50501046108718</v>
      </c>
      <c r="V57" s="38">
        <f t="shared" si="18"/>
        <v>759.45363604653812</v>
      </c>
      <c r="W57" s="1">
        <f t="shared" si="19"/>
        <v>-0.19927163823112981</v>
      </c>
      <c r="X57" s="1">
        <f t="shared" si="20"/>
        <v>0.24886296994766544</v>
      </c>
      <c r="Y57" s="1">
        <f t="shared" si="21"/>
        <v>2.4795665858267757E-2</v>
      </c>
      <c r="Z57" s="6"/>
      <c r="AA57" s="2"/>
      <c r="AB57" s="2"/>
      <c r="AC57" s="2"/>
    </row>
    <row r="58" spans="6:29" x14ac:dyDescent="0.25">
      <c r="F58" s="5">
        <f t="shared" si="11"/>
        <v>0.28240440767732972</v>
      </c>
      <c r="G58" s="4">
        <f t="shared" si="23"/>
        <v>634337.15614280209</v>
      </c>
      <c r="H58" s="3">
        <f t="shared" si="25"/>
        <v>179139.60884822984</v>
      </c>
      <c r="I58">
        <f t="shared" si="26"/>
        <v>113634910029.32007</v>
      </c>
      <c r="J58" s="6"/>
      <c r="K58" s="6"/>
      <c r="L58" s="6"/>
      <c r="M58" s="6"/>
      <c r="N58" s="30">
        <f t="shared" si="15"/>
        <v>0.28240440767732972</v>
      </c>
      <c r="O58" s="8">
        <f t="shared" si="24"/>
        <v>1280.084544196357</v>
      </c>
      <c r="P58" s="8">
        <f t="shared" si="16"/>
        <v>361.5015174806768</v>
      </c>
      <c r="Q58" s="10">
        <f t="shared" si="12"/>
        <v>2560.169088392714</v>
      </c>
      <c r="R58" s="35">
        <f t="shared" si="13"/>
        <v>723.00303496135359</v>
      </c>
      <c r="S58" s="9"/>
      <c r="T58" s="38">
        <f t="shared" si="17"/>
        <v>564.80881535465949</v>
      </c>
      <c r="U58" s="38">
        <f t="shared" si="14"/>
        <v>925.50501046108718</v>
      </c>
      <c r="V58" s="38">
        <f t="shared" si="18"/>
        <v>745.15691290787333</v>
      </c>
      <c r="W58" s="1">
        <f t="shared" si="19"/>
        <v>-0.21880159827427281</v>
      </c>
      <c r="X58" s="1">
        <f t="shared" si="20"/>
        <v>0.28008454419635709</v>
      </c>
      <c r="Y58" s="1">
        <f t="shared" si="21"/>
        <v>3.0641472961042249E-2</v>
      </c>
      <c r="Z58" s="6"/>
      <c r="AA58" s="2"/>
      <c r="AB58" s="2"/>
      <c r="AC58" s="2"/>
    </row>
    <row r="59" spans="6:29" x14ac:dyDescent="0.25">
      <c r="F59" s="5">
        <f t="shared" si="11"/>
        <v>0.26879658077556667</v>
      </c>
      <c r="G59" s="4">
        <f t="shared" si="23"/>
        <v>650195.58504637214</v>
      </c>
      <c r="H59" s="3">
        <f t="shared" si="25"/>
        <v>174770.350095834</v>
      </c>
      <c r="I59">
        <f t="shared" si="26"/>
        <v>113634910029.32007</v>
      </c>
      <c r="J59" s="6"/>
      <c r="K59" s="6"/>
      <c r="L59" s="6"/>
      <c r="M59" s="6"/>
      <c r="N59" s="30">
        <f t="shared" si="15"/>
        <v>0.26879658077556667</v>
      </c>
      <c r="O59" s="8">
        <f t="shared" si="24"/>
        <v>1312.086657801266</v>
      </c>
      <c r="P59" s="8">
        <f t="shared" si="16"/>
        <v>352.68440729822129</v>
      </c>
      <c r="Q59" s="10">
        <f t="shared" si="12"/>
        <v>2624.1733156025321</v>
      </c>
      <c r="R59" s="35">
        <f t="shared" si="13"/>
        <v>705.36881459644258</v>
      </c>
      <c r="S59" s="9"/>
      <c r="T59" s="38">
        <f t="shared" si="17"/>
        <v>537.59316155113333</v>
      </c>
      <c r="U59" s="38">
        <f t="shared" si="14"/>
        <v>925.50501046108718</v>
      </c>
      <c r="V59" s="38">
        <f t="shared" si="18"/>
        <v>731.5490860061102</v>
      </c>
      <c r="W59" s="1">
        <f t="shared" si="19"/>
        <v>-0.2378552178285589</v>
      </c>
      <c r="X59" s="1">
        <f t="shared" si="20"/>
        <v>0.31208665780126599</v>
      </c>
      <c r="Y59" s="1">
        <f t="shared" si="21"/>
        <v>3.7115719986353435E-2</v>
      </c>
      <c r="Z59" s="6"/>
      <c r="AA59" s="2"/>
      <c r="AB59" s="2"/>
      <c r="AC59" s="2"/>
    </row>
    <row r="60" spans="6:29" x14ac:dyDescent="0.25">
      <c r="F60" s="5">
        <f t="shared" si="11"/>
        <v>0.25584445522956978</v>
      </c>
      <c r="G60" s="4">
        <f t="shared" si="23"/>
        <v>666450.47467253136</v>
      </c>
      <c r="H60" s="3">
        <f t="shared" si="25"/>
        <v>170507.65863008198</v>
      </c>
      <c r="I60">
        <f t="shared" si="26"/>
        <v>113634910029.32007</v>
      </c>
      <c r="J60" s="6"/>
      <c r="K60" s="6"/>
      <c r="L60" s="6"/>
      <c r="M60" s="6"/>
      <c r="N60" s="30">
        <f t="shared" si="15"/>
        <v>0.25584445522956978</v>
      </c>
      <c r="O60" s="8">
        <f t="shared" si="24"/>
        <v>1344.8888242462974</v>
      </c>
      <c r="P60" s="8">
        <f t="shared" si="16"/>
        <v>344.08234858363056</v>
      </c>
      <c r="Q60" s="10">
        <f t="shared" si="12"/>
        <v>2689.7776484925948</v>
      </c>
      <c r="R60" s="35">
        <f t="shared" si="13"/>
        <v>688.16469716726112</v>
      </c>
      <c r="S60" s="9"/>
      <c r="T60" s="38">
        <f t="shared" si="17"/>
        <v>511.68891045913955</v>
      </c>
      <c r="U60" s="38">
        <f t="shared" si="14"/>
        <v>925.50501046108718</v>
      </c>
      <c r="V60" s="38">
        <f t="shared" si="18"/>
        <v>718.59696046011334</v>
      </c>
      <c r="W60" s="1">
        <f t="shared" si="19"/>
        <v>-0.25644411495469155</v>
      </c>
      <c r="X60" s="1">
        <f t="shared" si="20"/>
        <v>0.34488882424629752</v>
      </c>
      <c r="Y60" s="1">
        <f t="shared" si="21"/>
        <v>4.422235464580293E-2</v>
      </c>
      <c r="Z60" s="6"/>
      <c r="AA60" s="2"/>
      <c r="AB60" s="2"/>
      <c r="AC60" s="2"/>
    </row>
    <row r="61" spans="6:29" x14ac:dyDescent="0.25">
      <c r="F61" s="5">
        <f t="shared" si="11"/>
        <v>0.24351643567359413</v>
      </c>
      <c r="G61" s="4">
        <f t="shared" si="23"/>
        <v>683111.73653934454</v>
      </c>
      <c r="H61" s="3">
        <f t="shared" si="25"/>
        <v>166348.93524886048</v>
      </c>
      <c r="I61">
        <f t="shared" si="26"/>
        <v>113634910029.32007</v>
      </c>
      <c r="J61" s="6"/>
      <c r="K61" s="6"/>
      <c r="L61" s="6"/>
      <c r="M61" s="6"/>
      <c r="N61" s="30">
        <f t="shared" si="15"/>
        <v>0.24351643567359413</v>
      </c>
      <c r="O61" s="8">
        <f t="shared" si="24"/>
        <v>1378.5110448524547</v>
      </c>
      <c r="P61" s="8">
        <f t="shared" si="16"/>
        <v>335.69009617915179</v>
      </c>
      <c r="Q61" s="10">
        <f t="shared" si="12"/>
        <v>2757.0220897049094</v>
      </c>
      <c r="R61" s="35">
        <f t="shared" si="13"/>
        <v>671.38019235830359</v>
      </c>
      <c r="S61" s="9"/>
      <c r="T61" s="38">
        <f t="shared" si="17"/>
        <v>487.03287134718823</v>
      </c>
      <c r="U61" s="38">
        <f t="shared" si="14"/>
        <v>925.50501046108718</v>
      </c>
      <c r="V61" s="38">
        <f t="shared" si="18"/>
        <v>706.26894090413771</v>
      </c>
      <c r="W61" s="1">
        <f t="shared" si="19"/>
        <v>-0.27457962434604044</v>
      </c>
      <c r="X61" s="1">
        <f t="shared" si="20"/>
        <v>0.3785110448524549</v>
      </c>
      <c r="Y61" s="1">
        <f t="shared" si="21"/>
        <v>5.1965710253207176E-2</v>
      </c>
      <c r="Z61" s="6"/>
      <c r="AA61" s="2"/>
      <c r="AB61" s="2"/>
      <c r="AC61" s="2"/>
    </row>
    <row r="62" spans="6:29" x14ac:dyDescent="0.25">
      <c r="F62" s="5">
        <f t="shared" si="11"/>
        <v>0.23178244918367089</v>
      </c>
      <c r="G62" s="4">
        <f t="shared" si="23"/>
        <v>700189.52995282807</v>
      </c>
      <c r="H62" s="3">
        <f t="shared" si="25"/>
        <v>162291.64414522977</v>
      </c>
      <c r="I62">
        <f t="shared" si="26"/>
        <v>113634910029.32007</v>
      </c>
      <c r="J62" s="6"/>
      <c r="K62" s="6"/>
      <c r="L62" s="6"/>
      <c r="M62" s="6"/>
      <c r="N62" s="30">
        <f t="shared" si="15"/>
        <v>0.23178244918367089</v>
      </c>
      <c r="O62" s="8">
        <f t="shared" si="24"/>
        <v>1412.9738209737659</v>
      </c>
      <c r="P62" s="8">
        <f t="shared" si="16"/>
        <v>327.50253285770918</v>
      </c>
      <c r="Q62" s="10">
        <f t="shared" si="12"/>
        <v>2825.9476419475318</v>
      </c>
      <c r="R62" s="35">
        <f t="shared" si="13"/>
        <v>655.00506571541837</v>
      </c>
      <c r="S62" s="9"/>
      <c r="T62" s="38">
        <f t="shared" si="17"/>
        <v>463.56489836734175</v>
      </c>
      <c r="U62" s="38">
        <f t="shared" si="14"/>
        <v>925.50501046108718</v>
      </c>
      <c r="V62" s="38">
        <f t="shared" si="18"/>
        <v>694.53495441421444</v>
      </c>
      <c r="W62" s="1">
        <f t="shared" si="19"/>
        <v>-0.29227280424003943</v>
      </c>
      <c r="X62" s="1">
        <f t="shared" si="20"/>
        <v>0.41297382097376567</v>
      </c>
      <c r="Y62" s="1">
        <f t="shared" si="21"/>
        <v>6.0350508366863176E-2</v>
      </c>
      <c r="Z62" s="6"/>
      <c r="AA62" s="2"/>
      <c r="AB62" s="2"/>
      <c r="AC62" s="2"/>
    </row>
    <row r="63" spans="6:29" x14ac:dyDescent="0.25">
      <c r="F63" s="5">
        <f t="shared" si="11"/>
        <v>0.22061387191783072</v>
      </c>
      <c r="G63" s="4">
        <f t="shared" si="23"/>
        <v>717694.26820164872</v>
      </c>
      <c r="H63" s="3">
        <f t="shared" si="25"/>
        <v>158333.31136119977</v>
      </c>
      <c r="I63">
        <f t="shared" si="26"/>
        <v>113634910029.32007</v>
      </c>
      <c r="J63" s="6"/>
      <c r="K63" s="6"/>
      <c r="L63" s="6"/>
      <c r="M63" s="6"/>
      <c r="N63" s="30">
        <f t="shared" si="15"/>
        <v>0.22061387191783072</v>
      </c>
      <c r="O63" s="8">
        <f t="shared" si="24"/>
        <v>1448.29816649811</v>
      </c>
      <c r="P63" s="8">
        <f t="shared" si="16"/>
        <v>319.51466620264313</v>
      </c>
      <c r="Q63" s="10">
        <f t="shared" si="12"/>
        <v>2896.5963329962201</v>
      </c>
      <c r="R63" s="35">
        <f t="shared" si="13"/>
        <v>639.02933240528625</v>
      </c>
      <c r="S63" s="9"/>
      <c r="T63" s="38">
        <f t="shared" si="17"/>
        <v>441.22774383566144</v>
      </c>
      <c r="U63" s="38">
        <f t="shared" si="14"/>
        <v>925.50501046108718</v>
      </c>
      <c r="V63" s="38">
        <f t="shared" si="18"/>
        <v>683.36637714837434</v>
      </c>
      <c r="W63" s="1">
        <f t="shared" si="19"/>
        <v>-0.30953444316101397</v>
      </c>
      <c r="X63" s="1">
        <f t="shared" si="20"/>
        <v>0.44829816649810983</v>
      </c>
      <c r="Y63" s="1">
        <f t="shared" si="21"/>
        <v>6.9381861668547984E-2</v>
      </c>
      <c r="Z63" s="6"/>
      <c r="AA63" s="2"/>
      <c r="AB63" s="2"/>
      <c r="AC63" s="2"/>
    </row>
    <row r="64" spans="6:29" x14ac:dyDescent="0.25">
      <c r="F64" s="5">
        <f t="shared" si="11"/>
        <v>0.20998345929121309</v>
      </c>
      <c r="G64" s="4">
        <f t="shared" si="23"/>
        <v>735636.62490668986</v>
      </c>
      <c r="H64" s="3">
        <f t="shared" si="25"/>
        <v>154471.52327921931</v>
      </c>
      <c r="I64">
        <f t="shared" si="26"/>
        <v>113634910029.32007</v>
      </c>
      <c r="J64" s="6"/>
      <c r="K64" s="6"/>
      <c r="L64" s="6"/>
      <c r="M64" s="6"/>
      <c r="N64" s="30">
        <f t="shared" si="15"/>
        <v>0.20998345929121309</v>
      </c>
      <c r="O64" s="8">
        <f t="shared" si="24"/>
        <v>1484.5056206605625</v>
      </c>
      <c r="P64" s="8">
        <f t="shared" si="16"/>
        <v>311.72162556355426</v>
      </c>
      <c r="Q64" s="10">
        <f t="shared" si="12"/>
        <v>2969.011241321125</v>
      </c>
      <c r="R64" s="35">
        <f t="shared" si="13"/>
        <v>623.44325112710851</v>
      </c>
      <c r="S64" s="9"/>
      <c r="T64" s="38">
        <f t="shared" si="17"/>
        <v>419.96691858242616</v>
      </c>
      <c r="U64" s="38">
        <f t="shared" si="14"/>
        <v>925.50501046108718</v>
      </c>
      <c r="V64" s="38">
        <f t="shared" si="18"/>
        <v>672.73596452175661</v>
      </c>
      <c r="W64" s="1">
        <f t="shared" si="19"/>
        <v>-0.32637506649855019</v>
      </c>
      <c r="X64" s="1">
        <f t="shared" si="20"/>
        <v>0.48450562066056246</v>
      </c>
      <c r="Y64" s="1">
        <f t="shared" si="21"/>
        <v>7.906527708100608E-2</v>
      </c>
      <c r="Z64" s="6"/>
      <c r="AA64" s="2"/>
      <c r="AB64" s="2"/>
      <c r="AC64" s="2"/>
    </row>
    <row r="65" spans="6:29" x14ac:dyDescent="0.25">
      <c r="F65" s="5">
        <f t="shared" si="11"/>
        <v>0.19986527951572935</v>
      </c>
      <c r="G65" s="4">
        <f t="shared" si="23"/>
        <v>754027.54052935704</v>
      </c>
      <c r="H65" s="3">
        <f t="shared" si="25"/>
        <v>150703.92515045789</v>
      </c>
      <c r="I65">
        <f t="shared" si="26"/>
        <v>113634910029.32007</v>
      </c>
      <c r="J65" s="6"/>
      <c r="K65" s="6"/>
      <c r="L65" s="6"/>
      <c r="M65" s="6"/>
      <c r="N65" s="30">
        <f t="shared" si="15"/>
        <v>0.19986527951572935</v>
      </c>
      <c r="O65" s="8">
        <f t="shared" si="24"/>
        <v>1521.6182611770764</v>
      </c>
      <c r="P65" s="8">
        <f t="shared" si="16"/>
        <v>304.11865908639447</v>
      </c>
      <c r="Q65" s="10">
        <f t="shared" si="12"/>
        <v>3043.2365223541528</v>
      </c>
      <c r="R65" s="35">
        <f t="shared" si="13"/>
        <v>608.23731817278895</v>
      </c>
      <c r="S65" s="9"/>
      <c r="T65" s="38">
        <f t="shared" si="17"/>
        <v>399.73055903145871</v>
      </c>
      <c r="U65" s="38">
        <f t="shared" si="14"/>
        <v>925.50501046108718</v>
      </c>
      <c r="V65" s="38">
        <f t="shared" si="18"/>
        <v>662.61778474627295</v>
      </c>
      <c r="W65" s="1">
        <f t="shared" si="19"/>
        <v>-0.34280494292541475</v>
      </c>
      <c r="X65" s="1">
        <f t="shared" si="20"/>
        <v>0.52161826117707633</v>
      </c>
      <c r="Y65" s="1">
        <f t="shared" si="21"/>
        <v>8.9406659125830679E-2</v>
      </c>
      <c r="Z65" s="6"/>
      <c r="AA65" s="2"/>
      <c r="AB65" s="2"/>
      <c r="AC65" s="2"/>
    </row>
    <row r="66" spans="6:29" x14ac:dyDescent="0.25">
      <c r="F66" s="5">
        <f t="shared" si="11"/>
        <v>0.19023465034215761</v>
      </c>
      <c r="G66" s="4">
        <f t="shared" si="23"/>
        <v>772878.22904259095</v>
      </c>
      <c r="H66" s="3">
        <f t="shared" si="25"/>
        <v>147028.21965898329</v>
      </c>
      <c r="I66">
        <f t="shared" si="26"/>
        <v>113634910029.32007</v>
      </c>
      <c r="J66" s="6"/>
      <c r="K66" s="6"/>
      <c r="L66" s="6"/>
      <c r="M66" s="6"/>
      <c r="N66" s="30">
        <f t="shared" si="15"/>
        <v>0.19023465034215761</v>
      </c>
      <c r="O66" s="8">
        <f t="shared" si="24"/>
        <v>1559.6587177065032</v>
      </c>
      <c r="P66" s="8">
        <f t="shared" si="16"/>
        <v>296.70113081599453</v>
      </c>
      <c r="Q66" s="10">
        <f t="shared" si="12"/>
        <v>3119.3174354130065</v>
      </c>
      <c r="R66" s="35">
        <f t="shared" si="13"/>
        <v>593.40226163198906</v>
      </c>
      <c r="S66" s="9"/>
      <c r="T66" s="38">
        <f t="shared" si="17"/>
        <v>380.46930068431521</v>
      </c>
      <c r="U66" s="38">
        <f t="shared" si="14"/>
        <v>925.50501046108718</v>
      </c>
      <c r="V66" s="38">
        <f t="shared" si="18"/>
        <v>652.98715557270123</v>
      </c>
      <c r="W66" s="1">
        <f t="shared" si="19"/>
        <v>-0.35883409065894112</v>
      </c>
      <c r="X66" s="1">
        <f t="shared" si="20"/>
        <v>0.55965871770650355</v>
      </c>
      <c r="Y66" s="1">
        <f t="shared" si="21"/>
        <v>0.10041231352378133</v>
      </c>
      <c r="Z66" s="6"/>
      <c r="AA66" s="2"/>
      <c r="AB66" s="2"/>
      <c r="AC66" s="2"/>
    </row>
    <row r="67" spans="6:29" x14ac:dyDescent="0.25">
      <c r="F67" s="5">
        <f t="shared" si="11"/>
        <v>0.18106807885035825</v>
      </c>
      <c r="G67" s="4">
        <f t="shared" si="23"/>
        <v>792200.18476865569</v>
      </c>
      <c r="H67" s="3">
        <f t="shared" si="25"/>
        <v>143442.16552095933</v>
      </c>
      <c r="I67">
        <f t="shared" si="26"/>
        <v>113634910029.32007</v>
      </c>
      <c r="J67" s="6"/>
      <c r="K67" s="6"/>
      <c r="L67" s="6"/>
      <c r="M67" s="6"/>
      <c r="N67" s="30">
        <f t="shared" si="15"/>
        <v>0.18106807885035825</v>
      </c>
      <c r="O67" s="8">
        <f t="shared" si="24"/>
        <v>1598.6501856491659</v>
      </c>
      <c r="P67" s="8">
        <f t="shared" si="16"/>
        <v>289.46451786926303</v>
      </c>
      <c r="Q67" s="10">
        <f t="shared" si="12"/>
        <v>3197.3003712983318</v>
      </c>
      <c r="R67" s="35">
        <f t="shared" si="13"/>
        <v>578.92903573852607</v>
      </c>
      <c r="S67" s="9"/>
      <c r="T67" s="38">
        <f t="shared" si="17"/>
        <v>362.13615770071652</v>
      </c>
      <c r="U67" s="38">
        <f t="shared" si="14"/>
        <v>925.50501046108718</v>
      </c>
      <c r="V67" s="38">
        <f t="shared" si="18"/>
        <v>643.82058408090188</v>
      </c>
      <c r="W67" s="1">
        <f t="shared" si="19"/>
        <v>-0.37447228356969864</v>
      </c>
      <c r="X67" s="1">
        <f t="shared" si="20"/>
        <v>0.59865018564916572</v>
      </c>
      <c r="Y67" s="1">
        <f t="shared" si="21"/>
        <v>0.1120889510397336</v>
      </c>
      <c r="Z67" s="6"/>
      <c r="AA67" s="2"/>
      <c r="AB67" s="2"/>
      <c r="AC67" s="2"/>
    </row>
    <row r="68" spans="6:29" x14ac:dyDescent="0.25">
      <c r="F68" s="5">
        <f t="shared" si="11"/>
        <v>0.17234320414073365</v>
      </c>
      <c r="G68" s="4">
        <f t="shared" si="23"/>
        <v>812005.189387872</v>
      </c>
      <c r="H68" s="3">
        <f t="shared" si="25"/>
        <v>139943.57611800911</v>
      </c>
      <c r="I68">
        <f t="shared" si="26"/>
        <v>113634910029.32007</v>
      </c>
      <c r="J68" s="6"/>
      <c r="K68" s="6"/>
      <c r="L68" s="6"/>
      <c r="M68" s="6"/>
      <c r="N68" s="30">
        <f t="shared" si="15"/>
        <v>0.17234320414073365</v>
      </c>
      <c r="O68" s="8">
        <f t="shared" si="24"/>
        <v>1638.6164402903948</v>
      </c>
      <c r="P68" s="8">
        <f t="shared" si="16"/>
        <v>282.4044076773298</v>
      </c>
      <c r="Q68" s="10">
        <f t="shared" si="12"/>
        <v>3277.2328805807897</v>
      </c>
      <c r="R68" s="35">
        <f t="shared" si="13"/>
        <v>564.8088153546596</v>
      </c>
      <c r="S68" s="9"/>
      <c r="T68" s="38">
        <f t="shared" si="17"/>
        <v>344.68640828146727</v>
      </c>
      <c r="U68" s="38">
        <f t="shared" si="14"/>
        <v>925.50501046108718</v>
      </c>
      <c r="V68" s="38">
        <f t="shared" si="18"/>
        <v>635.09570937127728</v>
      </c>
      <c r="W68" s="1">
        <f t="shared" si="19"/>
        <v>-0.38972905714116945</v>
      </c>
      <c r="X68" s="1">
        <f t="shared" si="20"/>
        <v>0.63861644029039488</v>
      </c>
      <c r="Y68" s="1">
        <f t="shared" si="21"/>
        <v>0.12444369157461277</v>
      </c>
      <c r="Z68" s="6"/>
      <c r="AA68" s="2"/>
      <c r="AB68" s="2"/>
      <c r="AC68" s="2"/>
    </row>
    <row r="69" spans="6:29" x14ac:dyDescent="0.25">
      <c r="F69" s="5">
        <f t="shared" si="11"/>
        <v>0.16403874278713498</v>
      </c>
      <c r="G69" s="4">
        <f t="shared" si="23"/>
        <v>832305.3191225687</v>
      </c>
      <c r="H69" s="3">
        <f t="shared" si="25"/>
        <v>136530.31816391135</v>
      </c>
      <c r="I69">
        <f t="shared" si="26"/>
        <v>113634910029.32007</v>
      </c>
      <c r="J69" s="6"/>
      <c r="K69" s="6"/>
      <c r="L69" s="6"/>
      <c r="M69" s="6"/>
      <c r="N69" s="30">
        <f t="shared" si="15"/>
        <v>0.16403874278713498</v>
      </c>
      <c r="O69" s="8">
        <f t="shared" si="24"/>
        <v>1679.5818512976546</v>
      </c>
      <c r="P69" s="8">
        <f t="shared" si="16"/>
        <v>275.51649529495597</v>
      </c>
      <c r="Q69" s="10">
        <f t="shared" si="12"/>
        <v>3359.1637025953091</v>
      </c>
      <c r="R69" s="35">
        <f t="shared" si="13"/>
        <v>551.03299058991195</v>
      </c>
      <c r="S69" s="9"/>
      <c r="T69" s="38">
        <f t="shared" si="17"/>
        <v>328.07748557426999</v>
      </c>
      <c r="U69" s="38">
        <f t="shared" si="14"/>
        <v>925.50501046108718</v>
      </c>
      <c r="V69" s="38">
        <f t="shared" si="18"/>
        <v>626.79124801767853</v>
      </c>
      <c r="W69" s="1">
        <f t="shared" si="19"/>
        <v>-0.40461371428406767</v>
      </c>
      <c r="X69" s="1">
        <f t="shared" si="20"/>
        <v>0.67958185129765414</v>
      </c>
      <c r="Y69" s="1">
        <f t="shared" si="21"/>
        <v>0.13748406850679329</v>
      </c>
      <c r="Z69" s="6"/>
      <c r="AA69" s="2"/>
      <c r="AB69" s="2"/>
      <c r="AC69" s="2"/>
    </row>
    <row r="70" spans="6:29" x14ac:dyDescent="0.25">
      <c r="F70" s="5">
        <f t="shared" si="11"/>
        <v>0.15613443691815351</v>
      </c>
      <c r="G70" s="4">
        <f t="shared" si="23"/>
        <v>853112.95210063283</v>
      </c>
      <c r="H70" s="3">
        <f t="shared" si="25"/>
        <v>133200.31040381597</v>
      </c>
      <c r="I70">
        <f t="shared" si="26"/>
        <v>113634910029.32007</v>
      </c>
      <c r="J70" s="6"/>
      <c r="K70" s="6"/>
      <c r="L70" s="6"/>
      <c r="M70" s="6"/>
      <c r="N70" s="30">
        <f t="shared" si="15"/>
        <v>0.15613443691815351</v>
      </c>
      <c r="O70" s="8">
        <f t="shared" si="24"/>
        <v>1721.5713975800957</v>
      </c>
      <c r="P70" s="8">
        <f t="shared" si="16"/>
        <v>268.79658077556684</v>
      </c>
      <c r="Q70" s="10">
        <f t="shared" si="12"/>
        <v>3443.1427951601913</v>
      </c>
      <c r="R70" s="35">
        <f t="shared" si="13"/>
        <v>537.59316155113368</v>
      </c>
      <c r="S70" s="9"/>
      <c r="T70" s="38">
        <f t="shared" si="17"/>
        <v>312.26887383630702</v>
      </c>
      <c r="U70" s="38">
        <f t="shared" si="14"/>
        <v>925.50501046108718</v>
      </c>
      <c r="V70" s="38">
        <f t="shared" si="18"/>
        <v>618.88694214869713</v>
      </c>
      <c r="W70" s="1">
        <f t="shared" si="19"/>
        <v>-0.41913533100884637</v>
      </c>
      <c r="X70" s="1">
        <f t="shared" si="20"/>
        <v>0.72157139758009525</v>
      </c>
      <c r="Y70" s="1">
        <f t="shared" si="21"/>
        <v>0.15121803328562455</v>
      </c>
      <c r="Z70" s="6"/>
      <c r="AA70" s="2"/>
      <c r="AB70" s="2"/>
      <c r="AC70" s="2"/>
    </row>
    <row r="71" spans="6:29" x14ac:dyDescent="0.25">
      <c r="F71" s="5">
        <f t="shared" si="11"/>
        <v>0.14861100480014613</v>
      </c>
      <c r="G71" s="4">
        <f t="shared" si="23"/>
        <v>874440.77590314858</v>
      </c>
      <c r="H71" s="3">
        <f t="shared" si="25"/>
        <v>129951.52234518631</v>
      </c>
      <c r="I71">
        <f t="shared" si="26"/>
        <v>113634910029.32007</v>
      </c>
      <c r="J71" s="6"/>
      <c r="K71" s="6"/>
      <c r="L71" s="6"/>
      <c r="M71" s="6"/>
      <c r="N71" s="32">
        <f t="shared" si="15"/>
        <v>0.14861100480014613</v>
      </c>
      <c r="O71" s="28">
        <f t="shared" si="24"/>
        <v>1764.610682519598</v>
      </c>
      <c r="P71" s="28">
        <f t="shared" si="16"/>
        <v>262.24056661030914</v>
      </c>
      <c r="Q71" s="29">
        <f t="shared" si="12"/>
        <v>3529.2213650391959</v>
      </c>
      <c r="R71" s="37">
        <f t="shared" si="13"/>
        <v>524.48113322061829</v>
      </c>
      <c r="S71" s="9"/>
      <c r="T71" s="38">
        <f t="shared" si="17"/>
        <v>297.22200960029227</v>
      </c>
      <c r="U71" s="38">
        <f t="shared" si="14"/>
        <v>925.50501046108718</v>
      </c>
      <c r="V71" s="38">
        <f t="shared" si="18"/>
        <v>611.36351003068967</v>
      </c>
      <c r="W71" s="1">
        <f t="shared" si="19"/>
        <v>-0.43330276195985018</v>
      </c>
      <c r="X71" s="1">
        <f t="shared" si="20"/>
        <v>0.76461068251959752</v>
      </c>
      <c r="Y71" s="1">
        <f t="shared" si="21"/>
        <v>0.16565396027987367</v>
      </c>
      <c r="Z71" s="6"/>
      <c r="AA71" s="2"/>
      <c r="AB71" s="2"/>
      <c r="AC71" s="2"/>
    </row>
    <row r="72" spans="6:29" x14ac:dyDescent="0.25">
      <c r="F72" s="5">
        <f t="shared" si="11"/>
        <v>0.14145009380144782</v>
      </c>
      <c r="G72" s="4">
        <f t="shared" si="23"/>
        <v>896301.79530072724</v>
      </c>
      <c r="H72" s="3">
        <f t="shared" si="25"/>
        <v>126781.97301969396</v>
      </c>
      <c r="I72">
        <f t="shared" si="26"/>
        <v>113634910029.32007</v>
      </c>
      <c r="J72" s="6"/>
      <c r="K72" s="6"/>
      <c r="L72" s="6"/>
      <c r="M72" s="6"/>
      <c r="N72" s="32">
        <f t="shared" ref="N72:N100" si="27">F72</f>
        <v>0.14145009380144782</v>
      </c>
      <c r="O72" s="28">
        <f t="shared" si="24"/>
        <v>1808.7259495825879</v>
      </c>
      <c r="P72" s="28">
        <f t="shared" ref="P72:P100" si="28">O72*F72</f>
        <v>255.84445522956983</v>
      </c>
      <c r="Q72" s="29">
        <f t="shared" ref="Q72:Q100" si="29">O72+P72/N72</f>
        <v>3617.4518991651757</v>
      </c>
      <c r="R72" s="37">
        <f t="shared" ref="R72:R100" si="30">P72+O72*N72</f>
        <v>511.68891045913966</v>
      </c>
      <c r="S72" s="9"/>
      <c r="T72" s="38">
        <f t="shared" ref="T72:T100" si="31">$Q$48*N72</f>
        <v>282.90018760289564</v>
      </c>
      <c r="U72" s="38">
        <f t="shared" si="14"/>
        <v>925.50501046108718</v>
      </c>
      <c r="V72" s="38">
        <f t="shared" ref="V72:V100" si="32">$O$48*N72+$P$48</f>
        <v>604.20259903199144</v>
      </c>
      <c r="W72" s="1">
        <f t="shared" ref="W72:W100" si="33">T72/$R72-1</f>
        <v>-0.44712464581448785</v>
      </c>
      <c r="X72" s="1">
        <f t="shared" ref="X72:X100" si="34">U72/$R72-1</f>
        <v>0.80872594958258781</v>
      </c>
      <c r="Y72" s="1">
        <f t="shared" ref="Y72:Y100" si="35">V72/$R72-1</f>
        <v>0.18080065188405015</v>
      </c>
      <c r="Z72" s="6"/>
      <c r="AA72" s="2"/>
      <c r="AB72" s="2"/>
      <c r="AC72" s="2"/>
    </row>
    <row r="73" spans="6:29" x14ac:dyDescent="0.25">
      <c r="F73" s="5">
        <f t="shared" ref="F73:F136" si="36">H73/G73</f>
        <v>0.13463423562303187</v>
      </c>
      <c r="G73" s="4">
        <f t="shared" si="23"/>
        <v>918709.34018324537</v>
      </c>
      <c r="H73" s="3">
        <f t="shared" si="25"/>
        <v>123689.72977531119</v>
      </c>
      <c r="I73">
        <f t="shared" si="26"/>
        <v>113634910029.32007</v>
      </c>
      <c r="J73" s="6"/>
      <c r="K73" s="6"/>
      <c r="L73" s="6"/>
      <c r="M73" s="6"/>
      <c r="N73" s="32">
        <f t="shared" si="27"/>
        <v>0.13463423562303187</v>
      </c>
      <c r="O73" s="28">
        <f t="shared" si="24"/>
        <v>1853.9440983221523</v>
      </c>
      <c r="P73" s="28">
        <f t="shared" si="28"/>
        <v>249.60434656543401</v>
      </c>
      <c r="Q73" s="29">
        <f t="shared" si="29"/>
        <v>3707.8881966443046</v>
      </c>
      <c r="R73" s="37">
        <f t="shared" si="30"/>
        <v>499.20869313086803</v>
      </c>
      <c r="S73" s="9"/>
      <c r="T73" s="38">
        <f t="shared" si="31"/>
        <v>269.26847124606371</v>
      </c>
      <c r="U73" s="38">
        <f t="shared" si="14"/>
        <v>925.50501046108718</v>
      </c>
      <c r="V73" s="38">
        <f t="shared" si="32"/>
        <v>597.38674085357547</v>
      </c>
      <c r="W73" s="1">
        <f t="shared" si="33"/>
        <v>-0.46060941055071991</v>
      </c>
      <c r="X73" s="1">
        <f t="shared" si="34"/>
        <v>0.85394409832215246</v>
      </c>
      <c r="Y73" s="1">
        <f t="shared" si="35"/>
        <v>0.19666734388571627</v>
      </c>
      <c r="Z73" s="6"/>
      <c r="AA73" s="2"/>
      <c r="AB73" s="2"/>
      <c r="AC73" s="2"/>
    </row>
    <row r="74" spans="6:29" x14ac:dyDescent="0.25">
      <c r="F74" s="5">
        <f t="shared" si="36"/>
        <v>0.12814680368640752</v>
      </c>
      <c r="G74" s="4">
        <f t="shared" si="23"/>
        <v>941677.0736878264</v>
      </c>
      <c r="H74" s="3">
        <f t="shared" si="25"/>
        <v>120672.90709786459</v>
      </c>
      <c r="I74">
        <f t="shared" si="26"/>
        <v>113634910029.32007</v>
      </c>
      <c r="J74" s="6"/>
      <c r="K74" s="6"/>
      <c r="L74" s="6"/>
      <c r="M74" s="6"/>
      <c r="N74" s="32">
        <f t="shared" si="27"/>
        <v>0.12814680368640752</v>
      </c>
      <c r="O74" s="28">
        <f t="shared" si="24"/>
        <v>1900.2927007802059</v>
      </c>
      <c r="P74" s="28">
        <f t="shared" si="28"/>
        <v>243.5164356735942</v>
      </c>
      <c r="Q74" s="29">
        <f t="shared" si="29"/>
        <v>3800.5854015604118</v>
      </c>
      <c r="R74" s="37">
        <f t="shared" si="30"/>
        <v>487.0328713471884</v>
      </c>
      <c r="S74" s="9"/>
      <c r="T74" s="38">
        <f t="shared" si="31"/>
        <v>256.29360737281502</v>
      </c>
      <c r="U74" s="38">
        <f t="shared" si="14"/>
        <v>925.50501046108718</v>
      </c>
      <c r="V74" s="38">
        <f t="shared" si="32"/>
        <v>590.8993089169511</v>
      </c>
      <c r="W74" s="1">
        <f t="shared" si="33"/>
        <v>-0.47376527858606809</v>
      </c>
      <c r="X74" s="1">
        <f t="shared" si="34"/>
        <v>0.90029270078020573</v>
      </c>
      <c r="Y74" s="1">
        <f t="shared" si="35"/>
        <v>0.21326371109706876</v>
      </c>
      <c r="Z74" s="6"/>
      <c r="AA74" s="2"/>
      <c r="AB74" s="2"/>
      <c r="AC74" s="2"/>
    </row>
    <row r="75" spans="6:29" x14ac:dyDescent="0.25">
      <c r="F75" s="5">
        <f t="shared" si="36"/>
        <v>0.12197197257480789</v>
      </c>
      <c r="G75" s="4">
        <f t="shared" si="23"/>
        <v>965219.00053002196</v>
      </c>
      <c r="H75" s="3">
        <f t="shared" si="25"/>
        <v>117729.66546133133</v>
      </c>
      <c r="I75">
        <f t="shared" si="26"/>
        <v>113634910029.32007</v>
      </c>
      <c r="J75" s="6"/>
      <c r="K75" s="6"/>
      <c r="L75" s="6"/>
      <c r="M75" s="6"/>
      <c r="N75" s="32">
        <f t="shared" si="27"/>
        <v>0.12197197257480789</v>
      </c>
      <c r="O75" s="28">
        <f t="shared" si="24"/>
        <v>1947.8000182997109</v>
      </c>
      <c r="P75" s="28">
        <f t="shared" si="28"/>
        <v>237.57701041326266</v>
      </c>
      <c r="Q75" s="29">
        <f t="shared" si="29"/>
        <v>3895.6000365994219</v>
      </c>
      <c r="R75" s="37">
        <f t="shared" si="30"/>
        <v>475.15402082652531</v>
      </c>
      <c r="S75" s="9"/>
      <c r="T75" s="38">
        <f t="shared" si="31"/>
        <v>243.94394514961579</v>
      </c>
      <c r="U75" s="38">
        <f t="shared" si="14"/>
        <v>925.50501046108718</v>
      </c>
      <c r="V75" s="38">
        <f t="shared" si="32"/>
        <v>584.72447780535151</v>
      </c>
      <c r="W75" s="1">
        <f t="shared" si="33"/>
        <v>-0.48660027179128584</v>
      </c>
      <c r="X75" s="1">
        <f t="shared" si="34"/>
        <v>0.94780001829971083</v>
      </c>
      <c r="Y75" s="1">
        <f t="shared" si="35"/>
        <v>0.2305998732542125</v>
      </c>
      <c r="Z75" s="6"/>
      <c r="AA75" s="2"/>
      <c r="AB75" s="2"/>
      <c r="AC75" s="2"/>
    </row>
    <row r="76" spans="6:29" x14ac:dyDescent="0.25">
      <c r="F76" s="5">
        <f t="shared" si="36"/>
        <v>0.11609467942872853</v>
      </c>
      <c r="G76" s="4">
        <f t="shared" si="23"/>
        <v>989349.47554327245</v>
      </c>
      <c r="H76" s="3">
        <f t="shared" si="25"/>
        <v>114858.21020617691</v>
      </c>
      <c r="I76">
        <f t="shared" si="26"/>
        <v>113634910029.32007</v>
      </c>
      <c r="J76" s="6"/>
      <c r="K76" s="6"/>
      <c r="L76" s="6"/>
      <c r="M76" s="6"/>
      <c r="N76" s="32">
        <f t="shared" si="27"/>
        <v>0.11609467942872853</v>
      </c>
      <c r="O76" s="28">
        <f t="shared" si="24"/>
        <v>1996.4950187572035</v>
      </c>
      <c r="P76" s="28">
        <f t="shared" si="28"/>
        <v>231.78244918367091</v>
      </c>
      <c r="Q76" s="29">
        <f t="shared" si="29"/>
        <v>3992.990037514407</v>
      </c>
      <c r="R76" s="37">
        <f t="shared" si="30"/>
        <v>463.56489836734181</v>
      </c>
      <c r="S76" s="9"/>
      <c r="T76" s="38">
        <f t="shared" si="31"/>
        <v>232.18935885745705</v>
      </c>
      <c r="U76" s="38">
        <f t="shared" si="14"/>
        <v>925.50501046108718</v>
      </c>
      <c r="V76" s="38">
        <f t="shared" si="32"/>
        <v>578.8471846592721</v>
      </c>
      <c r="W76" s="1">
        <f t="shared" si="33"/>
        <v>-0.49912221638174226</v>
      </c>
      <c r="X76" s="1">
        <f t="shared" si="34"/>
        <v>0.99649501875720348</v>
      </c>
      <c r="Y76" s="1">
        <f t="shared" si="35"/>
        <v>0.24868640118773055</v>
      </c>
      <c r="Z76" s="6"/>
      <c r="AA76" s="2"/>
      <c r="AB76" s="2"/>
      <c r="AC76" s="2"/>
    </row>
    <row r="77" spans="6:29" x14ac:dyDescent="0.25">
      <c r="F77" s="5">
        <f t="shared" si="36"/>
        <v>0.11050058720164524</v>
      </c>
      <c r="G77" s="4">
        <f t="shared" si="23"/>
        <v>1014083.2124318542</v>
      </c>
      <c r="H77" s="3">
        <f t="shared" si="25"/>
        <v>112056.79044505065</v>
      </c>
      <c r="I77">
        <f t="shared" si="26"/>
        <v>113634910029.32007</v>
      </c>
      <c r="J77" s="6"/>
      <c r="K77" s="6"/>
      <c r="L77" s="6"/>
      <c r="M77" s="6"/>
      <c r="N77" s="32">
        <f t="shared" si="27"/>
        <v>0.11050058720164524</v>
      </c>
      <c r="O77" s="28">
        <f t="shared" si="24"/>
        <v>2046.4073942261336</v>
      </c>
      <c r="P77" s="28">
        <f t="shared" si="28"/>
        <v>226.12921871577649</v>
      </c>
      <c r="Q77" s="29">
        <f t="shared" si="29"/>
        <v>4092.8147884522673</v>
      </c>
      <c r="R77" s="37">
        <f t="shared" si="30"/>
        <v>452.25843743155298</v>
      </c>
      <c r="S77" s="9"/>
      <c r="T77" s="38">
        <f t="shared" si="31"/>
        <v>221.00117440329049</v>
      </c>
      <c r="U77" s="38">
        <f t="shared" si="14"/>
        <v>925.50501046108718</v>
      </c>
      <c r="V77" s="38">
        <f t="shared" si="32"/>
        <v>573.25309243218885</v>
      </c>
      <c r="W77" s="1">
        <f t="shared" si="33"/>
        <v>-0.5113387476895046</v>
      </c>
      <c r="X77" s="1">
        <f t="shared" si="34"/>
        <v>1.0464073942261334</v>
      </c>
      <c r="Y77" s="1">
        <f t="shared" si="35"/>
        <v>0.2675343232683145</v>
      </c>
      <c r="Z77" s="6"/>
      <c r="AA77" s="2"/>
      <c r="AB77" s="2"/>
      <c r="AC77" s="2"/>
    </row>
    <row r="78" spans="6:29" x14ac:dyDescent="0.25">
      <c r="F78" s="5">
        <f t="shared" si="36"/>
        <v>0.10517604968627747</v>
      </c>
      <c r="G78" s="4">
        <f t="shared" si="23"/>
        <v>1039435.2927426505</v>
      </c>
      <c r="H78" s="3">
        <f t="shared" si="25"/>
        <v>109323.69799517137</v>
      </c>
      <c r="I78">
        <f t="shared" si="26"/>
        <v>113634910029.32007</v>
      </c>
      <c r="J78" s="6"/>
      <c r="K78" s="6"/>
      <c r="L78" s="6"/>
      <c r="M78" s="6"/>
      <c r="N78" s="32">
        <f t="shared" si="27"/>
        <v>0.10517604968627747</v>
      </c>
      <c r="O78" s="28">
        <f t="shared" si="24"/>
        <v>2097.5675790817868</v>
      </c>
      <c r="P78" s="28">
        <f t="shared" si="28"/>
        <v>220.61387191783075</v>
      </c>
      <c r="Q78" s="29">
        <f t="shared" si="29"/>
        <v>4195.1351581635736</v>
      </c>
      <c r="R78" s="37">
        <f t="shared" si="30"/>
        <v>441.2277438356615</v>
      </c>
      <c r="S78" s="9"/>
      <c r="T78" s="38">
        <f t="shared" si="31"/>
        <v>210.35209937255496</v>
      </c>
      <c r="U78" s="38">
        <f t="shared" si="14"/>
        <v>925.50501046108718</v>
      </c>
      <c r="V78" s="38">
        <f t="shared" si="32"/>
        <v>567.9285549168211</v>
      </c>
      <c r="W78" s="1">
        <f t="shared" si="33"/>
        <v>-0.52325731481902882</v>
      </c>
      <c r="X78" s="1">
        <f t="shared" si="34"/>
        <v>1.0975675790817867</v>
      </c>
      <c r="Y78" s="1">
        <f t="shared" si="35"/>
        <v>0.287155132131379</v>
      </c>
      <c r="Z78" s="6"/>
      <c r="AA78" s="2"/>
      <c r="AB78" s="2"/>
      <c r="AC78" s="2"/>
    </row>
    <row r="79" spans="6:29" x14ac:dyDescent="0.25">
      <c r="F79" s="5">
        <f t="shared" si="36"/>
        <v>0.1001080782260821</v>
      </c>
      <c r="G79" s="4">
        <f t="shared" si="23"/>
        <v>1065421.1750612166</v>
      </c>
      <c r="H79" s="3">
        <f t="shared" si="25"/>
        <v>106657.26633675258</v>
      </c>
      <c r="I79">
        <f t="shared" si="26"/>
        <v>113634910029.32007</v>
      </c>
      <c r="J79" s="6"/>
      <c r="K79" s="6"/>
      <c r="L79" s="6"/>
      <c r="M79" s="6"/>
      <c r="N79" s="32">
        <f t="shared" si="27"/>
        <v>0.1001080782260821</v>
      </c>
      <c r="O79" s="28">
        <f t="shared" si="24"/>
        <v>2150.006768558831</v>
      </c>
      <c r="P79" s="28">
        <f t="shared" si="28"/>
        <v>215.23304577349344</v>
      </c>
      <c r="Q79" s="29">
        <f t="shared" si="29"/>
        <v>4300.0135371176621</v>
      </c>
      <c r="R79" s="37">
        <f t="shared" si="30"/>
        <v>430.46609154698689</v>
      </c>
      <c r="S79" s="9"/>
      <c r="T79" s="38">
        <f t="shared" si="31"/>
        <v>200.2161564521642</v>
      </c>
      <c r="U79" s="38">
        <f t="shared" si="14"/>
        <v>925.50501046108718</v>
      </c>
      <c r="V79" s="38">
        <f t="shared" si="32"/>
        <v>562.8605834566257</v>
      </c>
      <c r="W79" s="1">
        <f t="shared" si="33"/>
        <v>-0.5348851851892964</v>
      </c>
      <c r="X79" s="1">
        <f t="shared" si="34"/>
        <v>1.1500067685588311</v>
      </c>
      <c r="Y79" s="1">
        <f t="shared" si="35"/>
        <v>0.30756079168476735</v>
      </c>
      <c r="Z79" s="6"/>
      <c r="AA79" s="2"/>
      <c r="AB79" s="2"/>
      <c r="AC79" s="2"/>
    </row>
    <row r="80" spans="6:29" x14ac:dyDescent="0.25">
      <c r="F80" s="5">
        <f t="shared" si="36"/>
        <v>9.5284310030774172E-2</v>
      </c>
      <c r="G80" s="4">
        <f t="shared" si="23"/>
        <v>1092056.7044377469</v>
      </c>
      <c r="H80" s="3">
        <f t="shared" si="25"/>
        <v>104055.86959683179</v>
      </c>
      <c r="I80">
        <f t="shared" si="26"/>
        <v>113634910029.32007</v>
      </c>
      <c r="J80" s="6"/>
      <c r="K80" s="6"/>
      <c r="L80" s="6"/>
      <c r="M80" s="6"/>
      <c r="N80" s="32">
        <f t="shared" si="27"/>
        <v>9.5284310030774172E-2</v>
      </c>
      <c r="O80" s="28">
        <f t="shared" si="24"/>
        <v>2203.7569377728018</v>
      </c>
      <c r="P80" s="28">
        <f t="shared" si="28"/>
        <v>209.98345929121317</v>
      </c>
      <c r="Q80" s="29">
        <f t="shared" si="29"/>
        <v>4407.5138755456037</v>
      </c>
      <c r="R80" s="37">
        <f t="shared" si="30"/>
        <v>419.96691858242633</v>
      </c>
      <c r="S80" s="9"/>
      <c r="T80" s="38">
        <f t="shared" si="31"/>
        <v>190.56862006154833</v>
      </c>
      <c r="U80" s="38">
        <f t="shared" si="14"/>
        <v>925.50501046108718</v>
      </c>
      <c r="V80" s="38">
        <f t="shared" si="32"/>
        <v>558.03681526131777</v>
      </c>
      <c r="W80" s="1">
        <f t="shared" si="33"/>
        <v>-0.54622944896516734</v>
      </c>
      <c r="X80" s="1">
        <f t="shared" si="34"/>
        <v>1.203756937772801</v>
      </c>
      <c r="Y80" s="1">
        <f t="shared" si="35"/>
        <v>0.32876374440381695</v>
      </c>
      <c r="Z80" s="6"/>
      <c r="AA80" s="2"/>
      <c r="AB80" s="2"/>
      <c r="AC80" s="2"/>
    </row>
    <row r="81" spans="6:29" x14ac:dyDescent="0.25">
      <c r="F81" s="5">
        <f t="shared" si="36"/>
        <v>9.0692978018583406E-2</v>
      </c>
      <c r="G81" s="4">
        <f t="shared" si="23"/>
        <v>1119358.1220486904</v>
      </c>
      <c r="H81" s="3">
        <f t="shared" si="25"/>
        <v>101517.92155788468</v>
      </c>
      <c r="I81">
        <f t="shared" si="26"/>
        <v>113634910029.32007</v>
      </c>
      <c r="J81" s="6"/>
      <c r="K81" s="6"/>
      <c r="L81" s="6"/>
      <c r="M81" s="6"/>
      <c r="N81" s="32">
        <f t="shared" si="27"/>
        <v>9.0692978018583406E-2</v>
      </c>
      <c r="O81" s="28">
        <f t="shared" ref="O81:O100" si="37">$O$48/$G$48*G81</f>
        <v>2258.8508612171213</v>
      </c>
      <c r="P81" s="28">
        <f t="shared" si="28"/>
        <v>204.86191150362257</v>
      </c>
      <c r="Q81" s="29">
        <f t="shared" si="29"/>
        <v>4517.7017224342426</v>
      </c>
      <c r="R81" s="37">
        <f t="shared" si="30"/>
        <v>409.72382300724513</v>
      </c>
      <c r="S81" s="9"/>
      <c r="T81" s="38">
        <f t="shared" si="31"/>
        <v>181.38595603716681</v>
      </c>
      <c r="U81" s="38">
        <f t="shared" si="14"/>
        <v>925.50501046108718</v>
      </c>
      <c r="V81" s="38">
        <f t="shared" si="32"/>
        <v>553.44548324912694</v>
      </c>
      <c r="W81" s="1">
        <f t="shared" si="33"/>
        <v>-0.55729702338065079</v>
      </c>
      <c r="X81" s="1">
        <f t="shared" si="34"/>
        <v>1.2588508612171219</v>
      </c>
      <c r="Y81" s="1">
        <f t="shared" si="35"/>
        <v>0.35077691891823526</v>
      </c>
      <c r="Z81" s="6"/>
      <c r="AA81" s="2"/>
      <c r="AB81" s="2"/>
      <c r="AC81" s="2"/>
    </row>
    <row r="82" spans="6:29" x14ac:dyDescent="0.25">
      <c r="F82" s="5">
        <f t="shared" si="36"/>
        <v>8.6322882111679641E-2</v>
      </c>
      <c r="G82" s="4">
        <f t="shared" si="23"/>
        <v>1147342.0750999076</v>
      </c>
      <c r="H82" s="3">
        <f t="shared" si="25"/>
        <v>99041.87469061921</v>
      </c>
      <c r="I82">
        <f t="shared" si="26"/>
        <v>113634910029.32007</v>
      </c>
      <c r="J82" s="6"/>
      <c r="K82" s="6"/>
      <c r="L82" s="6"/>
      <c r="M82" s="6"/>
      <c r="N82" s="32">
        <f t="shared" si="27"/>
        <v>8.6322882111679641E-2</v>
      </c>
      <c r="O82" s="28">
        <f t="shared" si="37"/>
        <v>2315.3221327475494</v>
      </c>
      <c r="P82" s="28">
        <f t="shared" si="28"/>
        <v>199.86527951572938</v>
      </c>
      <c r="Q82" s="29">
        <f t="shared" si="29"/>
        <v>4630.6442654950988</v>
      </c>
      <c r="R82" s="37">
        <f t="shared" si="30"/>
        <v>399.73055903145877</v>
      </c>
      <c r="S82" s="9"/>
      <c r="T82" s="38">
        <f t="shared" si="31"/>
        <v>172.64576422335929</v>
      </c>
      <c r="U82" s="38">
        <f t="shared" si="14"/>
        <v>925.50501046108718</v>
      </c>
      <c r="V82" s="38">
        <f t="shared" si="32"/>
        <v>549.07538734222328</v>
      </c>
      <c r="W82" s="1">
        <f t="shared" si="33"/>
        <v>-0.56809465695673245</v>
      </c>
      <c r="X82" s="1">
        <f t="shared" si="34"/>
        <v>1.3153221327475491</v>
      </c>
      <c r="Y82" s="1">
        <f t="shared" si="35"/>
        <v>0.3736137378954083</v>
      </c>
      <c r="Z82" s="6"/>
      <c r="AA82" s="2"/>
      <c r="AB82" s="2"/>
      <c r="AC82" s="2"/>
    </row>
    <row r="83" spans="6:29" x14ac:dyDescent="0.25">
      <c r="F83" s="5">
        <f t="shared" si="36"/>
        <v>8.2163361914745645E-2</v>
      </c>
      <c r="G83" s="4">
        <f t="shared" si="23"/>
        <v>1176025.6269774053</v>
      </c>
      <c r="H83" s="3">
        <f t="shared" si="25"/>
        <v>96626.219210360214</v>
      </c>
      <c r="I83">
        <f t="shared" si="26"/>
        <v>113634910029.32007</v>
      </c>
      <c r="J83" s="6"/>
      <c r="K83" s="6"/>
      <c r="L83" s="6"/>
      <c r="M83" s="6"/>
      <c r="N83" s="32">
        <f t="shared" si="27"/>
        <v>8.2163361914745645E-2</v>
      </c>
      <c r="O83" s="28">
        <f t="shared" si="37"/>
        <v>2373.2051860662382</v>
      </c>
      <c r="P83" s="28">
        <f t="shared" si="28"/>
        <v>194.9905166007116</v>
      </c>
      <c r="Q83" s="29">
        <f t="shared" si="29"/>
        <v>4746.4103721324764</v>
      </c>
      <c r="R83" s="37">
        <f t="shared" si="30"/>
        <v>389.9810332014232</v>
      </c>
      <c r="S83" s="9"/>
      <c r="T83" s="38">
        <f t="shared" si="31"/>
        <v>164.3267238294913</v>
      </c>
      <c r="U83" s="38">
        <f t="shared" si="14"/>
        <v>925.50501046108718</v>
      </c>
      <c r="V83" s="38">
        <f t="shared" si="32"/>
        <v>544.91586714528921</v>
      </c>
      <c r="W83" s="1">
        <f t="shared" si="33"/>
        <v>-0.57862893361632439</v>
      </c>
      <c r="X83" s="1">
        <f t="shared" si="34"/>
        <v>1.3732051860662375</v>
      </c>
      <c r="Y83" s="1">
        <f t="shared" si="35"/>
        <v>0.39728812622495657</v>
      </c>
      <c r="Z83" s="6"/>
      <c r="AA83" s="2"/>
      <c r="AB83" s="2"/>
      <c r="AC83" s="2"/>
    </row>
    <row r="84" spans="6:29" x14ac:dyDescent="0.25">
      <c r="F84" s="5">
        <f t="shared" si="36"/>
        <v>7.8204270710049414E-2</v>
      </c>
      <c r="G84" s="4">
        <f t="shared" si="23"/>
        <v>1205426.2676518403</v>
      </c>
      <c r="H84" s="3">
        <f t="shared" si="25"/>
        <v>94269.482156448998</v>
      </c>
      <c r="I84">
        <f t="shared" si="26"/>
        <v>113634910029.32007</v>
      </c>
      <c r="J84" s="6"/>
      <c r="K84" s="6"/>
      <c r="L84" s="6"/>
      <c r="M84" s="6"/>
      <c r="N84" s="32">
        <f t="shared" si="27"/>
        <v>7.8204270710049414E-2</v>
      </c>
      <c r="O84" s="28">
        <f t="shared" si="37"/>
        <v>2432.5353157178938</v>
      </c>
      <c r="P84" s="28">
        <f t="shared" si="28"/>
        <v>190.23465034215769</v>
      </c>
      <c r="Q84" s="29">
        <f t="shared" si="29"/>
        <v>4865.0706314357876</v>
      </c>
      <c r="R84" s="37">
        <f t="shared" si="30"/>
        <v>380.46930068431539</v>
      </c>
      <c r="S84" s="9"/>
      <c r="T84" s="38">
        <f t="shared" si="31"/>
        <v>156.40854142009883</v>
      </c>
      <c r="U84" s="38">
        <f t="shared" si="14"/>
        <v>925.50501046108718</v>
      </c>
      <c r="V84" s="38">
        <f t="shared" si="32"/>
        <v>540.95677594059305</v>
      </c>
      <c r="W84" s="1">
        <f t="shared" si="33"/>
        <v>-0.58890627669885309</v>
      </c>
      <c r="X84" s="1">
        <f t="shared" si="34"/>
        <v>1.4325353157178933</v>
      </c>
      <c r="Y84" s="1">
        <f t="shared" si="35"/>
        <v>0.4218145195095202</v>
      </c>
      <c r="Z84" s="6"/>
      <c r="AA84" s="2"/>
      <c r="AB84" s="2"/>
      <c r="AC84" s="2"/>
    </row>
    <row r="85" spans="6:29" x14ac:dyDescent="0.25">
      <c r="F85" s="5">
        <f t="shared" si="36"/>
        <v>7.4435950705579471E-2</v>
      </c>
      <c r="G85" s="4">
        <f t="shared" si="23"/>
        <v>1235561.9243431361</v>
      </c>
      <c r="H85" s="3">
        <f t="shared" si="25"/>
        <v>91970.226494096598</v>
      </c>
      <c r="I85">
        <f t="shared" si="26"/>
        <v>113634910029.32007</v>
      </c>
      <c r="J85" s="6"/>
      <c r="K85" s="6"/>
      <c r="L85" s="6"/>
      <c r="M85" s="6"/>
      <c r="N85" s="32">
        <f t="shared" si="27"/>
        <v>7.4435950705579471E-2</v>
      </c>
      <c r="O85" s="28">
        <f t="shared" si="37"/>
        <v>2493.3486986108405</v>
      </c>
      <c r="P85" s="28">
        <f t="shared" si="28"/>
        <v>185.59478082161726</v>
      </c>
      <c r="Q85" s="29">
        <f t="shared" si="29"/>
        <v>4986.6973972216811</v>
      </c>
      <c r="R85" s="37">
        <f t="shared" si="30"/>
        <v>371.18956164323453</v>
      </c>
      <c r="S85" s="9"/>
      <c r="T85" s="38">
        <f t="shared" si="31"/>
        <v>148.87190141115894</v>
      </c>
      <c r="U85" s="38">
        <f t="shared" si="14"/>
        <v>925.50501046108718</v>
      </c>
      <c r="V85" s="38">
        <f t="shared" si="32"/>
        <v>537.18845593612309</v>
      </c>
      <c r="W85" s="1">
        <f t="shared" si="33"/>
        <v>-0.59893295287692971</v>
      </c>
      <c r="X85" s="1">
        <f t="shared" si="34"/>
        <v>1.4933486986108404</v>
      </c>
      <c r="Y85" s="1">
        <f t="shared" si="35"/>
        <v>0.44720787286695551</v>
      </c>
      <c r="Z85" s="6"/>
      <c r="AA85" s="2"/>
      <c r="AB85" s="2"/>
      <c r="AC85" s="2"/>
    </row>
    <row r="86" spans="6:29" x14ac:dyDescent="0.25">
      <c r="F86" s="5">
        <f t="shared" si="36"/>
        <v>7.0849209475863886E-2</v>
      </c>
      <c r="G86" s="4">
        <f t="shared" si="23"/>
        <v>1266450.9724517143</v>
      </c>
      <c r="H86" s="3">
        <f t="shared" si="25"/>
        <v>89727.050238143027</v>
      </c>
      <c r="I86">
        <f t="shared" si="26"/>
        <v>113634910029.32007</v>
      </c>
      <c r="J86" s="6"/>
      <c r="K86" s="6"/>
      <c r="L86" s="6"/>
      <c r="M86" s="6"/>
      <c r="N86" s="32">
        <f t="shared" si="27"/>
        <v>7.0849209475863886E-2</v>
      </c>
      <c r="O86" s="28">
        <f t="shared" si="37"/>
        <v>2555.6824160761112</v>
      </c>
      <c r="P86" s="28">
        <f t="shared" si="28"/>
        <v>181.06807885035832</v>
      </c>
      <c r="Q86" s="29">
        <f t="shared" si="29"/>
        <v>5111.3648321522223</v>
      </c>
      <c r="R86" s="37">
        <f t="shared" si="30"/>
        <v>362.13615770071664</v>
      </c>
      <c r="S86" s="9"/>
      <c r="T86" s="38">
        <f t="shared" si="31"/>
        <v>141.69841895172777</v>
      </c>
      <c r="U86" s="38">
        <f t="shared" si="14"/>
        <v>925.50501046108718</v>
      </c>
      <c r="V86" s="38">
        <f t="shared" si="32"/>
        <v>533.60171470640751</v>
      </c>
      <c r="W86" s="1">
        <f t="shared" si="33"/>
        <v>-0.6087150759774923</v>
      </c>
      <c r="X86" s="1">
        <f t="shared" si="34"/>
        <v>1.5556824160761114</v>
      </c>
      <c r="Y86" s="1">
        <f t="shared" si="35"/>
        <v>0.47348367004930969</v>
      </c>
      <c r="Z86" s="6"/>
      <c r="AA86" s="2"/>
      <c r="AB86" s="2"/>
      <c r="AC86" s="2"/>
    </row>
    <row r="87" spans="6:29" x14ac:dyDescent="0.25">
      <c r="F87" s="5">
        <f t="shared" si="36"/>
        <v>6.7435297538002523E-2</v>
      </c>
      <c r="G87" s="4">
        <f t="shared" si="23"/>
        <v>1298112.246763007</v>
      </c>
      <c r="H87" s="3">
        <f t="shared" si="25"/>
        <v>87538.585598188336</v>
      </c>
      <c r="I87">
        <f t="shared" si="26"/>
        <v>113634910029.32007</v>
      </c>
      <c r="J87" s="6"/>
      <c r="K87" s="6"/>
      <c r="L87" s="6"/>
      <c r="M87" s="6"/>
      <c r="N87" s="32">
        <f t="shared" si="27"/>
        <v>6.7435297538002523E-2</v>
      </c>
      <c r="O87" s="28">
        <f t="shared" si="37"/>
        <v>2619.5744764780138</v>
      </c>
      <c r="P87" s="28">
        <f t="shared" si="28"/>
        <v>176.65178424425204</v>
      </c>
      <c r="Q87" s="29">
        <f t="shared" si="29"/>
        <v>5239.1489529560276</v>
      </c>
      <c r="R87" s="37">
        <f t="shared" si="30"/>
        <v>353.30356848850408</v>
      </c>
      <c r="S87" s="9"/>
      <c r="T87" s="38">
        <f t="shared" si="31"/>
        <v>134.87059507600503</v>
      </c>
      <c r="U87" s="38">
        <f t="shared" si="14"/>
        <v>925.50501046108718</v>
      </c>
      <c r="V87" s="38">
        <f t="shared" si="32"/>
        <v>530.18780276854613</v>
      </c>
      <c r="W87" s="1">
        <f t="shared" si="33"/>
        <v>-0.61825861070974863</v>
      </c>
      <c r="X87" s="1">
        <f t="shared" si="34"/>
        <v>1.619574476478014</v>
      </c>
      <c r="Y87" s="1">
        <f t="shared" si="35"/>
        <v>0.50065793288413274</v>
      </c>
      <c r="Z87" s="6"/>
      <c r="AA87" s="2"/>
      <c r="AB87" s="2"/>
      <c r="AC87" s="2"/>
    </row>
    <row r="88" spans="6:29" x14ac:dyDescent="0.25">
      <c r="F88" s="5">
        <f t="shared" si="36"/>
        <v>6.4185887008211817E-2</v>
      </c>
      <c r="G88" s="4">
        <f t="shared" si="23"/>
        <v>1330565.052932082</v>
      </c>
      <c r="H88" s="3">
        <f t="shared" si="25"/>
        <v>85403.498144573998</v>
      </c>
      <c r="I88">
        <f t="shared" si="26"/>
        <v>113634910029.32007</v>
      </c>
      <c r="J88" s="6"/>
      <c r="K88" s="6"/>
      <c r="L88" s="6"/>
      <c r="M88" s="6"/>
      <c r="N88" s="32">
        <f t="shared" si="27"/>
        <v>6.4185887008211817E-2</v>
      </c>
      <c r="O88" s="28">
        <f t="shared" si="37"/>
        <v>2685.0638383899636</v>
      </c>
      <c r="P88" s="28">
        <f t="shared" si="28"/>
        <v>172.34320414073372</v>
      </c>
      <c r="Q88" s="29">
        <f t="shared" si="29"/>
        <v>5370.1276767799272</v>
      </c>
      <c r="R88" s="37">
        <f t="shared" si="30"/>
        <v>344.68640828146744</v>
      </c>
      <c r="S88" s="9"/>
      <c r="T88" s="38">
        <f t="shared" si="31"/>
        <v>128.37177401642364</v>
      </c>
      <c r="U88" s="38">
        <f t="shared" si="14"/>
        <v>925.50501046108718</v>
      </c>
      <c r="V88" s="38">
        <f t="shared" si="32"/>
        <v>526.93839223875545</v>
      </c>
      <c r="W88" s="1">
        <f t="shared" si="33"/>
        <v>-0.62756937630219367</v>
      </c>
      <c r="X88" s="1">
        <f t="shared" si="34"/>
        <v>1.6850638383899637</v>
      </c>
      <c r="Y88" s="1">
        <f t="shared" si="35"/>
        <v>0.52874723104388521</v>
      </c>
      <c r="Z88" s="6"/>
      <c r="AA88" s="2"/>
      <c r="AB88" s="2"/>
      <c r="AC88" s="2"/>
    </row>
    <row r="89" spans="6:29" x14ac:dyDescent="0.25">
      <c r="F89" s="5">
        <f t="shared" si="36"/>
        <v>6.1093051286816726E-2</v>
      </c>
      <c r="G89" s="4">
        <f t="shared" si="23"/>
        <v>1363829.179255384</v>
      </c>
      <c r="H89" s="3">
        <f t="shared" si="25"/>
        <v>83320.485994706338</v>
      </c>
      <c r="I89">
        <f t="shared" si="26"/>
        <v>113634910029.32007</v>
      </c>
      <c r="J89" s="6"/>
      <c r="K89" s="6"/>
      <c r="L89" s="6"/>
      <c r="M89" s="6"/>
      <c r="N89" s="32">
        <f t="shared" si="27"/>
        <v>6.1093051286816726E-2</v>
      </c>
      <c r="O89" s="28">
        <f t="shared" si="37"/>
        <v>2752.1904343497126</v>
      </c>
      <c r="P89" s="28">
        <f t="shared" si="28"/>
        <v>168.13971135681339</v>
      </c>
      <c r="Q89" s="29">
        <f t="shared" si="29"/>
        <v>5504.3808686994253</v>
      </c>
      <c r="R89" s="37">
        <f t="shared" si="30"/>
        <v>336.27942271362679</v>
      </c>
      <c r="S89" s="9"/>
      <c r="T89" s="38">
        <f t="shared" si="31"/>
        <v>122.18610257363345</v>
      </c>
      <c r="U89" s="38">
        <f t="shared" si="14"/>
        <v>925.50501046108718</v>
      </c>
      <c r="V89" s="38">
        <f t="shared" si="32"/>
        <v>523.84555651736036</v>
      </c>
      <c r="W89" s="1">
        <f t="shared" si="33"/>
        <v>-0.63665305005092065</v>
      </c>
      <c r="X89" s="1">
        <f t="shared" si="34"/>
        <v>1.7521904343497128</v>
      </c>
      <c r="Y89" s="1">
        <f t="shared" si="35"/>
        <v>0.55776869214939628</v>
      </c>
      <c r="Z89" s="6"/>
      <c r="AA89" s="2"/>
      <c r="AB89" s="2"/>
      <c r="AC89" s="2"/>
    </row>
    <row r="90" spans="6:29" x14ac:dyDescent="0.25">
      <c r="F90" s="5">
        <f t="shared" si="36"/>
        <v>5.8149245722133723E-2</v>
      </c>
      <c r="G90" s="4">
        <f t="shared" si="23"/>
        <v>1397924.9087367684</v>
      </c>
      <c r="H90" s="3">
        <f t="shared" si="25"/>
        <v>81288.279019225709</v>
      </c>
      <c r="I90">
        <f t="shared" si="26"/>
        <v>113634910029.32007</v>
      </c>
      <c r="J90" s="6"/>
      <c r="K90" s="6"/>
      <c r="L90" s="6"/>
      <c r="M90" s="6"/>
      <c r="N90" s="32">
        <f t="shared" si="27"/>
        <v>5.8149245722133723E-2</v>
      </c>
      <c r="O90" s="28">
        <f t="shared" si="37"/>
        <v>2820.9951952084552</v>
      </c>
      <c r="P90" s="28">
        <f t="shared" si="28"/>
        <v>164.03874278713505</v>
      </c>
      <c r="Q90" s="29">
        <f t="shared" si="29"/>
        <v>5641.9903904169105</v>
      </c>
      <c r="R90" s="37">
        <f t="shared" si="30"/>
        <v>328.0774855742701</v>
      </c>
      <c r="S90" s="9"/>
      <c r="T90" s="38">
        <f t="shared" si="31"/>
        <v>116.29849144426744</v>
      </c>
      <c r="U90" s="38">
        <f t="shared" si="14"/>
        <v>925.50501046108718</v>
      </c>
      <c r="V90" s="38">
        <f t="shared" si="32"/>
        <v>520.90175095267728</v>
      </c>
      <c r="W90" s="1">
        <f t="shared" si="33"/>
        <v>-0.64551517078138598</v>
      </c>
      <c r="X90" s="1">
        <f t="shared" si="34"/>
        <v>1.8209951952084551</v>
      </c>
      <c r="Y90" s="1">
        <f t="shared" si="35"/>
        <v>0.58774001221353434</v>
      </c>
      <c r="Z90" s="6"/>
      <c r="AA90" s="2"/>
      <c r="AB90" s="2"/>
      <c r="AC90" s="2"/>
    </row>
    <row r="91" spans="6:29" x14ac:dyDescent="0.25">
      <c r="F91" s="5">
        <f t="shared" si="36"/>
        <v>5.5347289206076122E-2</v>
      </c>
      <c r="G91" s="4">
        <f t="shared" si="23"/>
        <v>1432873.0314551876</v>
      </c>
      <c r="H91" s="3">
        <f t="shared" si="25"/>
        <v>79305.638067537278</v>
      </c>
      <c r="I91">
        <f t="shared" si="26"/>
        <v>113634910029.32007</v>
      </c>
      <c r="J91" s="6"/>
      <c r="K91" s="6"/>
      <c r="L91" s="6"/>
      <c r="M91" s="6"/>
      <c r="N91" s="32">
        <f t="shared" si="27"/>
        <v>5.5347289206076122E-2</v>
      </c>
      <c r="O91" s="28">
        <f t="shared" si="37"/>
        <v>2891.5200750886665</v>
      </c>
      <c r="P91" s="28">
        <f t="shared" si="28"/>
        <v>160.03779784110736</v>
      </c>
      <c r="Q91" s="29">
        <f t="shared" si="29"/>
        <v>5783.0401501773331</v>
      </c>
      <c r="R91" s="37">
        <f t="shared" si="30"/>
        <v>320.07559568221473</v>
      </c>
      <c r="S91" s="9"/>
      <c r="T91" s="38">
        <f t="shared" si="31"/>
        <v>110.69457841215224</v>
      </c>
      <c r="U91" s="38">
        <f t="shared" si="14"/>
        <v>925.50501046108718</v>
      </c>
      <c r="V91" s="38">
        <f t="shared" si="32"/>
        <v>518.09979443661973</v>
      </c>
      <c r="W91" s="1">
        <f t="shared" si="33"/>
        <v>-0.6541611422257424</v>
      </c>
      <c r="X91" s="1">
        <f t="shared" si="34"/>
        <v>1.8915200750886667</v>
      </c>
      <c r="Y91" s="1">
        <f t="shared" si="35"/>
        <v>0.6186794664314621</v>
      </c>
      <c r="Z91" s="6"/>
      <c r="AA91" s="2"/>
      <c r="AB91" s="2"/>
      <c r="AC91" s="2"/>
    </row>
    <row r="92" spans="6:29" x14ac:dyDescent="0.25">
      <c r="F92" s="5">
        <f t="shared" si="36"/>
        <v>5.2680346656586441E-2</v>
      </c>
      <c r="G92" s="4">
        <f t="shared" si="23"/>
        <v>1468694.8572415672</v>
      </c>
      <c r="H92" s="3">
        <f t="shared" si="25"/>
        <v>77371.354212231498</v>
      </c>
      <c r="I92">
        <f t="shared" si="26"/>
        <v>113634910029.32007</v>
      </c>
      <c r="J92" s="6"/>
      <c r="K92" s="6"/>
      <c r="L92" s="6"/>
      <c r="M92" s="6"/>
      <c r="N92" s="32">
        <f t="shared" si="27"/>
        <v>5.2680346656586441E-2</v>
      </c>
      <c r="O92" s="28">
        <f t="shared" si="37"/>
        <v>2963.8080769658832</v>
      </c>
      <c r="P92" s="28">
        <f t="shared" si="28"/>
        <v>156.13443691815354</v>
      </c>
      <c r="Q92" s="29">
        <f t="shared" si="29"/>
        <v>5927.6161539317654</v>
      </c>
      <c r="R92" s="37">
        <f t="shared" si="30"/>
        <v>312.26887383630708</v>
      </c>
      <c r="S92" s="9"/>
      <c r="T92" s="38">
        <f t="shared" si="31"/>
        <v>105.36069331317289</v>
      </c>
      <c r="U92" s="38">
        <f t="shared" si="14"/>
        <v>925.50501046108718</v>
      </c>
      <c r="V92" s="38">
        <f t="shared" si="32"/>
        <v>515.43285188713003</v>
      </c>
      <c r="W92" s="1">
        <f t="shared" si="33"/>
        <v>-0.6625962363177974</v>
      </c>
      <c r="X92" s="1">
        <f t="shared" si="34"/>
        <v>1.9638080769658828</v>
      </c>
      <c r="Y92" s="1">
        <f t="shared" si="35"/>
        <v>0.65060592032404263</v>
      </c>
      <c r="Z92" s="6"/>
      <c r="AA92" s="2"/>
      <c r="AB92" s="2"/>
      <c r="AC92" s="2"/>
    </row>
    <row r="93" spans="6:29" x14ac:dyDescent="0.25">
      <c r="F93" s="5">
        <f t="shared" si="36"/>
        <v>5.0141912344163195E-2</v>
      </c>
      <c r="G93" s="4">
        <f t="shared" si="23"/>
        <v>1505412.2286726062</v>
      </c>
      <c r="H93" s="3">
        <f t="shared" si="25"/>
        <v>75484.248011933174</v>
      </c>
      <c r="I93">
        <f t="shared" si="26"/>
        <v>113634910029.32007</v>
      </c>
      <c r="J93" s="6"/>
      <c r="K93" s="6"/>
      <c r="L93" s="6"/>
      <c r="M93" s="6"/>
      <c r="N93" s="32">
        <f t="shared" si="27"/>
        <v>5.0141912344163195E-2</v>
      </c>
      <c r="O93" s="28">
        <f t="shared" si="37"/>
        <v>3037.9032788900295</v>
      </c>
      <c r="P93" s="28">
        <f t="shared" si="28"/>
        <v>152.3262799201498</v>
      </c>
      <c r="Q93" s="29">
        <f t="shared" si="29"/>
        <v>6075.8065577800589</v>
      </c>
      <c r="R93" s="37">
        <f t="shared" si="30"/>
        <v>304.6525598402996</v>
      </c>
      <c r="S93" s="9"/>
      <c r="T93" s="38">
        <f t="shared" si="31"/>
        <v>100.28382468832639</v>
      </c>
      <c r="U93" s="38">
        <f t="shared" si="14"/>
        <v>925.50501046108718</v>
      </c>
      <c r="V93" s="38">
        <f t="shared" si="32"/>
        <v>512.89441757470684</v>
      </c>
      <c r="W93" s="1">
        <f t="shared" si="33"/>
        <v>-0.67082559640760708</v>
      </c>
      <c r="X93" s="1">
        <f t="shared" si="34"/>
        <v>2.0379032788900298</v>
      </c>
      <c r="Y93" s="1">
        <f t="shared" si="35"/>
        <v>0.68353884124121156</v>
      </c>
      <c r="Z93" s="6"/>
      <c r="AA93" s="2"/>
      <c r="AB93" s="2"/>
      <c r="AC93" s="2"/>
    </row>
    <row r="94" spans="6:29" x14ac:dyDescent="0.25">
      <c r="F94" s="5">
        <f t="shared" si="36"/>
        <v>4.7725794021809126E-2</v>
      </c>
      <c r="G94" s="4">
        <f t="shared" si="23"/>
        <v>1543047.5343894211</v>
      </c>
      <c r="H94" s="3">
        <f t="shared" si="25"/>
        <v>73643.168792129945</v>
      </c>
      <c r="I94">
        <f t="shared" si="26"/>
        <v>113634910029.32007</v>
      </c>
      <c r="J94" s="6"/>
      <c r="K94" s="6"/>
      <c r="L94" s="6"/>
      <c r="M94" s="6"/>
      <c r="N94" s="32">
        <f t="shared" si="27"/>
        <v>4.7725794021809126E-2</v>
      </c>
      <c r="O94" s="28">
        <f t="shared" si="37"/>
        <v>3113.8508608622801</v>
      </c>
      <c r="P94" s="28">
        <f t="shared" si="28"/>
        <v>148.61100480014622</v>
      </c>
      <c r="Q94" s="29">
        <f t="shared" si="29"/>
        <v>6227.7017217245602</v>
      </c>
      <c r="R94" s="37">
        <f t="shared" si="30"/>
        <v>297.22200960029244</v>
      </c>
      <c r="S94" s="9"/>
      <c r="T94" s="38">
        <f t="shared" si="31"/>
        <v>95.451588043618258</v>
      </c>
      <c r="U94" s="38">
        <f t="shared" si="14"/>
        <v>925.50501046108718</v>
      </c>
      <c r="V94" s="38">
        <f t="shared" si="32"/>
        <v>510.47829925235271</v>
      </c>
      <c r="W94" s="1">
        <f t="shared" si="33"/>
        <v>-0.67885424039766562</v>
      </c>
      <c r="X94" s="1">
        <f t="shared" si="34"/>
        <v>2.113850860862279</v>
      </c>
      <c r="Y94" s="1">
        <f t="shared" si="35"/>
        <v>0.7174983102323067</v>
      </c>
      <c r="Z94" s="6"/>
      <c r="AA94" s="2"/>
      <c r="AB94" s="2"/>
      <c r="AC94" s="2"/>
    </row>
    <row r="95" spans="6:29" x14ac:dyDescent="0.25">
      <c r="F95" s="5">
        <f t="shared" si="36"/>
        <v>4.5426097819687455E-2</v>
      </c>
      <c r="G95" s="4">
        <f t="shared" si="23"/>
        <v>1581623.7227491564</v>
      </c>
      <c r="H95" s="3">
        <f t="shared" si="25"/>
        <v>71846.993943541413</v>
      </c>
      <c r="I95">
        <f t="shared" si="26"/>
        <v>113634910029.32007</v>
      </c>
      <c r="J95" s="6"/>
      <c r="K95" s="6"/>
      <c r="L95" s="6"/>
      <c r="M95" s="6"/>
      <c r="N95" s="32">
        <f t="shared" si="27"/>
        <v>4.5426097819687455E-2</v>
      </c>
      <c r="O95" s="28">
        <f t="shared" si="37"/>
        <v>3191.6971323838366</v>
      </c>
      <c r="P95" s="28">
        <f t="shared" si="28"/>
        <v>144.9863461464841</v>
      </c>
      <c r="Q95" s="29">
        <f t="shared" si="29"/>
        <v>6383.3942647676731</v>
      </c>
      <c r="R95" s="37">
        <f t="shared" si="30"/>
        <v>289.97269229296819</v>
      </c>
      <c r="S95" s="9"/>
      <c r="T95" s="38">
        <f t="shared" si="31"/>
        <v>90.852195639374912</v>
      </c>
      <c r="U95" s="38">
        <f t="shared" si="14"/>
        <v>925.50501046108718</v>
      </c>
      <c r="V95" s="38">
        <f t="shared" si="32"/>
        <v>508.17860305023106</v>
      </c>
      <c r="W95" s="1">
        <f t="shared" si="33"/>
        <v>-0.68668706380260047</v>
      </c>
      <c r="X95" s="1">
        <f t="shared" si="34"/>
        <v>2.1916971323838363</v>
      </c>
      <c r="Y95" s="1">
        <f t="shared" si="35"/>
        <v>0.7525050342906181</v>
      </c>
      <c r="Z95" s="6"/>
      <c r="AA95" s="2"/>
      <c r="AB95" s="2"/>
      <c r="AC95" s="2"/>
    </row>
    <row r="96" spans="6:29" x14ac:dyDescent="0.25">
      <c r="F96" s="5">
        <f t="shared" si="36"/>
        <v>4.3237213867638277E-2</v>
      </c>
      <c r="G96" s="4">
        <f t="shared" si="23"/>
        <v>1621164.3158178851</v>
      </c>
      <c r="H96" s="3">
        <f t="shared" si="25"/>
        <v>70094.628237601384</v>
      </c>
      <c r="I96">
        <f t="shared" si="26"/>
        <v>113634910029.32007</v>
      </c>
      <c r="J96" s="6"/>
      <c r="K96" s="6"/>
      <c r="L96" s="6"/>
      <c r="M96" s="6"/>
      <c r="N96" s="32">
        <f t="shared" si="27"/>
        <v>4.3237213867638277E-2</v>
      </c>
      <c r="O96" s="28">
        <f t="shared" si="37"/>
        <v>3271.4895606934319</v>
      </c>
      <c r="P96" s="28">
        <f t="shared" si="28"/>
        <v>141.45009380144791</v>
      </c>
      <c r="Q96" s="29">
        <f t="shared" si="29"/>
        <v>6542.9791213868639</v>
      </c>
      <c r="R96" s="37">
        <f t="shared" si="30"/>
        <v>282.90018760289581</v>
      </c>
      <c r="S96" s="9"/>
      <c r="T96" s="38">
        <f t="shared" si="31"/>
        <v>86.474427735276549</v>
      </c>
      <c r="U96" s="38">
        <f t="shared" si="14"/>
        <v>925.50501046108718</v>
      </c>
      <c r="V96" s="38">
        <f t="shared" si="32"/>
        <v>505.98971909818187</v>
      </c>
      <c r="W96" s="1">
        <f t="shared" si="33"/>
        <v>-0.69432884273424433</v>
      </c>
      <c r="X96" s="1">
        <f t="shared" si="34"/>
        <v>2.2714895606934324</v>
      </c>
      <c r="Y96" s="1">
        <f t="shared" si="35"/>
        <v>0.78858035897959389</v>
      </c>
      <c r="Z96" s="6"/>
      <c r="AA96" s="2"/>
      <c r="AB96" s="2"/>
      <c r="AC96" s="2"/>
    </row>
    <row r="97" spans="6:29" x14ac:dyDescent="0.25">
      <c r="F97" s="5">
        <f t="shared" si="36"/>
        <v>4.1153802610482612E-2</v>
      </c>
      <c r="G97" s="4">
        <f t="shared" si="23"/>
        <v>1661693.423713332</v>
      </c>
      <c r="H97" s="3">
        <f t="shared" si="25"/>
        <v>68385.003158635518</v>
      </c>
      <c r="I97">
        <f t="shared" si="26"/>
        <v>113634910029.32007</v>
      </c>
      <c r="J97" s="6"/>
      <c r="K97" s="6"/>
      <c r="L97" s="6"/>
      <c r="M97" s="6"/>
      <c r="N97" s="32">
        <f t="shared" si="27"/>
        <v>4.1153802610482612E-2</v>
      </c>
      <c r="O97" s="28">
        <f t="shared" si="37"/>
        <v>3353.2767997107671</v>
      </c>
      <c r="P97" s="28">
        <f t="shared" si="28"/>
        <v>138.00009151360774</v>
      </c>
      <c r="Q97" s="29">
        <f t="shared" si="29"/>
        <v>6706.5535994215343</v>
      </c>
      <c r="R97" s="37">
        <f t="shared" si="30"/>
        <v>276.00018302721548</v>
      </c>
      <c r="S97" s="9"/>
      <c r="T97" s="38">
        <f t="shared" si="31"/>
        <v>82.307605220965229</v>
      </c>
      <c r="U97" s="38">
        <f t="shared" si="14"/>
        <v>925.50501046108718</v>
      </c>
      <c r="V97" s="38">
        <f t="shared" si="32"/>
        <v>503.90630784102621</v>
      </c>
      <c r="W97" s="1">
        <f t="shared" si="33"/>
        <v>-0.70178423681389679</v>
      </c>
      <c r="X97" s="1">
        <f t="shared" si="34"/>
        <v>2.3532767997107675</v>
      </c>
      <c r="Y97" s="1">
        <f t="shared" si="35"/>
        <v>0.82574628144843532</v>
      </c>
      <c r="Z97" s="6"/>
      <c r="AA97" s="2"/>
      <c r="AB97" s="2"/>
      <c r="AC97" s="2"/>
    </row>
    <row r="98" spans="6:29" x14ac:dyDescent="0.25">
      <c r="F98" s="5">
        <f t="shared" si="36"/>
        <v>3.9170781782731819E-2</v>
      </c>
      <c r="G98" s="4">
        <f t="shared" si="23"/>
        <v>1703235.7593061652</v>
      </c>
      <c r="H98" s="3">
        <f t="shared" si="25"/>
        <v>66717.07625232733</v>
      </c>
      <c r="I98">
        <f t="shared" si="26"/>
        <v>113634910029.32007</v>
      </c>
      <c r="J98" s="6"/>
      <c r="K98" s="6"/>
      <c r="L98" s="6"/>
      <c r="M98" s="6"/>
      <c r="N98" s="32">
        <f t="shared" si="27"/>
        <v>3.9170781782731819E-2</v>
      </c>
      <c r="O98" s="28">
        <f t="shared" si="37"/>
        <v>3437.1087197035363</v>
      </c>
      <c r="P98" s="28">
        <f t="shared" si="28"/>
        <v>134.63423562303197</v>
      </c>
      <c r="Q98" s="29">
        <f t="shared" si="29"/>
        <v>6874.2174394070726</v>
      </c>
      <c r="R98" s="37">
        <f t="shared" si="30"/>
        <v>269.26847124606394</v>
      </c>
      <c r="S98" s="9"/>
      <c r="T98" s="38">
        <f t="shared" si="31"/>
        <v>78.34156356546363</v>
      </c>
      <c r="U98" s="38">
        <f t="shared" si="14"/>
        <v>925.50501046108718</v>
      </c>
      <c r="V98" s="38">
        <f t="shared" si="32"/>
        <v>501.9232870132754</v>
      </c>
      <c r="W98" s="1">
        <f t="shared" si="33"/>
        <v>-0.7090577920135579</v>
      </c>
      <c r="X98" s="1">
        <f t="shared" si="34"/>
        <v>2.4371087197035357</v>
      </c>
      <c r="Y98" s="1">
        <f t="shared" si="35"/>
        <v>0.86402546384498891</v>
      </c>
      <c r="Z98" s="6"/>
      <c r="AA98" s="2"/>
      <c r="AB98" s="2"/>
      <c r="AC98" s="2"/>
    </row>
    <row r="99" spans="6:29" x14ac:dyDescent="0.25">
      <c r="F99" s="5">
        <f t="shared" si="36"/>
        <v>3.7283314010928569E-2</v>
      </c>
      <c r="G99" s="4">
        <f t="shared" si="23"/>
        <v>1745816.6532888191</v>
      </c>
      <c r="H99" s="3">
        <f t="shared" si="25"/>
        <v>65089.830490075452</v>
      </c>
      <c r="I99">
        <f t="shared" si="26"/>
        <v>113634910029.32007</v>
      </c>
      <c r="J99" s="6"/>
      <c r="K99" s="6"/>
      <c r="L99" s="6"/>
      <c r="M99" s="6"/>
      <c r="N99" s="32">
        <f t="shared" si="27"/>
        <v>3.7283314010928569E-2</v>
      </c>
      <c r="O99" s="28">
        <f t="shared" si="37"/>
        <v>3523.0364376961243</v>
      </c>
      <c r="P99" s="28">
        <f t="shared" si="28"/>
        <v>131.35047377856779</v>
      </c>
      <c r="Q99" s="29">
        <f t="shared" si="29"/>
        <v>7046.0728753922485</v>
      </c>
      <c r="R99" s="37">
        <f t="shared" si="30"/>
        <v>262.70094755713558</v>
      </c>
      <c r="S99" s="9"/>
      <c r="T99" s="38">
        <f t="shared" si="31"/>
        <v>74.566628021857142</v>
      </c>
      <c r="U99" s="38">
        <f t="shared" si="14"/>
        <v>925.50501046108718</v>
      </c>
      <c r="V99" s="38">
        <f t="shared" si="32"/>
        <v>500.03581924147215</v>
      </c>
      <c r="W99" s="1">
        <f t="shared" si="33"/>
        <v>-0.71615394342786132</v>
      </c>
      <c r="X99" s="1">
        <f t="shared" si="34"/>
        <v>2.5230364376961241</v>
      </c>
      <c r="Y99" s="1">
        <f t="shared" si="35"/>
        <v>0.90344124713413132</v>
      </c>
      <c r="Z99" s="6"/>
      <c r="AA99" s="2"/>
      <c r="AB99" s="2"/>
      <c r="AC99" s="2"/>
    </row>
    <row r="100" spans="6:29" x14ac:dyDescent="0.25">
      <c r="F100" s="5">
        <f t="shared" si="36"/>
        <v>3.5486795013376392E-2</v>
      </c>
      <c r="G100" s="4">
        <f t="shared" si="23"/>
        <v>1789462.0696210396</v>
      </c>
      <c r="H100" s="3">
        <f t="shared" si="25"/>
        <v>63502.273648854105</v>
      </c>
      <c r="I100">
        <f t="shared" si="26"/>
        <v>113634910029.32007</v>
      </c>
      <c r="J100" s="6"/>
      <c r="K100" s="6"/>
      <c r="L100" s="6"/>
      <c r="M100" s="6"/>
      <c r="N100" s="32">
        <f t="shared" si="27"/>
        <v>3.5486795013376392E-2</v>
      </c>
      <c r="O100" s="28">
        <f t="shared" si="37"/>
        <v>3611.1123486385272</v>
      </c>
      <c r="P100" s="28">
        <f t="shared" si="28"/>
        <v>128.14680368640759</v>
      </c>
      <c r="Q100" s="29">
        <f t="shared" si="29"/>
        <v>7222.2246972770545</v>
      </c>
      <c r="R100" s="37">
        <f t="shared" si="30"/>
        <v>256.29360737281519</v>
      </c>
      <c r="S100" s="9"/>
      <c r="T100" s="38">
        <f t="shared" si="31"/>
        <v>70.973590026752788</v>
      </c>
      <c r="U100" s="38">
        <f t="shared" si="14"/>
        <v>925.50501046108718</v>
      </c>
      <c r="V100" s="38">
        <f t="shared" si="32"/>
        <v>498.23930024391996</v>
      </c>
      <c r="W100" s="1">
        <f t="shared" si="33"/>
        <v>-0.72307701797840118</v>
      </c>
      <c r="X100" s="1">
        <f t="shared" si="34"/>
        <v>2.6111123486385273</v>
      </c>
      <c r="Y100" s="1">
        <f t="shared" si="35"/>
        <v>0.94401766533006271</v>
      </c>
      <c r="Z100" s="6"/>
      <c r="AA100" s="2"/>
      <c r="AB100" s="2"/>
      <c r="AC100" s="2"/>
    </row>
    <row r="101" spans="6:29" x14ac:dyDescent="0.25">
      <c r="F101" s="5">
        <f t="shared" si="36"/>
        <v>3.3776842368472483E-2</v>
      </c>
      <c r="G101" s="4">
        <f t="shared" si="23"/>
        <v>1834198.6213615653</v>
      </c>
      <c r="H101" s="3">
        <f t="shared" si="25"/>
        <v>61953.437706199133</v>
      </c>
      <c r="I101">
        <f t="shared" si="26"/>
        <v>113634910029.32007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Y101" s="7"/>
      <c r="AA101" s="2"/>
      <c r="AB101" s="2"/>
      <c r="AC101" s="2"/>
    </row>
    <row r="102" spans="6:29" x14ac:dyDescent="0.25">
      <c r="F102" s="5">
        <f t="shared" si="36"/>
        <v>3.2149284824245075E-2</v>
      </c>
      <c r="G102" s="4">
        <f t="shared" si="23"/>
        <v>1880053.5868956044</v>
      </c>
      <c r="H102" s="3">
        <f t="shared" si="25"/>
        <v>60442.37824995038</v>
      </c>
      <c r="I102">
        <f t="shared" si="26"/>
        <v>113634910029.32007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Y102" s="7"/>
      <c r="AA102" s="2"/>
      <c r="AB102" s="2"/>
      <c r="AC102" s="2"/>
    </row>
    <row r="103" spans="6:29" x14ac:dyDescent="0.25">
      <c r="F103" s="5">
        <f t="shared" si="36"/>
        <v>3.0600152123017331E-2</v>
      </c>
      <c r="G103" s="4">
        <f t="shared" si="23"/>
        <v>1927054.9265679943</v>
      </c>
      <c r="H103" s="3">
        <f t="shared" si="25"/>
        <v>58968.173902390619</v>
      </c>
      <c r="I103">
        <f t="shared" si="26"/>
        <v>113634910029.32007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Y103" s="7"/>
      <c r="AA103" s="2"/>
      <c r="AB103" s="2"/>
      <c r="AC103" s="2"/>
    </row>
    <row r="104" spans="6:29" x14ac:dyDescent="0.25">
      <c r="F104" s="5">
        <f t="shared" si="36"/>
        <v>2.9125665316375809E-2</v>
      </c>
      <c r="G104" s="4">
        <f t="shared" si="23"/>
        <v>1975231.299732194</v>
      </c>
      <c r="H104" s="3">
        <f t="shared" si="25"/>
        <v>57529.925758429876</v>
      </c>
      <c r="I104">
        <f t="shared" si="26"/>
        <v>113634910029.32007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Y104" s="7"/>
      <c r="AA104" s="2"/>
      <c r="AB104" s="2"/>
      <c r="AC104" s="2"/>
    </row>
    <row r="105" spans="6:29" x14ac:dyDescent="0.25">
      <c r="F105" s="5">
        <f t="shared" si="36"/>
        <v>2.7722227546818145E-2</v>
      </c>
      <c r="G105" s="4">
        <f t="shared" si="23"/>
        <v>2024612.0822254987</v>
      </c>
      <c r="H105" s="3">
        <f t="shared" si="25"/>
        <v>56126.756837492561</v>
      </c>
      <c r="I105">
        <f t="shared" si="26"/>
        <v>113634910029.32007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Y105" s="7"/>
      <c r="AA105" s="2"/>
      <c r="AB105" s="2"/>
      <c r="AC105" s="2"/>
    </row>
    <row r="106" spans="6:29" x14ac:dyDescent="0.25">
      <c r="F106" s="5">
        <f t="shared" si="36"/>
        <v>2.6386415273592527E-2</v>
      </c>
      <c r="G106" s="4">
        <f t="shared" si="23"/>
        <v>2075227.3842811361</v>
      </c>
      <c r="H106" s="3">
        <f t="shared" si="25"/>
        <v>54757.811548773236</v>
      </c>
      <c r="I106">
        <f t="shared" si="26"/>
        <v>113634910029.32007</v>
      </c>
      <c r="J106" s="6"/>
      <c r="K106" s="6"/>
      <c r="L106" s="6"/>
      <c r="M106" s="6"/>
      <c r="N106" s="6"/>
      <c r="O106" s="6"/>
      <c r="P106" s="6"/>
      <c r="Q106" s="6"/>
      <c r="R106" s="6"/>
      <c r="S106" s="6"/>
      <c r="Y106" s="7"/>
      <c r="AA106" s="2"/>
      <c r="AB106" s="2"/>
      <c r="AC106" s="2"/>
    </row>
    <row r="107" spans="6:29" x14ac:dyDescent="0.25">
      <c r="F107" s="5">
        <f t="shared" si="36"/>
        <v>2.5114969921325437E-2</v>
      </c>
      <c r="G107" s="4">
        <f t="shared" si="23"/>
        <v>2127108.0688881641</v>
      </c>
      <c r="H107" s="3">
        <f t="shared" si="25"/>
        <v>53422.255169534874</v>
      </c>
      <c r="I107">
        <f t="shared" si="26"/>
        <v>113634910029.32007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Y107" s="7"/>
      <c r="AA107" s="2"/>
      <c r="AB107" s="2"/>
      <c r="AC107" s="2"/>
    </row>
    <row r="108" spans="6:29" x14ac:dyDescent="0.25">
      <c r="F108" s="5">
        <f t="shared" si="36"/>
        <v>2.3904789931065262E-2</v>
      </c>
      <c r="G108" s="4">
        <f t="shared" si="23"/>
        <v>2180285.7706103679</v>
      </c>
      <c r="H108" s="3">
        <f t="shared" si="25"/>
        <v>52119.273336131591</v>
      </c>
      <c r="I108">
        <f t="shared" si="26"/>
        <v>113634910029.32007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Y108" s="7"/>
      <c r="AA108" s="2"/>
      <c r="AB108" s="2"/>
      <c r="AC108" s="2"/>
    </row>
    <row r="109" spans="6:29" x14ac:dyDescent="0.25">
      <c r="F109" s="5">
        <f t="shared" si="36"/>
        <v>2.2752923194351234E-2</v>
      </c>
      <c r="G109" s="4">
        <f t="shared" si="23"/>
        <v>2234792.914875627</v>
      </c>
      <c r="H109" s="3">
        <f t="shared" si="25"/>
        <v>50848.071547445456</v>
      </c>
      <c r="I109">
        <f t="shared" si="26"/>
        <v>113634910029.32007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Y109" s="7"/>
      <c r="AA109" s="2"/>
      <c r="AB109" s="2"/>
      <c r="AC109" s="2"/>
    </row>
    <row r="110" spans="6:29" x14ac:dyDescent="0.25">
      <c r="F110" s="5">
        <f t="shared" si="36"/>
        <v>2.1656559851851269E-2</v>
      </c>
      <c r="G110" s="4">
        <f t="shared" si="23"/>
        <v>2290662.7377475174</v>
      </c>
      <c r="H110" s="3">
        <f t="shared" si="25"/>
        <v>49607.874680434601</v>
      </c>
      <c r="I110">
        <f t="shared" si="26"/>
        <v>113634910029.32007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Y110" s="7"/>
      <c r="AA110" s="2"/>
      <c r="AB110" s="2"/>
      <c r="AC110" s="2"/>
    </row>
    <row r="111" spans="6:29" x14ac:dyDescent="0.25">
      <c r="F111" s="5">
        <f t="shared" si="36"/>
        <v>2.0613025439001807E-2</v>
      </c>
      <c r="G111" s="4">
        <f t="shared" si="23"/>
        <v>2347929.306191205</v>
      </c>
      <c r="H111" s="3">
        <f t="shared" si="25"/>
        <v>48397.926517497173</v>
      </c>
      <c r="I111">
        <f t="shared" si="26"/>
        <v>113634910029.32007</v>
      </c>
      <c r="J111" s="6"/>
      <c r="K111" s="6"/>
      <c r="L111" s="6"/>
      <c r="M111" s="6"/>
      <c r="N111" s="6"/>
      <c r="O111" s="6"/>
      <c r="P111" s="6"/>
      <c r="Q111" s="6"/>
      <c r="R111" s="6"/>
      <c r="S111" s="6"/>
      <c r="Y111" s="7"/>
      <c r="AA111" s="2"/>
      <c r="AB111" s="2"/>
      <c r="AC111" s="2"/>
    </row>
    <row r="112" spans="6:29" x14ac:dyDescent="0.25">
      <c r="F112" s="5">
        <f t="shared" si="36"/>
        <v>1.9619774361929142E-2</v>
      </c>
      <c r="G112" s="4">
        <f t="shared" si="23"/>
        <v>2406627.5388459852</v>
      </c>
      <c r="H112" s="3">
        <f t="shared" si="25"/>
        <v>47217.489285363095</v>
      </c>
      <c r="I112">
        <f t="shared" si="26"/>
        <v>113634910029.32007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Y112" s="7"/>
      <c r="AA112" s="2"/>
      <c r="AB112" s="2"/>
      <c r="AC112" s="2"/>
    </row>
    <row r="113" spans="6:29" x14ac:dyDescent="0.25">
      <c r="F113" s="5">
        <f t="shared" si="36"/>
        <v>1.8674383687737443E-2</v>
      </c>
      <c r="G113" s="4">
        <f t="shared" ref="G113:G176" si="38">G112*(1+$O$1)</f>
        <v>2466793.2273171344</v>
      </c>
      <c r="H113" s="3">
        <f t="shared" si="25"/>
        <v>46065.843205232297</v>
      </c>
      <c r="I113">
        <f t="shared" si="26"/>
        <v>113634910029.32007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Y113" s="7"/>
      <c r="AA113" s="2"/>
      <c r="AB113" s="2"/>
      <c r="AC113" s="2"/>
    </row>
    <row r="114" spans="6:29" x14ac:dyDescent="0.25">
      <c r="F114" s="5">
        <f t="shared" si="36"/>
        <v>1.7774547234015416E-2</v>
      </c>
      <c r="G114" s="4">
        <f t="shared" si="38"/>
        <v>2528463.0580000626</v>
      </c>
      <c r="H114" s="3">
        <f t="shared" ref="H114:H177" si="39">I114/G114</f>
        <v>44942.286053885175</v>
      </c>
      <c r="I114">
        <f t="shared" ref="I114:I177" si="40">I113</f>
        <v>113634910029.32007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Y114" s="7"/>
      <c r="AA114" s="2"/>
      <c r="AB114" s="2"/>
      <c r="AC114" s="2"/>
    </row>
    <row r="115" spans="6:29" x14ac:dyDescent="0.25">
      <c r="F115" s="5">
        <f t="shared" si="36"/>
        <v>1.6918069943143765E-2</v>
      </c>
      <c r="G115" s="4">
        <f t="shared" si="38"/>
        <v>2591674.634450064</v>
      </c>
      <c r="H115" s="3">
        <f t="shared" si="39"/>
        <v>43846.132735497733</v>
      </c>
      <c r="I115">
        <f t="shared" si="40"/>
        <v>113634910029.32007</v>
      </c>
      <c r="J115" s="6"/>
      <c r="K115" s="6"/>
      <c r="L115" s="6"/>
      <c r="M115" s="6"/>
      <c r="N115" s="6"/>
      <c r="O115" s="6"/>
      <c r="P115" s="6"/>
      <c r="Q115" s="6"/>
      <c r="R115" s="6"/>
      <c r="S115" s="6"/>
      <c r="Y115" s="7"/>
      <c r="AA115" s="2"/>
      <c r="AB115" s="2"/>
      <c r="AC115" s="2"/>
    </row>
    <row r="116" spans="6:29" x14ac:dyDescent="0.25">
      <c r="F116" s="5">
        <f t="shared" si="36"/>
        <v>1.6102862527679968E-2</v>
      </c>
      <c r="G116" s="4">
        <f t="shared" si="38"/>
        <v>2656466.5003113155</v>
      </c>
      <c r="H116" s="3">
        <f t="shared" si="39"/>
        <v>42776.714863900226</v>
      </c>
      <c r="I116">
        <f t="shared" si="40"/>
        <v>113634910029.32007</v>
      </c>
      <c r="J116" s="6"/>
      <c r="K116" s="6"/>
      <c r="L116" s="6"/>
      <c r="M116" s="6"/>
      <c r="N116" s="6"/>
      <c r="O116" s="6"/>
      <c r="P116" s="6"/>
      <c r="Q116" s="6"/>
      <c r="R116" s="6"/>
      <c r="S116" s="6"/>
      <c r="Y116" s="7"/>
      <c r="AA116" s="2"/>
      <c r="AB116" s="2"/>
      <c r="AC116" s="2"/>
    </row>
    <row r="117" spans="6:29" x14ac:dyDescent="0.25">
      <c r="F117" s="5">
        <f t="shared" si="36"/>
        <v>1.5326936373758449E-2</v>
      </c>
      <c r="G117" s="4">
        <f t="shared" si="38"/>
        <v>2722878.1628190982</v>
      </c>
      <c r="H117" s="3">
        <f t="shared" si="39"/>
        <v>41733.380355024616</v>
      </c>
      <c r="I117">
        <f t="shared" si="40"/>
        <v>113634910029.32007</v>
      </c>
      <c r="J117" s="6"/>
      <c r="K117" s="6"/>
      <c r="L117" s="6"/>
      <c r="M117" s="6"/>
      <c r="N117" s="6"/>
      <c r="O117" s="6"/>
      <c r="P117" s="6"/>
      <c r="Q117" s="6"/>
      <c r="R117" s="6"/>
      <c r="S117" s="6"/>
      <c r="Y117" s="7"/>
      <c r="AA117" s="2"/>
      <c r="AB117" s="2"/>
      <c r="AC117" s="2"/>
    </row>
    <row r="118" spans="6:29" x14ac:dyDescent="0.25">
      <c r="F118" s="5">
        <f t="shared" si="36"/>
        <v>1.458839869007348E-2</v>
      </c>
      <c r="G118" s="4">
        <f t="shared" si="38"/>
        <v>2790950.1168895755</v>
      </c>
      <c r="H118" s="3">
        <f t="shared" si="39"/>
        <v>40715.493029292309</v>
      </c>
      <c r="I118">
        <f t="shared" si="40"/>
        <v>113634910029.32007</v>
      </c>
      <c r="J118" s="6"/>
      <c r="K118" s="6"/>
      <c r="L118" s="6"/>
      <c r="M118" s="6"/>
      <c r="N118" s="6"/>
      <c r="O118" s="6"/>
      <c r="P118" s="6"/>
      <c r="Q118" s="6"/>
      <c r="R118" s="6"/>
      <c r="S118" s="6"/>
      <c r="Y118" s="7"/>
      <c r="AA118" s="2"/>
      <c r="AB118" s="2"/>
      <c r="AC118" s="2"/>
    </row>
    <row r="119" spans="6:29" x14ac:dyDescent="0.25">
      <c r="F119" s="5">
        <f t="shared" si="36"/>
        <v>1.3885447890611287E-2</v>
      </c>
      <c r="G119" s="4">
        <f t="shared" si="38"/>
        <v>2860723.8698118147</v>
      </c>
      <c r="H119" s="3">
        <f t="shared" si="39"/>
        <v>39722.43222369982</v>
      </c>
      <c r="I119">
        <f t="shared" si="40"/>
        <v>113634910029.32007</v>
      </c>
      <c r="J119" s="6"/>
      <c r="K119" s="6"/>
      <c r="L119" s="6"/>
      <c r="M119" s="6"/>
      <c r="N119" s="6"/>
      <c r="O119" s="6"/>
      <c r="P119" s="6"/>
      <c r="Q119" s="6"/>
      <c r="R119" s="6"/>
      <c r="S119" s="6"/>
      <c r="Y119" s="7"/>
      <c r="AA119" s="2"/>
      <c r="AB119" s="2"/>
      <c r="AC119" s="2"/>
    </row>
    <row r="120" spans="6:29" x14ac:dyDescent="0.25">
      <c r="F120" s="5">
        <f t="shared" si="36"/>
        <v>1.3216369199867973E-2</v>
      </c>
      <c r="G120" s="4">
        <f t="shared" si="38"/>
        <v>2932241.9665571097</v>
      </c>
      <c r="H120" s="3">
        <f t="shared" si="39"/>
        <v>38753.592413365681</v>
      </c>
      <c r="I120">
        <f t="shared" si="40"/>
        <v>113634910029.32007</v>
      </c>
      <c r="J120" s="6"/>
      <c r="K120" s="6"/>
      <c r="L120" s="6"/>
      <c r="M120" s="6"/>
      <c r="N120" s="6"/>
      <c r="O120" s="6"/>
      <c r="P120" s="6"/>
      <c r="Q120" s="6"/>
      <c r="R120" s="6"/>
      <c r="S120" s="6"/>
      <c r="Y120" s="7"/>
      <c r="AA120" s="2"/>
      <c r="AB120" s="2"/>
      <c r="AC120" s="2"/>
    </row>
    <row r="121" spans="6:29" x14ac:dyDescent="0.25">
      <c r="F121" s="5">
        <f t="shared" si="36"/>
        <v>1.2579530469832696E-2</v>
      </c>
      <c r="G121" s="4">
        <f t="shared" si="38"/>
        <v>3005548.0157210371</v>
      </c>
      <c r="H121" s="3">
        <f t="shared" si="39"/>
        <v>37808.382842307983</v>
      </c>
      <c r="I121">
        <f t="shared" si="40"/>
        <v>113634910029.32007</v>
      </c>
      <c r="J121" s="6"/>
      <c r="K121" s="6"/>
      <c r="L121" s="6"/>
      <c r="M121" s="6"/>
      <c r="N121" s="6"/>
      <c r="O121" s="6"/>
      <c r="P121" s="6"/>
      <c r="Q121" s="6"/>
      <c r="R121" s="6"/>
      <c r="S121" s="6"/>
      <c r="Y121" s="7"/>
      <c r="AA121" s="2"/>
      <c r="AB121" s="2"/>
      <c r="AC121" s="2"/>
    </row>
    <row r="122" spans="6:29" x14ac:dyDescent="0.25">
      <c r="F122" s="5">
        <f t="shared" si="36"/>
        <v>1.1973378198532014E-2</v>
      </c>
      <c r="G122" s="4">
        <f t="shared" si="38"/>
        <v>3080686.7161140628</v>
      </c>
      <c r="H122" s="3">
        <f t="shared" si="39"/>
        <v>36886.227163227304</v>
      </c>
      <c r="I122">
        <f t="shared" si="40"/>
        <v>113634910029.32007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Y122" s="7"/>
      <c r="AA122" s="2"/>
      <c r="AB122" s="2"/>
      <c r="AC122" s="2"/>
    </row>
    <row r="123" spans="6:29" x14ac:dyDescent="0.25">
      <c r="F123" s="5">
        <f t="shared" si="36"/>
        <v>1.1396433740423095E-2</v>
      </c>
      <c r="G123" s="4">
        <f t="shared" si="38"/>
        <v>3157703.8840169143</v>
      </c>
      <c r="H123" s="3">
        <f t="shared" si="39"/>
        <v>35986.563086075417</v>
      </c>
      <c r="I123">
        <f t="shared" si="40"/>
        <v>113634910029.32007</v>
      </c>
      <c r="J123" s="6"/>
      <c r="K123" s="6"/>
      <c r="L123" s="6"/>
      <c r="M123" s="6"/>
      <c r="N123" s="6"/>
      <c r="O123" s="6"/>
      <c r="P123" s="6"/>
      <c r="Q123" s="6"/>
      <c r="R123" s="6"/>
      <c r="S123" s="6"/>
      <c r="Y123" s="7"/>
      <c r="AA123" s="2"/>
      <c r="AB123" s="2"/>
      <c r="AC123" s="2"/>
    </row>
    <row r="124" spans="6:29" x14ac:dyDescent="0.25">
      <c r="F124" s="5">
        <f t="shared" si="36"/>
        <v>1.0847289699391407E-2</v>
      </c>
      <c r="G124" s="4">
        <f t="shared" si="38"/>
        <v>3236646.481117337</v>
      </c>
      <c r="H124" s="3">
        <f t="shared" si="39"/>
        <v>35108.842035195536</v>
      </c>
      <c r="I124">
        <f t="shared" si="40"/>
        <v>113634910029.32007</v>
      </c>
      <c r="J124" s="6"/>
      <c r="K124" s="6"/>
      <c r="L124" s="6"/>
      <c r="M124" s="6"/>
      <c r="N124" s="6"/>
      <c r="O124" s="6"/>
      <c r="P124" s="6"/>
      <c r="Q124" s="6"/>
      <c r="R124" s="6"/>
      <c r="S124" s="6"/>
      <c r="Y124" s="7"/>
      <c r="AA124" s="2"/>
      <c r="AB124" s="2"/>
      <c r="AC124" s="2"/>
    </row>
    <row r="125" spans="6:29" x14ac:dyDescent="0.25">
      <c r="F125" s="5">
        <f t="shared" si="36"/>
        <v>1.0324606495553989E-2</v>
      </c>
      <c r="G125" s="4">
        <f t="shared" si="38"/>
        <v>3317562.6431452702</v>
      </c>
      <c r="H125" s="3">
        <f t="shared" si="39"/>
        <v>34252.528814824916</v>
      </c>
      <c r="I125">
        <f t="shared" si="40"/>
        <v>113634910029.32007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Y125" s="7"/>
      <c r="AA125" s="2"/>
      <c r="AB125" s="2"/>
      <c r="AC125" s="2"/>
    </row>
    <row r="126" spans="6:29" x14ac:dyDescent="0.25">
      <c r="F126" s="5">
        <f t="shared" si="36"/>
        <v>9.8271090974933854E-3</v>
      </c>
      <c r="G126" s="4">
        <f t="shared" si="38"/>
        <v>3400501.7092239019</v>
      </c>
      <c r="H126" s="3">
        <f t="shared" si="39"/>
        <v>33417.101282756012</v>
      </c>
      <c r="I126">
        <f t="shared" si="40"/>
        <v>113634910029.32007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Y126" s="7"/>
      <c r="AA126" s="2"/>
      <c r="AB126" s="2"/>
      <c r="AC126" s="2"/>
    </row>
    <row r="127" spans="6:29" x14ac:dyDescent="0.25">
      <c r="F127" s="5">
        <f t="shared" si="36"/>
        <v>9.3535839119508746E-3</v>
      </c>
      <c r="G127" s="4">
        <f t="shared" si="38"/>
        <v>3485514.2519544992</v>
      </c>
      <c r="H127" s="3">
        <f t="shared" si="39"/>
        <v>32602.050031957089</v>
      </c>
      <c r="I127">
        <f t="shared" si="40"/>
        <v>113634910029.32007</v>
      </c>
      <c r="J127" s="6"/>
      <c r="K127" s="6"/>
      <c r="L127" s="6"/>
      <c r="M127" s="6"/>
      <c r="N127" s="6"/>
      <c r="O127" s="6"/>
      <c r="P127" s="6"/>
      <c r="Q127" s="6"/>
      <c r="R127" s="6"/>
      <c r="S127" s="6"/>
      <c r="Y127" s="7"/>
      <c r="AA127" s="2"/>
      <c r="AB127" s="2"/>
      <c r="AC127" s="2"/>
    </row>
    <row r="128" spans="6:29" x14ac:dyDescent="0.25">
      <c r="F128" s="5">
        <f t="shared" si="36"/>
        <v>8.9028758233916736E-3</v>
      </c>
      <c r="G128" s="4">
        <f t="shared" si="38"/>
        <v>3572652.1082533612</v>
      </c>
      <c r="H128" s="3">
        <f t="shared" si="39"/>
        <v>31806.87807995814</v>
      </c>
      <c r="I128">
        <f t="shared" si="40"/>
        <v>113634910029.32007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Y128" s="7"/>
      <c r="AA128" s="2"/>
      <c r="AB128" s="2"/>
      <c r="AC128" s="2"/>
    </row>
    <row r="129" spans="6:29" x14ac:dyDescent="0.25">
      <c r="F129" s="5">
        <f t="shared" si="36"/>
        <v>8.4738853762205101E-3</v>
      </c>
      <c r="G129" s="4">
        <f t="shared" si="38"/>
        <v>3661968.410959695</v>
      </c>
      <c r="H129" s="3">
        <f t="shared" si="39"/>
        <v>31031.10056581282</v>
      </c>
      <c r="I129">
        <f t="shared" si="40"/>
        <v>113634910029.32007</v>
      </c>
      <c r="J129" s="6"/>
      <c r="K129" s="6"/>
      <c r="L129" s="6"/>
      <c r="M129" s="6"/>
      <c r="N129" s="6"/>
      <c r="O129" s="6"/>
      <c r="P129" s="6"/>
      <c r="Q129" s="6"/>
      <c r="R129" s="6"/>
      <c r="S129" s="6"/>
      <c r="Y129" s="7"/>
      <c r="AA129" s="2"/>
      <c r="AB129" s="2"/>
      <c r="AC129" s="2"/>
    </row>
    <row r="130" spans="6:29" x14ac:dyDescent="0.25">
      <c r="F130" s="5">
        <f t="shared" si="36"/>
        <v>8.0655660927738369E-3</v>
      </c>
      <c r="G130" s="4">
        <f t="shared" si="38"/>
        <v>3753517.6212336873</v>
      </c>
      <c r="H130" s="3">
        <f t="shared" si="39"/>
        <v>30274.244454451535</v>
      </c>
      <c r="I130">
        <f t="shared" si="40"/>
        <v>113634910029.32007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Y130" s="7"/>
      <c r="AA130" s="2"/>
      <c r="AB130" s="2"/>
      <c r="AC130" s="2"/>
    </row>
    <row r="131" spans="6:29" x14ac:dyDescent="0.25">
      <c r="F131" s="5">
        <f t="shared" si="36"/>
        <v>7.6769219205461868E-3</v>
      </c>
      <c r="G131" s="4">
        <f t="shared" si="38"/>
        <v>3847355.561764529</v>
      </c>
      <c r="H131" s="3">
        <f t="shared" si="39"/>
        <v>29535.848248245402</v>
      </c>
      <c r="I131">
        <f t="shared" si="40"/>
        <v>113634910029.32007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Y131" s="7"/>
      <c r="AA131" s="2"/>
      <c r="AB131" s="2"/>
      <c r="AC131" s="2"/>
    </row>
    <row r="132" spans="6:29" x14ac:dyDescent="0.25">
      <c r="F132" s="5">
        <f t="shared" si="36"/>
        <v>7.3070048024234989E-3</v>
      </c>
      <c r="G132" s="4">
        <f t="shared" si="38"/>
        <v>3943539.450808642</v>
      </c>
      <c r="H132" s="3">
        <f t="shared" si="39"/>
        <v>28815.461705605274</v>
      </c>
      <c r="I132">
        <f t="shared" si="40"/>
        <v>113634910029.32007</v>
      </c>
      <c r="J132" s="6"/>
      <c r="K132" s="6"/>
      <c r="L132" s="6"/>
      <c r="M132" s="6"/>
      <c r="N132" s="6"/>
      <c r="O132" s="6"/>
      <c r="P132" s="6"/>
      <c r="Q132" s="6"/>
      <c r="R132" s="6"/>
      <c r="S132" s="6"/>
      <c r="Y132" s="7"/>
      <c r="AA132" s="2"/>
      <c r="AB132" s="2"/>
      <c r="AC132" s="2"/>
    </row>
    <row r="133" spans="6:29" x14ac:dyDescent="0.25">
      <c r="F133" s="5">
        <f t="shared" si="36"/>
        <v>6.9549123639961923E-3</v>
      </c>
      <c r="G133" s="4">
        <f t="shared" si="38"/>
        <v>4042127.9370788578</v>
      </c>
      <c r="H133" s="3">
        <f t="shared" si="39"/>
        <v>28112.645566444171</v>
      </c>
      <c r="I133">
        <f t="shared" si="40"/>
        <v>113634910029.32007</v>
      </c>
      <c r="J133" s="6"/>
      <c r="K133" s="6"/>
      <c r="L133" s="6"/>
      <c r="M133" s="6"/>
      <c r="N133" s="6"/>
      <c r="O133" s="6"/>
      <c r="P133" s="6"/>
      <c r="Q133" s="6"/>
      <c r="R133" s="6"/>
      <c r="S133" s="6"/>
      <c r="Y133" s="7"/>
      <c r="AA133" s="2"/>
      <c r="AB133" s="2"/>
      <c r="AC133" s="2"/>
    </row>
    <row r="134" spans="6:29" x14ac:dyDescent="0.25">
      <c r="F134" s="5">
        <f t="shared" si="36"/>
        <v>6.6197857123104749E-3</v>
      </c>
      <c r="G134" s="4">
        <f t="shared" si="38"/>
        <v>4143181.135505829</v>
      </c>
      <c r="H134" s="3">
        <f t="shared" si="39"/>
        <v>27426.971284335777</v>
      </c>
      <c r="I134">
        <f t="shared" si="40"/>
        <v>113634910029.32007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Y134" s="7"/>
      <c r="AA134" s="2"/>
      <c r="AB134" s="2"/>
      <c r="AC134" s="2"/>
    </row>
    <row r="135" spans="6:29" x14ac:dyDescent="0.25">
      <c r="F135" s="5">
        <f t="shared" si="36"/>
        <v>6.3008073406881394E-3</v>
      </c>
      <c r="G135" s="4">
        <f t="shared" si="38"/>
        <v>4246760.6638934743</v>
      </c>
      <c r="H135" s="3">
        <f t="shared" si="39"/>
        <v>26758.020765205638</v>
      </c>
      <c r="I135">
        <f t="shared" si="40"/>
        <v>113634910029.32007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Y135" s="7"/>
      <c r="AA135" s="2"/>
      <c r="AB135" s="2"/>
      <c r="AC135" s="2"/>
    </row>
    <row r="136" spans="6:29" x14ac:dyDescent="0.25">
      <c r="F136" s="5">
        <f t="shared" si="36"/>
        <v>5.9971991345038828E-3</v>
      </c>
      <c r="G136" s="4">
        <f t="shared" si="38"/>
        <v>4352929.6804908104</v>
      </c>
      <c r="H136" s="3">
        <f t="shared" si="39"/>
        <v>26105.38611239575</v>
      </c>
      <c r="I136">
        <f t="shared" si="40"/>
        <v>113634910029.32007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Y136" s="7"/>
      <c r="AA136" s="2"/>
      <c r="AB136" s="2"/>
      <c r="AC136" s="2"/>
    </row>
    <row r="137" spans="6:29" x14ac:dyDescent="0.25">
      <c r="F137" s="5">
        <f t="shared" ref="F137:F200" si="41">H137/G137</f>
        <v>5.7082204730554507E-3</v>
      </c>
      <c r="G137" s="4">
        <f t="shared" si="38"/>
        <v>4461752.9225030802</v>
      </c>
      <c r="H137" s="3">
        <f t="shared" si="39"/>
        <v>25468.669377947073</v>
      </c>
      <c r="I137">
        <f t="shared" si="40"/>
        <v>113634910029.32007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Y137" s="7"/>
      <c r="AA137" s="2"/>
      <c r="AB137" s="2"/>
      <c r="AC137" s="2"/>
    </row>
    <row r="138" spans="6:29" x14ac:dyDescent="0.25">
      <c r="F138" s="5">
        <f t="shared" si="41"/>
        <v>5.4331664228963262E-3</v>
      </c>
      <c r="G138" s="4">
        <f t="shared" si="38"/>
        <v>4573296.7455656566</v>
      </c>
      <c r="H138" s="3">
        <f t="shared" si="39"/>
        <v>24847.482319948369</v>
      </c>
      <c r="I138">
        <f t="shared" si="40"/>
        <v>113634910029.32007</v>
      </c>
      <c r="J138" s="6"/>
      <c r="K138" s="6"/>
      <c r="L138" s="6"/>
      <c r="M138" s="6"/>
      <c r="N138" s="6"/>
      <c r="O138" s="6"/>
      <c r="P138" s="6"/>
      <c r="Q138" s="6"/>
      <c r="R138" s="6"/>
      <c r="S138" s="6"/>
      <c r="Y138" s="7"/>
      <c r="AA138" s="2"/>
      <c r="AB138" s="2"/>
      <c r="AC138" s="2"/>
    </row>
    <row r="139" spans="6:29" x14ac:dyDescent="0.25">
      <c r="F139" s="5">
        <f t="shared" si="41"/>
        <v>5.1713660182237499E-3</v>
      </c>
      <c r="G139" s="4">
        <f t="shared" si="38"/>
        <v>4687629.1642047977</v>
      </c>
      <c r="H139" s="3">
        <f t="shared" si="39"/>
        <v>24241.446165803289</v>
      </c>
      <c r="I139">
        <f t="shared" si="40"/>
        <v>113634910029.32007</v>
      </c>
      <c r="J139" s="6"/>
      <c r="K139" s="6"/>
      <c r="L139" s="6"/>
      <c r="M139" s="6"/>
      <c r="N139" s="6"/>
      <c r="O139" s="6"/>
      <c r="P139" s="6"/>
      <c r="Q139" s="6"/>
      <c r="R139" s="6"/>
      <c r="S139" s="6"/>
      <c r="Y139" s="7"/>
      <c r="AA139" s="2"/>
      <c r="AB139" s="2"/>
      <c r="AC139" s="2"/>
    </row>
    <row r="140" spans="6:29" x14ac:dyDescent="0.25">
      <c r="F140" s="5">
        <f t="shared" si="41"/>
        <v>4.9221806241273054E-3</v>
      </c>
      <c r="G140" s="4">
        <f t="shared" si="38"/>
        <v>4804819.8933099173</v>
      </c>
      <c r="H140" s="3">
        <f t="shared" si="39"/>
        <v>23650.191381271503</v>
      </c>
      <c r="I140">
        <f t="shared" si="40"/>
        <v>113634910029.32007</v>
      </c>
      <c r="J140" s="6"/>
      <c r="K140" s="6"/>
      <c r="L140" s="6"/>
      <c r="M140" s="6"/>
      <c r="N140" s="6"/>
      <c r="O140" s="6"/>
      <c r="P140" s="6"/>
      <c r="Q140" s="6"/>
      <c r="R140" s="6"/>
      <c r="S140" s="6"/>
      <c r="Y140" s="7"/>
      <c r="AA140" s="2"/>
      <c r="AB140" s="2"/>
      <c r="AC140" s="2"/>
    </row>
    <row r="141" spans="6:29" x14ac:dyDescent="0.25">
      <c r="F141" s="5">
        <f t="shared" si="41"/>
        <v>4.6850023787053489E-3</v>
      </c>
      <c r="G141" s="4">
        <f t="shared" si="38"/>
        <v>4924940.3906426644</v>
      </c>
      <c r="H141" s="3">
        <f t="shared" si="39"/>
        <v>23073.357445142934</v>
      </c>
      <c r="I141">
        <f t="shared" si="40"/>
        <v>113634910029.32007</v>
      </c>
      <c r="J141" s="6"/>
      <c r="K141" s="6"/>
      <c r="L141" s="6"/>
      <c r="M141" s="6"/>
      <c r="N141" s="6"/>
      <c r="O141" s="6"/>
      <c r="P141" s="6"/>
      <c r="Q141" s="6"/>
      <c r="R141" s="6"/>
      <c r="S141" s="6"/>
      <c r="Y141" s="7"/>
      <c r="AA141" s="2"/>
      <c r="AB141" s="2"/>
      <c r="AC141" s="2"/>
    </row>
    <row r="142" spans="6:29" x14ac:dyDescent="0.25">
      <c r="F142" s="5">
        <f t="shared" si="41"/>
        <v>4.4592527102489937E-3</v>
      </c>
      <c r="G142" s="4">
        <f t="shared" si="38"/>
        <v>5048063.9004087308</v>
      </c>
      <c r="H142" s="3">
        <f t="shared" si="39"/>
        <v>22510.59262940774</v>
      </c>
      <c r="I142">
        <f t="shared" si="40"/>
        <v>113634910029.32007</v>
      </c>
      <c r="J142" s="6"/>
      <c r="K142" s="6"/>
      <c r="L142" s="6"/>
      <c r="M142" s="6"/>
      <c r="N142" s="6"/>
      <c r="O142" s="6"/>
      <c r="P142" s="6"/>
      <c r="Q142" s="6"/>
      <c r="R142" s="6"/>
      <c r="S142" s="6"/>
      <c r="Y142" s="7"/>
      <c r="AA142" s="2"/>
      <c r="AB142" s="2"/>
      <c r="AC142" s="2"/>
    </row>
    <row r="143" spans="6:29" x14ac:dyDescent="0.25">
      <c r="F143" s="5">
        <f t="shared" si="41"/>
        <v>4.2443809258764969E-3</v>
      </c>
      <c r="G143" s="4">
        <f t="shared" si="38"/>
        <v>5174265.4979189485</v>
      </c>
      <c r="H143" s="3">
        <f t="shared" si="39"/>
        <v>21961.553784788041</v>
      </c>
      <c r="I143">
        <f t="shared" si="40"/>
        <v>113634910029.32007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Y143" s="7"/>
      <c r="AA143" s="2"/>
      <c r="AB143" s="2"/>
      <c r="AC143" s="2"/>
    </row>
    <row r="144" spans="6:29" x14ac:dyDescent="0.25">
      <c r="F144" s="5">
        <f t="shared" si="41"/>
        <v>4.0398628681751307E-3</v>
      </c>
      <c r="G144" s="4">
        <f t="shared" si="38"/>
        <v>5303622.1353669222</v>
      </c>
      <c r="H144" s="3">
        <f t="shared" si="39"/>
        <v>21425.906131500527</v>
      </c>
      <c r="I144">
        <f t="shared" si="40"/>
        <v>113634910029.32007</v>
      </c>
      <c r="J144" s="6"/>
      <c r="K144" s="6"/>
      <c r="L144" s="6"/>
      <c r="M144" s="6"/>
      <c r="N144" s="6"/>
      <c r="O144" s="6"/>
      <c r="P144" s="6"/>
      <c r="Q144" s="6"/>
      <c r="R144" s="6"/>
      <c r="S144" s="6"/>
      <c r="Y144" s="7"/>
      <c r="AA144" s="2"/>
      <c r="AB144" s="2"/>
      <c r="AC144" s="2"/>
    </row>
    <row r="145" spans="6:29" x14ac:dyDescent="0.25">
      <c r="F145" s="5">
        <f t="shared" si="41"/>
        <v>3.8451996365735939E-3</v>
      </c>
      <c r="G145" s="4">
        <f t="shared" si="38"/>
        <v>5436212.688751095</v>
      </c>
      <c r="H145" s="3">
        <f t="shared" si="39"/>
        <v>20903.32305512247</v>
      </c>
      <c r="I145">
        <f t="shared" si="40"/>
        <v>113634910029.32007</v>
      </c>
      <c r="J145" s="6"/>
      <c r="K145" s="6"/>
      <c r="L145" s="6"/>
      <c r="M145" s="6"/>
      <c r="N145" s="6"/>
      <c r="O145" s="6"/>
      <c r="P145" s="6"/>
      <c r="Q145" s="6"/>
      <c r="R145" s="6"/>
      <c r="S145" s="6"/>
      <c r="Y145" s="7"/>
      <c r="AA145" s="2"/>
      <c r="AB145" s="2"/>
      <c r="AC145" s="2"/>
    </row>
    <row r="146" spans="6:29" x14ac:dyDescent="0.25">
      <c r="F146" s="5">
        <f t="shared" si="41"/>
        <v>3.6599163703258481E-3</v>
      </c>
      <c r="G146" s="4">
        <f t="shared" si="38"/>
        <v>5572118.0059698718</v>
      </c>
      <c r="H146" s="3">
        <f t="shared" si="39"/>
        <v>20393.485907436556</v>
      </c>
      <c r="I146">
        <f t="shared" si="40"/>
        <v>113634910029.32007</v>
      </c>
      <c r="J146" s="6"/>
      <c r="K146" s="6"/>
      <c r="L146" s="6"/>
      <c r="M146" s="6"/>
      <c r="N146" s="6"/>
      <c r="O146" s="6"/>
      <c r="P146" s="6"/>
      <c r="Q146" s="6"/>
      <c r="R146" s="6"/>
      <c r="S146" s="6"/>
      <c r="Y146" s="7"/>
      <c r="AA146" s="2"/>
      <c r="AB146" s="2"/>
      <c r="AC146" s="2"/>
    </row>
    <row r="147" spans="6:29" x14ac:dyDescent="0.25">
      <c r="F147" s="5">
        <f t="shared" si="41"/>
        <v>3.4835610901376313E-3</v>
      </c>
      <c r="G147" s="4">
        <f t="shared" si="38"/>
        <v>5711420.9561191183</v>
      </c>
      <c r="H147" s="3">
        <f t="shared" si="39"/>
        <v>19896.083812133227</v>
      </c>
      <c r="I147">
        <f t="shared" si="40"/>
        <v>113634910029.32007</v>
      </c>
      <c r="J147" s="6"/>
      <c r="K147" s="6"/>
      <c r="L147" s="6"/>
      <c r="M147" s="6"/>
      <c r="N147" s="6"/>
      <c r="O147" s="6"/>
      <c r="P147" s="6"/>
      <c r="Q147" s="6"/>
      <c r="R147" s="6"/>
      <c r="S147" s="6"/>
      <c r="Y147" s="7"/>
      <c r="AA147" s="2"/>
      <c r="AB147" s="2"/>
      <c r="AC147" s="2"/>
    </row>
    <row r="148" spans="6:29" x14ac:dyDescent="0.25">
      <c r="F148" s="5">
        <f t="shared" si="41"/>
        <v>3.315703595609881E-3</v>
      </c>
      <c r="G148" s="4">
        <f t="shared" si="38"/>
        <v>5854206.4800220961</v>
      </c>
      <c r="H148" s="3">
        <f t="shared" si="39"/>
        <v>19410.813475251929</v>
      </c>
      <c r="I148">
        <f t="shared" si="40"/>
        <v>113634910029.32007</v>
      </c>
      <c r="J148" s="6"/>
      <c r="K148" s="6"/>
      <c r="L148" s="6"/>
      <c r="M148" s="6"/>
      <c r="N148" s="6"/>
      <c r="O148" s="6"/>
      <c r="P148" s="6"/>
      <c r="Q148" s="6"/>
      <c r="R148" s="6"/>
      <c r="S148" s="6"/>
      <c r="Y148" s="7"/>
      <c r="AA148" s="2"/>
      <c r="AB148" s="2"/>
      <c r="AC148" s="2"/>
    </row>
    <row r="149" spans="6:29" x14ac:dyDescent="0.25">
      <c r="F149" s="5">
        <f t="shared" si="41"/>
        <v>3.1559344158095244E-3</v>
      </c>
      <c r="G149" s="4">
        <f t="shared" si="38"/>
        <v>6000561.6420226479</v>
      </c>
      <c r="H149" s="3">
        <f t="shared" si="39"/>
        <v>18937.379000245786</v>
      </c>
      <c r="I149">
        <f t="shared" si="40"/>
        <v>113634910029.32007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Y149" s="7"/>
      <c r="AA149" s="2"/>
      <c r="AB149" s="2"/>
      <c r="AC149" s="2"/>
    </row>
    <row r="150" spans="6:29" x14ac:dyDescent="0.25">
      <c r="F150" s="5">
        <f t="shared" si="41"/>
        <v>3.0038638104076384E-3</v>
      </c>
      <c r="G150" s="4">
        <f t="shared" si="38"/>
        <v>6150575.6830732133</v>
      </c>
      <c r="H150" s="3">
        <f t="shared" si="39"/>
        <v>18475.491707556866</v>
      </c>
      <c r="I150">
        <f t="shared" si="40"/>
        <v>113634910029.32007</v>
      </c>
      <c r="J150" s="6"/>
      <c r="K150" s="6"/>
      <c r="L150" s="6"/>
      <c r="M150" s="6"/>
      <c r="N150" s="6"/>
      <c r="O150" s="6"/>
      <c r="P150" s="6"/>
      <c r="Q150" s="6"/>
      <c r="R150" s="6"/>
      <c r="S150" s="6"/>
      <c r="Y150" s="7"/>
      <c r="AA150" s="2"/>
      <c r="AB150" s="2"/>
      <c r="AC150" s="2"/>
    </row>
    <row r="151" spans="6:29" x14ac:dyDescent="0.25">
      <c r="F151" s="5">
        <f t="shared" si="41"/>
        <v>2.859120818948378E-3</v>
      </c>
      <c r="G151" s="4">
        <f t="shared" si="38"/>
        <v>6304340.0751500428</v>
      </c>
      <c r="H151" s="3">
        <f t="shared" si="39"/>
        <v>18024.869958592069</v>
      </c>
      <c r="I151">
        <f t="shared" si="40"/>
        <v>113634910029.32007</v>
      </c>
      <c r="J151" s="6"/>
      <c r="K151" s="6"/>
      <c r="L151" s="6"/>
      <c r="M151" s="6"/>
      <c r="N151" s="6"/>
      <c r="O151" s="6"/>
      <c r="P151" s="6"/>
      <c r="Q151" s="6"/>
      <c r="R151" s="6"/>
      <c r="S151" s="6"/>
      <c r="Y151" s="7"/>
      <c r="AA151" s="2"/>
      <c r="AB151" s="2"/>
      <c r="AC151" s="2"/>
    </row>
    <row r="152" spans="6:29" x14ac:dyDescent="0.25">
      <c r="F152" s="5">
        <f t="shared" si="41"/>
        <v>2.7213523559294498E-3</v>
      </c>
      <c r="G152" s="4">
        <f t="shared" si="38"/>
        <v>6461948.5770287933</v>
      </c>
      <c r="H152" s="3">
        <f t="shared" si="39"/>
        <v>17585.238983992262</v>
      </c>
      <c r="I152">
        <f t="shared" si="40"/>
        <v>113634910029.32007</v>
      </c>
      <c r="J152" s="6"/>
      <c r="K152" s="6"/>
      <c r="L152" s="6"/>
      <c r="M152" s="6"/>
      <c r="N152" s="6"/>
      <c r="O152" s="6"/>
      <c r="P152" s="6"/>
      <c r="Q152" s="6"/>
      <c r="R152" s="6"/>
      <c r="S152" s="6"/>
      <c r="Y152" s="7"/>
      <c r="AA152" s="2"/>
      <c r="AB152" s="2"/>
      <c r="AC152" s="2"/>
    </row>
    <row r="153" spans="6:29" x14ac:dyDescent="0.25">
      <c r="F153" s="5">
        <f t="shared" si="41"/>
        <v>2.5902223494866871E-3</v>
      </c>
      <c r="G153" s="4">
        <f t="shared" si="38"/>
        <v>6623497.2914545126</v>
      </c>
      <c r="H153" s="3">
        <f t="shared" si="39"/>
        <v>17156.330716090015</v>
      </c>
      <c r="I153">
        <f t="shared" si="40"/>
        <v>113634910029.32007</v>
      </c>
      <c r="J153" s="6"/>
      <c r="K153" s="6"/>
      <c r="L153" s="6"/>
      <c r="M153" s="6"/>
      <c r="N153" s="6"/>
      <c r="O153" s="6"/>
      <c r="P153" s="6"/>
      <c r="Q153" s="6"/>
      <c r="R153" s="6"/>
      <c r="S153" s="6"/>
      <c r="Y153" s="7"/>
      <c r="AA153" s="2"/>
      <c r="AB153" s="2"/>
      <c r="AC153" s="2"/>
    </row>
    <row r="154" spans="6:29" x14ac:dyDescent="0.25">
      <c r="F154" s="5">
        <f t="shared" si="41"/>
        <v>2.4654109215816178E-3</v>
      </c>
      <c r="G154" s="4">
        <f t="shared" si="38"/>
        <v>6789084.7237408748</v>
      </c>
      <c r="H154" s="3">
        <f t="shared" si="39"/>
        <v>16737.883625453673</v>
      </c>
      <c r="I154">
        <f t="shared" si="40"/>
        <v>113634910029.32007</v>
      </c>
      <c r="J154" s="6"/>
      <c r="K154" s="6"/>
      <c r="L154" s="6"/>
      <c r="M154" s="6"/>
      <c r="N154" s="6"/>
      <c r="O154" s="6"/>
      <c r="P154" s="6"/>
      <c r="Q154" s="6"/>
      <c r="R154" s="6"/>
      <c r="S154" s="6"/>
      <c r="Y154" s="7"/>
      <c r="AA154" s="2"/>
      <c r="AB154" s="2"/>
      <c r="AC154" s="2"/>
    </row>
    <row r="155" spans="6:29" x14ac:dyDescent="0.25">
      <c r="F155" s="5">
        <f t="shared" si="41"/>
        <v>2.3466136076922004E-3</v>
      </c>
      <c r="G155" s="4">
        <f t="shared" si="38"/>
        <v>6958811.8418343961</v>
      </c>
      <c r="H155" s="3">
        <f t="shared" si="39"/>
        <v>16329.642561418219</v>
      </c>
      <c r="I155">
        <f t="shared" si="40"/>
        <v>113634910029.32007</v>
      </c>
      <c r="J155" s="6"/>
      <c r="K155" s="6"/>
      <c r="L155" s="6"/>
      <c r="M155" s="6"/>
      <c r="N155" s="6"/>
      <c r="O155" s="6"/>
      <c r="P155" s="6"/>
      <c r="Q155" s="6"/>
      <c r="R155" s="6"/>
      <c r="S155" s="6"/>
      <c r="Y155" s="7"/>
      <c r="AA155" s="2"/>
      <c r="AB155" s="2"/>
      <c r="AC155" s="2"/>
    </row>
    <row r="156" spans="6:29" x14ac:dyDescent="0.25">
      <c r="F156" s="5">
        <f t="shared" si="41"/>
        <v>2.2335406141032253E-3</v>
      </c>
      <c r="G156" s="4">
        <f t="shared" si="38"/>
        <v>7132782.1378802555</v>
      </c>
      <c r="H156" s="3">
        <f t="shared" si="39"/>
        <v>15931.358596505581</v>
      </c>
      <c r="I156">
        <f t="shared" si="40"/>
        <v>113634910029.32007</v>
      </c>
      <c r="J156" s="6"/>
      <c r="K156" s="6"/>
      <c r="L156" s="6"/>
      <c r="M156" s="6"/>
      <c r="N156" s="6"/>
      <c r="O156" s="6"/>
      <c r="P156" s="6"/>
      <c r="Q156" s="6"/>
      <c r="R156" s="6"/>
      <c r="S156" s="6"/>
      <c r="Y156" s="7"/>
      <c r="AA156" s="2"/>
      <c r="AB156" s="2"/>
      <c r="AC156" s="2"/>
    </row>
    <row r="157" spans="6:29" x14ac:dyDescent="0.25">
      <c r="F157" s="5">
        <f t="shared" si="41"/>
        <v>2.1259161109846293E-3</v>
      </c>
      <c r="G157" s="4">
        <f t="shared" si="38"/>
        <v>7311101.6913272608</v>
      </c>
      <c r="H157" s="3">
        <f t="shared" si="39"/>
        <v>15542.788874639595</v>
      </c>
      <c r="I157">
        <f t="shared" si="40"/>
        <v>113634910029.32007</v>
      </c>
      <c r="J157" s="6"/>
      <c r="K157" s="6"/>
      <c r="L157" s="6"/>
      <c r="M157" s="6"/>
      <c r="N157" s="6"/>
      <c r="O157" s="6"/>
      <c r="P157" s="6"/>
      <c r="Q157" s="6"/>
      <c r="R157" s="6"/>
      <c r="S157" s="6"/>
      <c r="Y157" s="7"/>
      <c r="AA157" s="2"/>
      <c r="AB157" s="2"/>
      <c r="AC157" s="2"/>
    </row>
    <row r="158" spans="6:29" x14ac:dyDescent="0.25">
      <c r="F158" s="5">
        <f t="shared" si="41"/>
        <v>2.0234775595332579E-3</v>
      </c>
      <c r="G158" s="4">
        <f t="shared" si="38"/>
        <v>7493879.2336104419</v>
      </c>
      <c r="H158" s="3">
        <f t="shared" si="39"/>
        <v>15163.696463063019</v>
      </c>
      <c r="I158">
        <f t="shared" si="40"/>
        <v>113634910029.32007</v>
      </c>
      <c r="J158" s="6"/>
      <c r="K158" s="6"/>
      <c r="L158" s="6"/>
      <c r="M158" s="6"/>
      <c r="N158" s="6"/>
      <c r="O158" s="6"/>
      <c r="P158" s="6"/>
      <c r="Q158" s="6"/>
      <c r="R158" s="6"/>
      <c r="S158" s="6"/>
      <c r="Y158" s="7"/>
      <c r="AA158" s="2"/>
      <c r="AB158" s="2"/>
      <c r="AC158" s="2"/>
    </row>
    <row r="159" spans="6:29" x14ac:dyDescent="0.25">
      <c r="F159" s="5">
        <f t="shared" si="41"/>
        <v>1.9259750715367124E-3</v>
      </c>
      <c r="G159" s="4">
        <f t="shared" si="38"/>
        <v>7681226.2144507021</v>
      </c>
      <c r="H159" s="3">
        <f t="shared" si="39"/>
        <v>14793.850207866362</v>
      </c>
      <c r="I159">
        <f t="shared" si="40"/>
        <v>113634910029.32007</v>
      </c>
      <c r="J159" s="6"/>
      <c r="K159" s="6"/>
      <c r="L159" s="6"/>
      <c r="M159" s="6"/>
      <c r="N159" s="6"/>
      <c r="O159" s="6"/>
      <c r="P159" s="6"/>
      <c r="Q159" s="6"/>
      <c r="R159" s="6"/>
      <c r="S159" s="6"/>
      <c r="Y159" s="7"/>
      <c r="AA159" s="2"/>
      <c r="AB159" s="2"/>
      <c r="AC159" s="2"/>
    </row>
    <row r="160" spans="6:29" x14ac:dyDescent="0.25">
      <c r="F160" s="5">
        <f t="shared" si="41"/>
        <v>1.8331707997969902E-3</v>
      </c>
      <c r="G160" s="4">
        <f t="shared" si="38"/>
        <v>7873256.8698119689</v>
      </c>
      <c r="H160" s="3">
        <f t="shared" si="39"/>
        <v>14433.024593040354</v>
      </c>
      <c r="I160">
        <f t="shared" si="40"/>
        <v>113634910029.32007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Y160" s="7"/>
      <c r="AA160" s="2"/>
      <c r="AB160" s="2"/>
      <c r="AC160" s="2"/>
    </row>
    <row r="161" spans="6:29" x14ac:dyDescent="0.25">
      <c r="F161" s="5">
        <f t="shared" si="41"/>
        <v>1.7448383579269392E-3</v>
      </c>
      <c r="G161" s="4">
        <f t="shared" si="38"/>
        <v>8070088.2915572673</v>
      </c>
      <c r="H161" s="3">
        <f t="shared" si="39"/>
        <v>14080.999602966202</v>
      </c>
      <c r="I161">
        <f t="shared" si="40"/>
        <v>113634910029.32007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Y161" s="7"/>
      <c r="AA161" s="2"/>
      <c r="AB161" s="2"/>
      <c r="AC161" s="2"/>
    </row>
    <row r="162" spans="6:29" x14ac:dyDescent="0.25">
      <c r="F162" s="5">
        <f t="shared" si="41"/>
        <v>1.6607622681041661E-3</v>
      </c>
      <c r="G162" s="4">
        <f t="shared" si="38"/>
        <v>8271840.4988461984</v>
      </c>
      <c r="H162" s="3">
        <f t="shared" si="39"/>
        <v>13737.56058825971</v>
      </c>
      <c r="I162">
        <f t="shared" si="40"/>
        <v>113634910029.32007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Y162" s="7"/>
      <c r="AA162" s="2"/>
      <c r="AB162" s="2"/>
      <c r="AC162" s="2"/>
    </row>
    <row r="163" spans="6:29" x14ac:dyDescent="0.25">
      <c r="F163" s="5">
        <f t="shared" si="41"/>
        <v>1.5807374354352569E-3</v>
      </c>
      <c r="G163" s="4">
        <f t="shared" si="38"/>
        <v>8478636.5113173518</v>
      </c>
      <c r="H163" s="3">
        <f t="shared" si="39"/>
        <v>13402.498134887524</v>
      </c>
      <c r="I163">
        <f t="shared" si="40"/>
        <v>113634910029.32007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Y163" s="7"/>
      <c r="AA163" s="2"/>
      <c r="AB163" s="2"/>
      <c r="AC163" s="2"/>
    </row>
    <row r="164" spans="6:29" x14ac:dyDescent="0.25">
      <c r="F164" s="5">
        <f t="shared" si="41"/>
        <v>1.5045686476480732E-3</v>
      </c>
      <c r="G164" s="4">
        <f t="shared" si="38"/>
        <v>8690602.4241002854</v>
      </c>
      <c r="H164" s="3">
        <f t="shared" si="39"/>
        <v>13075.607936475633</v>
      </c>
      <c r="I164">
        <f t="shared" si="40"/>
        <v>113634910029.32007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Y164" s="7"/>
      <c r="AA164" s="2"/>
      <c r="AB164" s="2"/>
      <c r="AC164" s="2"/>
    </row>
    <row r="165" spans="6:29" x14ac:dyDescent="0.25">
      <c r="F165" s="5">
        <f t="shared" si="41"/>
        <v>1.4320700988916821E-3</v>
      </c>
      <c r="G165" s="4">
        <f t="shared" si="38"/>
        <v>8907867.484702792</v>
      </c>
      <c r="H165" s="3">
        <f t="shared" si="39"/>
        <v>12756.690669732327</v>
      </c>
      <c r="I165">
        <f t="shared" si="40"/>
        <v>113634910029.32007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Y165" s="7"/>
      <c r="AA165" s="2"/>
      <c r="AB165" s="2"/>
      <c r="AC165" s="2"/>
    </row>
    <row r="166" spans="6:29" x14ac:dyDescent="0.25">
      <c r="F166" s="5">
        <f t="shared" si="41"/>
        <v>1.3630649364822674E-3</v>
      </c>
      <c r="G166" s="4">
        <f t="shared" si="38"/>
        <v>9130564.1718203612</v>
      </c>
      <c r="H166" s="3">
        <f t="shared" si="39"/>
        <v>12445.551872909587</v>
      </c>
      <c r="I166">
        <f t="shared" si="40"/>
        <v>113634910029.32007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Y166" s="7"/>
      <c r="AA166" s="2"/>
      <c r="AB166" s="2"/>
      <c r="AC166" s="2"/>
    </row>
    <row r="167" spans="6:29" x14ac:dyDescent="0.25">
      <c r="F167" s="5">
        <f t="shared" si="41"/>
        <v>1.2973848294893682E-3</v>
      </c>
      <c r="G167" s="4">
        <f t="shared" si="38"/>
        <v>9358828.2761158701</v>
      </c>
      <c r="H167" s="3">
        <f t="shared" si="39"/>
        <v>12142.001827228865</v>
      </c>
      <c r="I167">
        <f t="shared" si="40"/>
        <v>113634910029.32007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Y167" s="7"/>
      <c r="AA167" s="2"/>
      <c r="AB167" s="2"/>
      <c r="AC167" s="2"/>
    </row>
    <row r="168" spans="6:29" x14ac:dyDescent="0.25">
      <c r="F168" s="5">
        <f t="shared" si="41"/>
        <v>1.2348695581100475E-3</v>
      </c>
      <c r="G168" s="4">
        <f t="shared" si="38"/>
        <v>9592798.9830187652</v>
      </c>
      <c r="H168" s="3">
        <f t="shared" si="39"/>
        <v>11845.855441198895</v>
      </c>
      <c r="I168">
        <f t="shared" si="40"/>
        <v>113634910029.32007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Y168" s="7"/>
      <c r="AA168" s="2"/>
      <c r="AB168" s="2"/>
      <c r="AC168" s="2"/>
    </row>
    <row r="169" spans="6:29" x14ac:dyDescent="0.25">
      <c r="F169" s="5">
        <f t="shared" si="41"/>
        <v>1.1753666228293139E-3</v>
      </c>
      <c r="G169" s="4">
        <f t="shared" si="38"/>
        <v>9832618.9575942326</v>
      </c>
      <c r="H169" s="3">
        <f t="shared" si="39"/>
        <v>11556.932137755022</v>
      </c>
      <c r="I169">
        <f t="shared" si="40"/>
        <v>113634910029.32007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Y169" s="7"/>
      <c r="AA169" s="2"/>
      <c r="AB169" s="2"/>
      <c r="AC169" s="2"/>
    </row>
    <row r="170" spans="6:29" x14ac:dyDescent="0.25">
      <c r="F170" s="5">
        <f t="shared" si="41"/>
        <v>1.1187308724133866E-3</v>
      </c>
      <c r="G170" s="4">
        <f t="shared" si="38"/>
        <v>10078434.431534087</v>
      </c>
      <c r="H170" s="3">
        <f t="shared" si="39"/>
        <v>11275.055744151243</v>
      </c>
      <c r="I170">
        <f t="shared" si="40"/>
        <v>113634910029.32007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Y170" s="7"/>
      <c r="AA170" s="2"/>
      <c r="AB170" s="2"/>
      <c r="AC170" s="2"/>
    </row>
    <row r="171" spans="6:29" x14ac:dyDescent="0.25">
      <c r="F171" s="5">
        <f t="shared" si="41"/>
        <v>1.0648241498283275E-3</v>
      </c>
      <c r="G171" s="4">
        <f t="shared" si="38"/>
        <v>10330395.292322438</v>
      </c>
      <c r="H171" s="3">
        <f t="shared" si="39"/>
        <v>11000.054384537798</v>
      </c>
      <c r="I171">
        <f t="shared" si="40"/>
        <v>113634910029.32007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Y171" s="7"/>
      <c r="AA171" s="2"/>
      <c r="AB171" s="2"/>
      <c r="AC171" s="2"/>
    </row>
    <row r="172" spans="6:29" x14ac:dyDescent="0.25">
      <c r="F172" s="5">
        <f t="shared" si="41"/>
        <v>1.0135149552203001E-3</v>
      </c>
      <c r="G172" s="4">
        <f t="shared" si="38"/>
        <v>10588655.174630499</v>
      </c>
      <c r="H172" s="3">
        <f t="shared" si="39"/>
        <v>10731.760375158829</v>
      </c>
      <c r="I172">
        <f t="shared" si="40"/>
        <v>113634910029.32007</v>
      </c>
      <c r="J172" s="6"/>
      <c r="K172" s="6"/>
      <c r="L172" s="6"/>
      <c r="M172" s="6"/>
      <c r="N172" s="6"/>
      <c r="O172" s="6"/>
      <c r="P172" s="6"/>
      <c r="Q172" s="6"/>
      <c r="R172" s="6"/>
      <c r="S172" s="6"/>
      <c r="Y172" s="7"/>
      <c r="AA172" s="2"/>
      <c r="AB172" s="2"/>
      <c r="AC172" s="2"/>
    </row>
    <row r="173" spans="6:29" x14ac:dyDescent="0.25">
      <c r="F173" s="5">
        <f t="shared" si="41"/>
        <v>9.6467812513532458E-4</v>
      </c>
      <c r="G173" s="4">
        <f t="shared" si="38"/>
        <v>10853371.553996259</v>
      </c>
      <c r="H173" s="3">
        <f t="shared" si="39"/>
        <v>10470.010122106176</v>
      </c>
      <c r="I173">
        <f t="shared" si="40"/>
        <v>113634910029.32007</v>
      </c>
      <c r="J173" s="6"/>
      <c r="K173" s="6"/>
      <c r="L173" s="6"/>
      <c r="M173" s="6"/>
      <c r="N173" s="6"/>
      <c r="O173" s="6"/>
      <c r="P173" s="6"/>
      <c r="Q173" s="6"/>
      <c r="R173" s="6"/>
      <c r="S173" s="6"/>
      <c r="Y173" s="7"/>
      <c r="AA173" s="2"/>
      <c r="AB173" s="2"/>
      <c r="AC173" s="2"/>
    </row>
    <row r="174" spans="6:29" x14ac:dyDescent="0.25">
      <c r="F174" s="5">
        <f t="shared" si="41"/>
        <v>9.1819452719602609E-4</v>
      </c>
      <c r="G174" s="4">
        <f t="shared" si="38"/>
        <v>11124705.842846164</v>
      </c>
      <c r="H174" s="3">
        <f t="shared" si="39"/>
        <v>10214.644021567003</v>
      </c>
      <c r="I174">
        <f t="shared" si="40"/>
        <v>113634910029.32007</v>
      </c>
      <c r="J174" s="6"/>
      <c r="K174" s="6"/>
      <c r="L174" s="6"/>
      <c r="M174" s="6"/>
      <c r="N174" s="6"/>
      <c r="O174" s="6"/>
      <c r="P174" s="6"/>
      <c r="Q174" s="6"/>
      <c r="R174" s="6"/>
      <c r="S174" s="6"/>
      <c r="Y174" s="7"/>
      <c r="AA174" s="2"/>
      <c r="AB174" s="2"/>
      <c r="AC174" s="2"/>
    </row>
    <row r="175" spans="6:29" x14ac:dyDescent="0.25">
      <c r="F175" s="5">
        <f t="shared" si="41"/>
        <v>8.7395076949056628E-4</v>
      </c>
      <c r="G175" s="4">
        <f t="shared" si="38"/>
        <v>11402823.488917317</v>
      </c>
      <c r="H175" s="3">
        <f t="shared" si="39"/>
        <v>9965.5063625043931</v>
      </c>
      <c r="I175">
        <f t="shared" si="40"/>
        <v>113634910029.32007</v>
      </c>
      <c r="J175" s="6"/>
      <c r="K175" s="6"/>
      <c r="L175" s="6"/>
      <c r="M175" s="6"/>
      <c r="N175" s="6"/>
      <c r="O175" s="6"/>
      <c r="P175" s="6"/>
      <c r="Q175" s="6"/>
      <c r="R175" s="6"/>
      <c r="S175" s="6"/>
      <c r="Y175" s="7"/>
      <c r="AA175" s="2"/>
      <c r="AB175" s="2"/>
      <c r="AC175" s="2"/>
    </row>
    <row r="176" spans="6:29" x14ac:dyDescent="0.25">
      <c r="F176" s="5">
        <f t="shared" si="41"/>
        <v>8.3183892396484615E-4</v>
      </c>
      <c r="G176" s="4">
        <f t="shared" si="38"/>
        <v>11687894.076140249</v>
      </c>
      <c r="H176" s="3">
        <f t="shared" si="39"/>
        <v>9722.4452317116047</v>
      </c>
      <c r="I176">
        <f t="shared" si="40"/>
        <v>113634910029.32007</v>
      </c>
      <c r="J176" s="6"/>
      <c r="K176" s="6"/>
      <c r="L176" s="6"/>
      <c r="M176" s="6"/>
      <c r="N176" s="6"/>
      <c r="O176" s="6"/>
      <c r="P176" s="6"/>
      <c r="Q176" s="6"/>
      <c r="R176" s="6"/>
      <c r="S176" s="6"/>
      <c r="Y176" s="7"/>
      <c r="AA176" s="2"/>
      <c r="AB176" s="2"/>
      <c r="AC176" s="2"/>
    </row>
    <row r="177" spans="6:29" x14ac:dyDescent="0.25">
      <c r="F177" s="5">
        <f t="shared" si="41"/>
        <v>7.9175626314322055E-4</v>
      </c>
      <c r="G177" s="4">
        <f t="shared" ref="G177:G240" si="42">G176*(1+$O$1)</f>
        <v>11980091.428043755</v>
      </c>
      <c r="H177" s="3">
        <f t="shared" si="39"/>
        <v>9485.3124211820523</v>
      </c>
      <c r="I177">
        <f t="shared" si="40"/>
        <v>113634910029.32007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Y177" s="7"/>
      <c r="AA177" s="2"/>
      <c r="AB177" s="2"/>
      <c r="AC177" s="2"/>
    </row>
    <row r="178" spans="6:29" x14ac:dyDescent="0.25">
      <c r="F178" s="5">
        <f t="shared" si="41"/>
        <v>7.5360500953548673E-4</v>
      </c>
      <c r="G178" s="4">
        <f t="shared" si="42"/>
        <v>12279593.713744847</v>
      </c>
      <c r="H178" s="3">
        <f t="shared" ref="H178:H241" si="43">I178/G178</f>
        <v>9253.963337738589</v>
      </c>
      <c r="I178">
        <f t="shared" ref="I178:I241" si="44">I177</f>
        <v>113634910029.32007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Y178" s="7"/>
      <c r="AA178" s="2"/>
      <c r="AB178" s="2"/>
      <c r="AC178" s="2"/>
    </row>
    <row r="179" spans="6:29" x14ac:dyDescent="0.25">
      <c r="F179" s="5">
        <f t="shared" si="41"/>
        <v>7.1729209711884543E-4</v>
      </c>
      <c r="G179" s="4">
        <f t="shared" si="42"/>
        <v>12586583.556588467</v>
      </c>
      <c r="H179" s="3">
        <f t="shared" si="43"/>
        <v>9028.2569148669172</v>
      </c>
      <c r="I179">
        <f t="shared" si="44"/>
        <v>113634910029.32007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Y179" s="7"/>
      <c r="AA179" s="2"/>
      <c r="AB179" s="2"/>
      <c r="AC179" s="2"/>
    </row>
    <row r="180" spans="6:29" x14ac:dyDescent="0.25">
      <c r="F180" s="5">
        <f t="shared" si="41"/>
        <v>6.8272894431299993E-4</v>
      </c>
      <c r="G180" s="4">
        <f t="shared" si="42"/>
        <v>12901248.145503178</v>
      </c>
      <c r="H180" s="3">
        <f t="shared" si="43"/>
        <v>8808.0555266994324</v>
      </c>
      <c r="I180">
        <f t="shared" si="44"/>
        <v>113634910029.32007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Y180" s="7"/>
      <c r="AA180" s="2"/>
      <c r="AB180" s="2"/>
      <c r="AC180" s="2"/>
    </row>
    <row r="181" spans="6:29" x14ac:dyDescent="0.25">
      <c r="F181" s="5">
        <f t="shared" si="41"/>
        <v>6.4983123789458654E-4</v>
      </c>
      <c r="G181" s="4">
        <f t="shared" si="42"/>
        <v>13223779.349140756</v>
      </c>
      <c r="H181" s="3">
        <f t="shared" si="43"/>
        <v>8593.2249040970073</v>
      </c>
      <c r="I181">
        <f t="shared" si="44"/>
        <v>113634910029.32007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Y181" s="7"/>
      <c r="AA181" s="2"/>
      <c r="AB181" s="2"/>
      <c r="AC181" s="2"/>
    </row>
    <row r="182" spans="6:29" x14ac:dyDescent="0.25">
      <c r="F182" s="5">
        <f t="shared" si="41"/>
        <v>6.1851872732381844E-4</v>
      </c>
      <c r="G182" s="4">
        <f t="shared" si="42"/>
        <v>13554373.832869273</v>
      </c>
      <c r="H182" s="3">
        <f t="shared" si="43"/>
        <v>8383.6340527775701</v>
      </c>
      <c r="I182">
        <f t="shared" si="44"/>
        <v>113634910029.32007</v>
      </c>
      <c r="J182" s="6"/>
      <c r="K182" s="6"/>
      <c r="L182" s="6"/>
      <c r="M182" s="6"/>
      <c r="N182" s="6"/>
      <c r="O182" s="6"/>
      <c r="P182" s="6"/>
      <c r="Q182" s="6"/>
      <c r="R182" s="6"/>
      <c r="S182" s="6"/>
      <c r="Y182" s="7"/>
      <c r="AA182" s="2"/>
      <c r="AB182" s="2"/>
      <c r="AC182" s="2"/>
    </row>
    <row r="183" spans="6:29" x14ac:dyDescent="0.25">
      <c r="F183" s="5">
        <f t="shared" si="41"/>
        <v>5.8871502898162392E-4</v>
      </c>
      <c r="G183" s="4">
        <f t="shared" si="42"/>
        <v>13893233.178691003</v>
      </c>
      <c r="H183" s="3">
        <f t="shared" si="43"/>
        <v>8179.1551734415325</v>
      </c>
      <c r="I183">
        <f t="shared" si="44"/>
        <v>113634910029.32007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Y183" s="7"/>
      <c r="AA183" s="2"/>
      <c r="AB183" s="2"/>
      <c r="AC183" s="2"/>
    </row>
    <row r="184" spans="6:29" x14ac:dyDescent="0.25">
      <c r="F184" s="5">
        <f t="shared" si="41"/>
        <v>5.6034743983973722E-4</v>
      </c>
      <c r="G184" s="4">
        <f t="shared" si="42"/>
        <v>14240564.008158278</v>
      </c>
      <c r="H184" s="3">
        <f t="shared" si="43"/>
        <v>7979.6635838453976</v>
      </c>
      <c r="I184">
        <f t="shared" si="44"/>
        <v>113634910029.32007</v>
      </c>
      <c r="J184" s="6"/>
      <c r="K184" s="6"/>
      <c r="L184" s="6"/>
      <c r="M184" s="6"/>
      <c r="N184" s="6"/>
      <c r="O184" s="6"/>
      <c r="P184" s="6"/>
      <c r="Q184" s="6"/>
      <c r="R184" s="6"/>
      <c r="S184" s="6"/>
      <c r="Y184" s="7"/>
      <c r="AA184" s="2"/>
      <c r="AB184" s="2"/>
      <c r="AC184" s="2"/>
    </row>
    <row r="185" spans="6:29" x14ac:dyDescent="0.25">
      <c r="F185" s="5">
        <f t="shared" si="41"/>
        <v>5.3334676010920862E-4</v>
      </c>
      <c r="G185" s="4">
        <f t="shared" si="42"/>
        <v>14596578.108362233</v>
      </c>
      <c r="H185" s="3">
        <f t="shared" si="43"/>
        <v>7785.0376427759984</v>
      </c>
      <c r="I185">
        <f t="shared" si="44"/>
        <v>113634910029.32007</v>
      </c>
      <c r="J185" s="6"/>
      <c r="K185" s="6"/>
      <c r="L185" s="6"/>
      <c r="M185" s="6"/>
      <c r="N185" s="6"/>
      <c r="O185" s="6"/>
      <c r="P185" s="6"/>
      <c r="Q185" s="6"/>
      <c r="R185" s="6"/>
      <c r="S185" s="6"/>
      <c r="Y185" s="7"/>
      <c r="AA185" s="2"/>
      <c r="AB185" s="2"/>
      <c r="AC185" s="2"/>
    </row>
    <row r="186" spans="6:29" x14ac:dyDescent="0.25">
      <c r="F186" s="5">
        <f t="shared" si="41"/>
        <v>5.0764712443470198E-4</v>
      </c>
      <c r="G186" s="4">
        <f t="shared" si="42"/>
        <v>14961492.561071288</v>
      </c>
      <c r="H186" s="3">
        <f t="shared" si="43"/>
        <v>7595.1586758790236</v>
      </c>
      <c r="I186">
        <f t="shared" si="44"/>
        <v>113634910029.32007</v>
      </c>
      <c r="J186" s="6"/>
      <c r="K186" s="6"/>
      <c r="L186" s="6"/>
      <c r="M186" s="6"/>
      <c r="N186" s="6"/>
      <c r="O186" s="6"/>
      <c r="P186" s="6"/>
      <c r="Q186" s="6"/>
      <c r="R186" s="6"/>
      <c r="S186" s="6"/>
      <c r="Y186" s="7"/>
      <c r="AA186" s="2"/>
      <c r="AB186" s="2"/>
      <c r="AC186" s="2"/>
    </row>
    <row r="187" spans="6:29" x14ac:dyDescent="0.25">
      <c r="F187" s="5">
        <f t="shared" si="41"/>
        <v>4.8318584122279798E-4</v>
      </c>
      <c r="G187" s="4">
        <f t="shared" si="42"/>
        <v>15335529.875098068</v>
      </c>
      <c r="H187" s="3">
        <f t="shared" si="43"/>
        <v>7409.9109032966098</v>
      </c>
      <c r="I187">
        <f t="shared" si="44"/>
        <v>113634910029.32007</v>
      </c>
      <c r="J187" s="6"/>
      <c r="K187" s="6"/>
      <c r="L187" s="6"/>
      <c r="M187" s="6"/>
      <c r="N187" s="6"/>
      <c r="O187" s="6"/>
      <c r="P187" s="6"/>
      <c r="Q187" s="6"/>
      <c r="R187" s="6"/>
      <c r="S187" s="6"/>
      <c r="Y187" s="7"/>
      <c r="AA187" s="2"/>
      <c r="AB187" s="2"/>
      <c r="AC187" s="2"/>
    </row>
    <row r="188" spans="6:29" x14ac:dyDescent="0.25">
      <c r="F188" s="5">
        <f t="shared" si="41"/>
        <v>4.5990323971235983E-4</v>
      </c>
      <c r="G188" s="4">
        <f t="shared" si="42"/>
        <v>15718918.121975519</v>
      </c>
      <c r="H188" s="3">
        <f t="shared" si="43"/>
        <v>7229.1813690698636</v>
      </c>
      <c r="I188">
        <f t="shared" si="44"/>
        <v>113634910029.32007</v>
      </c>
      <c r="J188" s="6"/>
      <c r="K188" s="6"/>
      <c r="L188" s="6"/>
      <c r="M188" s="6"/>
      <c r="N188" s="6"/>
      <c r="O188" s="6"/>
      <c r="P188" s="6"/>
      <c r="Q188" s="6"/>
      <c r="R188" s="6"/>
      <c r="S188" s="6"/>
      <c r="Y188" s="7"/>
      <c r="AA188" s="2"/>
      <c r="AB188" s="2"/>
      <c r="AC188" s="2"/>
    </row>
    <row r="189" spans="6:29" x14ac:dyDescent="0.25">
      <c r="F189" s="5">
        <f t="shared" si="41"/>
        <v>4.3774252441390593E-4</v>
      </c>
      <c r="G189" s="4">
        <f t="shared" si="42"/>
        <v>16111891.075024905</v>
      </c>
      <c r="H189" s="3">
        <f t="shared" si="43"/>
        <v>7052.8598722632823</v>
      </c>
      <c r="I189">
        <f t="shared" si="44"/>
        <v>113634910029.32007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Y189" s="7"/>
      <c r="AA189" s="2"/>
      <c r="AB189" s="2"/>
      <c r="AC189" s="2"/>
    </row>
    <row r="190" spans="6:29" x14ac:dyDescent="0.25">
      <c r="F190" s="5">
        <f t="shared" si="41"/>
        <v>4.1664963656290878E-4</v>
      </c>
      <c r="G190" s="4">
        <f t="shared" si="42"/>
        <v>16514688.351900525</v>
      </c>
      <c r="H190" s="3">
        <f t="shared" si="43"/>
        <v>6880.8388997690572</v>
      </c>
      <c r="I190">
        <f t="shared" si="44"/>
        <v>113634910029.32007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Y190" s="7"/>
      <c r="AA190" s="2"/>
      <c r="AB190" s="2"/>
      <c r="AC190" s="2"/>
    </row>
    <row r="191" spans="6:29" x14ac:dyDescent="0.25">
      <c r="F191" s="5">
        <f t="shared" si="41"/>
        <v>3.9657312224905067E-4</v>
      </c>
      <c r="G191" s="4">
        <f t="shared" si="42"/>
        <v>16927555.560698036</v>
      </c>
      <c r="H191" s="3">
        <f t="shared" si="43"/>
        <v>6713.0135607502998</v>
      </c>
      <c r="I191">
        <f t="shared" si="44"/>
        <v>113634910029.32007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Y191" s="7"/>
      <c r="AA191" s="2"/>
      <c r="AB191" s="2"/>
      <c r="AC191" s="2"/>
    </row>
    <row r="192" spans="6:29" x14ac:dyDescent="0.25">
      <c r="F192" s="5">
        <f t="shared" si="41"/>
        <v>3.7746400689975094E-4</v>
      </c>
      <c r="G192" s="4">
        <f t="shared" si="42"/>
        <v>17350744.449715484</v>
      </c>
      <c r="H192" s="3">
        <f t="shared" si="43"/>
        <v>6549.2815226832208</v>
      </c>
      <c r="I192">
        <f t="shared" si="44"/>
        <v>113634910029.32007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Y192" s="7"/>
      <c r="AA192" s="2"/>
      <c r="AB192" s="2"/>
      <c r="AC192" s="2"/>
    </row>
    <row r="193" spans="6:29" x14ac:dyDescent="0.25">
      <c r="F193" s="5">
        <f t="shared" si="41"/>
        <v>3.5927567581177963E-4</v>
      </c>
      <c r="G193" s="4">
        <f t="shared" si="42"/>
        <v>17784513.060958371</v>
      </c>
      <c r="H193" s="3">
        <f t="shared" si="43"/>
        <v>6389.5429489592398</v>
      </c>
      <c r="I193">
        <f t="shared" si="44"/>
        <v>113634910029.32007</v>
      </c>
      <c r="J193" s="6"/>
      <c r="K193" s="6"/>
      <c r="L193" s="6"/>
      <c r="M193" s="6"/>
      <c r="N193" s="6"/>
      <c r="O193" s="6"/>
      <c r="P193" s="6"/>
      <c r="Q193" s="6"/>
      <c r="R193" s="6"/>
      <c r="S193" s="6"/>
      <c r="Y193" s="7"/>
      <c r="AA193" s="2"/>
      <c r="AB193" s="2"/>
      <c r="AC193" s="2"/>
    </row>
    <row r="194" spans="6:29" x14ac:dyDescent="0.25">
      <c r="F194" s="5">
        <f t="shared" si="41"/>
        <v>3.419637604395286E-4</v>
      </c>
      <c r="G194" s="4">
        <f t="shared" si="42"/>
        <v>18229125.887482326</v>
      </c>
      <c r="H194" s="3">
        <f t="shared" si="43"/>
        <v>6233.7004380090157</v>
      </c>
      <c r="I194">
        <f t="shared" si="44"/>
        <v>113634910029.32007</v>
      </c>
      <c r="J194" s="6"/>
      <c r="K194" s="6"/>
      <c r="L194" s="6"/>
      <c r="M194" s="6"/>
      <c r="N194" s="6"/>
      <c r="O194" s="6"/>
      <c r="P194" s="6"/>
      <c r="Q194" s="6"/>
      <c r="R194" s="6"/>
      <c r="S194" s="6"/>
      <c r="Y194" s="7"/>
      <c r="AA194" s="2"/>
      <c r="AB194" s="2"/>
      <c r="AC194" s="2"/>
    </row>
    <row r="195" spans="6:29" x14ac:dyDescent="0.25">
      <c r="F195" s="5">
        <f t="shared" si="41"/>
        <v>3.2548603016254959E-4</v>
      </c>
      <c r="G195" s="4">
        <f t="shared" si="42"/>
        <v>18684854.034669384</v>
      </c>
      <c r="H195" s="3">
        <f t="shared" si="43"/>
        <v>6081.6589639112353</v>
      </c>
      <c r="I195">
        <f t="shared" si="44"/>
        <v>113634910029.32007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Y195" s="7"/>
      <c r="AA195" s="2"/>
      <c r="AB195" s="2"/>
      <c r="AC195" s="2"/>
    </row>
    <row r="196" spans="6:29" x14ac:dyDescent="0.25">
      <c r="F196" s="5">
        <f t="shared" si="41"/>
        <v>3.0980228926833994E-4</v>
      </c>
      <c r="G196" s="4">
        <f t="shared" si="42"/>
        <v>19151975.385536116</v>
      </c>
      <c r="H196" s="3">
        <f t="shared" si="43"/>
        <v>5933.3258184499864</v>
      </c>
      <c r="I196">
        <f t="shared" si="44"/>
        <v>113634910029.32007</v>
      </c>
      <c r="J196" s="6"/>
      <c r="K196" s="6"/>
      <c r="L196" s="6"/>
      <c r="M196" s="6"/>
      <c r="N196" s="6"/>
      <c r="O196" s="6"/>
      <c r="P196" s="6"/>
      <c r="Q196" s="6"/>
      <c r="R196" s="6"/>
      <c r="S196" s="6"/>
      <c r="Y196" s="7"/>
      <c r="AA196" s="2"/>
      <c r="AB196" s="2"/>
      <c r="AC196" s="2"/>
    </row>
    <row r="197" spans="6:29" x14ac:dyDescent="0.25">
      <c r="F197" s="5">
        <f t="shared" si="41"/>
        <v>2.9487427889907434E-4</v>
      </c>
      <c r="G197" s="4">
        <f t="shared" si="42"/>
        <v>19630774.770174518</v>
      </c>
      <c r="H197" s="3">
        <f t="shared" si="43"/>
        <v>5788.6105545853525</v>
      </c>
      <c r="I197">
        <f t="shared" si="44"/>
        <v>113634910029.32007</v>
      </c>
      <c r="J197" s="6"/>
      <c r="K197" s="6"/>
      <c r="L197" s="6"/>
      <c r="M197" s="6"/>
      <c r="N197" s="6"/>
      <c r="O197" s="6"/>
      <c r="P197" s="6"/>
      <c r="Q197" s="6"/>
      <c r="R197" s="6"/>
      <c r="S197" s="6"/>
      <c r="Y197" s="7"/>
      <c r="AA197" s="2"/>
      <c r="AB197" s="2"/>
      <c r="AC197" s="2"/>
    </row>
    <row r="198" spans="6:29" x14ac:dyDescent="0.25">
      <c r="F198" s="5">
        <f t="shared" si="41"/>
        <v>2.8066558372309279E-4</v>
      </c>
      <c r="G198" s="4">
        <f t="shared" si="42"/>
        <v>20121544.13942888</v>
      </c>
      <c r="H198" s="3">
        <f t="shared" si="43"/>
        <v>5647.4249313027831</v>
      </c>
      <c r="I198">
        <f t="shared" si="44"/>
        <v>113634910029.32007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Y198" s="7"/>
      <c r="AA198" s="2"/>
      <c r="AB198" s="2"/>
      <c r="AC198" s="2"/>
    </row>
    <row r="199" spans="6:29" x14ac:dyDescent="0.25">
      <c r="F199" s="5">
        <f t="shared" si="41"/>
        <v>2.6714154310347927E-4</v>
      </c>
      <c r="G199" s="4">
        <f t="shared" si="42"/>
        <v>20624582.742914598</v>
      </c>
      <c r="H199" s="3">
        <f t="shared" si="43"/>
        <v>5509.6828598075945</v>
      </c>
      <c r="I199">
        <f t="shared" si="44"/>
        <v>113634910029.32007</v>
      </c>
      <c r="J199" s="6"/>
      <c r="K199" s="6"/>
      <c r="L199" s="6"/>
      <c r="M199" s="6"/>
      <c r="N199" s="6"/>
      <c r="O199" s="6"/>
      <c r="P199" s="6"/>
      <c r="Q199" s="6"/>
      <c r="R199" s="6"/>
      <c r="S199" s="6"/>
      <c r="Y199" s="7"/>
      <c r="AA199" s="2"/>
      <c r="AB199" s="2"/>
      <c r="AC199" s="2"/>
    </row>
    <row r="200" spans="6:29" x14ac:dyDescent="0.25">
      <c r="F200" s="5">
        <f t="shared" si="41"/>
        <v>2.542691665470356E-4</v>
      </c>
      <c r="G200" s="4">
        <f t="shared" si="42"/>
        <v>21140197.311487462</v>
      </c>
      <c r="H200" s="3">
        <f t="shared" si="43"/>
        <v>5375.3003510317994</v>
      </c>
      <c r="I200">
        <f t="shared" si="44"/>
        <v>113634910029.32007</v>
      </c>
      <c r="J200" s="6"/>
      <c r="K200" s="6"/>
      <c r="L200" s="6"/>
      <c r="M200" s="6"/>
      <c r="N200" s="6"/>
      <c r="O200" s="6"/>
      <c r="P200" s="6"/>
      <c r="Q200" s="6"/>
      <c r="R200" s="6"/>
      <c r="S200" s="6"/>
      <c r="Y200" s="7"/>
      <c r="AA200" s="2"/>
      <c r="AB200" s="2"/>
      <c r="AC200" s="2"/>
    </row>
    <row r="201" spans="6:29" x14ac:dyDescent="0.25">
      <c r="F201" s="5">
        <f t="shared" ref="F201:F264" si="45">H201/G201</f>
        <v>2.4201705322739864E-4</v>
      </c>
      <c r="G201" s="4">
        <f t="shared" si="42"/>
        <v>21668702.244274646</v>
      </c>
      <c r="H201" s="3">
        <f t="shared" si="43"/>
        <v>5244.1954644212692</v>
      </c>
      <c r="I201">
        <f t="shared" si="44"/>
        <v>113634910029.32007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Y201" s="7"/>
      <c r="AA201" s="2"/>
      <c r="AB201" s="2"/>
      <c r="AC201" s="2"/>
    </row>
    <row r="202" spans="6:29" x14ac:dyDescent="0.25">
      <c r="F202" s="5">
        <f t="shared" si="45"/>
        <v>2.3035531538598324E-4</v>
      </c>
      <c r="G202" s="4">
        <f t="shared" si="42"/>
        <v>22210419.800381511</v>
      </c>
      <c r="H202" s="3">
        <f t="shared" si="43"/>
        <v>5116.2882579719699</v>
      </c>
      <c r="I202">
        <f t="shared" si="44"/>
        <v>113634910029.32007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Y202" s="7"/>
      <c r="AA202" s="2"/>
      <c r="AB202" s="2"/>
      <c r="AC202" s="2"/>
    </row>
    <row r="203" spans="6:29" x14ac:dyDescent="0.25">
      <c r="F203" s="5">
        <f t="shared" si="45"/>
        <v>2.1925550542389844E-4</v>
      </c>
      <c r="G203" s="4">
        <f t="shared" si="42"/>
        <v>22765680.295391046</v>
      </c>
      <c r="H203" s="3">
        <f t="shared" si="43"/>
        <v>4991.500739484849</v>
      </c>
      <c r="I203">
        <f t="shared" si="44"/>
        <v>113634910029.32007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Y203" s="7"/>
      <c r="AA203" s="2"/>
      <c r="AB203" s="2"/>
      <c r="AC203" s="2"/>
    </row>
    <row r="204" spans="6:29" x14ac:dyDescent="0.25">
      <c r="F204" s="5">
        <f t="shared" si="45"/>
        <v>2.0869054650698253E-4</v>
      </c>
      <c r="G204" s="4">
        <f t="shared" si="42"/>
        <v>23334822.302775819</v>
      </c>
      <c r="H204" s="3">
        <f t="shared" si="43"/>
        <v>4869.7568190096099</v>
      </c>
      <c r="I204">
        <f t="shared" si="44"/>
        <v>113634910029.32007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Y204" s="7"/>
      <c r="AA204" s="2"/>
      <c r="AB204" s="2"/>
      <c r="AC204" s="2"/>
    </row>
    <row r="205" spans="6:29" x14ac:dyDescent="0.25">
      <c r="F205" s="5">
        <f t="shared" si="45"/>
        <v>1.9863466651467705E-4</v>
      </c>
      <c r="G205" s="4">
        <f t="shared" si="42"/>
        <v>23918192.860345211</v>
      </c>
      <c r="H205" s="3">
        <f t="shared" si="43"/>
        <v>4750.9822624484004</v>
      </c>
      <c r="I205">
        <f t="shared" si="44"/>
        <v>113634910029.32007</v>
      </c>
      <c r="J205" s="6"/>
      <c r="K205" s="6"/>
      <c r="L205" s="6"/>
      <c r="M205" s="6"/>
      <c r="N205" s="6"/>
      <c r="O205" s="6"/>
      <c r="P205" s="6"/>
      <c r="Q205" s="6"/>
      <c r="R205" s="6"/>
      <c r="S205" s="6"/>
      <c r="Y205" s="7"/>
      <c r="AA205" s="2"/>
      <c r="AB205" s="2"/>
      <c r="AC205" s="2"/>
    </row>
    <row r="206" spans="6:29" x14ac:dyDescent="0.25">
      <c r="F206" s="5">
        <f t="shared" si="45"/>
        <v>1.8906333517161413E-4</v>
      </c>
      <c r="G206" s="4">
        <f t="shared" si="42"/>
        <v>24516147.681853838</v>
      </c>
      <c r="H206" s="3">
        <f t="shared" si="43"/>
        <v>4635.1046462911227</v>
      </c>
      <c r="I206">
        <f t="shared" si="44"/>
        <v>113634910029.32007</v>
      </c>
      <c r="J206" s="6"/>
      <c r="K206" s="6"/>
      <c r="L206" s="6"/>
      <c r="M206" s="6"/>
      <c r="N206" s="6"/>
      <c r="O206" s="6"/>
      <c r="P206" s="6"/>
      <c r="Q206" s="6"/>
      <c r="R206" s="6"/>
      <c r="S206" s="6"/>
      <c r="Y206" s="7"/>
      <c r="AA206" s="2"/>
      <c r="AB206" s="2"/>
      <c r="AC206" s="2"/>
    </row>
    <row r="207" spans="6:29" x14ac:dyDescent="0.25">
      <c r="F207" s="5">
        <f t="shared" si="45"/>
        <v>1.7995320420855599E-4</v>
      </c>
      <c r="G207" s="4">
        <f t="shared" si="42"/>
        <v>25129051.373900183</v>
      </c>
      <c r="H207" s="3">
        <f t="shared" si="43"/>
        <v>4522.0533134547541</v>
      </c>
      <c r="I207">
        <f t="shared" si="44"/>
        <v>113634910029.32007</v>
      </c>
      <c r="J207" s="6"/>
      <c r="K207" s="6"/>
      <c r="L207" s="6"/>
      <c r="M207" s="6"/>
      <c r="N207" s="6"/>
      <c r="O207" s="6"/>
      <c r="P207" s="6"/>
      <c r="Q207" s="6"/>
      <c r="R207" s="6"/>
      <c r="S207" s="6"/>
      <c r="Y207" s="7"/>
      <c r="AA207" s="2"/>
      <c r="AB207" s="2"/>
      <c r="AC207" s="2"/>
    </row>
    <row r="208" spans="6:29" x14ac:dyDescent="0.25">
      <c r="F208" s="5">
        <f t="shared" si="45"/>
        <v>1.7128205040671608E-4</v>
      </c>
      <c r="G208" s="4">
        <f t="shared" si="42"/>
        <v>25757277.658247683</v>
      </c>
      <c r="H208" s="3">
        <f t="shared" si="43"/>
        <v>4411.7593301997613</v>
      </c>
      <c r="I208">
        <f t="shared" si="44"/>
        <v>113634910029.32007</v>
      </c>
      <c r="J208" s="6"/>
      <c r="K208" s="6"/>
      <c r="L208" s="6"/>
      <c r="M208" s="6"/>
      <c r="N208" s="6"/>
      <c r="O208" s="6"/>
      <c r="P208" s="6"/>
      <c r="Q208" s="6"/>
      <c r="R208" s="6"/>
      <c r="S208" s="6"/>
      <c r="Y208" s="7"/>
      <c r="AA208" s="2"/>
      <c r="AB208" s="2"/>
      <c r="AC208" s="2"/>
    </row>
    <row r="209" spans="6:29" x14ac:dyDescent="0.25">
      <c r="F209" s="5">
        <f t="shared" si="45"/>
        <v>1.6302872138652331E-4</v>
      </c>
      <c r="G209" s="4">
        <f t="shared" si="42"/>
        <v>26401209.599703874</v>
      </c>
      <c r="H209" s="3">
        <f t="shared" si="43"/>
        <v>4304.1554440973277</v>
      </c>
      <c r="I209">
        <f t="shared" si="44"/>
        <v>113634910029.32007</v>
      </c>
      <c r="J209" s="6"/>
      <c r="K209" s="6"/>
      <c r="L209" s="6"/>
      <c r="M209" s="6"/>
      <c r="N209" s="6"/>
      <c r="O209" s="6"/>
      <c r="P209" s="6"/>
      <c r="Q209" s="6"/>
      <c r="R209" s="6"/>
      <c r="S209" s="6"/>
      <c r="Y209" s="7"/>
      <c r="AA209" s="2"/>
      <c r="AB209" s="2"/>
      <c r="AC209" s="2"/>
    </row>
    <row r="210" spans="6:29" x14ac:dyDescent="0.25">
      <c r="F210" s="5">
        <f t="shared" si="45"/>
        <v>1.5517308400858854E-4</v>
      </c>
      <c r="G210" s="4">
        <f t="shared" si="42"/>
        <v>27061239.839696471</v>
      </c>
      <c r="H210" s="3">
        <f t="shared" si="43"/>
        <v>4199.1760430217837</v>
      </c>
      <c r="I210">
        <f t="shared" si="44"/>
        <v>113634910029.32007</v>
      </c>
      <c r="J210" s="6"/>
      <c r="K210" s="6"/>
      <c r="L210" s="6"/>
      <c r="M210" s="6"/>
      <c r="N210" s="6"/>
      <c r="O210" s="6"/>
      <c r="P210" s="6"/>
      <c r="Q210" s="6"/>
      <c r="R210" s="6"/>
      <c r="S210" s="6"/>
      <c r="Y210" s="7"/>
      <c r="AA210" s="2"/>
      <c r="AB210" s="2"/>
      <c r="AC210" s="2"/>
    </row>
    <row r="211" spans="6:29" x14ac:dyDescent="0.25">
      <c r="F211" s="5">
        <f t="shared" si="45"/>
        <v>1.4769597526100042E-4</v>
      </c>
      <c r="G211" s="4">
        <f t="shared" si="42"/>
        <v>27737770.835688882</v>
      </c>
      <c r="H211" s="3">
        <f t="shared" si="43"/>
        <v>4096.7571151432039</v>
      </c>
      <c r="I211">
        <f t="shared" si="44"/>
        <v>113634910029.32007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Y211" s="7"/>
      <c r="AA211" s="2"/>
      <c r="AB211" s="2"/>
      <c r="AC211" s="2"/>
    </row>
    <row r="212" spans="6:29" x14ac:dyDescent="0.25">
      <c r="F212" s="5">
        <f t="shared" si="45"/>
        <v>1.4057915551314736E-4</v>
      </c>
      <c r="G212" s="4">
        <f t="shared" si="42"/>
        <v>28431215.106581099</v>
      </c>
      <c r="H212" s="3">
        <f t="shared" si="43"/>
        <v>3996.8362098958091</v>
      </c>
      <c r="I212">
        <f t="shared" si="44"/>
        <v>113634910029.32007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Y212" s="7"/>
      <c r="AA212" s="2"/>
      <c r="AB212" s="2"/>
      <c r="AC212" s="2"/>
    </row>
    <row r="213" spans="6:29" x14ac:dyDescent="0.25">
      <c r="F213" s="5">
        <f t="shared" si="45"/>
        <v>1.3380526402203202E-4</v>
      </c>
      <c r="G213" s="4">
        <f t="shared" si="42"/>
        <v>29141995.484245624</v>
      </c>
      <c r="H213" s="3">
        <f t="shared" si="43"/>
        <v>3899.3523998983505</v>
      </c>
      <c r="I213">
        <f t="shared" si="44"/>
        <v>113634910029.32007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Y213" s="7"/>
      <c r="AA213" s="2"/>
      <c r="AB213" s="2"/>
      <c r="AC213" s="2"/>
    </row>
    <row r="214" spans="6:29" x14ac:dyDescent="0.25">
      <c r="F214" s="5">
        <f t="shared" si="45"/>
        <v>1.273577765825409E-4</v>
      </c>
      <c r="G214" s="4">
        <f t="shared" si="42"/>
        <v>29870545.371351764</v>
      </c>
      <c r="H214" s="3">
        <f t="shared" si="43"/>
        <v>3804.246243803269</v>
      </c>
      <c r="I214">
        <f t="shared" si="44"/>
        <v>113634910029.32007</v>
      </c>
      <c r="J214" s="6"/>
      <c r="K214" s="6"/>
      <c r="L214" s="6"/>
      <c r="M214" s="6"/>
      <c r="N214" s="6"/>
      <c r="O214" s="6"/>
      <c r="P214" s="6"/>
      <c r="Q214" s="6"/>
      <c r="R214" s="6"/>
      <c r="S214" s="6"/>
      <c r="Y214" s="7"/>
      <c r="AA214" s="2"/>
      <c r="AB214" s="2"/>
      <c r="AC214" s="2"/>
    </row>
    <row r="215" spans="6:29" x14ac:dyDescent="0.25">
      <c r="F215" s="5">
        <f t="shared" si="45"/>
        <v>1.2122096521836137E-4</v>
      </c>
      <c r="G215" s="4">
        <f t="shared" si="42"/>
        <v>30617309.005635556</v>
      </c>
      <c r="H215" s="3">
        <f t="shared" si="43"/>
        <v>3711.4597500519699</v>
      </c>
      <c r="I215">
        <f t="shared" si="44"/>
        <v>113634910029.32007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Y215" s="7"/>
      <c r="AA215" s="2"/>
      <c r="AB215" s="2"/>
      <c r="AC215" s="2"/>
    </row>
    <row r="216" spans="6:29" x14ac:dyDescent="0.25">
      <c r="F216" s="5">
        <f t="shared" si="45"/>
        <v>1.1537985981521608E-4</v>
      </c>
      <c r="G216" s="4">
        <f t="shared" si="42"/>
        <v>31382741.73077644</v>
      </c>
      <c r="H216" s="3">
        <f t="shared" si="43"/>
        <v>3620.9363415141174</v>
      </c>
      <c r="I216">
        <f t="shared" si="44"/>
        <v>113634910029.32007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Y216" s="7"/>
      <c r="AA216" s="2"/>
      <c r="AB216" s="2"/>
      <c r="AC216" s="2"/>
    </row>
    <row r="217" spans="6:29" x14ac:dyDescent="0.25">
      <c r="F217" s="5">
        <f t="shared" si="45"/>
        <v>1.098202116028232E-4</v>
      </c>
      <c r="G217" s="4">
        <f t="shared" si="42"/>
        <v>32167310.274045847</v>
      </c>
      <c r="H217" s="3">
        <f t="shared" si="43"/>
        <v>3532.6208209893834</v>
      </c>
      <c r="I217">
        <f t="shared" si="44"/>
        <v>113634910029.32007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Y217" s="7"/>
      <c r="AA217" s="2"/>
      <c r="AB217" s="2"/>
      <c r="AC217" s="2"/>
    </row>
    <row r="218" spans="6:29" x14ac:dyDescent="0.25">
      <c r="F218" s="5">
        <f t="shared" si="45"/>
        <v>1.0452845839650038E-4</v>
      </c>
      <c r="G218" s="4">
        <f t="shared" si="42"/>
        <v>32971493.030896991</v>
      </c>
      <c r="H218" s="3">
        <f t="shared" si="43"/>
        <v>3446.4593375506183</v>
      </c>
      <c r="I218">
        <f t="shared" si="44"/>
        <v>113634910029.32007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Y218" s="7"/>
      <c r="AA218" s="2"/>
      <c r="AB218" s="2"/>
      <c r="AC218" s="2"/>
    </row>
    <row r="219" spans="6:29" x14ac:dyDescent="0.25">
      <c r="F219" s="5">
        <f t="shared" si="45"/>
        <v>9.9491691513623219E-5</v>
      </c>
      <c r="G219" s="4">
        <f t="shared" si="42"/>
        <v>33795780.356669411</v>
      </c>
      <c r="H219" s="3">
        <f t="shared" si="43"/>
        <v>3362.3993537079205</v>
      </c>
      <c r="I219">
        <f t="shared" si="44"/>
        <v>113634910029.32007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Y219" s="7"/>
      <c r="AA219" s="2"/>
      <c r="AB219" s="2"/>
      <c r="AC219" s="2"/>
    </row>
    <row r="220" spans="6:29" x14ac:dyDescent="0.25">
      <c r="F220" s="5">
        <f t="shared" si="45"/>
        <v>9.4697624284233891E-5</v>
      </c>
      <c r="G220" s="4">
        <f t="shared" si="42"/>
        <v>34640674.865586147</v>
      </c>
      <c r="H220" s="3">
        <f t="shared" si="43"/>
        <v>3280.3896133735811</v>
      </c>
      <c r="I220">
        <f t="shared" si="44"/>
        <v>113634910029.32007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Y220" s="7"/>
      <c r="AA220" s="2"/>
      <c r="AB220" s="2"/>
      <c r="AC220" s="2"/>
    </row>
    <row r="221" spans="6:29" x14ac:dyDescent="0.25">
      <c r="F221" s="5">
        <f t="shared" si="45"/>
        <v>9.0134562078985259E-5</v>
      </c>
      <c r="G221" s="4">
        <f t="shared" si="42"/>
        <v>35506691.737225801</v>
      </c>
      <c r="H221" s="3">
        <f t="shared" si="43"/>
        <v>3200.380110608372</v>
      </c>
      <c r="I221">
        <f t="shared" si="44"/>
        <v>113634910029.32007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Y221" s="7"/>
      <c r="AA221" s="2"/>
      <c r="AB221" s="2"/>
      <c r="AC221" s="2"/>
    </row>
    <row r="222" spans="6:29" x14ac:dyDescent="0.25">
      <c r="F222" s="5">
        <f t="shared" si="45"/>
        <v>8.5791373781306625E-5</v>
      </c>
      <c r="G222" s="4">
        <f t="shared" si="42"/>
        <v>36394359.030656442</v>
      </c>
      <c r="H222" s="3">
        <f t="shared" si="43"/>
        <v>3122.3220591301192</v>
      </c>
      <c r="I222">
        <f t="shared" si="44"/>
        <v>113634910029.32007</v>
      </c>
      <c r="J222" s="6"/>
      <c r="K222" s="6"/>
      <c r="L222" s="6"/>
      <c r="M222" s="6"/>
      <c r="N222" s="6"/>
      <c r="O222" s="6"/>
      <c r="P222" s="6"/>
      <c r="Q222" s="6"/>
      <c r="R222" s="6"/>
      <c r="S222" s="6"/>
      <c r="Y222" s="7"/>
      <c r="AA222" s="2"/>
      <c r="AB222" s="2"/>
      <c r="AC222" s="2"/>
    </row>
    <row r="223" spans="6:29" x14ac:dyDescent="0.25">
      <c r="F223" s="5">
        <f t="shared" si="45"/>
        <v>8.1657464634200263E-5</v>
      </c>
      <c r="G223" s="4">
        <f t="shared" si="42"/>
        <v>37304218.006422848</v>
      </c>
      <c r="H223" s="3">
        <f t="shared" si="43"/>
        <v>3046.1678625659702</v>
      </c>
      <c r="I223">
        <f t="shared" si="44"/>
        <v>113634910029.32007</v>
      </c>
      <c r="J223" s="6"/>
      <c r="K223" s="6"/>
      <c r="L223" s="6"/>
      <c r="M223" s="6"/>
      <c r="N223" s="6"/>
      <c r="O223" s="6"/>
      <c r="P223" s="6"/>
      <c r="Q223" s="6"/>
      <c r="R223" s="6"/>
      <c r="S223" s="6"/>
      <c r="Y223" s="7"/>
      <c r="AA223" s="2"/>
      <c r="AB223" s="2"/>
      <c r="AC223" s="2"/>
    </row>
    <row r="224" spans="6:29" x14ac:dyDescent="0.25">
      <c r="F224" s="5">
        <f t="shared" si="45"/>
        <v>7.7722750395431542E-5</v>
      </c>
      <c r="G224" s="4">
        <f t="shared" si="42"/>
        <v>38236823.456583418</v>
      </c>
      <c r="H224" s="3">
        <f t="shared" si="43"/>
        <v>2971.8710854302149</v>
      </c>
      <c r="I224">
        <f t="shared" si="44"/>
        <v>113634910029.32007</v>
      </c>
      <c r="J224" s="6"/>
      <c r="K224" s="6"/>
      <c r="L224" s="6"/>
      <c r="M224" s="6"/>
      <c r="N224" s="6"/>
      <c r="O224" s="6"/>
      <c r="P224" s="6"/>
      <c r="Q224" s="6"/>
      <c r="R224" s="6"/>
      <c r="S224" s="6"/>
      <c r="Y224" s="7"/>
      <c r="AA224" s="2"/>
      <c r="AB224" s="2"/>
      <c r="AC224" s="2"/>
    </row>
    <row r="225" spans="6:29" x14ac:dyDescent="0.25">
      <c r="F225" s="5">
        <f t="shared" si="45"/>
        <v>7.3977632738066925E-5</v>
      </c>
      <c r="G225" s="4">
        <f t="shared" si="42"/>
        <v>39192744.042998001</v>
      </c>
      <c r="H225" s="3">
        <f t="shared" si="43"/>
        <v>2899.3864248099662</v>
      </c>
      <c r="I225">
        <f t="shared" si="44"/>
        <v>113634910029.32007</v>
      </c>
      <c r="J225" s="6"/>
      <c r="K225" s="6"/>
      <c r="L225" s="6"/>
      <c r="M225" s="6"/>
      <c r="N225" s="6"/>
      <c r="O225" s="6"/>
      <c r="P225" s="6"/>
      <c r="Q225" s="6"/>
      <c r="R225" s="6"/>
      <c r="S225" s="6"/>
      <c r="Y225" s="7"/>
      <c r="AA225" s="2"/>
      <c r="AB225" s="2"/>
      <c r="AC225" s="2"/>
    </row>
    <row r="226" spans="6:29" x14ac:dyDescent="0.25">
      <c r="F226" s="5">
        <f t="shared" si="45"/>
        <v>7.0412975836351614E-5</v>
      </c>
      <c r="G226" s="4">
        <f t="shared" si="42"/>
        <v>40172562.64407295</v>
      </c>
      <c r="H226" s="3">
        <f t="shared" si="43"/>
        <v>2828.6696827414303</v>
      </c>
      <c r="I226">
        <f t="shared" si="44"/>
        <v>113634910029.32007</v>
      </c>
      <c r="J226" s="6"/>
      <c r="K226" s="6"/>
      <c r="L226" s="6"/>
      <c r="M226" s="6"/>
      <c r="N226" s="6"/>
      <c r="O226" s="6"/>
      <c r="P226" s="6"/>
      <c r="Q226" s="6"/>
      <c r="R226" s="6"/>
      <c r="S226" s="6"/>
      <c r="Y226" s="7"/>
      <c r="AA226" s="2"/>
      <c r="AB226" s="2"/>
      <c r="AC226" s="2"/>
    </row>
    <row r="227" spans="6:29" x14ac:dyDescent="0.25">
      <c r="F227" s="5">
        <f t="shared" si="45"/>
        <v>6.7020084079811193E-5</v>
      </c>
      <c r="G227" s="4">
        <f t="shared" si="42"/>
        <v>41176876.710174769</v>
      </c>
      <c r="H227" s="3">
        <f t="shared" si="43"/>
        <v>2759.6777392599324</v>
      </c>
      <c r="I227">
        <f t="shared" si="44"/>
        <v>113634910029.32007</v>
      </c>
      <c r="J227" s="6"/>
      <c r="K227" s="6"/>
      <c r="L227" s="6"/>
      <c r="M227" s="6"/>
      <c r="N227" s="6"/>
      <c r="O227" s="6"/>
      <c r="P227" s="6"/>
      <c r="Q227" s="6"/>
      <c r="R227" s="6"/>
      <c r="S227" s="6"/>
      <c r="Y227" s="7"/>
      <c r="AA227" s="2"/>
      <c r="AB227" s="2"/>
      <c r="AC227" s="2"/>
    </row>
    <row r="228" spans="6:29" x14ac:dyDescent="0.25">
      <c r="F228" s="5">
        <f t="shared" si="45"/>
        <v>6.3790680861212337E-5</v>
      </c>
      <c r="G228" s="4">
        <f t="shared" si="42"/>
        <v>42206298.627929136</v>
      </c>
      <c r="H228" s="3">
        <f t="shared" si="43"/>
        <v>2692.3685261072515</v>
      </c>
      <c r="I228">
        <f t="shared" si="44"/>
        <v>113634910029.32007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Y228" s="7"/>
      <c r="AA228" s="2"/>
      <c r="AB228" s="2"/>
      <c r="AC228" s="2"/>
    </row>
    <row r="229" spans="6:29" x14ac:dyDescent="0.25">
      <c r="F229" s="5">
        <f t="shared" si="45"/>
        <v>6.0716888386638741E-5</v>
      </c>
      <c r="G229" s="4">
        <f t="shared" si="42"/>
        <v>43261456.093627363</v>
      </c>
      <c r="H229" s="3">
        <f t="shared" si="43"/>
        <v>2626.7010010802451</v>
      </c>
      <c r="I229">
        <f t="shared" si="44"/>
        <v>113634910029.32007</v>
      </c>
      <c r="J229" s="6"/>
      <c r="K229" s="6"/>
      <c r="L229" s="6"/>
      <c r="M229" s="6"/>
      <c r="N229" s="6"/>
      <c r="O229" s="6"/>
      <c r="P229" s="6"/>
      <c r="Q229" s="6"/>
      <c r="R229" s="6"/>
      <c r="S229" s="6"/>
      <c r="Y229" s="7"/>
      <c r="AA229" s="2"/>
      <c r="AB229" s="2"/>
      <c r="AC229" s="2"/>
    </row>
    <row r="230" spans="6:29" x14ac:dyDescent="0.25">
      <c r="F230" s="5">
        <f t="shared" si="45"/>
        <v>5.7791208458430696E-5</v>
      </c>
      <c r="G230" s="4">
        <f t="shared" si="42"/>
        <v>44342992.495968044</v>
      </c>
      <c r="H230" s="3">
        <f t="shared" si="43"/>
        <v>2562.6351230051173</v>
      </c>
      <c r="I230">
        <f t="shared" si="44"/>
        <v>113634910029.32007</v>
      </c>
      <c r="J230" s="6"/>
      <c r="K230" s="6"/>
      <c r="L230" s="6"/>
      <c r="M230" s="6"/>
      <c r="N230" s="6"/>
      <c r="O230" s="6"/>
      <c r="P230" s="6"/>
      <c r="Q230" s="6"/>
      <c r="R230" s="6"/>
      <c r="S230" s="6"/>
      <c r="Y230" s="7"/>
      <c r="AA230" s="2"/>
      <c r="AB230" s="2"/>
      <c r="AC230" s="2"/>
    </row>
    <row r="231" spans="6:29" x14ac:dyDescent="0.25">
      <c r="F231" s="5">
        <f t="shared" si="45"/>
        <v>5.5006504184110147E-5</v>
      </c>
      <c r="G231" s="4">
        <f t="shared" si="42"/>
        <v>45451567.308367237</v>
      </c>
      <c r="H231" s="3">
        <f t="shared" si="43"/>
        <v>2500.1318273220663</v>
      </c>
      <c r="I231">
        <f t="shared" si="44"/>
        <v>113634910029.32007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Y231" s="7"/>
      <c r="AA231" s="2"/>
      <c r="AB231" s="2"/>
      <c r="AC231" s="2"/>
    </row>
    <row r="232" spans="6:29" x14ac:dyDescent="0.25">
      <c r="F232" s="5">
        <f t="shared" si="45"/>
        <v>5.2355982566672356E-5</v>
      </c>
      <c r="G232" s="4">
        <f t="shared" si="42"/>
        <v>46587856.491076417</v>
      </c>
      <c r="H232" s="3">
        <f t="shared" si="43"/>
        <v>2439.1530022654306</v>
      </c>
      <c r="I232">
        <f t="shared" si="44"/>
        <v>113634910029.32007</v>
      </c>
      <c r="J232" s="6"/>
      <c r="K232" s="6"/>
      <c r="L232" s="6"/>
      <c r="M232" s="6"/>
      <c r="N232" s="6"/>
      <c r="O232" s="6"/>
      <c r="P232" s="6"/>
      <c r="Q232" s="6"/>
      <c r="R232" s="6"/>
      <c r="S232" s="6"/>
      <c r="Y232" s="7"/>
      <c r="AA232" s="2"/>
      <c r="AB232" s="2"/>
      <c r="AC232" s="2"/>
    </row>
    <row r="233" spans="6:29" x14ac:dyDescent="0.25">
      <c r="F233" s="5">
        <f t="shared" si="45"/>
        <v>4.9833177933775002E-5</v>
      </c>
      <c r="G233" s="4">
        <f t="shared" si="42"/>
        <v>47752552.903353326</v>
      </c>
      <c r="H233" s="3">
        <f t="shared" si="43"/>
        <v>2379.6614656248103</v>
      </c>
      <c r="I233">
        <f t="shared" si="44"/>
        <v>113634910029.32007</v>
      </c>
      <c r="J233" s="6"/>
      <c r="K233" s="6"/>
      <c r="L233" s="6"/>
      <c r="M233" s="6"/>
      <c r="N233" s="6"/>
      <c r="O233" s="6"/>
      <c r="P233" s="6"/>
      <c r="Q233" s="6"/>
      <c r="R233" s="6"/>
      <c r="S233" s="6"/>
      <c r="Y233" s="7"/>
      <c r="AA233" s="2"/>
      <c r="AB233" s="2"/>
      <c r="AC233" s="2"/>
    </row>
    <row r="234" spans="6:29" x14ac:dyDescent="0.25">
      <c r="F234" s="5">
        <f t="shared" si="45"/>
        <v>4.7431936165401547E-5</v>
      </c>
      <c r="G234" s="4">
        <f t="shared" si="42"/>
        <v>48946366.725937158</v>
      </c>
      <c r="H234" s="3">
        <f t="shared" si="43"/>
        <v>2321.6209420729856</v>
      </c>
      <c r="I234">
        <f t="shared" si="44"/>
        <v>113634910029.32007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Y234" s="7"/>
      <c r="AA234" s="2"/>
      <c r="AB234" s="2"/>
      <c r="AC234" s="2"/>
    </row>
    <row r="235" spans="6:29" x14ac:dyDescent="0.25">
      <c r="F235" s="5">
        <f t="shared" si="45"/>
        <v>4.5146399681524379E-5</v>
      </c>
      <c r="G235" s="4">
        <f t="shared" si="42"/>
        <v>50170025.894085586</v>
      </c>
      <c r="H235" s="3">
        <f t="shared" si="43"/>
        <v>2264.9960410468152</v>
      </c>
      <c r="I235">
        <f t="shared" si="44"/>
        <v>113634910029.32007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Y235" s="7"/>
      <c r="AA235" s="2"/>
      <c r="AB235" s="2"/>
      <c r="AC235" s="2"/>
    </row>
    <row r="236" spans="6:29" x14ac:dyDescent="0.25">
      <c r="F236" s="5">
        <f t="shared" si="45"/>
        <v>4.2970993153146349E-5</v>
      </c>
      <c r="G236" s="4">
        <f t="shared" si="42"/>
        <v>51424276.541437723</v>
      </c>
      <c r="H236" s="3">
        <f t="shared" si="43"/>
        <v>2209.7522351676248</v>
      </c>
      <c r="I236">
        <f t="shared" si="44"/>
        <v>113634910029.32007</v>
      </c>
      <c r="J236" s="6"/>
      <c r="K236" s="6"/>
      <c r="L236" s="6"/>
      <c r="M236" s="6"/>
      <c r="N236" s="6"/>
      <c r="O236" s="6"/>
      <c r="P236" s="6"/>
      <c r="Q236" s="6"/>
      <c r="R236" s="6"/>
      <c r="S236" s="6"/>
      <c r="Y236" s="7"/>
      <c r="AA236" s="2"/>
      <c r="AB236" s="2"/>
      <c r="AC236" s="2"/>
    </row>
    <row r="237" spans="6:29" x14ac:dyDescent="0.25">
      <c r="F237" s="5">
        <f t="shared" si="45"/>
        <v>4.090040990186447E-5</v>
      </c>
      <c r="G237" s="4">
        <f t="shared" si="42"/>
        <v>52709883.45497366</v>
      </c>
      <c r="H237" s="3">
        <f t="shared" si="43"/>
        <v>2155.8558391879269</v>
      </c>
      <c r="I237">
        <f t="shared" si="44"/>
        <v>113634910029.32007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Y237" s="7"/>
      <c r="AA237" s="2"/>
      <c r="AB237" s="2"/>
      <c r="AC237" s="2"/>
    </row>
    <row r="238" spans="6:29" x14ac:dyDescent="0.25">
      <c r="F238" s="5">
        <f t="shared" si="45"/>
        <v>3.89295989547788E-5</v>
      </c>
      <c r="G238" s="4">
        <f t="shared" si="42"/>
        <v>54027630.541347995</v>
      </c>
      <c r="H238" s="3">
        <f t="shared" si="43"/>
        <v>2103.2739894516362</v>
      </c>
      <c r="I238">
        <f t="shared" si="44"/>
        <v>113634910029.32007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Y238" s="7"/>
      <c r="AA238" s="2"/>
      <c r="AB238" s="2"/>
      <c r="AC238" s="2"/>
    </row>
    <row r="239" spans="6:29" x14ac:dyDescent="0.25">
      <c r="F239" s="5">
        <f t="shared" si="45"/>
        <v>3.7053752723168409E-5</v>
      </c>
      <c r="G239" s="4">
        <f t="shared" si="42"/>
        <v>55378321.304881692</v>
      </c>
      <c r="H239" s="3">
        <f t="shared" si="43"/>
        <v>2051.9746238552552</v>
      </c>
      <c r="I239">
        <f t="shared" si="44"/>
        <v>113634910029.32007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Y239" s="7"/>
      <c r="AA239" s="2"/>
      <c r="AB239" s="2"/>
      <c r="AC239" s="2"/>
    </row>
    <row r="240" spans="6:29" x14ac:dyDescent="0.25">
      <c r="F240" s="5">
        <f t="shared" si="45"/>
        <v>3.5268295274877725E-5</v>
      </c>
      <c r="G240" s="4">
        <f t="shared" si="42"/>
        <v>56762779.337503731</v>
      </c>
      <c r="H240" s="3">
        <f t="shared" si="43"/>
        <v>2001.9264622978098</v>
      </c>
      <c r="I240">
        <f t="shared" si="44"/>
        <v>113634910029.32007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Y240" s="7"/>
      <c r="AA240" s="2"/>
      <c r="AB240" s="2"/>
      <c r="AC240" s="2"/>
    </row>
    <row r="241" spans="6:29" x14ac:dyDescent="0.25">
      <c r="F241" s="5">
        <f t="shared" si="45"/>
        <v>3.3568871171805099E-5</v>
      </c>
      <c r="G241" s="4">
        <f t="shared" ref="G241:G304" si="46">G240*(1+$O$1)</f>
        <v>58181848.820941322</v>
      </c>
      <c r="H241" s="3">
        <f t="shared" si="43"/>
        <v>1953.0989876076196</v>
      </c>
      <c r="I241">
        <f t="shared" si="44"/>
        <v>113634910029.32007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Y241" s="7"/>
      <c r="AA241" s="2"/>
      <c r="AB241" s="2"/>
      <c r="AC241" s="2"/>
    </row>
    <row r="242" spans="6:29" x14ac:dyDescent="0.25">
      <c r="F242" s="5">
        <f t="shared" si="45"/>
        <v>3.1951334845263631E-5</v>
      </c>
      <c r="G242" s="4">
        <f t="shared" si="46"/>
        <v>59636395.04146485</v>
      </c>
      <c r="H242" s="3">
        <f t="shared" ref="H242:H305" si="47">I242/G242</f>
        <v>1905.462426934263</v>
      </c>
      <c r="I242">
        <f t="shared" ref="I242:I305" si="48">I241</f>
        <v>113634910029.32007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Y242" s="7"/>
      <c r="AA242" s="2"/>
      <c r="AB242" s="2"/>
      <c r="AC242" s="2"/>
    </row>
    <row r="243" spans="6:29" x14ac:dyDescent="0.25">
      <c r="F243" s="5">
        <f t="shared" si="45"/>
        <v>3.041174048329674E-5</v>
      </c>
      <c r="G243" s="4">
        <f t="shared" si="46"/>
        <v>61127304.917501464</v>
      </c>
      <c r="H243" s="3">
        <f t="shared" si="47"/>
        <v>1858.9877335944032</v>
      </c>
      <c r="I243">
        <f t="shared" si="48"/>
        <v>113634910029.32007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Y243" s="7"/>
      <c r="AA243" s="2"/>
      <c r="AB243" s="2"/>
      <c r="AC243" s="2"/>
    </row>
    <row r="244" spans="6:29" x14ac:dyDescent="0.25">
      <c r="F244" s="5">
        <f t="shared" si="45"/>
        <v>2.8946332405279473E-5</v>
      </c>
      <c r="G244" s="4">
        <f t="shared" si="46"/>
        <v>62655487.540438995</v>
      </c>
      <c r="H244" s="3">
        <f t="shared" si="47"/>
        <v>1813.6465693603936</v>
      </c>
      <c r="I244">
        <f t="shared" si="48"/>
        <v>113634910029.32007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Y244" s="7"/>
      <c r="AA244" s="2"/>
      <c r="AB244" s="2"/>
      <c r="AC244" s="2"/>
    </row>
    <row r="245" spans="6:29" x14ac:dyDescent="0.25">
      <c r="F245" s="5">
        <f t="shared" si="45"/>
        <v>2.75515359003255E-5</v>
      </c>
      <c r="G245" s="4">
        <f t="shared" si="46"/>
        <v>64221874.728949964</v>
      </c>
      <c r="H245" s="3">
        <f t="shared" si="47"/>
        <v>1769.411287180872</v>
      </c>
      <c r="I245">
        <f t="shared" si="48"/>
        <v>113634910029.32007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Y245" s="7"/>
      <c r="AA245" s="2"/>
      <c r="AB245" s="2"/>
      <c r="AC245" s="2"/>
    </row>
    <row r="246" spans="6:29" x14ac:dyDescent="0.25">
      <c r="F246" s="5">
        <f t="shared" si="45"/>
        <v>2.6223948507150988E-5</v>
      </c>
      <c r="G246" s="4">
        <f t="shared" si="46"/>
        <v>65827421.597173706</v>
      </c>
      <c r="H246" s="3">
        <f t="shared" si="47"/>
        <v>1726.2549143228021</v>
      </c>
      <c r="I246">
        <f t="shared" si="48"/>
        <v>113634910029.32007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Y246" s="7"/>
      <c r="AA246" s="2"/>
      <c r="AB246" s="2"/>
      <c r="AC246" s="2"/>
    </row>
    <row r="247" spans="6:29" x14ac:dyDescent="0.25">
      <c r="F247" s="5">
        <f t="shared" si="45"/>
        <v>2.4960331714123497E-5</v>
      </c>
      <c r="G247" s="4">
        <f t="shared" si="46"/>
        <v>67473107.137103036</v>
      </c>
      <c r="H247" s="3">
        <f t="shared" si="47"/>
        <v>1684.1511359246854</v>
      </c>
      <c r="I247">
        <f t="shared" si="48"/>
        <v>113634910029.32007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Y247" s="7"/>
      <c r="AA247" s="2"/>
      <c r="AB247" s="2"/>
      <c r="AC247" s="2"/>
    </row>
    <row r="248" spans="6:29" x14ac:dyDescent="0.25">
      <c r="F248" s="5">
        <f t="shared" si="45"/>
        <v>2.3757603059249012E-5</v>
      </c>
      <c r="G248" s="4">
        <f t="shared" si="46"/>
        <v>69159934.815530613</v>
      </c>
      <c r="H248" s="3">
        <f t="shared" si="47"/>
        <v>1643.0742789509125</v>
      </c>
      <c r="I248">
        <f t="shared" si="48"/>
        <v>113634910029.32007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Y248" s="7"/>
      <c r="AA248" s="2"/>
      <c r="AB248" s="2"/>
      <c r="AC248" s="2"/>
    </row>
    <row r="249" spans="6:29" x14ac:dyDescent="0.25">
      <c r="F249" s="5">
        <f t="shared" si="45"/>
        <v>2.2612828610825956E-5</v>
      </c>
      <c r="G249" s="4">
        <f t="shared" si="46"/>
        <v>70888933.185918868</v>
      </c>
      <c r="H249" s="3">
        <f t="shared" si="47"/>
        <v>1602.9992965374759</v>
      </c>
      <c r="I249">
        <f t="shared" si="48"/>
        <v>113634910029.32007</v>
      </c>
      <c r="J249" s="6"/>
      <c r="K249" s="6"/>
      <c r="L249" s="6"/>
      <c r="M249" s="6"/>
      <c r="N249" s="6"/>
      <c r="O249" s="6"/>
      <c r="P249" s="6"/>
      <c r="Q249" s="6"/>
      <c r="R249" s="6"/>
      <c r="S249" s="6"/>
      <c r="Y249" s="7"/>
      <c r="AA249" s="2"/>
      <c r="AB249" s="2"/>
      <c r="AC249" s="2"/>
    </row>
    <row r="250" spans="6:29" x14ac:dyDescent="0.25">
      <c r="F250" s="5">
        <f t="shared" si="45"/>
        <v>2.1523215810423287E-5</v>
      </c>
      <c r="G250" s="4">
        <f t="shared" si="46"/>
        <v>72661156.515566826</v>
      </c>
      <c r="H250" s="3">
        <f t="shared" si="47"/>
        <v>1563.901752719489</v>
      </c>
      <c r="I250">
        <f t="shared" si="48"/>
        <v>113634910029.32007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Y250" s="7"/>
      <c r="AA250" s="2"/>
      <c r="AB250" s="2"/>
      <c r="AC250" s="2"/>
    </row>
    <row r="251" spans="6:29" x14ac:dyDescent="0.25">
      <c r="F251" s="5">
        <f t="shared" si="45"/>
        <v>2.048610666072413E-5</v>
      </c>
      <c r="G251" s="4">
        <f t="shared" si="46"/>
        <v>74477685.428455994</v>
      </c>
      <c r="H251" s="3">
        <f t="shared" si="47"/>
        <v>1525.7578075312088</v>
      </c>
      <c r="I251">
        <f t="shared" si="48"/>
        <v>113634910029.32007</v>
      </c>
      <c r="J251" s="6"/>
      <c r="K251" s="6"/>
      <c r="L251" s="6"/>
      <c r="M251" s="6"/>
      <c r="N251" s="6"/>
      <c r="O251" s="6"/>
      <c r="P251" s="6"/>
      <c r="Q251" s="6"/>
      <c r="R251" s="6"/>
      <c r="S251" s="6"/>
      <c r="Y251" s="7"/>
      <c r="AA251" s="2"/>
      <c r="AB251" s="2"/>
      <c r="AC251" s="2"/>
    </row>
    <row r="252" spans="6:29" x14ac:dyDescent="0.25">
      <c r="F252" s="5">
        <f t="shared" si="45"/>
        <v>1.9498971241617261E-5</v>
      </c>
      <c r="G252" s="4">
        <f t="shared" si="46"/>
        <v>76339627.56416738</v>
      </c>
      <c r="H252" s="3">
        <f t="shared" si="47"/>
        <v>1488.5442024694721</v>
      </c>
      <c r="I252">
        <f t="shared" si="48"/>
        <v>113634910029.32007</v>
      </c>
      <c r="J252" s="6"/>
      <c r="K252" s="6"/>
      <c r="L252" s="6"/>
      <c r="M252" s="6"/>
      <c r="N252" s="6"/>
      <c r="O252" s="6"/>
      <c r="P252" s="6"/>
      <c r="Q252" s="6"/>
      <c r="R252" s="6"/>
      <c r="S252" s="6"/>
      <c r="Y252" s="7"/>
      <c r="AA252" s="2"/>
      <c r="AB252" s="2"/>
      <c r="AC252" s="2"/>
    </row>
    <row r="253" spans="6:29" x14ac:dyDescent="0.25">
      <c r="F253" s="5">
        <f t="shared" si="45"/>
        <v>1.8559401538719582E-5</v>
      </c>
      <c r="G253" s="4">
        <f t="shared" si="46"/>
        <v>78248118.253271565</v>
      </c>
      <c r="H253" s="3">
        <f t="shared" si="47"/>
        <v>1452.2382463116801</v>
      </c>
      <c r="I253">
        <f t="shared" si="48"/>
        <v>113634910029.32007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Y253" s="7"/>
      <c r="AA253" s="2"/>
      <c r="AB253" s="2"/>
      <c r="AC253" s="2"/>
    </row>
    <row r="254" spans="6:29" x14ac:dyDescent="0.25">
      <c r="F254" s="5">
        <f t="shared" si="45"/>
        <v>1.7665105569275033E-5</v>
      </c>
      <c r="G254" s="4">
        <f t="shared" si="46"/>
        <v>80204321.209603354</v>
      </c>
      <c r="H254" s="3">
        <f t="shared" si="47"/>
        <v>1416.817801279688</v>
      </c>
      <c r="I254">
        <f t="shared" si="48"/>
        <v>113634910029.32007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Y254" s="7"/>
      <c r="AA254" s="2"/>
      <c r="AB254" s="2"/>
      <c r="AC254" s="2"/>
    </row>
    <row r="255" spans="6:29" x14ac:dyDescent="0.25">
      <c r="F255" s="5">
        <f t="shared" si="45"/>
        <v>1.6813901791100571E-5</v>
      </c>
      <c r="G255" s="4">
        <f t="shared" si="46"/>
        <v>82209429.239843428</v>
      </c>
      <c r="H255" s="3">
        <f t="shared" si="47"/>
        <v>1382.2612695411592</v>
      </c>
      <c r="I255">
        <f t="shared" si="48"/>
        <v>113634910029.32007</v>
      </c>
      <c r="J255" s="6"/>
      <c r="K255" s="6"/>
      <c r="L255" s="6"/>
      <c r="M255" s="6"/>
      <c r="N255" s="6"/>
      <c r="O255" s="6"/>
      <c r="P255" s="6"/>
      <c r="Q255" s="6"/>
      <c r="R255" s="6"/>
      <c r="S255" s="6"/>
      <c r="Y255" s="7"/>
      <c r="AA255" s="2"/>
      <c r="AB255" s="2"/>
      <c r="AC255" s="2"/>
    </row>
    <row r="256" spans="6:29" x14ac:dyDescent="0.25">
      <c r="F256" s="5">
        <f t="shared" si="45"/>
        <v>1.6003713780940467E-5</v>
      </c>
      <c r="G256" s="4">
        <f t="shared" si="46"/>
        <v>84264664.9708395</v>
      </c>
      <c r="H256" s="3">
        <f t="shared" si="47"/>
        <v>1348.5475800401555</v>
      </c>
      <c r="I256">
        <f t="shared" si="48"/>
        <v>113634910029.32007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Y256" s="7"/>
      <c r="AA256" s="2"/>
      <c r="AB256" s="2"/>
      <c r="AC256" s="2"/>
    </row>
    <row r="257" spans="6:29" x14ac:dyDescent="0.25">
      <c r="F257" s="5">
        <f t="shared" si="45"/>
        <v>1.5232565169247323E-5</v>
      </c>
      <c r="G257" s="4">
        <f t="shared" si="46"/>
        <v>86371281.595110476</v>
      </c>
      <c r="H257" s="3">
        <f t="shared" si="47"/>
        <v>1315.6561756489323</v>
      </c>
      <c r="I257">
        <f t="shared" si="48"/>
        <v>113634910029.32007</v>
      </c>
      <c r="J257" s="6"/>
      <c r="K257" s="6"/>
      <c r="L257" s="6"/>
      <c r="M257" s="6"/>
      <c r="N257" s="6"/>
      <c r="O257" s="6"/>
      <c r="P257" s="6"/>
      <c r="Q257" s="6"/>
      <c r="R257" s="6"/>
      <c r="S257" s="6"/>
      <c r="Y257" s="7"/>
      <c r="AA257" s="2"/>
      <c r="AB257" s="2"/>
      <c r="AC257" s="2"/>
    </row>
    <row r="258" spans="6:29" x14ac:dyDescent="0.25">
      <c r="F258" s="5">
        <f t="shared" si="45"/>
        <v>1.4498574819033742E-5</v>
      </c>
      <c r="G258" s="4">
        <f t="shared" si="46"/>
        <v>88530563.634988233</v>
      </c>
      <c r="H258" s="3">
        <f t="shared" si="47"/>
        <v>1283.5670006331047</v>
      </c>
      <c r="I258">
        <f t="shared" si="48"/>
        <v>113634910029.32007</v>
      </c>
      <c r="J258" s="6"/>
      <c r="K258" s="6"/>
      <c r="L258" s="6"/>
      <c r="M258" s="6"/>
      <c r="N258" s="6"/>
      <c r="O258" s="6"/>
      <c r="P258" s="6"/>
      <c r="Q258" s="6"/>
      <c r="R258" s="6"/>
      <c r="S258" s="6"/>
      <c r="Y258" s="7"/>
      <c r="AA258" s="2"/>
      <c r="AB258" s="2"/>
      <c r="AC258" s="2"/>
    </row>
    <row r="259" spans="6:29" x14ac:dyDescent="0.25">
      <c r="F259" s="5">
        <f t="shared" si="45"/>
        <v>1.3799952237033904E-5</v>
      </c>
      <c r="G259" s="4">
        <f t="shared" si="46"/>
        <v>90743827.725862935</v>
      </c>
      <c r="H259" s="3">
        <f t="shared" si="47"/>
        <v>1252.2604884225414</v>
      </c>
      <c r="I259">
        <f t="shared" si="48"/>
        <v>113634910029.32007</v>
      </c>
      <c r="J259" s="6"/>
      <c r="K259" s="6"/>
      <c r="L259" s="6"/>
      <c r="M259" s="6"/>
      <c r="N259" s="6"/>
      <c r="O259" s="6"/>
      <c r="P259" s="6"/>
      <c r="Q259" s="6"/>
      <c r="R259" s="6"/>
      <c r="S259" s="6"/>
      <c r="Y259" s="7"/>
      <c r="AA259" s="2"/>
      <c r="AB259" s="2"/>
      <c r="AC259" s="2"/>
    </row>
    <row r="260" spans="6:29" x14ac:dyDescent="0.25">
      <c r="F260" s="5">
        <f t="shared" si="45"/>
        <v>1.3134993205981111E-5</v>
      </c>
      <c r="G260" s="4">
        <f t="shared" si="46"/>
        <v>93012423.419009507</v>
      </c>
      <c r="H260" s="3">
        <f t="shared" si="47"/>
        <v>1221.7175496805282</v>
      </c>
      <c r="I260">
        <f t="shared" si="48"/>
        <v>113634910029.32007</v>
      </c>
      <c r="J260" s="6"/>
      <c r="K260" s="6"/>
      <c r="L260" s="6"/>
      <c r="M260" s="6"/>
      <c r="N260" s="6"/>
      <c r="O260" s="6"/>
      <c r="P260" s="6"/>
      <c r="Q260" s="6"/>
      <c r="R260" s="6"/>
      <c r="S260" s="6"/>
      <c r="Y260" s="7"/>
      <c r="AA260" s="2"/>
      <c r="AB260" s="2"/>
      <c r="AC260" s="2"/>
    </row>
    <row r="261" spans="6:29" x14ac:dyDescent="0.25">
      <c r="F261" s="5">
        <f t="shared" si="45"/>
        <v>1.2502075627346685E-5</v>
      </c>
      <c r="G261" s="4">
        <f t="shared" si="46"/>
        <v>95337734.004484743</v>
      </c>
      <c r="H261" s="3">
        <f t="shared" si="47"/>
        <v>1191.91956066393</v>
      </c>
      <c r="I261">
        <f t="shared" si="48"/>
        <v>113634910029.32007</v>
      </c>
      <c r="J261" s="6"/>
      <c r="K261" s="6"/>
      <c r="L261" s="6"/>
      <c r="M261" s="6"/>
      <c r="N261" s="6"/>
      <c r="O261" s="6"/>
      <c r="P261" s="6"/>
      <c r="Q261" s="6"/>
      <c r="R261" s="6"/>
      <c r="S261" s="6"/>
      <c r="Y261" s="7"/>
      <c r="AA261" s="2"/>
      <c r="AB261" s="2"/>
      <c r="AC261" s="2"/>
    </row>
    <row r="262" spans="6:29" x14ac:dyDescent="0.25">
      <c r="F262" s="5">
        <f t="shared" si="45"/>
        <v>1.1899655564398987E-5</v>
      </c>
      <c r="G262" s="4">
        <f t="shared" si="46"/>
        <v>97721177.354596853</v>
      </c>
      <c r="H262" s="3">
        <f t="shared" si="47"/>
        <v>1162.8483518672488</v>
      </c>
      <c r="I262">
        <f t="shared" si="48"/>
        <v>113634910029.32007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Y262" s="7"/>
      <c r="AA262" s="2"/>
      <c r="AB262" s="2"/>
      <c r="AC262" s="2"/>
    </row>
    <row r="263" spans="6:29" x14ac:dyDescent="0.25">
      <c r="F263" s="5">
        <f t="shared" si="45"/>
        <v>1.1326263475930035E-5</v>
      </c>
      <c r="G263" s="4">
        <f t="shared" si="46"/>
        <v>100164206.78846176</v>
      </c>
      <c r="H263" s="3">
        <f t="shared" si="47"/>
        <v>1134.4861969436577</v>
      </c>
      <c r="I263">
        <f t="shared" si="48"/>
        <v>113634910029.32007</v>
      </c>
      <c r="J263" s="6"/>
      <c r="K263" s="6"/>
      <c r="L263" s="6"/>
      <c r="M263" s="6"/>
      <c r="N263" s="6"/>
      <c r="O263" s="6"/>
      <c r="P263" s="6"/>
      <c r="Q263" s="6"/>
      <c r="R263" s="6"/>
      <c r="S263" s="6"/>
      <c r="Y263" s="7"/>
      <c r="AA263" s="2"/>
      <c r="AB263" s="2"/>
      <c r="AC263" s="2"/>
    </row>
    <row r="264" spans="6:29" x14ac:dyDescent="0.25">
      <c r="F264" s="5">
        <f t="shared" si="45"/>
        <v>1.078050063146226E-5</v>
      </c>
      <c r="G264" s="4">
        <f t="shared" si="46"/>
        <v>102668311.95817329</v>
      </c>
      <c r="H264" s="3">
        <f t="shared" si="47"/>
        <v>1106.8158018962515</v>
      </c>
      <c r="I264">
        <f t="shared" si="48"/>
        <v>113634910029.32007</v>
      </c>
      <c r="J264" s="6"/>
      <c r="K264" s="6"/>
      <c r="L264" s="6"/>
      <c r="M264" s="6"/>
      <c r="N264" s="6"/>
      <c r="O264" s="6"/>
      <c r="P264" s="6"/>
      <c r="Q264" s="6"/>
      <c r="R264" s="6"/>
      <c r="S264" s="6"/>
      <c r="Y264" s="7"/>
      <c r="AA264" s="2"/>
      <c r="AB264" s="2"/>
      <c r="AC264" s="2"/>
    </row>
    <row r="265" spans="6:29" x14ac:dyDescent="0.25">
      <c r="F265" s="5">
        <f t="shared" ref="F265:F328" si="49">H265/G265</f>
        <v>1.026103569919073E-5</v>
      </c>
      <c r="G265" s="4">
        <f t="shared" si="46"/>
        <v>105235019.75712761</v>
      </c>
      <c r="H265" s="3">
        <f t="shared" si="47"/>
        <v>1079.8202945329283</v>
      </c>
      <c r="I265">
        <f t="shared" si="48"/>
        <v>113634910029.32007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Y265" s="7"/>
      <c r="AA265" s="2"/>
      <c r="AB265" s="2"/>
      <c r="AC265" s="2"/>
    </row>
    <row r="266" spans="6:29" x14ac:dyDescent="0.25">
      <c r="F266" s="5">
        <f t="shared" si="49"/>
        <v>9.7666014983374028E-6</v>
      </c>
      <c r="G266" s="4">
        <f t="shared" si="46"/>
        <v>107865895.25105579</v>
      </c>
      <c r="H266" s="3">
        <f t="shared" si="47"/>
        <v>1053.4832141784668</v>
      </c>
      <c r="I266">
        <f t="shared" si="48"/>
        <v>113634910029.32007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Y266" s="7"/>
      <c r="AA266" s="2"/>
      <c r="AB266" s="2"/>
      <c r="AC266" s="2"/>
    </row>
    <row r="267" spans="6:29" x14ac:dyDescent="0.25">
      <c r="F267" s="5">
        <f t="shared" si="49"/>
        <v>9.295991907995151E-6</v>
      </c>
      <c r="G267" s="4">
        <f t="shared" si="46"/>
        <v>110562542.63233218</v>
      </c>
      <c r="H267" s="3">
        <f t="shared" si="47"/>
        <v>1027.7885016375287</v>
      </c>
      <c r="I267">
        <f t="shared" si="48"/>
        <v>113634910029.32007</v>
      </c>
      <c r="J267" s="6"/>
      <c r="K267" s="6"/>
      <c r="L267" s="6"/>
      <c r="M267" s="6"/>
      <c r="N267" s="6"/>
      <c r="O267" s="6"/>
      <c r="P267" s="6"/>
      <c r="Q267" s="6"/>
      <c r="R267" s="6"/>
      <c r="S267" s="6"/>
      <c r="Y267" s="7"/>
      <c r="AA267" s="2"/>
      <c r="AB267" s="2"/>
      <c r="AC267" s="2"/>
    </row>
    <row r="268" spans="6:29" x14ac:dyDescent="0.25">
      <c r="F268" s="5">
        <f t="shared" si="49"/>
        <v>8.8480589249210244E-6</v>
      </c>
      <c r="G268" s="4">
        <f t="shared" si="46"/>
        <v>113326606.19814047</v>
      </c>
      <c r="H268" s="3">
        <f t="shared" si="47"/>
        <v>1002.720489402467</v>
      </c>
      <c r="I268">
        <f t="shared" si="48"/>
        <v>113634910029.32007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Y268" s="7"/>
      <c r="AA268" s="2"/>
      <c r="AB268" s="2"/>
      <c r="AC268" s="2"/>
    </row>
    <row r="269" spans="6:29" x14ac:dyDescent="0.25">
      <c r="F269" s="5">
        <f t="shared" si="49"/>
        <v>8.4217098631015119E-6</v>
      </c>
      <c r="G269" s="4">
        <f t="shared" si="46"/>
        <v>116159771.35309397</v>
      </c>
      <c r="H269" s="3">
        <f t="shared" si="47"/>
        <v>978.26389209996796</v>
      </c>
      <c r="I269">
        <f t="shared" si="48"/>
        <v>113634910029.32007</v>
      </c>
      <c r="J269" s="6"/>
      <c r="K269" s="6"/>
      <c r="L269" s="6"/>
      <c r="M269" s="6"/>
      <c r="N269" s="6"/>
      <c r="O269" s="6"/>
      <c r="P269" s="6"/>
      <c r="Q269" s="6"/>
      <c r="R269" s="6"/>
      <c r="S269" s="6"/>
      <c r="Y269" s="7"/>
      <c r="AA269" s="2"/>
      <c r="AB269" s="2"/>
      <c r="AC269" s="2"/>
    </row>
    <row r="270" spans="6:29" x14ac:dyDescent="0.25">
      <c r="F270" s="5">
        <f t="shared" si="49"/>
        <v>8.0159046882584321E-6</v>
      </c>
      <c r="G270" s="4">
        <f t="shared" si="46"/>
        <v>119063765.6369213</v>
      </c>
      <c r="H270" s="3">
        <f t="shared" si="47"/>
        <v>954.40379717070061</v>
      </c>
      <c r="I270">
        <f t="shared" si="48"/>
        <v>113634910029.32007</v>
      </c>
      <c r="J270" s="6"/>
      <c r="K270" s="6"/>
      <c r="L270" s="6"/>
      <c r="M270" s="6"/>
      <c r="N270" s="6"/>
      <c r="O270" s="6"/>
      <c r="P270" s="6"/>
      <c r="Q270" s="6"/>
      <c r="R270" s="6"/>
      <c r="S270" s="6"/>
      <c r="Y270" s="7"/>
    </row>
    <row r="271" spans="6:29" x14ac:dyDescent="0.25">
      <c r="F271" s="5">
        <f t="shared" si="49"/>
        <v>7.6296534807932741E-6</v>
      </c>
      <c r="G271" s="4">
        <f t="shared" si="46"/>
        <v>122040359.77784432</v>
      </c>
      <c r="H271" s="3">
        <f t="shared" si="47"/>
        <v>931.12565577629334</v>
      </c>
      <c r="I271">
        <f t="shared" si="48"/>
        <v>113634910029.32007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Y271" s="7"/>
    </row>
    <row r="272" spans="6:29" x14ac:dyDescent="0.25">
      <c r="F272" s="5">
        <f t="shared" si="49"/>
        <v>7.2620140209811053E-6</v>
      </c>
      <c r="G272" s="4">
        <f t="shared" si="46"/>
        <v>125091368.77229042</v>
      </c>
      <c r="H272" s="3">
        <f t="shared" si="47"/>
        <v>908.4152739280911</v>
      </c>
      <c r="I272">
        <f t="shared" si="48"/>
        <v>113634910029.32007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Y272" s="7"/>
    </row>
    <row r="273" spans="6:25" x14ac:dyDescent="0.25">
      <c r="F273" s="5">
        <f t="shared" si="49"/>
        <v>6.9120894905233622E-6</v>
      </c>
      <c r="G273" s="4">
        <f t="shared" si="46"/>
        <v>128218652.99159767</v>
      </c>
      <c r="H273" s="3">
        <f t="shared" si="47"/>
        <v>886.25880383228412</v>
      </c>
      <c r="I273">
        <f t="shared" si="48"/>
        <v>113634910029.32007</v>
      </c>
      <c r="J273" s="6"/>
      <c r="K273" s="6"/>
      <c r="L273" s="6"/>
      <c r="M273" s="6"/>
      <c r="N273" s="6"/>
      <c r="O273" s="6"/>
      <c r="P273" s="6"/>
      <c r="Q273" s="6"/>
      <c r="R273" s="6"/>
      <c r="S273" s="6"/>
      <c r="Y273" s="7"/>
    </row>
    <row r="274" spans="6:25" x14ac:dyDescent="0.25">
      <c r="F274" s="5">
        <f t="shared" si="49"/>
        <v>6.5790262848526963E-6</v>
      </c>
      <c r="G274" s="4">
        <f t="shared" si="46"/>
        <v>131424119.31638759</v>
      </c>
      <c r="H274" s="3">
        <f t="shared" si="47"/>
        <v>864.64273544613093</v>
      </c>
      <c r="I274">
        <f t="shared" si="48"/>
        <v>113634910029.32007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Y274" s="7"/>
    </row>
    <row r="275" spans="6:25" x14ac:dyDescent="0.25">
      <c r="F275" s="5">
        <f t="shared" si="49"/>
        <v>6.2620119308532521E-6</v>
      </c>
      <c r="G275" s="4">
        <f t="shared" si="46"/>
        <v>134709722.29929727</v>
      </c>
      <c r="H275" s="3">
        <f t="shared" si="47"/>
        <v>843.55388824012789</v>
      </c>
      <c r="I275">
        <f t="shared" si="48"/>
        <v>113634910029.32007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Y275" s="7"/>
    </row>
    <row r="276" spans="6:25" x14ac:dyDescent="0.25">
      <c r="F276" s="5">
        <f t="shared" si="49"/>
        <v>5.960273104916838E-6</v>
      </c>
      <c r="G276" s="4">
        <f t="shared" si="46"/>
        <v>138077465.35677969</v>
      </c>
      <c r="H276" s="3">
        <f t="shared" si="47"/>
        <v>822.97940316110044</v>
      </c>
      <c r="I276">
        <f t="shared" si="48"/>
        <v>113634910029.32007</v>
      </c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6:25" x14ac:dyDescent="0.25">
      <c r="F277" s="5">
        <f t="shared" si="49"/>
        <v>5.673073746500263E-6</v>
      </c>
      <c r="G277" s="4">
        <f t="shared" si="46"/>
        <v>141529401.99069917</v>
      </c>
      <c r="H277" s="3">
        <f t="shared" si="47"/>
        <v>802.90673479131749</v>
      </c>
      <c r="I277">
        <f t="shared" si="48"/>
        <v>113634910029.32007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6:25" x14ac:dyDescent="0.25">
      <c r="F278" s="5">
        <f t="shared" si="49"/>
        <v>5.3997132625820482E-6</v>
      </c>
      <c r="G278" s="4">
        <f t="shared" si="46"/>
        <v>145067637.04046664</v>
      </c>
      <c r="H278" s="3">
        <f t="shared" si="47"/>
        <v>783.32364369884647</v>
      </c>
      <c r="I278">
        <f t="shared" si="48"/>
        <v>113634910029.32007</v>
      </c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6:25" x14ac:dyDescent="0.25">
      <c r="F279" s="5">
        <f t="shared" si="49"/>
        <v>5.1395248186384762E-6</v>
      </c>
      <c r="G279" s="4">
        <f t="shared" si="46"/>
        <v>148694327.96647829</v>
      </c>
      <c r="H279" s="3">
        <f t="shared" si="47"/>
        <v>764.21818897448441</v>
      </c>
      <c r="I279">
        <f t="shared" si="48"/>
        <v>113634910029.32007</v>
      </c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6:25" x14ac:dyDescent="0.25">
      <c r="F280" s="5">
        <f t="shared" si="49"/>
        <v>4.8918737119699965E-6</v>
      </c>
      <c r="G280" s="4">
        <f t="shared" si="46"/>
        <v>152411686.16564023</v>
      </c>
      <c r="H280" s="3">
        <f t="shared" si="47"/>
        <v>745.57872095071662</v>
      </c>
      <c r="I280">
        <f t="shared" si="48"/>
        <v>113634910029.32007</v>
      </c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6:25" x14ac:dyDescent="0.25">
      <c r="F281" s="5">
        <f t="shared" si="49"/>
        <v>4.6561558234098724E-6</v>
      </c>
      <c r="G281" s="4">
        <f t="shared" si="46"/>
        <v>156221978.31978121</v>
      </c>
      <c r="H281" s="3">
        <f t="shared" si="47"/>
        <v>727.3938740982602</v>
      </c>
      <c r="I281">
        <f t="shared" si="48"/>
        <v>113634910029.32007</v>
      </c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6:25" x14ac:dyDescent="0.25">
      <c r="F282" s="5">
        <f t="shared" si="49"/>
        <v>4.4317961436381899E-6</v>
      </c>
      <c r="G282" s="4">
        <f t="shared" si="46"/>
        <v>160127527.77777573</v>
      </c>
      <c r="H282" s="3">
        <f t="shared" si="47"/>
        <v>709.65256009586369</v>
      </c>
      <c r="I282">
        <f t="shared" si="48"/>
        <v>113634910029.32007</v>
      </c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6:25" x14ac:dyDescent="0.25">
      <c r="F283" s="5">
        <f t="shared" si="49"/>
        <v>4.2182473705063082E-6</v>
      </c>
      <c r="G283" s="4">
        <f t="shared" si="46"/>
        <v>164130715.97222012</v>
      </c>
      <c r="H283" s="3">
        <f t="shared" si="47"/>
        <v>692.34396106913528</v>
      </c>
      <c r="I283">
        <f t="shared" si="48"/>
        <v>113634910029.32007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6:25" x14ac:dyDescent="0.25">
      <c r="F284" s="5">
        <f t="shared" si="49"/>
        <v>4.014988573950086E-6</v>
      </c>
      <c r="G284" s="4">
        <f t="shared" si="46"/>
        <v>168233983.87152562</v>
      </c>
      <c r="H284" s="3">
        <f t="shared" si="47"/>
        <v>675.45752299427841</v>
      </c>
      <c r="I284">
        <f t="shared" si="48"/>
        <v>113634910029.32007</v>
      </c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6:25" x14ac:dyDescent="0.25">
      <c r="F285" s="5">
        <f t="shared" si="49"/>
        <v>3.821523925235061E-6</v>
      </c>
      <c r="G285" s="4">
        <f t="shared" si="46"/>
        <v>172439833.46831375</v>
      </c>
      <c r="H285" s="3">
        <f t="shared" si="47"/>
        <v>658.98294926271058</v>
      </c>
      <c r="I285">
        <f t="shared" si="48"/>
        <v>113634910029.32007</v>
      </c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6:25" x14ac:dyDescent="0.25">
      <c r="F286" s="5">
        <f t="shared" si="49"/>
        <v>3.6373814874337287E-6</v>
      </c>
      <c r="G286" s="4">
        <f t="shared" si="46"/>
        <v>176750829.30502158</v>
      </c>
      <c r="H286" s="3">
        <f t="shared" si="47"/>
        <v>642.91019440264449</v>
      </c>
      <c r="I286">
        <f t="shared" si="48"/>
        <v>113634910029.32007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6:25" x14ac:dyDescent="0.25">
      <c r="F287" s="5">
        <f t="shared" si="49"/>
        <v>3.4621120641843948E-6</v>
      </c>
      <c r="G287" s="4">
        <f t="shared" si="46"/>
        <v>181169600.0376471</v>
      </c>
      <c r="H287" s="3">
        <f t="shared" si="47"/>
        <v>627.22945795379962</v>
      </c>
      <c r="I287">
        <f t="shared" si="48"/>
        <v>113634910029.32007</v>
      </c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6:25" x14ac:dyDescent="0.25">
      <c r="F288" s="5">
        <f t="shared" si="49"/>
        <v>3.2952881039232796E-6</v>
      </c>
      <c r="G288" s="4">
        <f t="shared" si="46"/>
        <v>185698840.03858826</v>
      </c>
      <c r="H288" s="3">
        <f t="shared" si="47"/>
        <v>611.9311784915119</v>
      </c>
      <c r="I288">
        <f t="shared" si="48"/>
        <v>113634910029.32007</v>
      </c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6:19" x14ac:dyDescent="0.25">
      <c r="F289" s="5">
        <f t="shared" si="49"/>
        <v>3.1365026569168635E-6</v>
      </c>
      <c r="G289" s="4">
        <f t="shared" si="46"/>
        <v>190341311.03955296</v>
      </c>
      <c r="H289" s="3">
        <f t="shared" si="47"/>
        <v>597.00602779659698</v>
      </c>
      <c r="I289">
        <f t="shared" si="48"/>
        <v>113634910029.32007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6:19" x14ac:dyDescent="0.25">
      <c r="F290" s="5">
        <f t="shared" si="49"/>
        <v>2.9853683825502573E-6</v>
      </c>
      <c r="G290" s="4">
        <f t="shared" si="46"/>
        <v>195099843.81554177</v>
      </c>
      <c r="H290" s="3">
        <f t="shared" si="47"/>
        <v>582.44490516741178</v>
      </c>
      <c r="I290">
        <f t="shared" si="48"/>
        <v>113634910029.32007</v>
      </c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6:19" x14ac:dyDescent="0.25">
      <c r="F291" s="5">
        <f t="shared" si="49"/>
        <v>2.8415166044499773E-6</v>
      </c>
      <c r="G291" s="4">
        <f t="shared" si="46"/>
        <v>199977339.91093031</v>
      </c>
      <c r="H291" s="3">
        <f t="shared" si="47"/>
        <v>568.23893187064562</v>
      </c>
      <c r="I291">
        <f t="shared" si="48"/>
        <v>113634910029.32007</v>
      </c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6:19" x14ac:dyDescent="0.25">
      <c r="F292" s="5">
        <f t="shared" si="49"/>
        <v>2.7045964111362077E-6</v>
      </c>
      <c r="G292" s="4">
        <f t="shared" si="46"/>
        <v>204976773.40870354</v>
      </c>
      <c r="H292" s="3">
        <f t="shared" si="47"/>
        <v>554.37944572745926</v>
      </c>
      <c r="I292">
        <f t="shared" si="48"/>
        <v>113634910029.32007</v>
      </c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6:19" x14ac:dyDescent="0.25">
      <c r="F293" s="5">
        <f t="shared" si="49"/>
        <v>2.5742738000106683E-6</v>
      </c>
      <c r="G293" s="4">
        <f t="shared" si="46"/>
        <v>210101192.7439211</v>
      </c>
      <c r="H293" s="3">
        <f t="shared" si="47"/>
        <v>540.85799583166761</v>
      </c>
      <c r="I293">
        <f t="shared" si="48"/>
        <v>113634910029.32007</v>
      </c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6:19" x14ac:dyDescent="0.25">
      <c r="F294" s="5">
        <f t="shared" si="49"/>
        <v>2.4502308625919513E-6</v>
      </c>
      <c r="G294" s="4">
        <f t="shared" si="46"/>
        <v>215353722.5625191</v>
      </c>
      <c r="H294" s="3">
        <f t="shared" si="47"/>
        <v>527.66633739674899</v>
      </c>
      <c r="I294">
        <f t="shared" si="48"/>
        <v>113634910029.32007</v>
      </c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6:19" x14ac:dyDescent="0.25">
      <c r="F295" s="5">
        <f t="shared" si="49"/>
        <v>2.3321650090107809E-6</v>
      </c>
      <c r="G295" s="4">
        <f t="shared" si="46"/>
        <v>220737565.62658206</v>
      </c>
      <c r="H295" s="3">
        <f t="shared" si="47"/>
        <v>514.79642672853561</v>
      </c>
      <c r="I295">
        <f t="shared" si="48"/>
        <v>113634910029.32007</v>
      </c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6:19" x14ac:dyDescent="0.25">
      <c r="F296" s="5">
        <f t="shared" si="49"/>
        <v>2.2197882298734391E-6</v>
      </c>
      <c r="G296" s="4">
        <f t="shared" si="46"/>
        <v>226256004.76724657</v>
      </c>
      <c r="H296" s="3">
        <f t="shared" si="47"/>
        <v>502.24041632052263</v>
      </c>
      <c r="I296">
        <f t="shared" si="48"/>
        <v>113634910029.32007</v>
      </c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6:19" x14ac:dyDescent="0.25">
      <c r="F297" s="5">
        <f t="shared" si="49"/>
        <v>2.1128263936927436E-6</v>
      </c>
      <c r="G297" s="4">
        <f t="shared" si="46"/>
        <v>231912404.88642773</v>
      </c>
      <c r="H297" s="3">
        <f t="shared" si="47"/>
        <v>489.99065006880255</v>
      </c>
      <c r="I297">
        <f t="shared" si="48"/>
        <v>113634910029.32007</v>
      </c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6:19" x14ac:dyDescent="0.25">
      <c r="F298" s="5">
        <f t="shared" si="49"/>
        <v>2.0110185781727487E-6</v>
      </c>
      <c r="G298" s="4">
        <f t="shared" si="46"/>
        <v>237710215.0085884</v>
      </c>
      <c r="H298" s="3">
        <f t="shared" si="47"/>
        <v>478.03965860370988</v>
      </c>
      <c r="I298">
        <f t="shared" si="48"/>
        <v>113634910029.32007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6:19" x14ac:dyDescent="0.25">
      <c r="F299" s="5">
        <f t="shared" si="49"/>
        <v>1.9141164337158824E-6</v>
      </c>
      <c r="G299" s="4">
        <f t="shared" si="46"/>
        <v>243652970.3838031</v>
      </c>
      <c r="H299" s="3">
        <f t="shared" si="47"/>
        <v>466.3801547353267</v>
      </c>
      <c r="I299">
        <f t="shared" si="48"/>
        <v>113634910029.32007</v>
      </c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6:19" x14ac:dyDescent="0.25">
      <c r="F300" s="5">
        <f t="shared" si="49"/>
        <v>1.8218835775998881E-6</v>
      </c>
      <c r="G300" s="4">
        <f t="shared" si="46"/>
        <v>249744294.64339817</v>
      </c>
      <c r="H300" s="3">
        <f t="shared" si="47"/>
        <v>455.00502901007485</v>
      </c>
      <c r="I300">
        <f t="shared" si="48"/>
        <v>113634910029.32007</v>
      </c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6:19" x14ac:dyDescent="0.25">
      <c r="F301" s="5">
        <f t="shared" si="49"/>
        <v>1.7340950173467114E-6</v>
      </c>
      <c r="G301" s="4">
        <f t="shared" si="46"/>
        <v>255987902.0094831</v>
      </c>
      <c r="H301" s="3">
        <f t="shared" si="47"/>
        <v>443.90734537568284</v>
      </c>
      <c r="I301">
        <f t="shared" si="48"/>
        <v>113634910029.32007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6:19" x14ac:dyDescent="0.25">
      <c r="F302" s="5">
        <f t="shared" si="49"/>
        <v>1.6505366018767035E-6</v>
      </c>
      <c r="G302" s="4">
        <f t="shared" si="46"/>
        <v>262387599.55972016</v>
      </c>
      <c r="H302" s="3">
        <f t="shared" si="47"/>
        <v>433.08033695188573</v>
      </c>
      <c r="I302">
        <f t="shared" si="48"/>
        <v>113634910029.32007</v>
      </c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6:19" x14ac:dyDescent="0.25">
      <c r="F303" s="5">
        <f t="shared" si="49"/>
        <v>1.5710044991092954E-6</v>
      </c>
      <c r="G303" s="4">
        <f t="shared" si="46"/>
        <v>268947289.54871315</v>
      </c>
      <c r="H303" s="3">
        <f t="shared" si="47"/>
        <v>422.51740190427876</v>
      </c>
      <c r="I303">
        <f t="shared" si="48"/>
        <v>113634910029.32007</v>
      </c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6:19" x14ac:dyDescent="0.25">
      <c r="F304" s="5">
        <f t="shared" si="49"/>
        <v>1.4953046987357963E-6</v>
      </c>
      <c r="G304" s="4">
        <f t="shared" si="46"/>
        <v>275670971.78743094</v>
      </c>
      <c r="H304" s="3">
        <f t="shared" si="47"/>
        <v>412.21209941880863</v>
      </c>
      <c r="I304">
        <f t="shared" si="48"/>
        <v>113634910029.32007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6:19" x14ac:dyDescent="0.25">
      <c r="F305" s="5">
        <f t="shared" si="49"/>
        <v>1.4232525389513832E-6</v>
      </c>
      <c r="G305" s="4">
        <f t="shared" ref="G305:G368" si="50">G304*(1+$O$1)</f>
        <v>282562746.08211666</v>
      </c>
      <c r="H305" s="3">
        <f t="shared" si="47"/>
        <v>402.15814577444752</v>
      </c>
      <c r="I305">
        <f t="shared" si="48"/>
        <v>113634910029.32007</v>
      </c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6:19" x14ac:dyDescent="0.25">
      <c r="F306" s="5">
        <f t="shared" si="49"/>
        <v>1.3546722559917987E-6</v>
      </c>
      <c r="G306" s="4">
        <f t="shared" si="50"/>
        <v>289626814.73416954</v>
      </c>
      <c r="H306" s="3">
        <f t="shared" ref="H306:H369" si="51">I306/G306</f>
        <v>392.34941051165617</v>
      </c>
      <c r="I306">
        <f t="shared" ref="I306:I369" si="52">I305</f>
        <v>113634910029.32007</v>
      </c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6:19" x14ac:dyDescent="0.25">
      <c r="F307" s="5">
        <f t="shared" si="49"/>
        <v>1.2893965553758944E-6</v>
      </c>
      <c r="G307" s="4">
        <f t="shared" si="50"/>
        <v>296867485.10252374</v>
      </c>
      <c r="H307" s="3">
        <f t="shared" si="51"/>
        <v>382.77991269429873</v>
      </c>
      <c r="I307">
        <f t="shared" si="52"/>
        <v>113634910029.32007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6:19" x14ac:dyDescent="0.25">
      <c r="F308" s="5">
        <f t="shared" si="49"/>
        <v>1.2272662038081092E-6</v>
      </c>
      <c r="G308" s="4">
        <f t="shared" si="50"/>
        <v>304289172.2300868</v>
      </c>
      <c r="H308" s="3">
        <f t="shared" si="51"/>
        <v>373.44381726273053</v>
      </c>
      <c r="I308">
        <f t="shared" si="52"/>
        <v>113634910029.32007</v>
      </c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6:19" x14ac:dyDescent="0.25">
      <c r="F309" s="5">
        <f t="shared" si="49"/>
        <v>1.1681296407453744E-6</v>
      </c>
      <c r="G309" s="4">
        <f t="shared" si="50"/>
        <v>311896401.53583896</v>
      </c>
      <c r="H309" s="3">
        <f t="shared" si="51"/>
        <v>364.33543147583464</v>
      </c>
      <c r="I309">
        <f t="shared" si="52"/>
        <v>113634910029.32007</v>
      </c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6:19" x14ac:dyDescent="0.25">
      <c r="F310" s="5">
        <f t="shared" si="49"/>
        <v>1.111842608680904E-6</v>
      </c>
      <c r="G310" s="4">
        <f t="shared" si="50"/>
        <v>319693811.5742349</v>
      </c>
      <c r="H310" s="3">
        <f t="shared" si="51"/>
        <v>355.4492014398387</v>
      </c>
      <c r="I310">
        <f t="shared" si="52"/>
        <v>113634910029.32007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6:19" x14ac:dyDescent="0.25">
      <c r="F311" s="5">
        <f t="shared" si="49"/>
        <v>1.0582678012429787E-6</v>
      </c>
      <c r="G311" s="4">
        <f t="shared" si="50"/>
        <v>327686156.86359072</v>
      </c>
      <c r="H311" s="3">
        <f t="shared" si="51"/>
        <v>346.77970872179395</v>
      </c>
      <c r="I311">
        <f t="shared" si="52"/>
        <v>113634910029.32007</v>
      </c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6:19" x14ac:dyDescent="0.25">
      <c r="F312" s="5">
        <f t="shared" si="49"/>
        <v>1.0072745282503069E-6</v>
      </c>
      <c r="G312" s="4">
        <f t="shared" si="50"/>
        <v>335878310.78518045</v>
      </c>
      <c r="H312" s="3">
        <f t="shared" si="51"/>
        <v>338.32166704565265</v>
      </c>
      <c r="I312">
        <f t="shared" si="52"/>
        <v>113634910029.32007</v>
      </c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6:19" x14ac:dyDescent="0.25">
      <c r="F313" s="5">
        <f t="shared" si="49"/>
        <v>9.587383969068957E-7</v>
      </c>
      <c r="G313" s="4">
        <f t="shared" si="50"/>
        <v>344275268.55480993</v>
      </c>
      <c r="H313" s="3">
        <f t="shared" si="51"/>
        <v>330.06991906892944</v>
      </c>
      <c r="I313">
        <f t="shared" si="52"/>
        <v>113634910029.32007</v>
      </c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6:19" x14ac:dyDescent="0.25">
      <c r="F314" s="5">
        <f t="shared" si="49"/>
        <v>9.1254100835873481E-7</v>
      </c>
      <c r="G314" s="4">
        <f t="shared" si="50"/>
        <v>352882150.26868016</v>
      </c>
      <c r="H314" s="3">
        <f t="shared" si="51"/>
        <v>322.01943323797997</v>
      </c>
      <c r="I314">
        <f t="shared" si="52"/>
        <v>113634910029.32007</v>
      </c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6:19" x14ac:dyDescent="0.25">
      <c r="F315" s="5">
        <f t="shared" si="49"/>
        <v>8.6856966887208566E-7</v>
      </c>
      <c r="G315" s="4">
        <f t="shared" si="50"/>
        <v>361704204.02539712</v>
      </c>
      <c r="H315" s="3">
        <f t="shared" si="51"/>
        <v>314.16530071998051</v>
      </c>
      <c r="I315">
        <f t="shared" si="52"/>
        <v>113634910029.32007</v>
      </c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6:19" x14ac:dyDescent="0.25">
      <c r="F316" s="5">
        <f t="shared" si="49"/>
        <v>8.2671711492881471E-7</v>
      </c>
      <c r="G316" s="4">
        <f t="shared" si="50"/>
        <v>370746809.12603199</v>
      </c>
      <c r="H316" s="3">
        <f t="shared" si="51"/>
        <v>306.50273240973712</v>
      </c>
      <c r="I316">
        <f t="shared" si="52"/>
        <v>113634910029.32007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6:19" x14ac:dyDescent="0.25">
      <c r="F317" s="5">
        <f t="shared" si="49"/>
        <v>7.8688125156817583E-7</v>
      </c>
      <c r="G317" s="4">
        <f t="shared" si="50"/>
        <v>380015479.35418278</v>
      </c>
      <c r="H317" s="3">
        <f t="shared" si="51"/>
        <v>299.02705600949963</v>
      </c>
      <c r="I317">
        <f t="shared" si="52"/>
        <v>113634910029.32007</v>
      </c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6:19" x14ac:dyDescent="0.25">
      <c r="F318" s="5">
        <f t="shared" si="49"/>
        <v>7.4896490333675288E-7</v>
      </c>
      <c r="G318" s="4">
        <f t="shared" si="50"/>
        <v>389515866.33803731</v>
      </c>
      <c r="H318" s="3">
        <f t="shared" si="51"/>
        <v>291.73371317999965</v>
      </c>
      <c r="I318">
        <f t="shared" si="52"/>
        <v>113634910029.32007</v>
      </c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6:19" x14ac:dyDescent="0.25">
      <c r="F319" s="5">
        <f t="shared" si="49"/>
        <v>7.1287557723902731E-7</v>
      </c>
      <c r="G319" s="4">
        <f t="shared" si="50"/>
        <v>399253762.99648821</v>
      </c>
      <c r="H319" s="3">
        <f t="shared" si="51"/>
        <v>284.61825676097533</v>
      </c>
      <c r="I319">
        <f t="shared" si="52"/>
        <v>113634910029.32007</v>
      </c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6:19" x14ac:dyDescent="0.25">
      <c r="F320" s="5">
        <f t="shared" si="49"/>
        <v>6.7852523711031747E-7</v>
      </c>
      <c r="G320" s="4">
        <f t="shared" si="50"/>
        <v>409235107.0714004</v>
      </c>
      <c r="H320" s="3">
        <f t="shared" si="51"/>
        <v>277.67634805948813</v>
      </c>
      <c r="I320">
        <f t="shared" si="52"/>
        <v>113634910029.32007</v>
      </c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6:19" x14ac:dyDescent="0.25">
      <c r="F321" s="5">
        <f t="shared" si="49"/>
        <v>6.4583008886169435E-7</v>
      </c>
      <c r="G321" s="4">
        <f t="shared" si="50"/>
        <v>419465984.7481854</v>
      </c>
      <c r="H321" s="3">
        <f t="shared" si="51"/>
        <v>270.90375420437869</v>
      </c>
      <c r="I321">
        <f t="shared" si="52"/>
        <v>113634910029.32007</v>
      </c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6:19" x14ac:dyDescent="0.25">
      <c r="F322" s="5">
        <f t="shared" si="49"/>
        <v>6.1471037607299885E-7</v>
      </c>
      <c r="G322" s="4">
        <f t="shared" si="50"/>
        <v>429952634.36689001</v>
      </c>
      <c r="H322" s="3">
        <f t="shared" si="51"/>
        <v>264.29634556524752</v>
      </c>
      <c r="I322">
        <f t="shared" si="52"/>
        <v>113634910029.32007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6:19" x14ac:dyDescent="0.25">
      <c r="F323" s="5">
        <f t="shared" si="49"/>
        <v>5.8509018543533501E-7</v>
      </c>
      <c r="G323" s="4">
        <f t="shared" si="50"/>
        <v>440701450.22606224</v>
      </c>
      <c r="H323" s="3">
        <f t="shared" si="51"/>
        <v>257.85009323438783</v>
      </c>
      <c r="I323">
        <f t="shared" si="52"/>
        <v>113634910029.32007</v>
      </c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6:19" x14ac:dyDescent="0.25">
      <c r="F324" s="5">
        <f t="shared" si="49"/>
        <v>5.5689726156843315E-7</v>
      </c>
      <c r="G324" s="4">
        <f t="shared" si="50"/>
        <v>451718986.48171377</v>
      </c>
      <c r="H324" s="3">
        <f t="shared" si="51"/>
        <v>251.56106657013447</v>
      </c>
      <c r="I324">
        <f t="shared" si="52"/>
        <v>113634910029.32007</v>
      </c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6:19" x14ac:dyDescent="0.25">
      <c r="F325" s="5">
        <f t="shared" si="49"/>
        <v>5.3006283076115002E-7</v>
      </c>
      <c r="G325" s="4">
        <f t="shared" si="50"/>
        <v>463011961.14375657</v>
      </c>
      <c r="H325" s="3">
        <f t="shared" si="51"/>
        <v>245.42543080013121</v>
      </c>
      <c r="I325">
        <f t="shared" si="52"/>
        <v>113634910029.32007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6:19" x14ac:dyDescent="0.25">
      <c r="F326" s="5">
        <f t="shared" si="49"/>
        <v>5.0452143320513987E-7</v>
      </c>
      <c r="G326" s="4">
        <f t="shared" si="50"/>
        <v>474587260.17235047</v>
      </c>
      <c r="H326" s="3">
        <f t="shared" si="51"/>
        <v>239.43944468305486</v>
      </c>
      <c r="I326">
        <f t="shared" si="52"/>
        <v>113634910029.32007</v>
      </c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6:19" x14ac:dyDescent="0.25">
      <c r="F327" s="5">
        <f t="shared" si="49"/>
        <v>4.8021076331244732E-7</v>
      </c>
      <c r="G327" s="4">
        <f t="shared" si="50"/>
        <v>486451941.67665917</v>
      </c>
      <c r="H327" s="3">
        <f t="shared" si="51"/>
        <v>233.5994582273706</v>
      </c>
      <c r="I327">
        <f t="shared" si="52"/>
        <v>113634910029.32007</v>
      </c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6:19" x14ac:dyDescent="0.25">
      <c r="F328" s="5">
        <f t="shared" si="49"/>
        <v>4.5707151772749309E-7</v>
      </c>
      <c r="G328" s="4">
        <f t="shared" si="50"/>
        <v>498613240.2185756</v>
      </c>
      <c r="H328" s="3">
        <f t="shared" si="51"/>
        <v>227.90191046572744</v>
      </c>
      <c r="I328">
        <f t="shared" si="52"/>
        <v>113634910029.32007</v>
      </c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6:19" x14ac:dyDescent="0.25">
      <c r="F329" s="5">
        <f t="shared" ref="F329:F392" si="53">H329/G329</f>
        <v>4.3504725066269422E-7</v>
      </c>
      <c r="G329" s="4">
        <f t="shared" si="50"/>
        <v>511078571.22403997</v>
      </c>
      <c r="H329" s="3">
        <f t="shared" si="51"/>
        <v>222.34332728363654</v>
      </c>
      <c r="I329">
        <f t="shared" si="52"/>
        <v>113634910029.32007</v>
      </c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6:19" x14ac:dyDescent="0.25">
      <c r="F330" s="5">
        <f t="shared" si="53"/>
        <v>4.1408423620482503E-7</v>
      </c>
      <c r="G330" s="4">
        <f t="shared" si="50"/>
        <v>523855535.50464094</v>
      </c>
      <c r="H330" s="3">
        <f t="shared" si="51"/>
        <v>216.92031930110883</v>
      </c>
      <c r="I330">
        <f t="shared" si="52"/>
        <v>113634910029.32007</v>
      </c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6:19" x14ac:dyDescent="0.25">
      <c r="F331" s="5">
        <f t="shared" si="53"/>
        <v>3.9413133725622861E-7</v>
      </c>
      <c r="G331" s="4">
        <f t="shared" si="50"/>
        <v>536951923.89225686</v>
      </c>
      <c r="H331" s="3">
        <f t="shared" si="51"/>
        <v>211.62957980595988</v>
      </c>
      <c r="I331">
        <f t="shared" si="52"/>
        <v>113634910029.32007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6:19" x14ac:dyDescent="0.25">
      <c r="F332" s="5">
        <f t="shared" si="53"/>
        <v>3.7513988079117541E-7</v>
      </c>
      <c r="G332" s="4">
        <f t="shared" si="50"/>
        <v>550375721.98956323</v>
      </c>
      <c r="H332" s="3">
        <f t="shared" si="51"/>
        <v>206.46788273752185</v>
      </c>
      <c r="I332">
        <f t="shared" si="52"/>
        <v>113634910029.32007</v>
      </c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6:19" x14ac:dyDescent="0.25">
      <c r="F333" s="5">
        <f t="shared" si="53"/>
        <v>3.570635391230701E-7</v>
      </c>
      <c r="G333" s="4">
        <f t="shared" si="50"/>
        <v>564135115.03930223</v>
      </c>
      <c r="H333" s="3">
        <f t="shared" si="51"/>
        <v>201.43208071953353</v>
      </c>
      <c r="I333">
        <f t="shared" si="52"/>
        <v>113634910029.32007</v>
      </c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6:19" x14ac:dyDescent="0.25">
      <c r="F334" s="5">
        <f t="shared" si="53"/>
        <v>3.3985821689286867E-7</v>
      </c>
      <c r="G334" s="4">
        <f t="shared" si="50"/>
        <v>578238492.91528475</v>
      </c>
      <c r="H334" s="3">
        <f t="shared" si="51"/>
        <v>196.51910314100834</v>
      </c>
      <c r="I334">
        <f t="shared" si="52"/>
        <v>113634910029.32007</v>
      </c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6:19" x14ac:dyDescent="0.25">
      <c r="F335" s="5">
        <f t="shared" si="53"/>
        <v>3.2348194350302792E-7</v>
      </c>
      <c r="G335" s="4">
        <f t="shared" si="50"/>
        <v>592694455.23816681</v>
      </c>
      <c r="H335" s="3">
        <f t="shared" si="51"/>
        <v>191.7259542839106</v>
      </c>
      <c r="I335">
        <f t="shared" si="52"/>
        <v>113634910029.32007</v>
      </c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6:19" x14ac:dyDescent="0.25">
      <c r="F336" s="5">
        <f t="shared" si="53"/>
        <v>3.0789477073458941E-7</v>
      </c>
      <c r="G336" s="4">
        <f t="shared" si="50"/>
        <v>607511816.61912096</v>
      </c>
      <c r="H336" s="3">
        <f t="shared" si="51"/>
        <v>187.04971149649816</v>
      </c>
      <c r="I336">
        <f t="shared" si="52"/>
        <v>113634910029.32007</v>
      </c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6:19" x14ac:dyDescent="0.25">
      <c r="F337" s="5">
        <f t="shared" si="53"/>
        <v>2.9305867529764607E-7</v>
      </c>
      <c r="G337" s="4">
        <f t="shared" si="50"/>
        <v>622699612.03459895</v>
      </c>
      <c r="H337" s="3">
        <f t="shared" si="51"/>
        <v>182.48752341121772</v>
      </c>
      <c r="I337">
        <f t="shared" si="52"/>
        <v>113634910029.32007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6:19" x14ac:dyDescent="0.25">
      <c r="F338" s="5">
        <f t="shared" si="53"/>
        <v>2.7893746607747403E-7</v>
      </c>
      <c r="G338" s="4">
        <f t="shared" si="50"/>
        <v>638267102.33546388</v>
      </c>
      <c r="H338" s="3">
        <f t="shared" si="51"/>
        <v>178.03660820606609</v>
      </c>
      <c r="I338">
        <f t="shared" si="52"/>
        <v>113634910029.32007</v>
      </c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6:19" x14ac:dyDescent="0.25">
      <c r="F339" s="5">
        <f t="shared" si="53"/>
        <v>2.654966958500645E-7</v>
      </c>
      <c r="G339" s="4">
        <f t="shared" si="50"/>
        <v>654223779.89385045</v>
      </c>
      <c r="H339" s="3">
        <f t="shared" si="51"/>
        <v>173.69425190835716</v>
      </c>
      <c r="I339">
        <f t="shared" si="52"/>
        <v>113634910029.32007</v>
      </c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6:19" x14ac:dyDescent="0.25">
      <c r="F340" s="5">
        <f t="shared" si="53"/>
        <v>2.5270357725169741E-7</v>
      </c>
      <c r="G340" s="4">
        <f t="shared" si="50"/>
        <v>670579374.39119661</v>
      </c>
      <c r="H340" s="3">
        <f t="shared" si="51"/>
        <v>169.45780673986067</v>
      </c>
      <c r="I340">
        <f t="shared" si="52"/>
        <v>113634910029.32007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6:19" x14ac:dyDescent="0.25">
      <c r="F341" s="5">
        <f t="shared" si="53"/>
        <v>2.4052690279757044E-7</v>
      </c>
      <c r="G341" s="4">
        <f t="shared" si="50"/>
        <v>687343858.75097644</v>
      </c>
      <c r="H341" s="3">
        <f t="shared" si="51"/>
        <v>165.3246895023031</v>
      </c>
      <c r="I341">
        <f t="shared" si="52"/>
        <v>113634910029.32007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6:19" x14ac:dyDescent="0.25">
      <c r="F342" s="5">
        <f t="shared" si="53"/>
        <v>2.2893696875438006E-7</v>
      </c>
      <c r="G342" s="4">
        <f t="shared" si="50"/>
        <v>704527455.21975076</v>
      </c>
      <c r="H342" s="3">
        <f t="shared" si="51"/>
        <v>161.29238000224697</v>
      </c>
      <c r="I342">
        <f t="shared" si="52"/>
        <v>113634910029.32007</v>
      </c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6:19" x14ac:dyDescent="0.25">
      <c r="F343" s="5">
        <f t="shared" si="53"/>
        <v>2.1790550268114698E-7</v>
      </c>
      <c r="G343" s="4">
        <f t="shared" si="50"/>
        <v>722140641.60024452</v>
      </c>
      <c r="H343" s="3">
        <f t="shared" si="51"/>
        <v>157.35841951438729</v>
      </c>
      <c r="I343">
        <f t="shared" si="52"/>
        <v>113634910029.32007</v>
      </c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6:19" x14ac:dyDescent="0.25">
      <c r="F344" s="5">
        <f t="shared" si="53"/>
        <v>2.0740559446153195E-7</v>
      </c>
      <c r="G344" s="4">
        <f t="shared" si="50"/>
        <v>740194157.64025056</v>
      </c>
      <c r="H344" s="3">
        <f t="shared" si="51"/>
        <v>153.52040928232907</v>
      </c>
      <c r="I344">
        <f t="shared" si="52"/>
        <v>113634910029.32007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6:19" x14ac:dyDescent="0.25">
      <c r="F345" s="5">
        <f t="shared" si="53"/>
        <v>1.9741163065939988E-7</v>
      </c>
      <c r="G345" s="4">
        <f t="shared" si="50"/>
        <v>758699011.58125675</v>
      </c>
      <c r="H345" s="3">
        <f t="shared" si="51"/>
        <v>149.77600905593081</v>
      </c>
      <c r="I345">
        <f t="shared" si="52"/>
        <v>113634910029.32007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6:19" x14ac:dyDescent="0.25">
      <c r="F346" s="5">
        <f t="shared" si="53"/>
        <v>1.8789923203750143E-7</v>
      </c>
      <c r="G346" s="4">
        <f t="shared" si="50"/>
        <v>777666486.8707881</v>
      </c>
      <c r="H346" s="3">
        <f t="shared" si="51"/>
        <v>146.12293566432277</v>
      </c>
      <c r="I346">
        <f t="shared" si="52"/>
        <v>113634910029.32007</v>
      </c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6:19" x14ac:dyDescent="0.25">
      <c r="F347" s="5">
        <f t="shared" si="53"/>
        <v>1.7884519408685447E-7</v>
      </c>
      <c r="G347" s="4">
        <f t="shared" si="50"/>
        <v>797108149.04255772</v>
      </c>
      <c r="H347" s="3">
        <f t="shared" si="51"/>
        <v>142.55896162372954</v>
      </c>
      <c r="I347">
        <f t="shared" si="52"/>
        <v>113634910029.32007</v>
      </c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6:19" x14ac:dyDescent="0.25">
      <c r="F348" s="5">
        <f t="shared" si="53"/>
        <v>1.7022743042175322E-7</v>
      </c>
      <c r="G348" s="4">
        <f t="shared" si="50"/>
        <v>817035852.76862156</v>
      </c>
      <c r="H348" s="3">
        <f t="shared" si="51"/>
        <v>139.08191377924834</v>
      </c>
      <c r="I348">
        <f t="shared" si="52"/>
        <v>113634910029.32007</v>
      </c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6:19" x14ac:dyDescent="0.25">
      <c r="F349" s="5">
        <f t="shared" si="53"/>
        <v>1.6202491890232317E-7</v>
      </c>
      <c r="G349" s="4">
        <f t="shared" si="50"/>
        <v>837461749.08783698</v>
      </c>
      <c r="H349" s="3">
        <f t="shared" si="51"/>
        <v>135.68967197975451</v>
      </c>
      <c r="I349">
        <f t="shared" si="52"/>
        <v>113634910029.32007</v>
      </c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6:19" x14ac:dyDescent="0.25">
      <c r="F350" s="5">
        <f t="shared" si="53"/>
        <v>1.5421765035319282E-7</v>
      </c>
      <c r="G350" s="4">
        <f t="shared" si="50"/>
        <v>858398292.81503284</v>
      </c>
      <c r="H350" s="3">
        <f t="shared" si="51"/>
        <v>132.38016778512636</v>
      </c>
      <c r="I350">
        <f t="shared" si="52"/>
        <v>113634910029.32007</v>
      </c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6:19" x14ac:dyDescent="0.25">
      <c r="F351" s="5">
        <f t="shared" si="53"/>
        <v>1.4678657975318766E-7</v>
      </c>
      <c r="G351" s="4">
        <f t="shared" si="50"/>
        <v>879858250.13540864</v>
      </c>
      <c r="H351" s="3">
        <f t="shared" si="51"/>
        <v>129.15138320500131</v>
      </c>
      <c r="I351">
        <f t="shared" si="52"/>
        <v>113634910029.32007</v>
      </c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6:19" x14ac:dyDescent="0.25">
      <c r="F352" s="5">
        <f t="shared" si="53"/>
        <v>1.3971357977697817E-7</v>
      </c>
      <c r="G352" s="4">
        <f t="shared" si="50"/>
        <v>901854706.38879383</v>
      </c>
      <c r="H352" s="3">
        <f t="shared" si="51"/>
        <v>126.00134946829398</v>
      </c>
      <c r="I352">
        <f t="shared" si="52"/>
        <v>113634910029.32007</v>
      </c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6:19" x14ac:dyDescent="0.25">
      <c r="F353" s="5">
        <f t="shared" si="53"/>
        <v>1.3298139657535105E-7</v>
      </c>
      <c r="G353" s="4">
        <f t="shared" si="50"/>
        <v>924401074.04851365</v>
      </c>
      <c r="H353" s="3">
        <f t="shared" si="51"/>
        <v>122.92814582272584</v>
      </c>
      <c r="I353">
        <f t="shared" si="52"/>
        <v>113634910029.32007</v>
      </c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6:19" x14ac:dyDescent="0.25">
      <c r="F354" s="5">
        <f t="shared" si="53"/>
        <v>1.265736076862354E-7</v>
      </c>
      <c r="G354" s="4">
        <f t="shared" si="50"/>
        <v>947511100.89972639</v>
      </c>
      <c r="H354" s="3">
        <f t="shared" si="51"/>
        <v>119.92989836363498</v>
      </c>
      <c r="I354">
        <f t="shared" si="52"/>
        <v>113634910029.32007</v>
      </c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6:19" x14ac:dyDescent="0.25">
      <c r="F355" s="5">
        <f t="shared" si="53"/>
        <v>1.2047458197381121E-7</v>
      </c>
      <c r="G355" s="4">
        <f t="shared" si="50"/>
        <v>971198878.42221951</v>
      </c>
      <c r="H355" s="3">
        <f t="shared" si="51"/>
        <v>117.00477889135119</v>
      </c>
      <c r="I355">
        <f t="shared" si="52"/>
        <v>113634910029.32007</v>
      </c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6:19" x14ac:dyDescent="0.25">
      <c r="F356" s="5">
        <f t="shared" si="53"/>
        <v>1.1466944149797618E-7</v>
      </c>
      <c r="G356" s="4">
        <f t="shared" si="50"/>
        <v>995478850.38277495</v>
      </c>
      <c r="H356" s="3">
        <f t="shared" si="51"/>
        <v>114.15100379644019</v>
      </c>
      <c r="I356">
        <f t="shared" si="52"/>
        <v>113634910029.32007</v>
      </c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6:19" x14ac:dyDescent="0.25">
      <c r="F357" s="5">
        <f t="shared" si="53"/>
        <v>1.0914402522115522E-7</v>
      </c>
      <c r="G357" s="4">
        <f t="shared" si="50"/>
        <v>1020365821.6423442</v>
      </c>
      <c r="H357" s="3">
        <f t="shared" si="51"/>
        <v>111.36683297213679</v>
      </c>
      <c r="I357">
        <f t="shared" si="52"/>
        <v>113634910029.32007</v>
      </c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6:19" x14ac:dyDescent="0.25">
      <c r="F358" s="5">
        <f t="shared" si="53"/>
        <v>1.0388485446391932E-7</v>
      </c>
      <c r="G358" s="4">
        <f t="shared" si="50"/>
        <v>1045874967.1834028</v>
      </c>
      <c r="H358" s="3">
        <f t="shared" si="51"/>
        <v>108.65056875330419</v>
      </c>
      <c r="I358">
        <f t="shared" si="52"/>
        <v>113634910029.32007</v>
      </c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6:19" x14ac:dyDescent="0.25">
      <c r="F359" s="5">
        <f t="shared" si="53"/>
        <v>9.8879100025146304E-8</v>
      </c>
      <c r="G359" s="4">
        <f t="shared" si="50"/>
        <v>1072021841.3629878</v>
      </c>
      <c r="H359" s="3">
        <f t="shared" si="51"/>
        <v>106.00055488127239</v>
      </c>
      <c r="I359">
        <f t="shared" si="52"/>
        <v>113634910029.32007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6:19" x14ac:dyDescent="0.25">
      <c r="F360" s="5">
        <f t="shared" si="53"/>
        <v>9.4114550886516437E-8</v>
      </c>
      <c r="G360" s="4">
        <f t="shared" si="50"/>
        <v>1098822387.3970623</v>
      </c>
      <c r="H360" s="3">
        <f t="shared" si="51"/>
        <v>103.41517549392429</v>
      </c>
      <c r="I360">
        <f t="shared" si="52"/>
        <v>113634910029.32007</v>
      </c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6:19" x14ac:dyDescent="0.25">
      <c r="F361" s="5">
        <f t="shared" si="53"/>
        <v>8.9579584425000792E-8</v>
      </c>
      <c r="G361" s="4">
        <f t="shared" si="50"/>
        <v>1126292947.0819888</v>
      </c>
      <c r="H361" s="3">
        <f t="shared" si="51"/>
        <v>100.89285414041396</v>
      </c>
      <c r="I361">
        <f t="shared" si="52"/>
        <v>113634910029.32007</v>
      </c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6:19" x14ac:dyDescent="0.25">
      <c r="F362" s="5">
        <f t="shared" si="53"/>
        <v>8.5263138060678911E-8</v>
      </c>
      <c r="G362" s="4">
        <f t="shared" si="50"/>
        <v>1154450270.7590384</v>
      </c>
      <c r="H362" s="3">
        <f t="shared" si="51"/>
        <v>98.432052819916052</v>
      </c>
      <c r="I362">
        <f t="shared" si="52"/>
        <v>113634910029.32007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6:19" x14ac:dyDescent="0.25">
      <c r="F363" s="5">
        <f t="shared" si="53"/>
        <v>8.1154682270723534E-8</v>
      </c>
      <c r="G363" s="4">
        <f t="shared" si="50"/>
        <v>1183311527.5280144</v>
      </c>
      <c r="H363" s="3">
        <f t="shared" si="51"/>
        <v>96.031271043820539</v>
      </c>
      <c r="I363">
        <f t="shared" si="52"/>
        <v>113634910029.32007</v>
      </c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6:19" x14ac:dyDescent="0.25">
      <c r="F364" s="5">
        <f t="shared" si="53"/>
        <v>7.7244194903722602E-8</v>
      </c>
      <c r="G364" s="4">
        <f t="shared" si="50"/>
        <v>1212894315.7162147</v>
      </c>
      <c r="H364" s="3">
        <f t="shared" si="51"/>
        <v>93.689044920800541</v>
      </c>
      <c r="I364">
        <f t="shared" si="52"/>
        <v>113634910029.32007</v>
      </c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6:19" x14ac:dyDescent="0.25">
      <c r="F365" s="5">
        <f t="shared" si="53"/>
        <v>7.3522136731681253E-8</v>
      </c>
      <c r="G365" s="4">
        <f t="shared" si="50"/>
        <v>1243216673.6091199</v>
      </c>
      <c r="H365" s="3">
        <f t="shared" si="51"/>
        <v>91.403946264195653</v>
      </c>
      <c r="I365">
        <f t="shared" si="52"/>
        <v>113634910029.32007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6:19" x14ac:dyDescent="0.25">
      <c r="F366" s="5">
        <f t="shared" si="53"/>
        <v>6.9979428180065452E-8</v>
      </c>
      <c r="G366" s="4">
        <f t="shared" si="50"/>
        <v>1274297090.4493477</v>
      </c>
      <c r="H366" s="3">
        <f t="shared" si="51"/>
        <v>89.174581721166504</v>
      </c>
      <c r="I366">
        <f t="shared" si="52"/>
        <v>113634910029.32007</v>
      </c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6:19" x14ac:dyDescent="0.25">
      <c r="F367" s="5">
        <f t="shared" si="53"/>
        <v>6.6607427179122397E-8</v>
      </c>
      <c r="G367" s="4">
        <f t="shared" si="50"/>
        <v>1306154517.7105813</v>
      </c>
      <c r="H367" s="3">
        <f t="shared" si="51"/>
        <v>86.999591923089284</v>
      </c>
      <c r="I367">
        <f t="shared" si="52"/>
        <v>113634910029.32007</v>
      </c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6:19" x14ac:dyDescent="0.25">
      <c r="F368" s="5">
        <f t="shared" si="53"/>
        <v>6.3397908082448447E-8</v>
      </c>
      <c r="G368" s="4">
        <f t="shared" si="50"/>
        <v>1338808380.6533458</v>
      </c>
      <c r="H368" s="3">
        <f t="shared" si="51"/>
        <v>84.877650656672472</v>
      </c>
      <c r="I368">
        <f t="shared" si="52"/>
        <v>113634910029.32007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6:19" x14ac:dyDescent="0.25">
      <c r="F369" s="5">
        <f t="shared" si="53"/>
        <v>6.0343041601378665E-8</v>
      </c>
      <c r="G369" s="4">
        <f t="shared" ref="G369:G432" si="54">G368*(1+$O$1)</f>
        <v>1372278590.1696794</v>
      </c>
      <c r="H369" s="3">
        <f t="shared" si="51"/>
        <v>82.807464055290225</v>
      </c>
      <c r="I369">
        <f t="shared" si="52"/>
        <v>113634910029.32007</v>
      </c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6:19" x14ac:dyDescent="0.25">
      <c r="F370" s="5">
        <f t="shared" si="53"/>
        <v>5.7435375706249767E-8</v>
      </c>
      <c r="G370" s="4">
        <f t="shared" si="54"/>
        <v>1406585554.9239213</v>
      </c>
      <c r="H370" s="3">
        <f t="shared" ref="H370:H433" si="55">I370/G370</f>
        <v>80.787769810039237</v>
      </c>
      <c r="I370">
        <f t="shared" ref="I370:I433" si="56">I369</f>
        <v>113634910029.32007</v>
      </c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6:19" x14ac:dyDescent="0.25">
      <c r="F371" s="5">
        <f t="shared" si="53"/>
        <v>5.4667817447947446E-8</v>
      </c>
      <c r="G371" s="4">
        <f t="shared" si="54"/>
        <v>1441750193.7970192</v>
      </c>
      <c r="H371" s="3">
        <f t="shared" si="55"/>
        <v>78.8173364000383</v>
      </c>
      <c r="I371">
        <f t="shared" si="56"/>
        <v>113634910029.32007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6:19" x14ac:dyDescent="0.25">
      <c r="F372" s="5">
        <f t="shared" si="53"/>
        <v>5.2033615655393167E-8</v>
      </c>
      <c r="G372" s="4">
        <f t="shared" si="54"/>
        <v>1477793948.6419446</v>
      </c>
      <c r="H372" s="3">
        <f t="shared" si="55"/>
        <v>76.894962341500772</v>
      </c>
      <c r="I372">
        <f t="shared" si="56"/>
        <v>113634910029.32007</v>
      </c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6:19" x14ac:dyDescent="0.25">
      <c r="F373" s="5">
        <f t="shared" si="53"/>
        <v>4.9526344466763283E-8</v>
      </c>
      <c r="G373" s="4">
        <f t="shared" si="54"/>
        <v>1514738797.3579931</v>
      </c>
      <c r="H373" s="3">
        <f t="shared" si="55"/>
        <v>75.019475455122716</v>
      </c>
      <c r="I373">
        <f t="shared" si="56"/>
        <v>113634910029.32007</v>
      </c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6:19" x14ac:dyDescent="0.25">
      <c r="F374" s="5">
        <f t="shared" si="53"/>
        <v>4.7139887654266074E-8</v>
      </c>
      <c r="G374" s="4">
        <f t="shared" si="54"/>
        <v>1552607267.2919428</v>
      </c>
      <c r="H374" s="3">
        <f t="shared" si="55"/>
        <v>73.189732151339243</v>
      </c>
      <c r="I374">
        <f t="shared" si="56"/>
        <v>113634910029.32007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6:19" x14ac:dyDescent="0.25">
      <c r="F375" s="5">
        <f t="shared" si="53"/>
        <v>4.4868423704238983E-8</v>
      </c>
      <c r="G375" s="4">
        <f t="shared" si="54"/>
        <v>1591422448.9742413</v>
      </c>
      <c r="H375" s="3">
        <f t="shared" si="55"/>
        <v>71.404616733013896</v>
      </c>
      <c r="I375">
        <f t="shared" si="56"/>
        <v>113634910029.32007</v>
      </c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6:19" x14ac:dyDescent="0.25">
      <c r="F376" s="5">
        <f t="shared" si="53"/>
        <v>4.2706411616170366E-8</v>
      </c>
      <c r="G376" s="4">
        <f t="shared" si="54"/>
        <v>1631208010.1985972</v>
      </c>
      <c r="H376" s="3">
        <f t="shared" si="55"/>
        <v>69.663040715135523</v>
      </c>
      <c r="I376">
        <f t="shared" si="56"/>
        <v>113634910029.32007</v>
      </c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6:19" x14ac:dyDescent="0.25">
      <c r="F377" s="5">
        <f t="shared" si="53"/>
        <v>4.0648577386003922E-8</v>
      </c>
      <c r="G377" s="4">
        <f t="shared" si="54"/>
        <v>1671988210.453562</v>
      </c>
      <c r="H377" s="3">
        <f t="shared" si="55"/>
        <v>67.963942161107823</v>
      </c>
      <c r="I377">
        <f t="shared" si="56"/>
        <v>113634910029.32007</v>
      </c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6:19" x14ac:dyDescent="0.25">
      <c r="F378" s="5">
        <f t="shared" si="53"/>
        <v>3.8689901140753287E-8</v>
      </c>
      <c r="G378" s="4">
        <f t="shared" si="54"/>
        <v>1713787915.714901</v>
      </c>
      <c r="H378" s="3">
        <f t="shared" si="55"/>
        <v>66.306285035227148</v>
      </c>
      <c r="I378">
        <f t="shared" si="56"/>
        <v>113634910029.32007</v>
      </c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6:19" x14ac:dyDescent="0.25">
      <c r="F379" s="5">
        <f t="shared" si="53"/>
        <v>3.6825604893042997E-8</v>
      </c>
      <c r="G379" s="4">
        <f t="shared" si="54"/>
        <v>1756632613.6077733</v>
      </c>
      <c r="H379" s="3">
        <f t="shared" si="55"/>
        <v>64.689058570953321</v>
      </c>
      <c r="I379">
        <f t="shared" si="56"/>
        <v>113634910029.32007</v>
      </c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6:19" x14ac:dyDescent="0.25">
      <c r="F380" s="5">
        <f t="shared" si="53"/>
        <v>3.5051140885704229E-8</v>
      </c>
      <c r="G380" s="4">
        <f t="shared" si="54"/>
        <v>1800548428.9479675</v>
      </c>
      <c r="H380" s="3">
        <f t="shared" si="55"/>
        <v>63.111276654588615</v>
      </c>
      <c r="I380">
        <f t="shared" si="56"/>
        <v>113634910029.32007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6:19" x14ac:dyDescent="0.25">
      <c r="F381" s="5">
        <f t="shared" si="53"/>
        <v>3.3362180497993317E-8</v>
      </c>
      <c r="G381" s="4">
        <f t="shared" si="54"/>
        <v>1845562139.6716666</v>
      </c>
      <c r="H381" s="3">
        <f t="shared" si="55"/>
        <v>61.571977223988895</v>
      </c>
      <c r="I381">
        <f t="shared" si="56"/>
        <v>113634910029.32007</v>
      </c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6:19" x14ac:dyDescent="0.25">
      <c r="F382" s="5">
        <f t="shared" si="53"/>
        <v>3.17546036863708E-8</v>
      </c>
      <c r="G382" s="4">
        <f t="shared" si="54"/>
        <v>1891701193.1634581</v>
      </c>
      <c r="H382" s="3">
        <f t="shared" si="55"/>
        <v>60.070221681940389</v>
      </c>
      <c r="I382">
        <f t="shared" si="56"/>
        <v>113634910029.32007</v>
      </c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6:19" x14ac:dyDescent="0.25">
      <c r="F383" s="5">
        <f t="shared" si="53"/>
        <v>3.0224488934082864E-8</v>
      </c>
      <c r="G383" s="4">
        <f t="shared" si="54"/>
        <v>1938993722.9925444</v>
      </c>
      <c r="H383" s="3">
        <f t="shared" si="55"/>
        <v>58.605094323844291</v>
      </c>
      <c r="I383">
        <f t="shared" si="56"/>
        <v>113634910029.32007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6:19" x14ac:dyDescent="0.25">
      <c r="F384" s="5">
        <f t="shared" si="53"/>
        <v>2.876810368502831E-8</v>
      </c>
      <c r="G384" s="4">
        <f t="shared" si="54"/>
        <v>1987468566.0673578</v>
      </c>
      <c r="H384" s="3">
        <f t="shared" si="55"/>
        <v>57.175701779360288</v>
      </c>
      <c r="I384">
        <f t="shared" si="56"/>
        <v>113634910029.32007</v>
      </c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6:19" x14ac:dyDescent="0.25">
      <c r="F385" s="5">
        <f t="shared" si="53"/>
        <v>2.7381895238575432E-8</v>
      </c>
      <c r="G385" s="4">
        <f t="shared" si="54"/>
        <v>2037155280.2190416</v>
      </c>
      <c r="H385" s="3">
        <f t="shared" si="55"/>
        <v>55.781172467668576</v>
      </c>
      <c r="I385">
        <f t="shared" si="56"/>
        <v>113634910029.32007</v>
      </c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6:19" x14ac:dyDescent="0.25">
      <c r="F386" s="5">
        <f t="shared" si="53"/>
        <v>2.6062482083117613E-8</v>
      </c>
      <c r="G386" s="4">
        <f t="shared" si="54"/>
        <v>2088084162.2245173</v>
      </c>
      <c r="H386" s="3">
        <f t="shared" si="55"/>
        <v>54.420656066018132</v>
      </c>
      <c r="I386">
        <f t="shared" si="56"/>
        <v>113634910029.32007</v>
      </c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6:19" x14ac:dyDescent="0.25">
      <c r="F387" s="5">
        <f t="shared" si="53"/>
        <v>2.480664564722676E-8</v>
      </c>
      <c r="G387" s="4">
        <f t="shared" si="54"/>
        <v>2140286266.2801301</v>
      </c>
      <c r="H387" s="3">
        <f t="shared" si="55"/>
        <v>53.093322991237201</v>
      </c>
      <c r="I387">
        <f t="shared" si="56"/>
        <v>113634910029.32007</v>
      </c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6:19" x14ac:dyDescent="0.25">
      <c r="F388" s="5">
        <f t="shared" si="53"/>
        <v>2.3611322448282462E-8</v>
      </c>
      <c r="G388" s="4">
        <f t="shared" si="54"/>
        <v>2193793422.9371333</v>
      </c>
      <c r="H388" s="3">
        <f t="shared" si="55"/>
        <v>51.798363893889956</v>
      </c>
      <c r="I388">
        <f t="shared" si="56"/>
        <v>113634910029.32007</v>
      </c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6:19" x14ac:dyDescent="0.25">
      <c r="F389" s="5">
        <f t="shared" si="53"/>
        <v>2.247359661942412E-8</v>
      </c>
      <c r="G389" s="4">
        <f t="shared" si="54"/>
        <v>2248638258.5105615</v>
      </c>
      <c r="H389" s="3">
        <f t="shared" si="55"/>
        <v>50.534989164770693</v>
      </c>
      <c r="I389">
        <f t="shared" si="56"/>
        <v>113634910029.32007</v>
      </c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6:19" x14ac:dyDescent="0.25">
      <c r="F390" s="5">
        <f t="shared" si="53"/>
        <v>2.139069279659643E-8</v>
      </c>
      <c r="G390" s="4">
        <f t="shared" si="54"/>
        <v>2304854214.9733253</v>
      </c>
      <c r="H390" s="3">
        <f t="shared" si="55"/>
        <v>49.302428453434828</v>
      </c>
      <c r="I390">
        <f t="shared" si="56"/>
        <v>113634910029.32007</v>
      </c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6:19" x14ac:dyDescent="0.25">
      <c r="F391" s="5">
        <f t="shared" si="53"/>
        <v>2.0359969348336882E-8</v>
      </c>
      <c r="G391" s="4">
        <f t="shared" si="54"/>
        <v>2362475570.3476582</v>
      </c>
      <c r="H391" s="3">
        <f t="shared" si="55"/>
        <v>48.099930198473011</v>
      </c>
      <c r="I391">
        <f t="shared" si="56"/>
        <v>113634910029.32007</v>
      </c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6:19" x14ac:dyDescent="0.25">
      <c r="F392" s="5">
        <f t="shared" si="53"/>
        <v>1.9378911931790014E-8</v>
      </c>
      <c r="G392" s="4">
        <f t="shared" si="54"/>
        <v>2421537459.6063495</v>
      </c>
      <c r="H392" s="3">
        <f t="shared" si="55"/>
        <v>46.926761169241964</v>
      </c>
      <c r="I392">
        <f t="shared" si="56"/>
        <v>113634910029.32007</v>
      </c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6:19" x14ac:dyDescent="0.25">
      <c r="F393" s="5">
        <f t="shared" ref="F393:F456" si="57">H393/G393</f>
        <v>1.8445127359229043E-8</v>
      </c>
      <c r="G393" s="4">
        <f t="shared" si="54"/>
        <v>2482075896.096508</v>
      </c>
      <c r="H393" s="3">
        <f t="shared" si="55"/>
        <v>45.782206018772648</v>
      </c>
      <c r="I393">
        <f t="shared" si="56"/>
        <v>113634910029.32007</v>
      </c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6:19" x14ac:dyDescent="0.25">
      <c r="F394" s="5">
        <f t="shared" si="57"/>
        <v>1.7556337760122831E-8</v>
      </c>
      <c r="G394" s="4">
        <f t="shared" si="54"/>
        <v>2544127793.4989204</v>
      </c>
      <c r="H394" s="3">
        <f t="shared" si="55"/>
        <v>44.665566847583079</v>
      </c>
      <c r="I394">
        <f t="shared" si="56"/>
        <v>113634910029.32007</v>
      </c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6:19" x14ac:dyDescent="0.25">
      <c r="F395" s="5">
        <f t="shared" si="57"/>
        <v>1.6710375024507157E-8</v>
      </c>
      <c r="G395" s="4">
        <f t="shared" si="54"/>
        <v>2607730988.3363934</v>
      </c>
      <c r="H395" s="3">
        <f t="shared" si="55"/>
        <v>43.576162778129834</v>
      </c>
      <c r="I395">
        <f t="shared" si="56"/>
        <v>113634910029.32007</v>
      </c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6:19" x14ac:dyDescent="0.25">
      <c r="F396" s="5">
        <f t="shared" si="57"/>
        <v>1.5905175514105564E-8</v>
      </c>
      <c r="G396" s="4">
        <f t="shared" si="54"/>
        <v>2672924263.0448031</v>
      </c>
      <c r="H396" s="3">
        <f t="shared" si="55"/>
        <v>42.51332953963886</v>
      </c>
      <c r="I396">
        <f t="shared" si="56"/>
        <v>113634910029.32007</v>
      </c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6:19" x14ac:dyDescent="0.25">
      <c r="F397" s="5">
        <f t="shared" si="57"/>
        <v>1.5138775028297983E-8</v>
      </c>
      <c r="G397" s="4">
        <f t="shared" si="54"/>
        <v>2739747369.620923</v>
      </c>
      <c r="H397" s="3">
        <f t="shared" si="55"/>
        <v>41.476419063062309</v>
      </c>
      <c r="I397">
        <f t="shared" si="56"/>
        <v>113634910029.32007</v>
      </c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6:19" x14ac:dyDescent="0.25">
      <c r="F398" s="5">
        <f t="shared" si="57"/>
        <v>1.4409304012657211E-8</v>
      </c>
      <c r="G398" s="4">
        <f t="shared" si="54"/>
        <v>2808241053.8614459</v>
      </c>
      <c r="H398" s="3">
        <f t="shared" si="55"/>
        <v>40.46479908591445</v>
      </c>
      <c r="I398">
        <f t="shared" si="56"/>
        <v>113634910029.32007</v>
      </c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6:19" x14ac:dyDescent="0.25">
      <c r="F399" s="5">
        <f t="shared" si="57"/>
        <v>1.371498299836499E-8</v>
      </c>
      <c r="G399" s="4">
        <f t="shared" si="54"/>
        <v>2878447080.2079816</v>
      </c>
      <c r="H399" s="3">
        <f t="shared" si="55"/>
        <v>39.477852766745812</v>
      </c>
      <c r="I399">
        <f t="shared" si="56"/>
        <v>113634910029.32007</v>
      </c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6:19" x14ac:dyDescent="0.25">
      <c r="F400" s="5">
        <f t="shared" si="57"/>
        <v>1.3054118261382501E-8</v>
      </c>
      <c r="G400" s="4">
        <f t="shared" si="54"/>
        <v>2950408257.213181</v>
      </c>
      <c r="H400" s="3">
        <f t="shared" si="55"/>
        <v>38.514978309020307</v>
      </c>
      <c r="I400">
        <f t="shared" si="56"/>
        <v>113634910029.32007</v>
      </c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6:19" x14ac:dyDescent="0.25">
      <c r="F401" s="5">
        <f t="shared" si="57"/>
        <v>1.2425097690786441E-8</v>
      </c>
      <c r="G401" s="4">
        <f t="shared" si="54"/>
        <v>3024168463.6435103</v>
      </c>
      <c r="H401" s="3">
        <f t="shared" si="55"/>
        <v>37.575588594166156</v>
      </c>
      <c r="I401">
        <f t="shared" si="56"/>
        <v>113634910029.32007</v>
      </c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6:19" x14ac:dyDescent="0.25">
      <c r="F402" s="5">
        <f t="shared" si="57"/>
        <v>1.1826386856191736E-8</v>
      </c>
      <c r="G402" s="4">
        <f t="shared" si="54"/>
        <v>3099772675.2345977</v>
      </c>
      <c r="H402" s="3">
        <f t="shared" si="55"/>
        <v>36.659110823576739</v>
      </c>
      <c r="I402">
        <f t="shared" si="56"/>
        <v>113634910029.32007</v>
      </c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6:19" x14ac:dyDescent="0.25">
      <c r="F403" s="5">
        <f t="shared" si="57"/>
        <v>1.1256525264667925E-8</v>
      </c>
      <c r="G403" s="4">
        <f t="shared" si="54"/>
        <v>3177266992.1154623</v>
      </c>
      <c r="H403" s="3">
        <f t="shared" si="55"/>
        <v>35.764986169343167</v>
      </c>
      <c r="I403">
        <f t="shared" si="56"/>
        <v>113634910029.32007</v>
      </c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6:19" x14ac:dyDescent="0.25">
      <c r="F404" s="5">
        <f t="shared" si="57"/>
        <v>1.0714122798018251E-8</v>
      </c>
      <c r="G404" s="4">
        <f t="shared" si="54"/>
        <v>3256698666.9183488</v>
      </c>
      <c r="H404" s="3">
        <f t="shared" si="55"/>
        <v>34.892669433505525</v>
      </c>
      <c r="I404">
        <f t="shared" si="56"/>
        <v>113634910029.32007</v>
      </c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6:19" x14ac:dyDescent="0.25">
      <c r="F405" s="5">
        <f t="shared" si="57"/>
        <v>1.019785632173064E-8</v>
      </c>
      <c r="G405" s="4">
        <f t="shared" si="54"/>
        <v>3338116133.5913072</v>
      </c>
      <c r="H405" s="3">
        <f t="shared" si="55"/>
        <v>34.041628715615154</v>
      </c>
      <c r="I405">
        <f t="shared" si="56"/>
        <v>113634910029.32007</v>
      </c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6:19" x14ac:dyDescent="0.25">
      <c r="F406" s="5">
        <f t="shared" si="57"/>
        <v>9.7064664573283934E-9</v>
      </c>
      <c r="G406" s="4">
        <f t="shared" si="54"/>
        <v>3421569036.9310894</v>
      </c>
      <c r="H406" s="3">
        <f t="shared" si="55"/>
        <v>33.211345088405032</v>
      </c>
      <c r="I406">
        <f t="shared" si="56"/>
        <v>113634910029.32007</v>
      </c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6:19" x14ac:dyDescent="0.25">
      <c r="F407" s="5">
        <f t="shared" si="57"/>
        <v>9.2387545102471336E-9</v>
      </c>
      <c r="G407" s="4">
        <f t="shared" si="54"/>
        <v>3507108262.8543663</v>
      </c>
      <c r="H407" s="3">
        <f t="shared" si="55"/>
        <v>32.401312281370764</v>
      </c>
      <c r="I407">
        <f t="shared" si="56"/>
        <v>113634910029.32007</v>
      </c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6:19" x14ac:dyDescent="0.25">
      <c r="F408" s="5">
        <f t="shared" si="57"/>
        <v>8.793579545743853E-9</v>
      </c>
      <c r="G408" s="4">
        <f t="shared" si="54"/>
        <v>3594785969.425725</v>
      </c>
      <c r="H408" s="3">
        <f t="shared" si="55"/>
        <v>31.611036372069044</v>
      </c>
      <c r="I408">
        <f t="shared" si="56"/>
        <v>113634910029.32007</v>
      </c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6:19" x14ac:dyDescent="0.25">
      <c r="F409" s="5">
        <f t="shared" si="57"/>
        <v>8.3698556057050367E-9</v>
      </c>
      <c r="G409" s="4">
        <f t="shared" si="54"/>
        <v>3684655618.6613679</v>
      </c>
      <c r="H409" s="3">
        <f t="shared" si="55"/>
        <v>30.84003548494541</v>
      </c>
      <c r="I409">
        <f t="shared" si="56"/>
        <v>113634910029.32007</v>
      </c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6:19" x14ac:dyDescent="0.25">
      <c r="F410" s="5">
        <f t="shared" si="57"/>
        <v>7.9665490595645824E-9</v>
      </c>
      <c r="G410" s="4">
        <f t="shared" si="54"/>
        <v>3776772009.1279016</v>
      </c>
      <c r="H410" s="3">
        <f t="shared" si="55"/>
        <v>30.087839497507723</v>
      </c>
      <c r="I410">
        <f t="shared" si="56"/>
        <v>113634910029.32007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6:19" x14ac:dyDescent="0.25">
      <c r="F411" s="5">
        <f t="shared" si="57"/>
        <v>7.5826760828693246E-9</v>
      </c>
      <c r="G411" s="4">
        <f t="shared" si="54"/>
        <v>3871191309.3560987</v>
      </c>
      <c r="H411" s="3">
        <f t="shared" si="55"/>
        <v>29.353989753666074</v>
      </c>
      <c r="I411">
        <f t="shared" si="56"/>
        <v>113634910029.32007</v>
      </c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6:19" x14ac:dyDescent="0.25">
      <c r="F412" s="5">
        <f t="shared" si="57"/>
        <v>7.2173002573414173E-9</v>
      </c>
      <c r="G412" s="4">
        <f t="shared" si="54"/>
        <v>3967971092.0900006</v>
      </c>
      <c r="H412" s="3">
        <f t="shared" si="55"/>
        <v>28.638038784064467</v>
      </c>
      <c r="I412">
        <f t="shared" si="56"/>
        <v>113634910029.32007</v>
      </c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6:19" x14ac:dyDescent="0.25">
      <c r="F413" s="5">
        <f t="shared" si="57"/>
        <v>6.8695302865831475E-9</v>
      </c>
      <c r="G413" s="4">
        <f t="shared" si="54"/>
        <v>4067170369.3922501</v>
      </c>
      <c r="H413" s="3">
        <f t="shared" si="55"/>
        <v>27.93955003323363</v>
      </c>
      <c r="I413">
        <f t="shared" si="56"/>
        <v>113634910029.32007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6:19" x14ac:dyDescent="0.25">
      <c r="F414" s="5">
        <f t="shared" si="57"/>
        <v>6.5385178218518958E-9</v>
      </c>
      <c r="G414" s="4">
        <f t="shared" si="54"/>
        <v>4168849628.6270561</v>
      </c>
      <c r="H414" s="3">
        <f t="shared" si="55"/>
        <v>27.258097593398663</v>
      </c>
      <c r="I414">
        <f t="shared" si="56"/>
        <v>113634910029.32007</v>
      </c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6:19" x14ac:dyDescent="0.25">
      <c r="F415" s="5">
        <f t="shared" si="57"/>
        <v>6.2234553926014494E-9</v>
      </c>
      <c r="G415" s="4">
        <f t="shared" si="54"/>
        <v>4273070869.342732</v>
      </c>
      <c r="H415" s="3">
        <f t="shared" si="55"/>
        <v>26.593265944779187</v>
      </c>
      <c r="I415">
        <f t="shared" si="56"/>
        <v>113634910029.32007</v>
      </c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6:19" x14ac:dyDescent="0.25">
      <c r="F416" s="5">
        <f t="shared" si="57"/>
        <v>5.9235744367414163E-9</v>
      </c>
      <c r="G416" s="4">
        <f t="shared" si="54"/>
        <v>4379897641.0762997</v>
      </c>
      <c r="H416" s="3">
        <f t="shared" si="55"/>
        <v>25.9446497022236</v>
      </c>
      <c r="I416">
        <f t="shared" si="56"/>
        <v>113634910029.32007</v>
      </c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6:19" x14ac:dyDescent="0.25">
      <c r="F417" s="5">
        <f t="shared" si="57"/>
        <v>5.638143425809797E-9</v>
      </c>
      <c r="G417" s="4">
        <f t="shared" si="54"/>
        <v>4489395082.1032066</v>
      </c>
      <c r="H417" s="3">
        <f t="shared" si="55"/>
        <v>25.311853368023026</v>
      </c>
      <c r="I417">
        <f t="shared" si="56"/>
        <v>113634910029.32007</v>
      </c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6:19" x14ac:dyDescent="0.25">
      <c r="F418" s="5">
        <f t="shared" si="57"/>
        <v>5.3664660804852323E-9</v>
      </c>
      <c r="G418" s="4">
        <f t="shared" si="54"/>
        <v>4601629959.1557865</v>
      </c>
      <c r="H418" s="3">
        <f t="shared" si="55"/>
        <v>24.694491090754173</v>
      </c>
      <c r="I418">
        <f t="shared" si="56"/>
        <v>113634910029.32007</v>
      </c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6:19" x14ac:dyDescent="0.25">
      <c r="F419" s="5">
        <f t="shared" si="57"/>
        <v>5.107879672085886E-9</v>
      </c>
      <c r="G419" s="4">
        <f t="shared" si="54"/>
        <v>4716670708.1346807</v>
      </c>
      <c r="H419" s="3">
        <f t="shared" si="55"/>
        <v>24.092186430004077</v>
      </c>
      <c r="I419">
        <f t="shared" si="56"/>
        <v>113634910029.32007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6:19" x14ac:dyDescent="0.25">
      <c r="F420" s="5">
        <f t="shared" si="57"/>
        <v>4.8617534059116124E-9</v>
      </c>
      <c r="G420" s="4">
        <f t="shared" si="54"/>
        <v>4834587475.838047</v>
      </c>
      <c r="H420" s="3">
        <f t="shared" si="55"/>
        <v>23.504572126833249</v>
      </c>
      <c r="I420">
        <f t="shared" si="56"/>
        <v>113634910029.32007</v>
      </c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6:19" x14ac:dyDescent="0.25">
      <c r="F421" s="5">
        <f t="shared" si="57"/>
        <v>4.6274868824857711E-9</v>
      </c>
      <c r="G421" s="4">
        <f t="shared" si="54"/>
        <v>4955452162.7339973</v>
      </c>
      <c r="H421" s="3">
        <f t="shared" si="55"/>
        <v>22.931289879837319</v>
      </c>
      <c r="I421">
        <f t="shared" si="56"/>
        <v>113634910029.32007</v>
      </c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6:19" x14ac:dyDescent="0.25">
      <c r="F422" s="5">
        <f t="shared" si="57"/>
        <v>4.4045086329430313E-9</v>
      </c>
      <c r="G422" s="4">
        <f t="shared" si="54"/>
        <v>5079338466.8023472</v>
      </c>
      <c r="H422" s="3">
        <f t="shared" si="55"/>
        <v>22.371990126670557</v>
      </c>
      <c r="I422">
        <f t="shared" si="56"/>
        <v>113634910029.32007</v>
      </c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6:19" x14ac:dyDescent="0.25">
      <c r="F423" s="5">
        <f t="shared" si="57"/>
        <v>4.192274724990393E-9</v>
      </c>
      <c r="G423" s="4">
        <f t="shared" si="54"/>
        <v>5206321928.4724054</v>
      </c>
      <c r="H423" s="3">
        <f t="shared" si="55"/>
        <v>21.826331830898106</v>
      </c>
      <c r="I423">
        <f t="shared" si="56"/>
        <v>113634910029.32007</v>
      </c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6:19" x14ac:dyDescent="0.25">
      <c r="F424" s="5">
        <f t="shared" si="57"/>
        <v>3.9902674360408264E-9</v>
      </c>
      <c r="G424" s="4">
        <f t="shared" si="54"/>
        <v>5336479976.6842155</v>
      </c>
      <c r="H424" s="3">
        <f t="shared" si="55"/>
        <v>21.293982274046932</v>
      </c>
      <c r="I424">
        <f t="shared" si="56"/>
        <v>113634910029.32007</v>
      </c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6:19" x14ac:dyDescent="0.25">
      <c r="F425" s="5">
        <f t="shared" si="57"/>
        <v>3.797993990282762E-9</v>
      </c>
      <c r="G425" s="4">
        <f t="shared" si="54"/>
        <v>5469891976.1013203</v>
      </c>
      <c r="H425" s="3">
        <f t="shared" si="55"/>
        <v>20.774616852728716</v>
      </c>
      <c r="I425">
        <f t="shared" si="56"/>
        <v>113634910029.32007</v>
      </c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6:19" x14ac:dyDescent="0.25">
      <c r="F426" s="5">
        <f t="shared" si="57"/>
        <v>3.614985356604652E-9</v>
      </c>
      <c r="G426" s="4">
        <f t="shared" si="54"/>
        <v>5606639275.5038528</v>
      </c>
      <c r="H426" s="3">
        <f t="shared" si="55"/>
        <v>20.267918880710944</v>
      </c>
      <c r="I426">
        <f t="shared" si="56"/>
        <v>113634910029.32007</v>
      </c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6:19" x14ac:dyDescent="0.25">
      <c r="F427" s="5">
        <f t="shared" si="57"/>
        <v>3.4407951044422631E-9</v>
      </c>
      <c r="G427" s="4">
        <f t="shared" si="54"/>
        <v>5746805257.391449</v>
      </c>
      <c r="H427" s="3">
        <f t="shared" si="55"/>
        <v>19.773579395815556</v>
      </c>
      <c r="I427">
        <f t="shared" si="56"/>
        <v>113634910029.32007</v>
      </c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6:19" x14ac:dyDescent="0.25">
      <c r="F428" s="5">
        <f t="shared" si="57"/>
        <v>3.2749983147576572E-9</v>
      </c>
      <c r="G428" s="4">
        <f t="shared" si="54"/>
        <v>5890475388.8262348</v>
      </c>
      <c r="H428" s="3">
        <f t="shared" si="55"/>
        <v>19.291296971527373</v>
      </c>
      <c r="I428">
        <f t="shared" si="56"/>
        <v>113634910029.32007</v>
      </c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6:19" x14ac:dyDescent="0.25">
      <c r="F429" s="5">
        <f t="shared" si="57"/>
        <v>3.117190543493309E-9</v>
      </c>
      <c r="G429" s="4">
        <f t="shared" si="54"/>
        <v>6037737273.5468903</v>
      </c>
      <c r="H429" s="3">
        <f t="shared" si="55"/>
        <v>18.82077753319744</v>
      </c>
      <c r="I429">
        <f t="shared" si="56"/>
        <v>113634910029.32007</v>
      </c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6:19" x14ac:dyDescent="0.25">
      <c r="F430" s="5">
        <f t="shared" si="57"/>
        <v>2.966986834972811E-9</v>
      </c>
      <c r="G430" s="4">
        <f t="shared" si="54"/>
        <v>6188680705.3855619</v>
      </c>
      <c r="H430" s="3">
        <f t="shared" si="55"/>
        <v>18.361734178729211</v>
      </c>
      <c r="I430">
        <f t="shared" si="56"/>
        <v>113634910029.32007</v>
      </c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6:19" x14ac:dyDescent="0.25">
      <c r="F431" s="5">
        <f t="shared" si="57"/>
        <v>2.8240207828414619E-9</v>
      </c>
      <c r="G431" s="4">
        <f t="shared" si="54"/>
        <v>6343397723.0202007</v>
      </c>
      <c r="H431" s="3">
        <f t="shared" si="55"/>
        <v>17.913887003638255</v>
      </c>
      <c r="I431">
        <f t="shared" si="56"/>
        <v>113634910029.32007</v>
      </c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6:19" x14ac:dyDescent="0.25">
      <c r="F432" s="5">
        <f t="shared" si="57"/>
        <v>2.6879436362560025E-9</v>
      </c>
      <c r="G432" s="4">
        <f t="shared" si="54"/>
        <v>6501982666.095705</v>
      </c>
      <c r="H432" s="3">
        <f t="shared" si="55"/>
        <v>17.476962930378786</v>
      </c>
      <c r="I432">
        <f t="shared" si="56"/>
        <v>113634910029.32007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6:19" x14ac:dyDescent="0.25">
      <c r="F433" s="5">
        <f t="shared" si="57"/>
        <v>2.5584234491431313E-9</v>
      </c>
      <c r="G433" s="4">
        <f t="shared" ref="G433:G496" si="58">G432*(1+$O$1)</f>
        <v>6664532232.7480974</v>
      </c>
      <c r="H433" s="3">
        <f t="shared" si="55"/>
        <v>17.050695541832962</v>
      </c>
      <c r="I433">
        <f t="shared" si="56"/>
        <v>113634910029.32007</v>
      </c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6:19" x14ac:dyDescent="0.25">
      <c r="F434" s="5">
        <f t="shared" si="57"/>
        <v>2.4351442704515237E-9</v>
      </c>
      <c r="G434" s="4">
        <f t="shared" si="58"/>
        <v>6831145538.5667992</v>
      </c>
      <c r="H434" s="3">
        <f t="shared" ref="H434:H497" si="59">I434/G434</f>
        <v>16.63482491886143</v>
      </c>
      <c r="I434">
        <f t="shared" ref="I434:I497" si="60">I433</f>
        <v>113634910029.32007</v>
      </c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6:19" x14ac:dyDescent="0.25">
      <c r="F435" s="5">
        <f t="shared" si="57"/>
        <v>2.3178053734220335E-9</v>
      </c>
      <c r="G435" s="4">
        <f t="shared" si="58"/>
        <v>7001924177.0309687</v>
      </c>
      <c r="H435" s="3">
        <f t="shared" si="59"/>
        <v>16.22909748181603</v>
      </c>
      <c r="I435">
        <f t="shared" si="60"/>
        <v>113634910029.32007</v>
      </c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6:19" x14ac:dyDescent="0.25">
      <c r="F436" s="5">
        <f t="shared" si="57"/>
        <v>2.2061205219959869E-9</v>
      </c>
      <c r="G436" s="4">
        <f t="shared" si="58"/>
        <v>7176972281.4567423</v>
      </c>
      <c r="H436" s="3">
        <f t="shared" si="59"/>
        <v>15.833265835918079</v>
      </c>
      <c r="I436">
        <f t="shared" si="60"/>
        <v>113634910029.32007</v>
      </c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6:19" x14ac:dyDescent="0.25">
      <c r="F437" s="5">
        <f t="shared" si="57"/>
        <v>2.0998172725720283E-9</v>
      </c>
      <c r="G437" s="4">
        <f t="shared" si="58"/>
        <v>7356396588.4931602</v>
      </c>
      <c r="H437" s="3">
        <f t="shared" si="59"/>
        <v>15.447088620407882</v>
      </c>
      <c r="I437">
        <f t="shared" si="60"/>
        <v>113634910029.32007</v>
      </c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6:19" x14ac:dyDescent="0.25">
      <c r="F438" s="5">
        <f t="shared" si="57"/>
        <v>1.998636309408237E-9</v>
      </c>
      <c r="G438" s="4">
        <f t="shared" si="58"/>
        <v>7540306503.2054882</v>
      </c>
      <c r="H438" s="3">
        <f t="shared" si="59"/>
        <v>15.070330361373546</v>
      </c>
      <c r="I438">
        <f t="shared" si="60"/>
        <v>113634910029.32007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6:19" x14ac:dyDescent="0.25">
      <c r="F439" s="5">
        <f t="shared" si="57"/>
        <v>1.9023308120482928E-9</v>
      </c>
      <c r="G439" s="4">
        <f t="shared" si="58"/>
        <v>7728814165.7856245</v>
      </c>
      <c r="H439" s="3">
        <f t="shared" si="59"/>
        <v>14.702761328169315</v>
      </c>
      <c r="I439">
        <f t="shared" si="60"/>
        <v>113634910029.32007</v>
      </c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6:19" x14ac:dyDescent="0.25">
      <c r="F440" s="5">
        <f t="shared" si="57"/>
        <v>1.8106658532285956E-9</v>
      </c>
      <c r="G440" s="4">
        <f t="shared" si="58"/>
        <v>7922034519.9302645</v>
      </c>
      <c r="H440" s="3">
        <f t="shared" si="59"/>
        <v>14.344157393335919</v>
      </c>
      <c r="I440">
        <f t="shared" si="60"/>
        <v>113634910029.32007</v>
      </c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6:19" x14ac:dyDescent="0.25">
      <c r="F441" s="5">
        <f t="shared" si="57"/>
        <v>1.7234178257975927E-9</v>
      </c>
      <c r="G441" s="4">
        <f t="shared" si="58"/>
        <v>8120085382.9285202</v>
      </c>
      <c r="H441" s="3">
        <f t="shared" si="59"/>
        <v>13.994299895937484</v>
      </c>
      <c r="I441">
        <f t="shared" si="60"/>
        <v>113634910029.32007</v>
      </c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6:19" x14ac:dyDescent="0.25">
      <c r="F442" s="5">
        <f t="shared" si="57"/>
        <v>1.6403738972493447E-9</v>
      </c>
      <c r="G442" s="4">
        <f t="shared" si="58"/>
        <v>8323087517.5017328</v>
      </c>
      <c r="H442" s="3">
        <f t="shared" si="59"/>
        <v>13.652975508231691</v>
      </c>
      <c r="I442">
        <f t="shared" si="60"/>
        <v>113634910029.32007</v>
      </c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6:19" x14ac:dyDescent="0.25">
      <c r="F443" s="5">
        <f t="shared" si="57"/>
        <v>1.561331490540721E-9</v>
      </c>
      <c r="G443" s="4">
        <f t="shared" si="58"/>
        <v>8531164705.4392757</v>
      </c>
      <c r="H443" s="3">
        <f t="shared" si="59"/>
        <v>13.319976105591895</v>
      </c>
      <c r="I443">
        <f t="shared" si="60"/>
        <v>113634910029.32007</v>
      </c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6:19" x14ac:dyDescent="0.25">
      <c r="F444" s="5">
        <f t="shared" si="57"/>
        <v>1.4860977899257313E-9</v>
      </c>
      <c r="G444" s="4">
        <f t="shared" si="58"/>
        <v>8744443823.0752563</v>
      </c>
      <c r="H444" s="3">
        <f t="shared" si="59"/>
        <v>12.995098639601851</v>
      </c>
      <c r="I444">
        <f t="shared" si="60"/>
        <v>113634910029.32007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6:19" x14ac:dyDescent="0.25">
      <c r="F445" s="5">
        <f t="shared" si="57"/>
        <v>1.4144892706015288E-9</v>
      </c>
      <c r="G445" s="4">
        <f t="shared" si="58"/>
        <v>8963054918.6521378</v>
      </c>
      <c r="H445" s="3">
        <f t="shared" si="59"/>
        <v>12.678145014245708</v>
      </c>
      <c r="I445">
        <f t="shared" si="60"/>
        <v>113634910029.32007</v>
      </c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6:19" x14ac:dyDescent="0.25">
      <c r="F446" s="5">
        <f t="shared" si="57"/>
        <v>1.3463312510187069E-9</v>
      </c>
      <c r="G446" s="4">
        <f t="shared" si="58"/>
        <v>9187131291.6184406</v>
      </c>
      <c r="H446" s="3">
        <f t="shared" si="59"/>
        <v>12.368921965117764</v>
      </c>
      <c r="I446">
        <f t="shared" si="60"/>
        <v>113634910029.32007</v>
      </c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6:19" x14ac:dyDescent="0.25">
      <c r="F447" s="5">
        <f t="shared" si="57"/>
        <v>1.2814574667637902E-9</v>
      </c>
      <c r="G447" s="4">
        <f t="shared" si="58"/>
        <v>9416809573.9089012</v>
      </c>
      <c r="H447" s="3">
        <f t="shared" si="59"/>
        <v>12.067240941578307</v>
      </c>
      <c r="I447">
        <f t="shared" si="60"/>
        <v>113634910029.32007</v>
      </c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6:19" x14ac:dyDescent="0.25">
      <c r="F448" s="5">
        <f t="shared" si="57"/>
        <v>1.2197096649744587E-9</v>
      </c>
      <c r="G448" s="4">
        <f t="shared" si="58"/>
        <v>9652229813.2566223</v>
      </c>
      <c r="H448" s="3">
        <f t="shared" si="59"/>
        <v>11.772917991783716</v>
      </c>
      <c r="I448">
        <f t="shared" si="60"/>
        <v>113634910029.32007</v>
      </c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6:19" x14ac:dyDescent="0.25">
      <c r="F449" s="5">
        <f t="shared" si="57"/>
        <v>1.1609372182981166E-9</v>
      </c>
      <c r="G449" s="4">
        <f t="shared" si="58"/>
        <v>9893535558.5880375</v>
      </c>
      <c r="H449" s="3">
        <f t="shared" si="59"/>
        <v>11.485773650520699</v>
      </c>
      <c r="I449">
        <f t="shared" si="60"/>
        <v>113634910029.32007</v>
      </c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6:19" x14ac:dyDescent="0.25">
      <c r="F450" s="5">
        <f t="shared" si="57"/>
        <v>1.1049967574521039E-9</v>
      </c>
      <c r="G450" s="4">
        <f t="shared" si="58"/>
        <v>10140873947.552738</v>
      </c>
      <c r="H450" s="3">
        <f t="shared" si="59"/>
        <v>11.205632829776292</v>
      </c>
      <c r="I450">
        <f t="shared" si="60"/>
        <v>113634910029.32007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6:19" x14ac:dyDescent="0.25">
      <c r="F451" s="5">
        <f t="shared" si="57"/>
        <v>1.0517518214892126E-9</v>
      </c>
      <c r="G451" s="4">
        <f t="shared" si="58"/>
        <v>10394395796.241556</v>
      </c>
      <c r="H451" s="3">
        <f t="shared" si="59"/>
        <v>10.932324711976872</v>
      </c>
      <c r="I451">
        <f t="shared" si="60"/>
        <v>113634910029.32007</v>
      </c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6:19" x14ac:dyDescent="0.25">
      <c r="F452" s="5">
        <f t="shared" si="57"/>
        <v>1.0010725249153719E-9</v>
      </c>
      <c r="G452" s="4">
        <f t="shared" si="58"/>
        <v>10654255691.147594</v>
      </c>
      <c r="H452" s="3">
        <f t="shared" si="59"/>
        <v>10.665682645831094</v>
      </c>
      <c r="I452">
        <f t="shared" si="60"/>
        <v>113634910029.32007</v>
      </c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6:19" x14ac:dyDescent="0.25">
      <c r="F453" s="5">
        <f t="shared" si="57"/>
        <v>9.5283524084746916E-10</v>
      </c>
      <c r="G453" s="4">
        <f t="shared" si="58"/>
        <v>10920612083.426283</v>
      </c>
      <c r="H453" s="3">
        <f t="shared" si="59"/>
        <v>10.405544044713263</v>
      </c>
      <c r="I453">
        <f t="shared" si="60"/>
        <v>113634910029.32007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6:19" x14ac:dyDescent="0.25">
      <c r="F454" s="5">
        <f t="shared" si="57"/>
        <v>9.0692229943840053E-10</v>
      </c>
      <c r="G454" s="4">
        <f t="shared" si="58"/>
        <v>11193627385.511938</v>
      </c>
      <c r="H454" s="3">
        <f t="shared" si="59"/>
        <v>10.151750287525138</v>
      </c>
      <c r="I454">
        <f t="shared" si="60"/>
        <v>113634910029.32007</v>
      </c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6:19" x14ac:dyDescent="0.25">
      <c r="F455" s="5">
        <f t="shared" si="57"/>
        <v>8.6322170083369473E-10</v>
      </c>
      <c r="G455" s="4">
        <f t="shared" si="58"/>
        <v>11473468070.149736</v>
      </c>
      <c r="H455" s="3">
        <f t="shared" si="59"/>
        <v>9.9041466219757446</v>
      </c>
      <c r="I455">
        <f t="shared" si="60"/>
        <v>113634910029.32007</v>
      </c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6:19" x14ac:dyDescent="0.25">
      <c r="F456" s="5">
        <f t="shared" si="57"/>
        <v>8.216268419594954E-10</v>
      </c>
      <c r="G456" s="4">
        <f t="shared" si="58"/>
        <v>11760304771.903479</v>
      </c>
      <c r="H456" s="3">
        <f t="shared" si="59"/>
        <v>9.662582070220239</v>
      </c>
      <c r="I456">
        <f t="shared" si="60"/>
        <v>113634910029.32007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6:19" x14ac:dyDescent="0.25">
      <c r="F457" s="5">
        <f t="shared" ref="F457:F520" si="61">H457/G457</f>
        <v>7.8203625647542705E-10</v>
      </c>
      <c r="G457" s="4">
        <f t="shared" si="58"/>
        <v>12054312391.201065</v>
      </c>
      <c r="H457" s="3">
        <f t="shared" si="59"/>
        <v>9.4269093368002341</v>
      </c>
      <c r="I457">
        <f t="shared" si="60"/>
        <v>113634910029.32007</v>
      </c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6:19" x14ac:dyDescent="0.25">
      <c r="F458" s="5">
        <f t="shared" si="61"/>
        <v>7.4435336725799133E-10</v>
      </c>
      <c r="G458" s="4">
        <f t="shared" si="58"/>
        <v>12355670200.981091</v>
      </c>
      <c r="H458" s="3">
        <f t="shared" si="59"/>
        <v>9.1969847188294978</v>
      </c>
      <c r="I458">
        <f t="shared" si="60"/>
        <v>113634910029.32007</v>
      </c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6:19" x14ac:dyDescent="0.25">
      <c r="F459" s="5">
        <f t="shared" si="61"/>
        <v>7.0848625081069971E-10</v>
      </c>
      <c r="G459" s="4">
        <f t="shared" si="58"/>
        <v>12664561956.005617</v>
      </c>
      <c r="H459" s="3">
        <f t="shared" si="59"/>
        <v>8.972668018370241</v>
      </c>
      <c r="I459">
        <f t="shared" si="60"/>
        <v>113634910029.32007</v>
      </c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6:19" x14ac:dyDescent="0.25">
      <c r="F460" s="5">
        <f t="shared" si="61"/>
        <v>6.7434741302624616E-10</v>
      </c>
      <c r="G460" s="4">
        <f t="shared" si="58"/>
        <v>12981176004.905756</v>
      </c>
      <c r="H460" s="3">
        <f t="shared" si="59"/>
        <v>8.7538224569465779</v>
      </c>
      <c r="I460">
        <f t="shared" si="60"/>
        <v>113634910029.32007</v>
      </c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6:19" x14ac:dyDescent="0.25">
      <c r="F461" s="5">
        <f t="shared" si="61"/>
        <v>6.4185357575371448E-10</v>
      </c>
      <c r="G461" s="4">
        <f t="shared" si="58"/>
        <v>13305705405.028399</v>
      </c>
      <c r="H461" s="3">
        <f t="shared" si="59"/>
        <v>8.5403145921430035</v>
      </c>
      <c r="I461">
        <f t="shared" si="60"/>
        <v>113634910029.32007</v>
      </c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6:19" x14ac:dyDescent="0.25">
      <c r="F462" s="5">
        <f t="shared" si="61"/>
        <v>6.109254736501745E-10</v>
      </c>
      <c r="G462" s="4">
        <f t="shared" si="58"/>
        <v>13638348040.154108</v>
      </c>
      <c r="H462" s="3">
        <f t="shared" si="59"/>
        <v>8.332014236237077</v>
      </c>
      <c r="I462">
        <f t="shared" si="60"/>
        <v>113634910029.32007</v>
      </c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6:19" x14ac:dyDescent="0.25">
      <c r="F463" s="5">
        <f t="shared" si="61"/>
        <v>5.8148766082110615E-10</v>
      </c>
      <c r="G463" s="4">
        <f t="shared" si="58"/>
        <v>13979306741.157959</v>
      </c>
      <c r="H463" s="3">
        <f t="shared" si="59"/>
        <v>8.1287943768166624</v>
      </c>
      <c r="I463">
        <f t="shared" si="60"/>
        <v>113634910029.32007</v>
      </c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6:19" x14ac:dyDescent="0.25">
      <c r="F464" s="5">
        <f t="shared" si="61"/>
        <v>5.5346832677797141E-10</v>
      </c>
      <c r="G464" s="4">
        <f t="shared" si="58"/>
        <v>14328789409.686907</v>
      </c>
      <c r="H464" s="3">
        <f t="shared" si="59"/>
        <v>7.9305310993333293</v>
      </c>
      <c r="I464">
        <f t="shared" si="60"/>
        <v>113634910029.32007</v>
      </c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6:19" x14ac:dyDescent="0.25">
      <c r="F465" s="5">
        <f t="shared" si="61"/>
        <v>5.2679912126398232E-10</v>
      </c>
      <c r="G465" s="4">
        <f t="shared" si="58"/>
        <v>14687009144.929079</v>
      </c>
      <c r="H465" s="3">
        <f t="shared" si="59"/>
        <v>7.7371035115447118</v>
      </c>
      <c r="I465">
        <f t="shared" si="60"/>
        <v>113634910029.32007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6:19" x14ac:dyDescent="0.25">
      <c r="F466" s="5">
        <f t="shared" si="61"/>
        <v>5.0141498752074472E-10</v>
      </c>
      <c r="G466" s="4">
        <f t="shared" si="58"/>
        <v>15054184373.552305</v>
      </c>
      <c r="H466" s="3">
        <f t="shared" si="59"/>
        <v>7.5483936697997187</v>
      </c>
      <c r="I466">
        <f t="shared" si="60"/>
        <v>113634910029.32007</v>
      </c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6:19" x14ac:dyDescent="0.25">
      <c r="F467" s="5">
        <f t="shared" si="61"/>
        <v>4.7725400358904922E-10</v>
      </c>
      <c r="G467" s="4">
        <f t="shared" si="58"/>
        <v>15430538982.891111</v>
      </c>
      <c r="H467" s="3">
        <f t="shared" si="59"/>
        <v>7.3642865071216779</v>
      </c>
      <c r="I467">
        <f t="shared" si="60"/>
        <v>113634910029.32007</v>
      </c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6:19" x14ac:dyDescent="0.25">
      <c r="F468" s="5">
        <f t="shared" si="61"/>
        <v>4.5425723125667978E-10</v>
      </c>
      <c r="G468" s="4">
        <f t="shared" si="58"/>
        <v>15816302457.463388</v>
      </c>
      <c r="H468" s="3">
        <f t="shared" si="59"/>
        <v>7.1846697630455392</v>
      </c>
      <c r="I468">
        <f t="shared" si="60"/>
        <v>113634910029.32007</v>
      </c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6:19" x14ac:dyDescent="0.25">
      <c r="F469" s="5">
        <f t="shared" si="61"/>
        <v>4.3236857228476381E-10</v>
      </c>
      <c r="G469" s="4">
        <f t="shared" si="58"/>
        <v>16211710018.899971</v>
      </c>
      <c r="H469" s="3">
        <f t="shared" si="59"/>
        <v>7.0094339151663814</v>
      </c>
      <c r="I469">
        <f t="shared" si="60"/>
        <v>113634910029.32007</v>
      </c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6:19" x14ac:dyDescent="0.25">
      <c r="F470" s="5">
        <f t="shared" si="61"/>
        <v>4.1153463156194056E-10</v>
      </c>
      <c r="G470" s="4">
        <f t="shared" si="58"/>
        <v>16617002769.372469</v>
      </c>
      <c r="H470" s="3">
        <f t="shared" si="59"/>
        <v>6.8384721123574455</v>
      </c>
      <c r="I470">
        <f t="shared" si="60"/>
        <v>113634910029.32007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6:19" x14ac:dyDescent="0.25">
      <c r="F471" s="5">
        <f t="shared" si="61"/>
        <v>3.9170458685253127E-10</v>
      </c>
      <c r="G471" s="4">
        <f t="shared" si="58"/>
        <v>17032427838.606779</v>
      </c>
      <c r="H471" s="3">
        <f t="shared" si="59"/>
        <v>6.6716801096170206</v>
      </c>
      <c r="I471">
        <f t="shared" si="60"/>
        <v>113634910029.32007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6:19" x14ac:dyDescent="0.25">
      <c r="F472" s="5">
        <f t="shared" si="61"/>
        <v>3.7283006482096981E-10</v>
      </c>
      <c r="G472" s="4">
        <f t="shared" si="58"/>
        <v>17458238534.571945</v>
      </c>
      <c r="H472" s="3">
        <f t="shared" si="59"/>
        <v>6.5089562045044111</v>
      </c>
      <c r="I472">
        <f t="shared" si="60"/>
        <v>113634910029.32007</v>
      </c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6:19" x14ac:dyDescent="0.25">
      <c r="F473" s="5">
        <f t="shared" si="61"/>
        <v>3.5486502303007253E-10</v>
      </c>
      <c r="G473" s="4">
        <f t="shared" si="58"/>
        <v>17894694497.936241</v>
      </c>
      <c r="H473" s="3">
        <f t="shared" si="59"/>
        <v>6.3502011751262559</v>
      </c>
      <c r="I473">
        <f t="shared" si="60"/>
        <v>113634910029.32007</v>
      </c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6:19" x14ac:dyDescent="0.25">
      <c r="F474" s="5">
        <f t="shared" si="61"/>
        <v>3.3776563762529208E-10</v>
      </c>
      <c r="G474" s="4">
        <f t="shared" si="58"/>
        <v>18342061860.384647</v>
      </c>
      <c r="H474" s="3">
        <f t="shared" si="59"/>
        <v>6.1953182196353715</v>
      </c>
      <c r="I474">
        <f t="shared" si="60"/>
        <v>113634910029.32007</v>
      </c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6:19" x14ac:dyDescent="0.25">
      <c r="F475" s="5">
        <f t="shared" si="61"/>
        <v>3.2149019643097416E-10</v>
      </c>
      <c r="G475" s="4">
        <f t="shared" si="58"/>
        <v>18800613406.89426</v>
      </c>
      <c r="H475" s="3">
        <f t="shared" si="59"/>
        <v>6.0442128972052416</v>
      </c>
      <c r="I475">
        <f t="shared" si="60"/>
        <v>113634910029.32007</v>
      </c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6:19" x14ac:dyDescent="0.25">
      <c r="F476" s="5">
        <f t="shared" si="61"/>
        <v>3.0599899719783383E-10</v>
      </c>
      <c r="G476" s="4">
        <f t="shared" si="58"/>
        <v>19270628742.066616</v>
      </c>
      <c r="H476" s="3">
        <f t="shared" si="59"/>
        <v>5.8967930704441383</v>
      </c>
      <c r="I476">
        <f t="shared" si="60"/>
        <v>113634910029.32007</v>
      </c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6:19" x14ac:dyDescent="0.25">
      <c r="F477" s="5">
        <f t="shared" si="61"/>
        <v>2.9125425075344099E-10</v>
      </c>
      <c r="G477" s="4">
        <f t="shared" si="58"/>
        <v>19752394460.618279</v>
      </c>
      <c r="H477" s="3">
        <f t="shared" si="59"/>
        <v>5.7529688492137945</v>
      </c>
      <c r="I477">
        <f t="shared" si="60"/>
        <v>113634910029.32007</v>
      </c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6:19" x14ac:dyDescent="0.25">
      <c r="F478" s="5">
        <f t="shared" si="61"/>
        <v>2.7721998881945611E-10</v>
      </c>
      <c r="G478" s="4">
        <f t="shared" si="58"/>
        <v>20246204322.133732</v>
      </c>
      <c r="H478" s="3">
        <f t="shared" si="59"/>
        <v>5.612652535818337</v>
      </c>
      <c r="I478">
        <f t="shared" si="60"/>
        <v>113634910029.32007</v>
      </c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6:19" x14ac:dyDescent="0.25">
      <c r="F479" s="5">
        <f t="shared" si="61"/>
        <v>2.6386197627074946E-10</v>
      </c>
      <c r="G479" s="4">
        <f t="shared" si="58"/>
        <v>20752359430.187073</v>
      </c>
      <c r="H479" s="3">
        <f t="shared" si="59"/>
        <v>5.4757585715300854</v>
      </c>
      <c r="I479">
        <f t="shared" si="60"/>
        <v>113634910029.32007</v>
      </c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6:19" x14ac:dyDescent="0.25">
      <c r="F480" s="5">
        <f t="shared" si="61"/>
        <v>2.5114762762236714E-10</v>
      </c>
      <c r="G480" s="4">
        <f t="shared" si="58"/>
        <v>21271168415.94175</v>
      </c>
      <c r="H480" s="3">
        <f t="shared" si="59"/>
        <v>5.3422034844195956</v>
      </c>
      <c r="I480">
        <f t="shared" si="60"/>
        <v>113634910029.32007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6:19" x14ac:dyDescent="0.25">
      <c r="F481" s="5">
        <f t="shared" si="61"/>
        <v>2.3904592754062317E-10</v>
      </c>
      <c r="G481" s="4">
        <f t="shared" si="58"/>
        <v>21802947626.34029</v>
      </c>
      <c r="H481" s="3">
        <f t="shared" si="59"/>
        <v>5.2119058384581427</v>
      </c>
      <c r="I481">
        <f t="shared" si="60"/>
        <v>113634910029.32007</v>
      </c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6:19" x14ac:dyDescent="0.25">
      <c r="F482" s="5">
        <f t="shared" si="61"/>
        <v>2.2752735518441236E-10</v>
      </c>
      <c r="G482" s="4">
        <f t="shared" si="58"/>
        <v>22348021316.998795</v>
      </c>
      <c r="H482" s="3">
        <f t="shared" si="59"/>
        <v>5.0847861838616035</v>
      </c>
      <c r="I482">
        <f t="shared" si="60"/>
        <v>113634910029.32007</v>
      </c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6:19" x14ac:dyDescent="0.25">
      <c r="F483" s="5">
        <f t="shared" si="61"/>
        <v>2.1656381219218311E-10</v>
      </c>
      <c r="G483" s="4">
        <f t="shared" si="58"/>
        <v>22906721849.923763</v>
      </c>
      <c r="H483" s="3">
        <f t="shared" si="59"/>
        <v>4.9607670086454672</v>
      </c>
      <c r="I483">
        <f t="shared" si="60"/>
        <v>113634910029.32007</v>
      </c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6:19" x14ac:dyDescent="0.25">
      <c r="F484" s="5">
        <f t="shared" si="61"/>
        <v>2.0612855413890128E-10</v>
      </c>
      <c r="G484" s="4">
        <f t="shared" si="58"/>
        <v>23479389896.171856</v>
      </c>
      <c r="H484" s="3">
        <f t="shared" si="59"/>
        <v>4.8397726913614321</v>
      </c>
      <c r="I484">
        <f t="shared" si="60"/>
        <v>113634910029.32007</v>
      </c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6:19" x14ac:dyDescent="0.25">
      <c r="F485" s="5">
        <f t="shared" si="61"/>
        <v>1.961961252958014E-10</v>
      </c>
      <c r="G485" s="4">
        <f t="shared" si="58"/>
        <v>24066374643.576149</v>
      </c>
      <c r="H485" s="3">
        <f t="shared" si="59"/>
        <v>4.7217294549867637</v>
      </c>
      <c r="I485">
        <f t="shared" si="60"/>
        <v>113634910029.32007</v>
      </c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6:19" x14ac:dyDescent="0.25">
      <c r="F486" s="5">
        <f t="shared" si="61"/>
        <v>1.8674229653377885E-10</v>
      </c>
      <c r="G486" s="4">
        <f t="shared" si="58"/>
        <v>24668034009.66555</v>
      </c>
      <c r="H486" s="3">
        <f t="shared" si="59"/>
        <v>4.606565321938306</v>
      </c>
      <c r="I486">
        <f t="shared" si="60"/>
        <v>113634910029.32007</v>
      </c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6:19" x14ac:dyDescent="0.25">
      <c r="F487" s="5">
        <f t="shared" si="61"/>
        <v>1.7774400621894481E-10</v>
      </c>
      <c r="G487" s="4">
        <f t="shared" si="58"/>
        <v>25284734859.907188</v>
      </c>
      <c r="H487" s="3">
        <f t="shared" si="59"/>
        <v>4.4942100701837138</v>
      </c>
      <c r="I487">
        <f t="shared" si="60"/>
        <v>113634910029.32007</v>
      </c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6:19" x14ac:dyDescent="0.25">
      <c r="F488" s="5">
        <f t="shared" si="61"/>
        <v>1.6917930395616402E-10</v>
      </c>
      <c r="G488" s="4">
        <f t="shared" si="58"/>
        <v>25916853231.404865</v>
      </c>
      <c r="H488" s="3">
        <f t="shared" si="59"/>
        <v>4.3845951904231351</v>
      </c>
      <c r="I488">
        <f t="shared" si="60"/>
        <v>113634910029.32007</v>
      </c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6:19" x14ac:dyDescent="0.25">
      <c r="F489" s="5">
        <f t="shared" si="61"/>
        <v>1.6102729704334475E-10</v>
      </c>
      <c r="G489" s="4">
        <f t="shared" si="58"/>
        <v>26564774562.189983</v>
      </c>
      <c r="H489" s="3">
        <f t="shared" si="59"/>
        <v>4.277653844315255</v>
      </c>
      <c r="I489">
        <f t="shared" si="60"/>
        <v>113634910029.32007</v>
      </c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6:19" x14ac:dyDescent="0.25">
      <c r="F490" s="5">
        <f t="shared" si="61"/>
        <v>1.5326809950586057E-10</v>
      </c>
      <c r="G490" s="4">
        <f t="shared" si="58"/>
        <v>27228893926.244732</v>
      </c>
      <c r="H490" s="3">
        <f t="shared" si="59"/>
        <v>4.1733208237222001</v>
      </c>
      <c r="I490">
        <f t="shared" si="60"/>
        <v>113634910029.32007</v>
      </c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6:19" x14ac:dyDescent="0.25">
      <c r="F491" s="5">
        <f t="shared" si="61"/>
        <v>1.4588278358677988E-10</v>
      </c>
      <c r="G491" s="4">
        <f t="shared" si="58"/>
        <v>27909616274.400848</v>
      </c>
      <c r="H491" s="3">
        <f t="shared" si="59"/>
        <v>4.0715325109484883</v>
      </c>
      <c r="I491">
        <f t="shared" si="60"/>
        <v>113634910029.32007</v>
      </c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6:19" x14ac:dyDescent="0.25">
      <c r="F492" s="5">
        <f t="shared" si="61"/>
        <v>1.3885333357456738E-10</v>
      </c>
      <c r="G492" s="4">
        <f t="shared" si="58"/>
        <v>28607356681.260868</v>
      </c>
      <c r="H492" s="3">
        <f t="shared" si="59"/>
        <v>3.9722268399497445</v>
      </c>
      <c r="I492">
        <f t="shared" si="60"/>
        <v>113634910029.32007</v>
      </c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6:19" x14ac:dyDescent="0.25">
      <c r="F493" s="5">
        <f t="shared" si="61"/>
        <v>1.3216260185562633E-10</v>
      </c>
      <c r="G493" s="4">
        <f t="shared" si="58"/>
        <v>29322540598.292389</v>
      </c>
      <c r="H493" s="3">
        <f t="shared" si="59"/>
        <v>3.8753432584875558</v>
      </c>
      <c r="I493">
        <f t="shared" si="60"/>
        <v>113634910029.32007</v>
      </c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6:19" x14ac:dyDescent="0.25">
      <c r="F494" s="5">
        <f t="shared" si="61"/>
        <v>1.2579426708447481E-10</v>
      </c>
      <c r="G494" s="4">
        <f t="shared" si="58"/>
        <v>30055604113.249695</v>
      </c>
      <c r="H494" s="3">
        <f t="shared" si="59"/>
        <v>3.7808226912073719</v>
      </c>
      <c r="I494">
        <f t="shared" si="60"/>
        <v>113634910029.32007</v>
      </c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6:19" x14ac:dyDescent="0.25">
      <c r="F495" s="5">
        <f t="shared" si="61"/>
        <v>1.19732794369518E-10</v>
      </c>
      <c r="G495" s="4">
        <f t="shared" si="58"/>
        <v>30806994216.080933</v>
      </c>
      <c r="H495" s="3">
        <f t="shared" si="59"/>
        <v>3.6886075036169488</v>
      </c>
      <c r="I495">
        <f t="shared" si="60"/>
        <v>113634910029.32007</v>
      </c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6:19" x14ac:dyDescent="0.25">
      <c r="F496" s="5">
        <f t="shared" si="61"/>
        <v>1.1396339737729259E-10</v>
      </c>
      <c r="G496" s="4">
        <f t="shared" si="58"/>
        <v>31577169071.482952</v>
      </c>
      <c r="H496" s="3">
        <f t="shared" si="59"/>
        <v>3.5986414669433651</v>
      </c>
      <c r="I496">
        <f t="shared" si="60"/>
        <v>113634910029.32007</v>
      </c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6:19" x14ac:dyDescent="0.25">
      <c r="F497" s="5">
        <f t="shared" si="61"/>
        <v>1.0847200226274134E-10</v>
      </c>
      <c r="G497" s="4">
        <f t="shared" ref="G497:G560" si="62">G496*(1+$O$1)</f>
        <v>32366598298.270023</v>
      </c>
      <c r="H497" s="3">
        <f t="shared" si="59"/>
        <v>3.5108697238471858</v>
      </c>
      <c r="I497">
        <f t="shared" si="60"/>
        <v>113634910029.32007</v>
      </c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6:19" x14ac:dyDescent="0.25">
      <c r="F498" s="5">
        <f t="shared" si="61"/>
        <v>1.0324521333752894E-10</v>
      </c>
      <c r="G498" s="4">
        <f t="shared" si="62"/>
        <v>33175763255.726772</v>
      </c>
      <c r="H498" s="3">
        <f t="shared" ref="H498:H561" si="63">I498/G498</f>
        <v>3.4252387549728645</v>
      </c>
      <c r="I498">
        <f t="shared" ref="I498:I561" si="64">I497</f>
        <v>113634910029.32007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6:19" x14ac:dyDescent="0.25">
      <c r="F499" s="5">
        <f t="shared" si="61"/>
        <v>9.8270280392650998E-11</v>
      </c>
      <c r="G499" s="4">
        <f t="shared" si="62"/>
        <v>34005157337.119938</v>
      </c>
      <c r="H499" s="3">
        <f t="shared" si="63"/>
        <v>3.3416963463149898</v>
      </c>
      <c r="I499">
        <f t="shared" si="64"/>
        <v>113634910029.32007</v>
      </c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6:19" x14ac:dyDescent="0.25">
      <c r="F500" s="5">
        <f t="shared" si="61"/>
        <v>9.3535067595622615E-11</v>
      </c>
      <c r="G500" s="4">
        <f t="shared" si="62"/>
        <v>34855286270.547935</v>
      </c>
      <c r="H500" s="3">
        <f t="shared" si="63"/>
        <v>3.2601915573804781</v>
      </c>
      <c r="I500">
        <f t="shared" si="64"/>
        <v>113634910029.32007</v>
      </c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6:19" x14ac:dyDescent="0.25">
      <c r="F501" s="5">
        <f t="shared" si="61"/>
        <v>8.9028023886374902E-11</v>
      </c>
      <c r="G501" s="4">
        <f t="shared" si="62"/>
        <v>35726668427.31163</v>
      </c>
      <c r="H501" s="3">
        <f t="shared" si="63"/>
        <v>3.180674690127296</v>
      </c>
      <c r="I501">
        <f t="shared" si="64"/>
        <v>113634910029.32007</v>
      </c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6:19" x14ac:dyDescent="0.25">
      <c r="F502" s="5">
        <f t="shared" si="61"/>
        <v>8.4738154799643011E-11</v>
      </c>
      <c r="G502" s="4">
        <f t="shared" si="62"/>
        <v>36619835137.994415</v>
      </c>
      <c r="H502" s="3">
        <f t="shared" si="63"/>
        <v>3.1030972586607772</v>
      </c>
      <c r="I502">
        <f t="shared" si="64"/>
        <v>113634910029.32007</v>
      </c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6:19" x14ac:dyDescent="0.25">
      <c r="F503" s="5">
        <f t="shared" si="61"/>
        <v>8.0654995645109341E-11</v>
      </c>
      <c r="G503" s="4">
        <f t="shared" si="62"/>
        <v>37535331016.444275</v>
      </c>
      <c r="H503" s="3">
        <f t="shared" si="63"/>
        <v>3.0274119596690507</v>
      </c>
      <c r="I503">
        <f t="shared" si="64"/>
        <v>113634910029.32007</v>
      </c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6:19" x14ac:dyDescent="0.25">
      <c r="F504" s="5">
        <f t="shared" si="61"/>
        <v>7.6768585979878038E-11</v>
      </c>
      <c r="G504" s="4">
        <f t="shared" si="62"/>
        <v>38473714291.855377</v>
      </c>
      <c r="H504" s="3">
        <f t="shared" si="63"/>
        <v>2.953572643579562</v>
      </c>
      <c r="I504">
        <f t="shared" si="64"/>
        <v>113634910029.32007</v>
      </c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6:19" x14ac:dyDescent="0.25">
      <c r="F505" s="5">
        <f t="shared" si="61"/>
        <v>7.3069445311008274E-11</v>
      </c>
      <c r="G505" s="4">
        <f t="shared" si="62"/>
        <v>39435557149.151756</v>
      </c>
      <c r="H505" s="3">
        <f t="shared" si="63"/>
        <v>2.8815342864190856</v>
      </c>
      <c r="I505">
        <f t="shared" si="64"/>
        <v>113634910029.32007</v>
      </c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6:19" x14ac:dyDescent="0.25">
      <c r="F506" s="5">
        <f t="shared" si="61"/>
        <v>6.9548549968835969E-11</v>
      </c>
      <c r="G506" s="4">
        <f t="shared" si="62"/>
        <v>40421446077.880547</v>
      </c>
      <c r="H506" s="3">
        <f t="shared" si="63"/>
        <v>2.8112529623600837</v>
      </c>
      <c r="I506">
        <f t="shared" si="64"/>
        <v>113634910029.32007</v>
      </c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6:19" x14ac:dyDescent="0.25">
      <c r="F507" s="5">
        <f t="shared" si="61"/>
        <v>6.6197311094668372E-11</v>
      </c>
      <c r="G507" s="4">
        <f t="shared" si="62"/>
        <v>41431982229.82756</v>
      </c>
      <c r="H507" s="3">
        <f t="shared" si="63"/>
        <v>2.742685816936667</v>
      </c>
      <c r="I507">
        <f t="shared" si="64"/>
        <v>113634910029.32007</v>
      </c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6:19" x14ac:dyDescent="0.25">
      <c r="F508" s="5">
        <f t="shared" si="61"/>
        <v>6.3007553689154929E-11</v>
      </c>
      <c r="G508" s="4">
        <f t="shared" si="62"/>
        <v>42467781785.573242</v>
      </c>
      <c r="H508" s="3">
        <f t="shared" si="63"/>
        <v>2.6757910409138219</v>
      </c>
      <c r="I508">
        <f t="shared" si="64"/>
        <v>113634910029.32007</v>
      </c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6:19" x14ac:dyDescent="0.25">
      <c r="F509" s="5">
        <f t="shared" si="61"/>
        <v>5.9971496670224809E-11</v>
      </c>
      <c r="G509" s="4">
        <f t="shared" si="62"/>
        <v>43529476330.21257</v>
      </c>
      <c r="H509" s="3">
        <f t="shared" si="63"/>
        <v>2.6105278447939728</v>
      </c>
      <c r="I509">
        <f t="shared" si="64"/>
        <v>113634910029.32007</v>
      </c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6:19" x14ac:dyDescent="0.25">
      <c r="F510" s="5">
        <f t="shared" si="61"/>
        <v>5.7081733891945103E-11</v>
      </c>
      <c r="G510" s="4">
        <f t="shared" si="62"/>
        <v>44617713238.46788</v>
      </c>
      <c r="H510" s="3">
        <f t="shared" si="63"/>
        <v>2.5468564339453397</v>
      </c>
      <c r="I510">
        <f t="shared" si="64"/>
        <v>113634910029.32007</v>
      </c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6:19" x14ac:dyDescent="0.25">
      <c r="F511" s="5">
        <f t="shared" si="61"/>
        <v>5.4331216077996533E-11</v>
      </c>
      <c r="G511" s="4">
        <f t="shared" si="62"/>
        <v>45733156069.429573</v>
      </c>
      <c r="H511" s="3">
        <f t="shared" si="63"/>
        <v>2.4847379843369168</v>
      </c>
      <c r="I511">
        <f t="shared" si="64"/>
        <v>113634910029.32007</v>
      </c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6:19" x14ac:dyDescent="0.25">
      <c r="F512" s="5">
        <f t="shared" si="61"/>
        <v>5.1713233625695701E-11</v>
      </c>
      <c r="G512" s="4">
        <f t="shared" si="62"/>
        <v>46876484971.165306</v>
      </c>
      <c r="H512" s="3">
        <f t="shared" si="63"/>
        <v>2.4241346188652848</v>
      </c>
      <c r="I512">
        <f t="shared" si="64"/>
        <v>113634910029.32007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6:19" x14ac:dyDescent="0.25">
      <c r="F513" s="5">
        <f t="shared" si="61"/>
        <v>4.9221400238615783E-11</v>
      </c>
      <c r="G513" s="4">
        <f t="shared" si="62"/>
        <v>48048397095.444435</v>
      </c>
      <c r="H513" s="3">
        <f t="shared" si="63"/>
        <v>2.3650093842588147</v>
      </c>
      <c r="I513">
        <f t="shared" si="64"/>
        <v>113634910029.32007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6:19" x14ac:dyDescent="0.25">
      <c r="F514" s="5">
        <f t="shared" si="61"/>
        <v>4.6849637347879397E-11</v>
      </c>
      <c r="G514" s="4">
        <f t="shared" si="62"/>
        <v>49249607022.830544</v>
      </c>
      <c r="H514" s="3">
        <f t="shared" si="63"/>
        <v>2.3073262285451852</v>
      </c>
      <c r="I514">
        <f t="shared" si="64"/>
        <v>113634910029.32007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6:19" x14ac:dyDescent="0.25">
      <c r="F515" s="5">
        <f t="shared" si="61"/>
        <v>4.4592159284120782E-11</v>
      </c>
      <c r="G515" s="4">
        <f t="shared" si="62"/>
        <v>50480847198.401306</v>
      </c>
      <c r="H515" s="3">
        <f t="shared" si="63"/>
        <v>2.2510499790684735</v>
      </c>
      <c r="I515">
        <f t="shared" si="64"/>
        <v>113634910029.32007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6:19" x14ac:dyDescent="0.25">
      <c r="F516" s="5">
        <f t="shared" si="61"/>
        <v>4.2443459163946019E-11</v>
      </c>
      <c r="G516" s="4">
        <f t="shared" si="62"/>
        <v>51742868378.361336</v>
      </c>
      <c r="H516" s="3">
        <f t="shared" si="63"/>
        <v>2.1961463210424133</v>
      </c>
      <c r="I516">
        <f t="shared" si="64"/>
        <v>113634910029.32007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6:19" x14ac:dyDescent="0.25">
      <c r="F517" s="5">
        <f t="shared" si="61"/>
        <v>4.0398295456462614E-11</v>
      </c>
      <c r="G517" s="4">
        <f t="shared" si="62"/>
        <v>53036440087.820366</v>
      </c>
      <c r="H517" s="3">
        <f t="shared" si="63"/>
        <v>2.142581776626745</v>
      </c>
      <c r="I517">
        <f t="shared" si="64"/>
        <v>113634910029.32007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6:19" x14ac:dyDescent="0.25">
      <c r="F518" s="5">
        <f t="shared" si="61"/>
        <v>3.8451679197108978E-11</v>
      </c>
      <c r="G518" s="4">
        <f t="shared" si="62"/>
        <v>54362351090.015869</v>
      </c>
      <c r="H518" s="3">
        <f t="shared" si="63"/>
        <v>2.0903236845138977</v>
      </c>
      <c r="I518">
        <f t="shared" si="64"/>
        <v>113634910029.32007</v>
      </c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6:19" x14ac:dyDescent="0.25">
      <c r="F519" s="5">
        <f t="shared" si="61"/>
        <v>3.6598861817593321E-11</v>
      </c>
      <c r="G519" s="4">
        <f t="shared" si="62"/>
        <v>55721409867.266258</v>
      </c>
      <c r="H519" s="3">
        <f t="shared" si="63"/>
        <v>2.0393401800135589</v>
      </c>
      <c r="I519">
        <f t="shared" si="64"/>
        <v>113634910029.32007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6:19" x14ac:dyDescent="0.25">
      <c r="F520" s="5">
        <f t="shared" si="61"/>
        <v>3.4835323562254218E-11</v>
      </c>
      <c r="G520" s="4">
        <f t="shared" si="62"/>
        <v>57114445113.947906</v>
      </c>
      <c r="H520" s="3">
        <f t="shared" si="63"/>
        <v>1.9896001756229846</v>
      </c>
      <c r="I520">
        <f t="shared" si="64"/>
        <v>113634910029.32007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6:19" x14ac:dyDescent="0.25">
      <c r="F521" s="5">
        <f t="shared" ref="F521:F584" si="65">H521/G521</f>
        <v>3.3156762462585814E-11</v>
      </c>
      <c r="G521" s="4">
        <f t="shared" si="62"/>
        <v>58542306241.7966</v>
      </c>
      <c r="H521" s="3">
        <f t="shared" si="63"/>
        <v>1.9410733420712045</v>
      </c>
      <c r="I521">
        <f t="shared" si="64"/>
        <v>113634910029.32007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6:19" x14ac:dyDescent="0.25">
      <c r="F522" s="5">
        <f t="shared" si="65"/>
        <v>3.1559083843032313E-11</v>
      </c>
      <c r="G522" s="4">
        <f t="shared" si="62"/>
        <v>60005863897.841507</v>
      </c>
      <c r="H522" s="3">
        <f t="shared" si="63"/>
        <v>1.8937300898255658</v>
      </c>
      <c r="I522">
        <f t="shared" si="64"/>
        <v>113634910029.32007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6:19" x14ac:dyDescent="0.25">
      <c r="F523" s="5">
        <f t="shared" si="65"/>
        <v>3.0038390332451942E-11</v>
      </c>
      <c r="G523" s="4">
        <f t="shared" si="62"/>
        <v>61506010495.287537</v>
      </c>
      <c r="H523" s="3">
        <f t="shared" si="63"/>
        <v>1.8475415510493327</v>
      </c>
      <c r="I523">
        <f t="shared" si="64"/>
        <v>113634910029.32007</v>
      </c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6:19" x14ac:dyDescent="0.25">
      <c r="F524" s="5">
        <f t="shared" si="65"/>
        <v>2.8590972356884662E-11</v>
      </c>
      <c r="G524" s="4">
        <f t="shared" si="62"/>
        <v>63043660757.669716</v>
      </c>
      <c r="H524" s="3">
        <f t="shared" si="63"/>
        <v>1.8024795619993492</v>
      </c>
      <c r="I524">
        <f t="shared" si="64"/>
        <v>113634910029.32007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6:19" x14ac:dyDescent="0.25">
      <c r="F525" s="5">
        <f t="shared" si="65"/>
        <v>2.7213299090431572E-11</v>
      </c>
      <c r="G525" s="4">
        <f t="shared" si="62"/>
        <v>64619752276.61145</v>
      </c>
      <c r="H525" s="3">
        <f t="shared" si="63"/>
        <v>1.7585166458530239</v>
      </c>
      <c r="I525">
        <f t="shared" si="64"/>
        <v>113634910029.32007</v>
      </c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6:19" x14ac:dyDescent="0.25">
      <c r="F526" s="5">
        <f t="shared" si="65"/>
        <v>2.5902009842171635E-11</v>
      </c>
      <c r="G526" s="4">
        <f t="shared" si="62"/>
        <v>66235246083.526733</v>
      </c>
      <c r="H526" s="3">
        <f t="shared" si="63"/>
        <v>1.7156259959541698</v>
      </c>
      <c r="I526">
        <f t="shared" si="64"/>
        <v>113634910029.32007</v>
      </c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6:19" x14ac:dyDescent="0.25">
      <c r="F527" s="5">
        <f t="shared" si="65"/>
        <v>2.4653905858105069E-11</v>
      </c>
      <c r="G527" s="4">
        <f t="shared" si="62"/>
        <v>67891127235.614899</v>
      </c>
      <c r="H527" s="3">
        <f t="shared" si="63"/>
        <v>1.6737814594674827</v>
      </c>
      <c r="I527">
        <f t="shared" si="64"/>
        <v>113634910029.32007</v>
      </c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6:19" x14ac:dyDescent="0.25">
      <c r="F528" s="5">
        <f t="shared" si="65"/>
        <v>2.3465942518124992E-11</v>
      </c>
      <c r="G528" s="4">
        <f t="shared" si="62"/>
        <v>69588405416.505264</v>
      </c>
      <c r="H528" s="3">
        <f t="shared" si="63"/>
        <v>1.6329575214316905</v>
      </c>
      <c r="I528">
        <f t="shared" si="64"/>
        <v>113634910029.32007</v>
      </c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6:19" x14ac:dyDescent="0.25">
      <c r="F529" s="5">
        <f t="shared" si="65"/>
        <v>2.2335221908982747E-11</v>
      </c>
      <c r="G529" s="4">
        <f t="shared" si="62"/>
        <v>71328115551.917892</v>
      </c>
      <c r="H529" s="3">
        <f t="shared" si="63"/>
        <v>1.5931292892016495</v>
      </c>
      <c r="I529">
        <f t="shared" si="64"/>
        <v>113634910029.32007</v>
      </c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6:19" x14ac:dyDescent="0.25">
      <c r="F530" s="5">
        <f t="shared" si="65"/>
        <v>2.1258985755129325E-11</v>
      </c>
      <c r="G530" s="4">
        <f t="shared" si="62"/>
        <v>73111318440.715836</v>
      </c>
      <c r="H530" s="3">
        <f t="shared" si="63"/>
        <v>1.5542724772699019</v>
      </c>
      <c r="I530">
        <f t="shared" si="64"/>
        <v>113634910029.32007</v>
      </c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6:19" x14ac:dyDescent="0.25">
      <c r="F531" s="5">
        <f t="shared" si="65"/>
        <v>2.0234608690188538E-11</v>
      </c>
      <c r="G531" s="4">
        <f t="shared" si="62"/>
        <v>74939101401.733719</v>
      </c>
      <c r="H531" s="3">
        <f t="shared" si="63"/>
        <v>1.5163633924584412</v>
      </c>
      <c r="I531">
        <f t="shared" si="64"/>
        <v>113634910029.32007</v>
      </c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6:19" x14ac:dyDescent="0.25">
      <c r="F532" s="5">
        <f t="shared" si="65"/>
        <v>1.9259591852648224E-11</v>
      </c>
      <c r="G532" s="4">
        <f t="shared" si="62"/>
        <v>76812578936.777054</v>
      </c>
      <c r="H532" s="3">
        <f t="shared" si="63"/>
        <v>1.47937891947165</v>
      </c>
      <c r="I532">
        <f t="shared" si="64"/>
        <v>113634910029.32007</v>
      </c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6:19" x14ac:dyDescent="0.25">
      <c r="F533" s="5">
        <f t="shared" si="65"/>
        <v>1.8331556790147035E-11</v>
      </c>
      <c r="G533" s="4">
        <f t="shared" si="62"/>
        <v>78732893410.196472</v>
      </c>
      <c r="H533" s="3">
        <f t="shared" si="63"/>
        <v>1.4432965068016099</v>
      </c>
      <c r="I533">
        <f t="shared" si="64"/>
        <v>113634910029.32007</v>
      </c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6:19" x14ac:dyDescent="0.25">
      <c r="F534" s="5">
        <f t="shared" si="65"/>
        <v>1.7448239657486775E-11</v>
      </c>
      <c r="G534" s="4">
        <f t="shared" si="62"/>
        <v>80701215745.45137</v>
      </c>
      <c r="H534" s="3">
        <f t="shared" si="63"/>
        <v>1.4080941529771807</v>
      </c>
      <c r="I534">
        <f t="shared" si="64"/>
        <v>113634910029.32007</v>
      </c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6:19" x14ac:dyDescent="0.25">
      <c r="F535" s="5">
        <f t="shared" si="65"/>
        <v>1.6607485694217042E-11</v>
      </c>
      <c r="G535" s="4">
        <f t="shared" si="62"/>
        <v>82718746139.087646</v>
      </c>
      <c r="H535" s="3">
        <f t="shared" si="63"/>
        <v>1.3737503931484691</v>
      </c>
      <c r="I535">
        <f t="shared" si="64"/>
        <v>113634910029.32007</v>
      </c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6:19" x14ac:dyDescent="0.25">
      <c r="F536" s="5">
        <f t="shared" si="65"/>
        <v>1.5807243968320799E-11</v>
      </c>
      <c r="G536" s="4">
        <f t="shared" si="62"/>
        <v>84786714792.564835</v>
      </c>
      <c r="H536" s="3">
        <f t="shared" si="63"/>
        <v>1.3402442859985064</v>
      </c>
      <c r="I536">
        <f t="shared" si="64"/>
        <v>113634910029.32007</v>
      </c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6:19" x14ac:dyDescent="0.25">
      <c r="F537" s="5">
        <f t="shared" si="65"/>
        <v>1.5045562373178633E-11</v>
      </c>
      <c r="G537" s="4">
        <f t="shared" si="62"/>
        <v>86906382662.378952</v>
      </c>
      <c r="H537" s="3">
        <f t="shared" si="63"/>
        <v>1.3075554009741528</v>
      </c>
      <c r="I537">
        <f t="shared" si="64"/>
        <v>113634910029.32007</v>
      </c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6:19" x14ac:dyDescent="0.25">
      <c r="F538" s="5">
        <f t="shared" si="65"/>
        <v>1.432058286560727E-11</v>
      </c>
      <c r="G538" s="4">
        <f t="shared" si="62"/>
        <v>89079042228.938416</v>
      </c>
      <c r="H538" s="3">
        <f t="shared" si="63"/>
        <v>1.275663805828442</v>
      </c>
      <c r="I538">
        <f t="shared" si="64"/>
        <v>113634910029.32007</v>
      </c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6:19" x14ac:dyDescent="0.25">
      <c r="F539" s="5">
        <f t="shared" si="65"/>
        <v>1.363053693335612E-11</v>
      </c>
      <c r="G539" s="4">
        <f t="shared" si="62"/>
        <v>91306018284.661865</v>
      </c>
      <c r="H539" s="3">
        <f t="shared" si="63"/>
        <v>1.2445500544667727</v>
      </c>
      <c r="I539">
        <f t="shared" si="64"/>
        <v>113634910029.32007</v>
      </c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6:19" x14ac:dyDescent="0.25">
      <c r="F540" s="5">
        <f t="shared" si="65"/>
        <v>1.2973741281005235E-11</v>
      </c>
      <c r="G540" s="4">
        <f t="shared" si="62"/>
        <v>93588668741.778397</v>
      </c>
      <c r="H540" s="3">
        <f t="shared" si="63"/>
        <v>1.2141951750895346</v>
      </c>
      <c r="I540">
        <f t="shared" si="64"/>
        <v>113634910029.32007</v>
      </c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6:19" x14ac:dyDescent="0.25">
      <c r="F541" s="5">
        <f t="shared" si="65"/>
        <v>1.2348593723740856E-11</v>
      </c>
      <c r="G541" s="4">
        <f t="shared" si="62"/>
        <v>95928385460.322845</v>
      </c>
      <c r="H541" s="3">
        <f t="shared" si="63"/>
        <v>1.1845806586239362</v>
      </c>
      <c r="I541">
        <f t="shared" si="64"/>
        <v>113634910029.32007</v>
      </c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6:19" x14ac:dyDescent="0.25">
      <c r="F542" s="5">
        <f t="shared" si="65"/>
        <v>1.1753569278991894E-11</v>
      </c>
      <c r="G542" s="4">
        <f t="shared" si="62"/>
        <v>98326595096.830902</v>
      </c>
      <c r="H542" s="3">
        <f t="shared" si="63"/>
        <v>1.1556884474379867</v>
      </c>
      <c r="I542">
        <f t="shared" si="64"/>
        <v>113634910029.32007</v>
      </c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6:19" x14ac:dyDescent="0.25">
      <c r="F543" s="5">
        <f t="shared" si="65"/>
        <v>1.118721644639324E-11</v>
      </c>
      <c r="G543" s="4">
        <f t="shared" si="62"/>
        <v>100784759974.25166</v>
      </c>
      <c r="H543" s="3">
        <f t="shared" si="63"/>
        <v>1.1275009243297434</v>
      </c>
      <c r="I543">
        <f t="shared" si="64"/>
        <v>113634910029.32007</v>
      </c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6:19" x14ac:dyDescent="0.25">
      <c r="F544" s="5">
        <f t="shared" si="65"/>
        <v>1.0648153667001302E-11</v>
      </c>
      <c r="G544" s="4">
        <f t="shared" si="62"/>
        <v>103304378973.60794</v>
      </c>
      <c r="H544" s="3">
        <f t="shared" si="63"/>
        <v>1.1000009017851156</v>
      </c>
      <c r="I544">
        <f t="shared" si="64"/>
        <v>113634910029.32007</v>
      </c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6:19" x14ac:dyDescent="0.25">
      <c r="F545" s="5">
        <f t="shared" si="65"/>
        <v>1.0135065953124381E-11</v>
      </c>
      <c r="G545" s="4">
        <f t="shared" si="62"/>
        <v>105886988447.94814</v>
      </c>
      <c r="H545" s="3">
        <f t="shared" si="63"/>
        <v>1.0731716114976737</v>
      </c>
      <c r="I545">
        <f t="shared" si="64"/>
        <v>113634910029.32007</v>
      </c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6:19" x14ac:dyDescent="0.25">
      <c r="F546" s="5">
        <f t="shared" si="65"/>
        <v>9.6467016805467051E-12</v>
      </c>
      <c r="G546" s="4">
        <f t="shared" si="62"/>
        <v>108534163159.14684</v>
      </c>
      <c r="H546" s="3">
        <f t="shared" si="63"/>
        <v>1.046996694144072</v>
      </c>
      <c r="I546">
        <f t="shared" si="64"/>
        <v>113634910029.32007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6:19" x14ac:dyDescent="0.25">
      <c r="F547" s="5">
        <f t="shared" si="65"/>
        <v>9.1818695353210767E-12</v>
      </c>
      <c r="G547" s="4">
        <f t="shared" si="62"/>
        <v>111247517238.1255</v>
      </c>
      <c r="H547" s="3">
        <f t="shared" si="63"/>
        <v>1.0214601894088509</v>
      </c>
      <c r="I547">
        <f t="shared" si="64"/>
        <v>113634910029.32007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6:19" x14ac:dyDescent="0.25">
      <c r="F548" s="5">
        <f t="shared" si="65"/>
        <v>8.7394356076821678E-12</v>
      </c>
      <c r="G548" s="4">
        <f t="shared" si="62"/>
        <v>114028705169.07863</v>
      </c>
      <c r="H548" s="3">
        <f t="shared" si="63"/>
        <v>0.99654652625253748</v>
      </c>
      <c r="I548">
        <f t="shared" si="64"/>
        <v>113634910029.32007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6:19" x14ac:dyDescent="0.25">
      <c r="F549" s="5">
        <f t="shared" si="65"/>
        <v>8.3183206259913558E-12</v>
      </c>
      <c r="G549" s="4">
        <f t="shared" si="62"/>
        <v>116879422798.30559</v>
      </c>
      <c r="H549" s="3">
        <f t="shared" si="63"/>
        <v>0.97224051341710971</v>
      </c>
      <c r="I549">
        <f t="shared" si="64"/>
        <v>113634910029.32007</v>
      </c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6:19" x14ac:dyDescent="0.25">
      <c r="F550" s="5">
        <f t="shared" si="65"/>
        <v>7.9174973239656E-12</v>
      </c>
      <c r="G550" s="4">
        <f t="shared" si="62"/>
        <v>119801408368.26321</v>
      </c>
      <c r="H550" s="3">
        <f t="shared" si="63"/>
        <v>0.94852733016303403</v>
      </c>
      <c r="I550">
        <f t="shared" si="64"/>
        <v>113634910029.32007</v>
      </c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6:19" x14ac:dyDescent="0.25">
      <c r="F551" s="5">
        <f t="shared" si="65"/>
        <v>7.5359879347679728E-12</v>
      </c>
      <c r="G551" s="4">
        <f t="shared" si="62"/>
        <v>122796443577.46979</v>
      </c>
      <c r="H551" s="3">
        <f t="shared" si="63"/>
        <v>0.92539251723222837</v>
      </c>
      <c r="I551">
        <f t="shared" si="64"/>
        <v>113634910029.32007</v>
      </c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6:19" x14ac:dyDescent="0.25">
      <c r="F552" s="5">
        <f t="shared" si="65"/>
        <v>7.1728618058469702E-12</v>
      </c>
      <c r="G552" s="4">
        <f t="shared" si="62"/>
        <v>125866354666.90652</v>
      </c>
      <c r="H552" s="3">
        <f t="shared" si="63"/>
        <v>0.90282196803144232</v>
      </c>
      <c r="I552">
        <f t="shared" si="64"/>
        <v>113634910029.32007</v>
      </c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6:19" x14ac:dyDescent="0.25">
      <c r="F553" s="5">
        <f t="shared" si="65"/>
        <v>6.8272331287062195E-12</v>
      </c>
      <c r="G553" s="4">
        <f t="shared" si="62"/>
        <v>129013013533.57918</v>
      </c>
      <c r="H553" s="3">
        <f t="shared" si="63"/>
        <v>0.88080192003067559</v>
      </c>
      <c r="I553">
        <f t="shared" si="64"/>
        <v>113634910029.32007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6:19" x14ac:dyDescent="0.25">
      <c r="F554" s="5">
        <f t="shared" si="65"/>
        <v>6.4982587780665992E-12</v>
      </c>
      <c r="G554" s="4">
        <f t="shared" si="62"/>
        <v>132238338871.91864</v>
      </c>
      <c r="H554" s="3">
        <f t="shared" si="63"/>
        <v>0.85931894637139083</v>
      </c>
      <c r="I554">
        <f t="shared" si="64"/>
        <v>113634910029.32007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6:19" x14ac:dyDescent="0.25">
      <c r="F555" s="5">
        <f t="shared" si="65"/>
        <v>6.1851362551496487E-12</v>
      </c>
      <c r="G555" s="4">
        <f t="shared" si="62"/>
        <v>135544297343.7166</v>
      </c>
      <c r="H555" s="3">
        <f t="shared" si="63"/>
        <v>0.8383599476794058</v>
      </c>
      <c r="I555">
        <f t="shared" si="64"/>
        <v>113634910029.32007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6:19" x14ac:dyDescent="0.25">
      <c r="F556" s="5">
        <f t="shared" si="65"/>
        <v>5.8871017300651032E-12</v>
      </c>
      <c r="G556" s="4">
        <f t="shared" si="62"/>
        <v>138932904777.30951</v>
      </c>
      <c r="H556" s="3">
        <f t="shared" si="63"/>
        <v>0.81791214407746904</v>
      </c>
      <c r="I556">
        <f t="shared" si="64"/>
        <v>113634910029.32007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6:19" x14ac:dyDescent="0.25">
      <c r="F557" s="5">
        <f t="shared" si="65"/>
        <v>5.6034281785271654E-12</v>
      </c>
      <c r="G557" s="4">
        <f t="shared" si="62"/>
        <v>142406227396.74225</v>
      </c>
      <c r="H557" s="3">
        <f t="shared" si="63"/>
        <v>0.79796306739265277</v>
      </c>
      <c r="I557">
        <f t="shared" si="64"/>
        <v>113634910029.32007</v>
      </c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6:19" x14ac:dyDescent="0.25">
      <c r="F558" s="5">
        <f t="shared" si="65"/>
        <v>5.3334236083542331E-12</v>
      </c>
      <c r="G558" s="4">
        <f t="shared" si="62"/>
        <v>145966383081.6608</v>
      </c>
      <c r="H558" s="3">
        <f t="shared" si="63"/>
        <v>0.77850055355380765</v>
      </c>
      <c r="I558">
        <f t="shared" si="64"/>
        <v>113634910029.32007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6:19" x14ac:dyDescent="0.25">
      <c r="F559" s="5">
        <f t="shared" si="65"/>
        <v>5.0764293714258031E-12</v>
      </c>
      <c r="G559" s="4">
        <f t="shared" si="62"/>
        <v>149615542658.7023</v>
      </c>
      <c r="H559" s="3">
        <f t="shared" si="63"/>
        <v>0.75951273517444651</v>
      </c>
      <c r="I559">
        <f t="shared" si="64"/>
        <v>113634910029.32007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6:19" x14ac:dyDescent="0.25">
      <c r="F560" s="5">
        <f t="shared" si="65"/>
        <v>4.8318185569787555E-12</v>
      </c>
      <c r="G560" s="4">
        <f t="shared" si="62"/>
        <v>153355931225.16983</v>
      </c>
      <c r="H560" s="3">
        <f t="shared" si="63"/>
        <v>0.74098803431653337</v>
      </c>
      <c r="I560">
        <f t="shared" si="64"/>
        <v>113634910029.32007</v>
      </c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6:19" x14ac:dyDescent="0.25">
      <c r="F561" s="5">
        <f t="shared" si="65"/>
        <v>4.598994462323622E-12</v>
      </c>
      <c r="G561" s="4">
        <f t="shared" ref="G561:G624" si="66">G560*(1+$O$1)</f>
        <v>157189829505.79907</v>
      </c>
      <c r="H561" s="3">
        <f t="shared" si="63"/>
        <v>0.72291515543076423</v>
      </c>
      <c r="I561">
        <f t="shared" si="64"/>
        <v>113634910029.32007</v>
      </c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6:19" x14ac:dyDescent="0.25">
      <c r="F562" s="5">
        <f t="shared" si="65"/>
        <v>4.3773891372503256E-12</v>
      </c>
      <c r="G562" s="4">
        <f t="shared" si="66"/>
        <v>161119575243.44403</v>
      </c>
      <c r="H562" s="3">
        <f t="shared" ref="H562:H625" si="67">I562/G562</f>
        <v>0.70528307846903837</v>
      </c>
      <c r="I562">
        <f t="shared" ref="I562:I625" si="68">I561</f>
        <v>113634910029.32007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6:19" x14ac:dyDescent="0.25">
      <c r="F563" s="5">
        <f t="shared" si="65"/>
        <v>4.1664619985725891E-12</v>
      </c>
      <c r="G563" s="4">
        <f t="shared" si="66"/>
        <v>165147564624.53012</v>
      </c>
      <c r="H563" s="3">
        <f t="shared" si="67"/>
        <v>0.68808105216491555</v>
      </c>
      <c r="I563">
        <f t="shared" si="68"/>
        <v>113634910029.32007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6:19" x14ac:dyDescent="0.25">
      <c r="F564" s="5">
        <f t="shared" si="65"/>
        <v>3.9656985114313754E-12</v>
      </c>
      <c r="G564" s="4">
        <f t="shared" si="66"/>
        <v>169276253740.14337</v>
      </c>
      <c r="H564" s="3">
        <f t="shared" si="67"/>
        <v>0.67129858747796634</v>
      </c>
      <c r="I564">
        <f t="shared" si="68"/>
        <v>113634910029.32007</v>
      </c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6:19" x14ac:dyDescent="0.25">
      <c r="F565" s="5">
        <f t="shared" si="65"/>
        <v>3.774608934140513E-12</v>
      </c>
      <c r="G565" s="4">
        <f t="shared" si="66"/>
        <v>173508160083.64694</v>
      </c>
      <c r="H565" s="3">
        <f t="shared" si="67"/>
        <v>0.65492545119801604</v>
      </c>
      <c r="I565">
        <f t="shared" si="68"/>
        <v>113634910029.32007</v>
      </c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6:19" x14ac:dyDescent="0.25">
      <c r="F566" s="5">
        <f t="shared" si="65"/>
        <v>3.5927271235126842E-12</v>
      </c>
      <c r="G566" s="4">
        <f t="shared" si="66"/>
        <v>177845864085.7381</v>
      </c>
      <c r="H566" s="3">
        <f t="shared" si="67"/>
        <v>0.63895165970538159</v>
      </c>
      <c r="I566">
        <f t="shared" si="68"/>
        <v>113634910029.32007</v>
      </c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6:19" x14ac:dyDescent="0.25">
      <c r="F567" s="5">
        <f t="shared" si="65"/>
        <v>3.4196093977515145E-12</v>
      </c>
      <c r="G567" s="4">
        <f t="shared" si="66"/>
        <v>182292010687.88153</v>
      </c>
      <c r="H567" s="3">
        <f t="shared" si="67"/>
        <v>0.62336747288329919</v>
      </c>
      <c r="I567">
        <f t="shared" si="68"/>
        <v>113634910029.32007</v>
      </c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6:19" x14ac:dyDescent="0.25">
      <c r="F568" s="5">
        <f t="shared" si="65"/>
        <v>3.2548334541358858E-12</v>
      </c>
      <c r="G568" s="4">
        <f t="shared" si="66"/>
        <v>186849310955.07855</v>
      </c>
      <c r="H568" s="3">
        <f t="shared" si="67"/>
        <v>0.60816338817882853</v>
      </c>
      <c r="I568">
        <f t="shared" si="68"/>
        <v>113634910029.32007</v>
      </c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6:19" x14ac:dyDescent="0.25">
      <c r="F569" s="5">
        <f t="shared" si="65"/>
        <v>3.0979973388562862E-12</v>
      </c>
      <c r="G569" s="4">
        <f t="shared" si="66"/>
        <v>191520543728.95551</v>
      </c>
      <c r="H569" s="3">
        <f t="shared" si="67"/>
        <v>0.59333013480861319</v>
      </c>
      <c r="I569">
        <f t="shared" si="68"/>
        <v>113634910029.32007</v>
      </c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6:19" x14ac:dyDescent="0.25">
      <c r="F570" s="5">
        <f t="shared" si="65"/>
        <v>2.9487184664902194E-12</v>
      </c>
      <c r="G570" s="4">
        <f t="shared" si="66"/>
        <v>196308557322.17938</v>
      </c>
      <c r="H570" s="3">
        <f t="shared" si="67"/>
        <v>0.57885866810596409</v>
      </c>
      <c r="I570">
        <f t="shared" si="68"/>
        <v>113634910029.32007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6:19" x14ac:dyDescent="0.25">
      <c r="F571" s="5">
        <f t="shared" si="65"/>
        <v>2.8066326867247779E-12</v>
      </c>
      <c r="G571" s="4">
        <f t="shared" si="66"/>
        <v>201216271255.23386</v>
      </c>
      <c r="H571" s="3">
        <f t="shared" si="67"/>
        <v>0.56474016400581872</v>
      </c>
      <c r="I571">
        <f t="shared" si="68"/>
        <v>113634910029.32007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6:19" x14ac:dyDescent="0.25">
      <c r="F572" s="5">
        <f t="shared" si="65"/>
        <v>2.6713933960497593E-12</v>
      </c>
      <c r="G572" s="4">
        <f t="shared" si="66"/>
        <v>206246678036.61469</v>
      </c>
      <c r="H572" s="3">
        <f t="shared" si="67"/>
        <v>0.55096601366421338</v>
      </c>
      <c r="I572">
        <f t="shared" si="68"/>
        <v>113634910029.32007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6:19" x14ac:dyDescent="0.25">
      <c r="F573" s="5">
        <f t="shared" si="65"/>
        <v>2.5426706922543818E-12</v>
      </c>
      <c r="G573" s="4">
        <f t="shared" si="66"/>
        <v>211402844987.53003</v>
      </c>
      <c r="H573" s="3">
        <f t="shared" si="67"/>
        <v>0.53752781820898876</v>
      </c>
      <c r="I573">
        <f t="shared" si="68"/>
        <v>113634910029.32007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6:19" x14ac:dyDescent="0.25">
      <c r="F574" s="5">
        <f t="shared" si="65"/>
        <v>2.4201505696650872E-12</v>
      </c>
      <c r="G574" s="4">
        <f t="shared" si="66"/>
        <v>216687916112.21826</v>
      </c>
      <c r="H574" s="3">
        <f t="shared" si="67"/>
        <v>0.52441738361852563</v>
      </c>
      <c r="I574">
        <f t="shared" si="68"/>
        <v>113634910029.32007</v>
      </c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6:19" x14ac:dyDescent="0.25">
      <c r="F575" s="5">
        <f t="shared" si="65"/>
        <v>2.3035341531612964E-12</v>
      </c>
      <c r="G575" s="4">
        <f t="shared" si="66"/>
        <v>222105114015.02371</v>
      </c>
      <c r="H575" s="3">
        <f t="shared" si="67"/>
        <v>0.51162671572539087</v>
      </c>
      <c r="I575">
        <f t="shared" si="68"/>
        <v>113634910029.32007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6:19" x14ac:dyDescent="0.25">
      <c r="F576" s="5">
        <f t="shared" si="65"/>
        <v>2.1925369691005799E-12</v>
      </c>
      <c r="G576" s="4">
        <f t="shared" si="66"/>
        <v>227657741865.39929</v>
      </c>
      <c r="H576" s="3">
        <f t="shared" si="67"/>
        <v>0.49914801534184478</v>
      </c>
      <c r="I576">
        <f t="shared" si="68"/>
        <v>113634910029.32007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6:19" x14ac:dyDescent="0.25">
      <c r="F577" s="5">
        <f t="shared" si="65"/>
        <v>2.086888251374735E-12</v>
      </c>
      <c r="G577" s="4">
        <f t="shared" si="66"/>
        <v>233349185412.03424</v>
      </c>
      <c r="H577" s="3">
        <f t="shared" si="67"/>
        <v>0.48697367350423892</v>
      </c>
      <c r="I577">
        <f t="shared" si="68"/>
        <v>113634910029.32007</v>
      </c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6:19" x14ac:dyDescent="0.25">
      <c r="F578" s="5">
        <f t="shared" si="65"/>
        <v>1.9863302809039716E-12</v>
      </c>
      <c r="G578" s="4">
        <f t="shared" si="66"/>
        <v>239182915047.33508</v>
      </c>
      <c r="H578" s="3">
        <f t="shared" si="67"/>
        <v>0.47509626683340384</v>
      </c>
      <c r="I578">
        <f t="shared" si="68"/>
        <v>113634910029.32007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6:19" x14ac:dyDescent="0.25">
      <c r="F579" s="5">
        <f t="shared" si="65"/>
        <v>1.8906177569579745E-12</v>
      </c>
      <c r="G579" s="4">
        <f t="shared" si="66"/>
        <v>245162487923.51843</v>
      </c>
      <c r="H579" s="3">
        <f t="shared" si="67"/>
        <v>0.46350855300819893</v>
      </c>
      <c r="I579">
        <f t="shared" si="68"/>
        <v>113634910029.32007</v>
      </c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6:19" x14ac:dyDescent="0.25">
      <c r="F580" s="5">
        <f t="shared" si="65"/>
        <v>1.7995171987702314E-12</v>
      </c>
      <c r="G580" s="4">
        <f t="shared" si="66"/>
        <v>251291550121.60638</v>
      </c>
      <c r="H580" s="3">
        <f t="shared" si="67"/>
        <v>0.45220346634946235</v>
      </c>
      <c r="I580">
        <f t="shared" si="68"/>
        <v>113634910029.32007</v>
      </c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6:19" x14ac:dyDescent="0.25">
      <c r="F581" s="5">
        <f t="shared" si="65"/>
        <v>1.7128063759859435E-12</v>
      </c>
      <c r="G581" s="4">
        <f t="shared" si="66"/>
        <v>257573838874.64651</v>
      </c>
      <c r="H581" s="3">
        <f t="shared" si="67"/>
        <v>0.44117411351167063</v>
      </c>
      <c r="I581">
        <f t="shared" si="68"/>
        <v>113634910029.32007</v>
      </c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6:19" x14ac:dyDescent="0.25">
      <c r="F582" s="5">
        <f t="shared" si="65"/>
        <v>1.6302737665541405E-12</v>
      </c>
      <c r="G582" s="4">
        <f t="shared" si="66"/>
        <v>264013184846.51266</v>
      </c>
      <c r="H582" s="3">
        <f t="shared" si="67"/>
        <v>0.43041376927967873</v>
      </c>
      <c r="I582">
        <f t="shared" si="68"/>
        <v>113634910029.32007</v>
      </c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6:19" x14ac:dyDescent="0.25">
      <c r="F583" s="5">
        <f t="shared" si="65"/>
        <v>1.5517180407415975E-12</v>
      </c>
      <c r="G583" s="4">
        <f t="shared" si="66"/>
        <v>270613514467.67545</v>
      </c>
      <c r="H583" s="3">
        <f t="shared" si="67"/>
        <v>0.41991587246797929</v>
      </c>
      <c r="I583">
        <f t="shared" si="68"/>
        <v>113634910029.32007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6:19" x14ac:dyDescent="0.25">
      <c r="F584" s="5">
        <f t="shared" si="65"/>
        <v>1.4769475700098491E-12</v>
      </c>
      <c r="G584" s="4">
        <f t="shared" si="66"/>
        <v>277378852329.36731</v>
      </c>
      <c r="H584" s="3">
        <f t="shared" si="67"/>
        <v>0.40967402191997981</v>
      </c>
      <c r="I584">
        <f t="shared" si="68"/>
        <v>113634910029.32007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6:19" x14ac:dyDescent="0.25">
      <c r="F585" s="5">
        <f t="shared" ref="F585:F648" si="69">H585/G585</f>
        <v>1.4057799595572632E-12</v>
      </c>
      <c r="G585" s="4">
        <f t="shared" si="66"/>
        <v>284313323637.60144</v>
      </c>
      <c r="H585" s="3">
        <f t="shared" si="67"/>
        <v>0.39968197260485844</v>
      </c>
      <c r="I585">
        <f t="shared" si="68"/>
        <v>113634910029.32007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6:19" x14ac:dyDescent="0.25">
      <c r="F586" s="5">
        <f t="shared" si="69"/>
        <v>1.3380416033858548E-12</v>
      </c>
      <c r="G586" s="4">
        <f t="shared" si="66"/>
        <v>291421156728.54144</v>
      </c>
      <c r="H586" s="3">
        <f t="shared" si="67"/>
        <v>0.38993363180961804</v>
      </c>
      <c r="I586">
        <f t="shared" si="68"/>
        <v>113634910029.32007</v>
      </c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6:19" x14ac:dyDescent="0.25">
      <c r="F587" s="5">
        <f t="shared" si="69"/>
        <v>1.2735672608074764E-12</v>
      </c>
      <c r="G587" s="4">
        <f t="shared" si="66"/>
        <v>298706685646.75494</v>
      </c>
      <c r="H587" s="3">
        <f t="shared" si="67"/>
        <v>0.38042305542401761</v>
      </c>
      <c r="I587">
        <f t="shared" si="68"/>
        <v>113634910029.32007</v>
      </c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6:19" x14ac:dyDescent="0.25">
      <c r="F588" s="5">
        <f t="shared" si="69"/>
        <v>1.2121996533563134E-12</v>
      </c>
      <c r="G588" s="4">
        <f t="shared" si="66"/>
        <v>306174352787.92377</v>
      </c>
      <c r="H588" s="3">
        <f t="shared" si="67"/>
        <v>0.37114444431611482</v>
      </c>
      <c r="I588">
        <f t="shared" si="68"/>
        <v>113634910029.32007</v>
      </c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6:19" x14ac:dyDescent="0.25">
      <c r="F589" s="5">
        <f t="shared" si="69"/>
        <v>1.1537890811243913E-12</v>
      </c>
      <c r="G589" s="4">
        <f t="shared" si="66"/>
        <v>313828711607.62183</v>
      </c>
      <c r="H589" s="3">
        <f t="shared" si="67"/>
        <v>0.36209214079620961</v>
      </c>
      <c r="I589">
        <f t="shared" si="68"/>
        <v>113634910029.32007</v>
      </c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6:19" x14ac:dyDescent="0.25">
      <c r="F590" s="5">
        <f t="shared" si="69"/>
        <v>1.098193057584192E-12</v>
      </c>
      <c r="G590" s="4">
        <f t="shared" si="66"/>
        <v>321674429397.81232</v>
      </c>
      <c r="H590" s="3">
        <f t="shared" si="67"/>
        <v>0.35326062516703383</v>
      </c>
      <c r="I590">
        <f t="shared" si="68"/>
        <v>113634910029.32007</v>
      </c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6:19" x14ac:dyDescent="0.25">
      <c r="F591" s="5">
        <f t="shared" si="69"/>
        <v>1.0452759620075598E-12</v>
      </c>
      <c r="G591" s="4">
        <f t="shared" si="66"/>
        <v>329716290132.75757</v>
      </c>
      <c r="H591" s="3">
        <f t="shared" si="67"/>
        <v>0.34464451235808186</v>
      </c>
      <c r="I591">
        <f t="shared" si="68"/>
        <v>113634910029.32007</v>
      </c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6:19" x14ac:dyDescent="0.25">
      <c r="F592" s="5">
        <f t="shared" si="69"/>
        <v>9.9490870863301375E-13</v>
      </c>
      <c r="G592" s="4">
        <f t="shared" si="66"/>
        <v>337959197386.07648</v>
      </c>
      <c r="H592" s="3">
        <f t="shared" si="67"/>
        <v>0.33623854864203112</v>
      </c>
      <c r="I592">
        <f t="shared" si="68"/>
        <v>113634910029.32007</v>
      </c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6:19" x14ac:dyDescent="0.25">
      <c r="F593" s="5">
        <f t="shared" si="69"/>
        <v>9.4696843177443317E-13</v>
      </c>
      <c r="G593" s="4">
        <f t="shared" si="66"/>
        <v>346408177320.72833</v>
      </c>
      <c r="H593" s="3">
        <f t="shared" si="67"/>
        <v>0.32803760843124991</v>
      </c>
      <c r="I593">
        <f t="shared" si="68"/>
        <v>113634910029.32007</v>
      </c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6:19" x14ac:dyDescent="0.25">
      <c r="F594" s="5">
        <f t="shared" si="69"/>
        <v>9.0133818610297044E-13</v>
      </c>
      <c r="G594" s="4">
        <f t="shared" si="66"/>
        <v>355068381753.74652</v>
      </c>
      <c r="H594" s="3">
        <f t="shared" si="67"/>
        <v>0.32003669115243893</v>
      </c>
      <c r="I594">
        <f t="shared" si="68"/>
        <v>113634910029.32007</v>
      </c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6:19" x14ac:dyDescent="0.25">
      <c r="F595" s="5">
        <f t="shared" si="69"/>
        <v>8.5790666137106065E-13</v>
      </c>
      <c r="G595" s="4">
        <f t="shared" si="66"/>
        <v>363945091297.59015</v>
      </c>
      <c r="H595" s="3">
        <f t="shared" si="67"/>
        <v>0.31223091819750143</v>
      </c>
      <c r="I595">
        <f t="shared" si="68"/>
        <v>113634910029.32007</v>
      </c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6:19" x14ac:dyDescent="0.25">
      <c r="F596" s="5">
        <f t="shared" si="69"/>
        <v>8.1656791088262787E-13</v>
      </c>
      <c r="G596" s="4">
        <f t="shared" si="66"/>
        <v>373043718580.02985</v>
      </c>
      <c r="H596" s="3">
        <f t="shared" si="67"/>
        <v>0.30461552994878194</v>
      </c>
      <c r="I596">
        <f t="shared" si="68"/>
        <v>113634910029.32007</v>
      </c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6:19" x14ac:dyDescent="0.25">
      <c r="F597" s="5">
        <f t="shared" si="69"/>
        <v>7.7722109304711763E-13</v>
      </c>
      <c r="G597" s="4">
        <f t="shared" si="66"/>
        <v>382369811544.53058</v>
      </c>
      <c r="H597" s="3">
        <f t="shared" si="67"/>
        <v>0.29718588287686043</v>
      </c>
      <c r="I597">
        <f t="shared" si="68"/>
        <v>113634910029.32007</v>
      </c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6:19" x14ac:dyDescent="0.25">
      <c r="F598" s="5">
        <f t="shared" si="69"/>
        <v>7.3977022538690577E-13</v>
      </c>
      <c r="G598" s="4">
        <f t="shared" si="66"/>
        <v>391929056833.1438</v>
      </c>
      <c r="H598" s="3">
        <f t="shared" si="67"/>
        <v>0.28993744670913218</v>
      </c>
      <c r="I598">
        <f t="shared" si="68"/>
        <v>113634910029.32007</v>
      </c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6:19" x14ac:dyDescent="0.25">
      <c r="F599" s="5">
        <f t="shared" si="69"/>
        <v>7.0412395039800685E-13</v>
      </c>
      <c r="G599" s="4">
        <f t="shared" si="66"/>
        <v>401727283253.97235</v>
      </c>
      <c r="H599" s="3">
        <f t="shared" si="67"/>
        <v>0.28286580166744607</v>
      </c>
      <c r="I599">
        <f t="shared" si="68"/>
        <v>113634910029.32007</v>
      </c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6:19" x14ac:dyDescent="0.25">
      <c r="F600" s="5">
        <f t="shared" si="69"/>
        <v>6.7019531269292759E-13</v>
      </c>
      <c r="G600" s="4">
        <f t="shared" si="66"/>
        <v>411770465335.32159</v>
      </c>
      <c r="H600" s="3">
        <f t="shared" si="67"/>
        <v>0.27596663577311814</v>
      </c>
      <c r="I600">
        <f t="shared" si="68"/>
        <v>113634910029.32007</v>
      </c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6:19" x14ac:dyDescent="0.25">
      <c r="F601" s="5">
        <f t="shared" si="69"/>
        <v>6.379015468820252E-13</v>
      </c>
      <c r="G601" s="4">
        <f t="shared" si="66"/>
        <v>422064726968.70459</v>
      </c>
      <c r="H601" s="3">
        <f t="shared" si="67"/>
        <v>0.26923574221767627</v>
      </c>
      <c r="I601">
        <f t="shared" si="68"/>
        <v>113634910029.32007</v>
      </c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6:19" x14ac:dyDescent="0.25">
      <c r="F602" s="5">
        <f t="shared" si="69"/>
        <v>6.0716387567593129E-13</v>
      </c>
      <c r="G602" s="4">
        <f t="shared" si="66"/>
        <v>432616345142.92218</v>
      </c>
      <c r="H602" s="3">
        <f t="shared" si="67"/>
        <v>0.26266901679773297</v>
      </c>
      <c r="I602">
        <f t="shared" si="68"/>
        <v>113634910029.32007</v>
      </c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6:19" x14ac:dyDescent="0.25">
      <c r="F603" s="5">
        <f t="shared" si="69"/>
        <v>5.7790731771653191E-13</v>
      </c>
      <c r="G603" s="4">
        <f t="shared" si="66"/>
        <v>443431753771.49518</v>
      </c>
      <c r="H603" s="3">
        <f t="shared" si="67"/>
        <v>0.25626245541242243</v>
      </c>
      <c r="I603">
        <f t="shared" si="68"/>
        <v>113634910029.32007</v>
      </c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6:19" x14ac:dyDescent="0.25">
      <c r="F604" s="5">
        <f t="shared" si="69"/>
        <v>5.5006050466772826E-13</v>
      </c>
      <c r="G604" s="4">
        <f t="shared" si="66"/>
        <v>454517547615.78253</v>
      </c>
      <c r="H604" s="3">
        <f t="shared" si="67"/>
        <v>0.25001215162187557</v>
      </c>
      <c r="I604">
        <f t="shared" si="68"/>
        <v>113634910029.32007</v>
      </c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6:19" x14ac:dyDescent="0.25">
      <c r="F605" s="5">
        <f t="shared" si="69"/>
        <v>5.2355550711978907E-13</v>
      </c>
      <c r="G605" s="4">
        <f t="shared" si="66"/>
        <v>465880486306.17706</v>
      </c>
      <c r="H605" s="3">
        <f t="shared" si="67"/>
        <v>0.24391429426524447</v>
      </c>
      <c r="I605">
        <f t="shared" si="68"/>
        <v>113634910029.32007</v>
      </c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6:19" x14ac:dyDescent="0.25">
      <c r="F606" s="5">
        <f t="shared" si="69"/>
        <v>4.9832766888260722E-13</v>
      </c>
      <c r="G606" s="4">
        <f t="shared" si="66"/>
        <v>477527498463.83142</v>
      </c>
      <c r="H606" s="3">
        <f t="shared" si="67"/>
        <v>0.23796516513682392</v>
      </c>
      <c r="I606">
        <f t="shared" si="68"/>
        <v>113634910029.32007</v>
      </c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6:19" x14ac:dyDescent="0.25">
      <c r="F607" s="5">
        <f t="shared" si="69"/>
        <v>4.7431544926363572E-13</v>
      </c>
      <c r="G607" s="4">
        <f t="shared" si="66"/>
        <v>489465685925.42719</v>
      </c>
      <c r="H607" s="3">
        <f t="shared" si="67"/>
        <v>0.23216113671885261</v>
      </c>
      <c r="I607">
        <f t="shared" si="68"/>
        <v>113634910029.32007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6:19" x14ac:dyDescent="0.25">
      <c r="F608" s="5">
        <f t="shared" si="69"/>
        <v>4.5146027294575686E-13</v>
      </c>
      <c r="G608" s="4">
        <f t="shared" si="66"/>
        <v>501702328073.56281</v>
      </c>
      <c r="H608" s="3">
        <f t="shared" si="67"/>
        <v>0.22649866996961232</v>
      </c>
      <c r="I608">
        <f t="shared" si="68"/>
        <v>113634910029.32007</v>
      </c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6:19" x14ac:dyDescent="0.25">
      <c r="F609" s="5">
        <f t="shared" si="69"/>
        <v>4.297063870988763E-13</v>
      </c>
      <c r="G609" s="4">
        <f t="shared" si="66"/>
        <v>514244886275.40186</v>
      </c>
      <c r="H609" s="3">
        <f t="shared" si="67"/>
        <v>0.22097431216547544</v>
      </c>
      <c r="I609">
        <f t="shared" si="68"/>
        <v>113634910029.32007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6:19" x14ac:dyDescent="0.25">
      <c r="F610" s="5">
        <f t="shared" si="69"/>
        <v>4.0900072537668185E-13</v>
      </c>
      <c r="G610" s="4">
        <f t="shared" si="66"/>
        <v>527101008432.28687</v>
      </c>
      <c r="H610" s="3">
        <f t="shared" si="67"/>
        <v>0.21558469479558581</v>
      </c>
      <c r="I610">
        <f t="shared" si="68"/>
        <v>113634910029.32007</v>
      </c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6:19" x14ac:dyDescent="0.25">
      <c r="F611" s="5">
        <f t="shared" si="69"/>
        <v>3.8929277846680012E-13</v>
      </c>
      <c r="G611" s="4">
        <f t="shared" si="66"/>
        <v>540278533643.09399</v>
      </c>
      <c r="H611" s="3">
        <f t="shared" si="67"/>
        <v>0.2103265315078886</v>
      </c>
      <c r="I611">
        <f t="shared" si="68"/>
        <v>113634910029.32007</v>
      </c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6:19" x14ac:dyDescent="0.25">
      <c r="F612" s="5">
        <f t="shared" si="69"/>
        <v>3.7053447087857254E-13</v>
      </c>
      <c r="G612" s="4">
        <f t="shared" si="66"/>
        <v>553785496984.17126</v>
      </c>
      <c r="H612" s="3">
        <f t="shared" si="67"/>
        <v>0.20519661610525722</v>
      </c>
      <c r="I612">
        <f t="shared" si="68"/>
        <v>113634910029.32007</v>
      </c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6:19" x14ac:dyDescent="0.25">
      <c r="F613" s="5">
        <f t="shared" si="69"/>
        <v>3.5268004366788586E-13</v>
      </c>
      <c r="G613" s="4">
        <f t="shared" si="66"/>
        <v>567630134408.77551</v>
      </c>
      <c r="H613" s="3">
        <f t="shared" si="67"/>
        <v>0.20019182059049487</v>
      </c>
      <c r="I613">
        <f t="shared" si="68"/>
        <v>113634910029.32007</v>
      </c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6:19" x14ac:dyDescent="0.25">
      <c r="F614" s="5">
        <f t="shared" si="69"/>
        <v>3.3568594281297884E-13</v>
      </c>
      <c r="G614" s="4">
        <f t="shared" si="66"/>
        <v>581820887768.99487</v>
      </c>
      <c r="H614" s="3">
        <f t="shared" si="67"/>
        <v>0.19530909325901938</v>
      </c>
      <c r="I614">
        <f t="shared" si="68"/>
        <v>113634910029.32007</v>
      </c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6:19" x14ac:dyDescent="0.25">
      <c r="F615" s="5">
        <f t="shared" si="69"/>
        <v>3.1951071296892692E-13</v>
      </c>
      <c r="G615" s="4">
        <f t="shared" si="66"/>
        <v>596366409963.21973</v>
      </c>
      <c r="H615" s="3">
        <f t="shared" si="67"/>
        <v>0.1905454568380677</v>
      </c>
      <c r="I615">
        <f t="shared" si="68"/>
        <v>113634910029.32007</v>
      </c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6:19" x14ac:dyDescent="0.25">
      <c r="F616" s="5">
        <f t="shared" si="69"/>
        <v>3.0411489634163183E-13</v>
      </c>
      <c r="G616" s="4">
        <f t="shared" si="66"/>
        <v>611275570212.30017</v>
      </c>
      <c r="H616" s="3">
        <f t="shared" si="67"/>
        <v>0.18589800667128556</v>
      </c>
      <c r="I616">
        <f t="shared" si="68"/>
        <v>113634910029.32007</v>
      </c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6:19" x14ac:dyDescent="0.25">
      <c r="F617" s="5">
        <f t="shared" si="69"/>
        <v>2.8946093643462878E-13</v>
      </c>
      <c r="G617" s="4">
        <f t="shared" si="66"/>
        <v>626557459467.60767</v>
      </c>
      <c r="H617" s="3">
        <f t="shared" si="67"/>
        <v>0.18136390894759569</v>
      </c>
      <c r="I617">
        <f t="shared" si="68"/>
        <v>113634910029.32007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6:19" x14ac:dyDescent="0.25">
      <c r="F618" s="5">
        <f t="shared" si="69"/>
        <v>2.7551308643391199E-13</v>
      </c>
      <c r="G618" s="4">
        <f t="shared" si="66"/>
        <v>642221395954.29785</v>
      </c>
      <c r="H618" s="3">
        <f t="shared" si="67"/>
        <v>0.17694039897326408</v>
      </c>
      <c r="I618">
        <f t="shared" si="68"/>
        <v>113634910029.32007</v>
      </c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6:19" x14ac:dyDescent="0.25">
      <c r="F619" s="5">
        <f t="shared" si="69"/>
        <v>2.6223732200729278E-13</v>
      </c>
      <c r="G619" s="4">
        <f t="shared" si="66"/>
        <v>658276930853.15527</v>
      </c>
      <c r="H619" s="3">
        <f t="shared" si="67"/>
        <v>0.1726247794861113</v>
      </c>
      <c r="I619">
        <f t="shared" si="68"/>
        <v>113634910029.32007</v>
      </c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6:19" x14ac:dyDescent="0.25">
      <c r="F620" s="5">
        <f t="shared" si="69"/>
        <v>2.4960125830557319E-13</v>
      </c>
      <c r="G620" s="4">
        <f t="shared" si="66"/>
        <v>674733854124.48413</v>
      </c>
      <c r="H620" s="3">
        <f t="shared" si="67"/>
        <v>0.16841441901084031</v>
      </c>
      <c r="I620">
        <f t="shared" si="68"/>
        <v>113634910029.32007</v>
      </c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6:19" x14ac:dyDescent="0.25">
      <c r="F621" s="5">
        <f t="shared" si="69"/>
        <v>2.375740709630679E-13</v>
      </c>
      <c r="G621" s="4">
        <f t="shared" si="66"/>
        <v>691602200477.59619</v>
      </c>
      <c r="H621" s="3">
        <f t="shared" si="67"/>
        <v>0.16430675025447836</v>
      </c>
      <c r="I621">
        <f t="shared" si="68"/>
        <v>113634910029.32007</v>
      </c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6:19" x14ac:dyDescent="0.25">
      <c r="F622" s="5">
        <f t="shared" si="69"/>
        <v>2.2612642090476429E-13</v>
      </c>
      <c r="G622" s="4">
        <f t="shared" si="66"/>
        <v>708892255489.53601</v>
      </c>
      <c r="H622" s="3">
        <f t="shared" si="67"/>
        <v>0.16029926854095453</v>
      </c>
      <c r="I622">
        <f t="shared" si="68"/>
        <v>113634910029.32007</v>
      </c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6:19" x14ac:dyDescent="0.25">
      <c r="F623" s="5">
        <f t="shared" si="69"/>
        <v>2.152303827766942E-13</v>
      </c>
      <c r="G623" s="4">
        <f t="shared" si="66"/>
        <v>726614561876.77429</v>
      </c>
      <c r="H623" s="3">
        <f t="shared" si="67"/>
        <v>0.15638953028385807</v>
      </c>
      <c r="I623">
        <f t="shared" si="68"/>
        <v>113634910029.32007</v>
      </c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6:19" x14ac:dyDescent="0.25">
      <c r="F624" s="5">
        <f t="shared" si="69"/>
        <v>2.0485937682493205E-13</v>
      </c>
      <c r="G624" s="4">
        <f t="shared" si="66"/>
        <v>744779925923.6936</v>
      </c>
      <c r="H624" s="3">
        <f t="shared" si="67"/>
        <v>0.15257515149644693</v>
      </c>
      <c r="I624">
        <f t="shared" si="68"/>
        <v>113634910029.32007</v>
      </c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6:19" x14ac:dyDescent="0.25">
      <c r="F625" s="5">
        <f t="shared" si="69"/>
        <v>1.9498810405704418E-13</v>
      </c>
      <c r="G625" s="4">
        <f t="shared" ref="G625:G688" si="70">G624*(1+$O$1)</f>
        <v>763399424071.78589</v>
      </c>
      <c r="H625" s="3">
        <f t="shared" si="67"/>
        <v>0.148853806337997</v>
      </c>
      <c r="I625">
        <f t="shared" si="68"/>
        <v>113634910029.32007</v>
      </c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6:19" x14ac:dyDescent="0.25">
      <c r="F626" s="5">
        <f t="shared" si="69"/>
        <v>1.8559248452782322E-13</v>
      </c>
      <c r="G626" s="4">
        <f t="shared" si="70"/>
        <v>782484409673.58044</v>
      </c>
      <c r="H626" s="3">
        <f t="shared" ref="H626:H689" si="71">I626/G626</f>
        <v>0.14522322569560686</v>
      </c>
      <c r="I626">
        <f t="shared" ref="I626:I689" si="72">I625</f>
        <v>113634910029.32007</v>
      </c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6:19" x14ac:dyDescent="0.25">
      <c r="F627" s="5">
        <f t="shared" si="69"/>
        <v>1.7664959859876095E-13</v>
      </c>
      <c r="G627" s="4">
        <f t="shared" si="70"/>
        <v>802046519915.41992</v>
      </c>
      <c r="H627" s="3">
        <f t="shared" si="71"/>
        <v>0.14168119580059205</v>
      </c>
      <c r="I627">
        <f t="shared" si="72"/>
        <v>113634910029.32007</v>
      </c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6:19" x14ac:dyDescent="0.25">
      <c r="F628" s="5">
        <f t="shared" si="69"/>
        <v>1.6813763102797001E-13</v>
      </c>
      <c r="G628" s="4">
        <f t="shared" si="70"/>
        <v>822097682913.3053</v>
      </c>
      <c r="H628" s="3">
        <f t="shared" si="71"/>
        <v>0.13822555687862642</v>
      </c>
      <c r="I628">
        <f t="shared" si="72"/>
        <v>113634910029.32007</v>
      </c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6:19" x14ac:dyDescent="0.25">
      <c r="F629" s="5">
        <f t="shared" si="69"/>
        <v>1.6003581775416542E-13</v>
      </c>
      <c r="G629" s="4">
        <f t="shared" si="70"/>
        <v>842650124986.13782</v>
      </c>
      <c r="H629" s="3">
        <f t="shared" si="71"/>
        <v>0.13485420183280628</v>
      </c>
      <c r="I629">
        <f t="shared" si="72"/>
        <v>113634910029.32007</v>
      </c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6:19" x14ac:dyDescent="0.25">
      <c r="F630" s="5">
        <f t="shared" si="69"/>
        <v>1.5232439524489277E-13</v>
      </c>
      <c r="G630" s="4">
        <f t="shared" si="70"/>
        <v>863716378110.79114</v>
      </c>
      <c r="H630" s="3">
        <f t="shared" si="71"/>
        <v>0.1315650749588354</v>
      </c>
      <c r="I630">
        <f t="shared" si="72"/>
        <v>113634910029.32007</v>
      </c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6:19" x14ac:dyDescent="0.25">
      <c r="F631" s="5">
        <f t="shared" si="69"/>
        <v>1.4498455228544231E-13</v>
      </c>
      <c r="G631" s="4">
        <f t="shared" si="70"/>
        <v>885309287563.56079</v>
      </c>
      <c r="H631" s="3">
        <f t="shared" si="71"/>
        <v>0.12835617069154676</v>
      </c>
      <c r="I631">
        <f t="shared" si="72"/>
        <v>113634910029.32007</v>
      </c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6:19" x14ac:dyDescent="0.25">
      <c r="F632" s="5">
        <f t="shared" si="69"/>
        <v>1.3799838409084338E-13</v>
      </c>
      <c r="G632" s="4">
        <f t="shared" si="70"/>
        <v>907442019752.64978</v>
      </c>
      <c r="H632" s="3">
        <f t="shared" si="71"/>
        <v>0.12522553238199685</v>
      </c>
      <c r="I632">
        <f t="shared" si="72"/>
        <v>113634910029.32007</v>
      </c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6:19" x14ac:dyDescent="0.25">
      <c r="F633" s="5">
        <f t="shared" si="69"/>
        <v>1.3134884862900025E-13</v>
      </c>
      <c r="G633" s="4">
        <f t="shared" si="70"/>
        <v>930128070246.46594</v>
      </c>
      <c r="H633" s="3">
        <f t="shared" si="71"/>
        <v>0.12217125110438717</v>
      </c>
      <c r="I633">
        <f t="shared" si="72"/>
        <v>113634910029.32007</v>
      </c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6:19" x14ac:dyDescent="0.25">
      <c r="F634" s="5">
        <f t="shared" si="69"/>
        <v>1.2501972504842382E-13</v>
      </c>
      <c r="G634" s="4">
        <f t="shared" si="70"/>
        <v>953381272002.62756</v>
      </c>
      <c r="H634" s="3">
        <f t="shared" si="71"/>
        <v>0.11919146449208505</v>
      </c>
      <c r="I634">
        <f t="shared" si="72"/>
        <v>113634910029.32007</v>
      </c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6:19" x14ac:dyDescent="0.25">
      <c r="F635" s="5">
        <f t="shared" si="69"/>
        <v>1.1899557410914823E-13</v>
      </c>
      <c r="G635" s="4">
        <f t="shared" si="70"/>
        <v>977215803802.69312</v>
      </c>
      <c r="H635" s="3">
        <f t="shared" si="71"/>
        <v>0.11628435560203422</v>
      </c>
      <c r="I635">
        <f t="shared" si="72"/>
        <v>113634910029.32007</v>
      </c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6:19" x14ac:dyDescent="0.25">
      <c r="F636" s="5">
        <f t="shared" si="69"/>
        <v>1.1326170052030766E-13</v>
      </c>
      <c r="G636" s="4">
        <f t="shared" si="70"/>
        <v>1001646198897.7604</v>
      </c>
      <c r="H636" s="3">
        <f t="shared" si="71"/>
        <v>0.11344815180686266</v>
      </c>
      <c r="I636">
        <f t="shared" si="72"/>
        <v>113634910029.32007</v>
      </c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6:19" x14ac:dyDescent="0.25">
      <c r="F637" s="5">
        <f t="shared" si="69"/>
        <v>1.0780411709249986E-13</v>
      </c>
      <c r="G637" s="4">
        <f t="shared" si="70"/>
        <v>1026687353870.2043</v>
      </c>
      <c r="H637" s="3">
        <f t="shared" si="71"/>
        <v>0.11068112371401236</v>
      </c>
      <c r="I637">
        <f t="shared" si="72"/>
        <v>113634910029.32007</v>
      </c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6:19" x14ac:dyDescent="0.25">
      <c r="F638" s="5">
        <f t="shared" si="69"/>
        <v>1.0260951061748947E-13</v>
      </c>
      <c r="G638" s="4">
        <f t="shared" si="70"/>
        <v>1052354537716.9594</v>
      </c>
      <c r="H638" s="3">
        <f t="shared" si="71"/>
        <v>0.10798158411123157</v>
      </c>
      <c r="I638">
        <f t="shared" si="72"/>
        <v>113634910029.32007</v>
      </c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6:19" x14ac:dyDescent="0.25">
      <c r="F639" s="5">
        <f t="shared" si="69"/>
        <v>9.7665209392018545E-14</v>
      </c>
      <c r="G639" s="4">
        <f t="shared" si="70"/>
        <v>1078663401159.8833</v>
      </c>
      <c r="H639" s="3">
        <f t="shared" si="71"/>
        <v>0.10534788693778691</v>
      </c>
      <c r="I639">
        <f t="shared" si="72"/>
        <v>113634910029.32007</v>
      </c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6:19" x14ac:dyDescent="0.25">
      <c r="F640" s="5">
        <f t="shared" si="69"/>
        <v>9.2959152306501899E-14</v>
      </c>
      <c r="G640" s="4">
        <f t="shared" si="70"/>
        <v>1105629986188.8804</v>
      </c>
      <c r="H640" s="3">
        <f t="shared" si="71"/>
        <v>0.10277842628076772</v>
      </c>
      <c r="I640">
        <f t="shared" si="72"/>
        <v>113634910029.32007</v>
      </c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6:19" x14ac:dyDescent="0.25">
      <c r="F641" s="5">
        <f t="shared" si="69"/>
        <v>8.8479859423202291E-14</v>
      </c>
      <c r="G641" s="4">
        <f t="shared" si="70"/>
        <v>1133270735843.6023</v>
      </c>
      <c r="H641" s="3">
        <f t="shared" si="71"/>
        <v>0.10027163539587094</v>
      </c>
      <c r="I641">
        <f t="shared" si="72"/>
        <v>113634910029.32007</v>
      </c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6:19" x14ac:dyDescent="0.25">
      <c r="F642" s="5">
        <f t="shared" si="69"/>
        <v>8.4216403972114042E-14</v>
      </c>
      <c r="G642" s="4">
        <f t="shared" si="70"/>
        <v>1161602504239.6921</v>
      </c>
      <c r="H642" s="3">
        <f t="shared" si="71"/>
        <v>9.7825985752069231E-2</v>
      </c>
      <c r="I642">
        <f t="shared" si="72"/>
        <v>113634910029.32007</v>
      </c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6:19" x14ac:dyDescent="0.25">
      <c r="F643" s="5">
        <f t="shared" si="69"/>
        <v>8.0158385696241822E-14</v>
      </c>
      <c r="G643" s="4">
        <f t="shared" si="70"/>
        <v>1190642566845.6843</v>
      </c>
      <c r="H643" s="3">
        <f t="shared" si="71"/>
        <v>9.5439986099579752E-2</v>
      </c>
      <c r="I643">
        <f t="shared" si="72"/>
        <v>113634910029.32007</v>
      </c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6:19" x14ac:dyDescent="0.25">
      <c r="F644" s="5">
        <f t="shared" si="69"/>
        <v>7.6295905481253367E-14</v>
      </c>
      <c r="G644" s="4">
        <f t="shared" si="70"/>
        <v>1220408631016.8264</v>
      </c>
      <c r="H644" s="3">
        <f t="shared" si="71"/>
        <v>9.311218156056561E-2</v>
      </c>
      <c r="I644">
        <f t="shared" si="72"/>
        <v>113634910029.32007</v>
      </c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6:19" x14ac:dyDescent="0.25">
      <c r="F645" s="5">
        <f t="shared" si="69"/>
        <v>7.2619541207617725E-14</v>
      </c>
      <c r="G645" s="4">
        <f t="shared" si="70"/>
        <v>1250918846792.2471</v>
      </c>
      <c r="H645" s="3">
        <f t="shared" si="71"/>
        <v>9.0841152742015235E-2</v>
      </c>
      <c r="I645">
        <f t="shared" si="72"/>
        <v>113634910029.32007</v>
      </c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6:19" x14ac:dyDescent="0.25">
      <c r="F646" s="5">
        <f t="shared" si="69"/>
        <v>6.9120324766322649E-14</v>
      </c>
      <c r="G646" s="4">
        <f t="shared" si="70"/>
        <v>1282191817962.0532</v>
      </c>
      <c r="H646" s="3">
        <f t="shared" si="71"/>
        <v>8.862551487025877E-2</v>
      </c>
      <c r="I646">
        <f t="shared" si="72"/>
        <v>113634910029.32007</v>
      </c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6:19" x14ac:dyDescent="0.25">
      <c r="F647" s="5">
        <f t="shared" si="69"/>
        <v>6.5789720182103646E-14</v>
      </c>
      <c r="G647" s="4">
        <f t="shared" si="70"/>
        <v>1314246613411.1045</v>
      </c>
      <c r="H647" s="3">
        <f t="shared" si="71"/>
        <v>8.6463916946593916E-2</v>
      </c>
      <c r="I647">
        <f t="shared" si="72"/>
        <v>113634910029.32007</v>
      </c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6:19" x14ac:dyDescent="0.25">
      <c r="F648" s="5">
        <f t="shared" si="69"/>
        <v>6.2619602790818465E-14</v>
      </c>
      <c r="G648" s="4">
        <f t="shared" si="70"/>
        <v>1347102778746.3821</v>
      </c>
      <c r="H648" s="3">
        <f t="shared" si="71"/>
        <v>8.4355040923506264E-2</v>
      </c>
      <c r="I648">
        <f t="shared" si="72"/>
        <v>113634910029.32007</v>
      </c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6:19" x14ac:dyDescent="0.25">
      <c r="F649" s="5">
        <f t="shared" ref="F649:F712" si="73">H649/G649</f>
        <v>5.9602239420172259E-14</v>
      </c>
      <c r="G649" s="4">
        <f t="shared" si="70"/>
        <v>1380780348215.0415</v>
      </c>
      <c r="H649" s="3">
        <f t="shared" si="71"/>
        <v>8.2297600900981732E-2</v>
      </c>
      <c r="I649">
        <f t="shared" si="72"/>
        <v>113634910029.32007</v>
      </c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6:19" x14ac:dyDescent="0.25">
      <c r="F650" s="5">
        <f t="shared" si="73"/>
        <v>5.6730269525446539E-14</v>
      </c>
      <c r="G650" s="4">
        <f t="shared" si="70"/>
        <v>1415299856920.4175</v>
      </c>
      <c r="H650" s="3">
        <f t="shared" si="71"/>
        <v>8.0290342342421203E-2</v>
      </c>
      <c r="I650">
        <f t="shared" si="72"/>
        <v>113634910029.32007</v>
      </c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6:19" x14ac:dyDescent="0.25">
      <c r="F651" s="5">
        <f t="shared" si="73"/>
        <v>5.3996687234214444E-14</v>
      </c>
      <c r="G651" s="4">
        <f t="shared" si="70"/>
        <v>1450682353343.4277</v>
      </c>
      <c r="H651" s="3">
        <f t="shared" si="71"/>
        <v>7.8332041309679232E-2</v>
      </c>
      <c r="I651">
        <f t="shared" si="72"/>
        <v>113634910029.32007</v>
      </c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6:19" x14ac:dyDescent="0.25">
      <c r="F652" s="5">
        <f t="shared" si="73"/>
        <v>5.1394824256242196E-14</v>
      </c>
      <c r="G652" s="4">
        <f t="shared" si="70"/>
        <v>1486949412177.0132</v>
      </c>
      <c r="H652" s="3">
        <f t="shared" si="71"/>
        <v>7.6421503716760236E-2</v>
      </c>
      <c r="I652">
        <f t="shared" si="72"/>
        <v>113634910029.32007</v>
      </c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6:19" x14ac:dyDescent="0.25">
      <c r="F653" s="5">
        <f t="shared" si="73"/>
        <v>4.8918333616887283E-14</v>
      </c>
      <c r="G653" s="4">
        <f t="shared" si="70"/>
        <v>1524123147481.4385</v>
      </c>
      <c r="H653" s="3">
        <f t="shared" si="71"/>
        <v>7.4557564601717308E-2</v>
      </c>
      <c r="I653">
        <f t="shared" si="72"/>
        <v>113634910029.32007</v>
      </c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6:19" x14ac:dyDescent="0.25">
      <c r="F654" s="5">
        <f t="shared" si="73"/>
        <v>4.656117417431271E-14</v>
      </c>
      <c r="G654" s="4">
        <f t="shared" si="70"/>
        <v>1562226226168.4744</v>
      </c>
      <c r="H654" s="3">
        <f t="shared" si="71"/>
        <v>7.2739087416309578E-2</v>
      </c>
      <c r="I654">
        <f t="shared" si="72"/>
        <v>113634910029.32007</v>
      </c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6:19" x14ac:dyDescent="0.25">
      <c r="F655" s="5">
        <f t="shared" si="73"/>
        <v>4.4317595882748579E-14</v>
      </c>
      <c r="G655" s="4">
        <f t="shared" si="70"/>
        <v>1601281881822.686</v>
      </c>
      <c r="H655" s="3">
        <f t="shared" si="71"/>
        <v>7.0964963332984965E-2</v>
      </c>
      <c r="I655">
        <f t="shared" si="72"/>
        <v>113634910029.32007</v>
      </c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6:19" x14ac:dyDescent="0.25">
      <c r="F656" s="5">
        <f t="shared" si="73"/>
        <v>4.2182125765852318E-14</v>
      </c>
      <c r="G656" s="4">
        <f t="shared" si="70"/>
        <v>1641313928868.2529</v>
      </c>
      <c r="H656" s="3">
        <f t="shared" si="71"/>
        <v>6.9234110568765828E-2</v>
      </c>
      <c r="I656">
        <f t="shared" si="72"/>
        <v>113634910029.32007</v>
      </c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6:19" x14ac:dyDescent="0.25">
      <c r="F657" s="5">
        <f t="shared" si="73"/>
        <v>4.0149554565951043E-14</v>
      </c>
      <c r="G657" s="4">
        <f t="shared" si="70"/>
        <v>1682346777089.9592</v>
      </c>
      <c r="H657" s="3">
        <f t="shared" si="71"/>
        <v>6.7545473725625194E-2</v>
      </c>
      <c r="I657">
        <f t="shared" si="72"/>
        <v>113634910029.32007</v>
      </c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6:19" x14ac:dyDescent="0.25">
      <c r="F658" s="5">
        <f t="shared" si="73"/>
        <v>3.8214924036598267E-14</v>
      </c>
      <c r="G658" s="4">
        <f t="shared" si="70"/>
        <v>1724405446517.208</v>
      </c>
      <c r="H658" s="3">
        <f t="shared" si="71"/>
        <v>6.5898023146951423E-2</v>
      </c>
      <c r="I658">
        <f t="shared" si="72"/>
        <v>113634910029.32007</v>
      </c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6:19" x14ac:dyDescent="0.25">
      <c r="F659" s="5">
        <f t="shared" si="73"/>
        <v>3.6373514847446309E-14</v>
      </c>
      <c r="G659" s="4">
        <f t="shared" si="70"/>
        <v>1767515582680.1379</v>
      </c>
      <c r="H659" s="3">
        <f t="shared" si="71"/>
        <v>6.4290754289708707E-2</v>
      </c>
      <c r="I659">
        <f t="shared" si="72"/>
        <v>113634910029.32007</v>
      </c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6:19" x14ac:dyDescent="0.25">
      <c r="F660" s="5">
        <f t="shared" si="73"/>
        <v>3.4620835071929874E-14</v>
      </c>
      <c r="G660" s="4">
        <f t="shared" si="70"/>
        <v>1811703472247.1411</v>
      </c>
      <c r="H660" s="3">
        <f t="shared" si="71"/>
        <v>6.2722687111910952E-2</v>
      </c>
      <c r="I660">
        <f t="shared" si="72"/>
        <v>113634910029.32007</v>
      </c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6:19" x14ac:dyDescent="0.25">
      <c r="F661" s="5">
        <f t="shared" si="73"/>
        <v>3.295260922967745E-14</v>
      </c>
      <c r="G661" s="4">
        <f t="shared" si="70"/>
        <v>1856996059053.3196</v>
      </c>
      <c r="H661" s="3">
        <f t="shared" si="71"/>
        <v>6.1192865475035073E-2</v>
      </c>
      <c r="I661">
        <f t="shared" si="72"/>
        <v>113634910029.32007</v>
      </c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6:19" x14ac:dyDescent="0.25">
      <c r="F662" s="5">
        <f t="shared" si="73"/>
        <v>3.1364767856920837E-14</v>
      </c>
      <c r="G662" s="4">
        <f t="shared" si="70"/>
        <v>1903420960529.6523</v>
      </c>
      <c r="H662" s="3">
        <f t="shared" si="71"/>
        <v>5.9700356561009832E-2</v>
      </c>
      <c r="I662">
        <f t="shared" si="72"/>
        <v>113634910029.32007</v>
      </c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6:19" x14ac:dyDescent="0.25">
      <c r="F663" s="5">
        <f t="shared" si="73"/>
        <v>2.9853437579460649E-14</v>
      </c>
      <c r="G663" s="4">
        <f t="shared" si="70"/>
        <v>1951006484542.8936</v>
      </c>
      <c r="H663" s="3">
        <f t="shared" si="71"/>
        <v>5.8244250303424228E-2</v>
      </c>
      <c r="I663">
        <f t="shared" si="72"/>
        <v>113634910029.32007</v>
      </c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6:19" x14ac:dyDescent="0.25">
      <c r="F664" s="5">
        <f t="shared" si="73"/>
        <v>2.8414931663972067E-14</v>
      </c>
      <c r="G664" s="4">
        <f t="shared" si="70"/>
        <v>1999781646656.4658</v>
      </c>
      <c r="H664" s="3">
        <f t="shared" si="71"/>
        <v>5.6823658832609009E-2</v>
      </c>
      <c r="I664">
        <f t="shared" si="72"/>
        <v>113634910029.32007</v>
      </c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6:19" x14ac:dyDescent="0.25">
      <c r="F665" s="5">
        <f t="shared" si="73"/>
        <v>2.7045741024601614E-14</v>
      </c>
      <c r="G665" s="4">
        <f t="shared" si="70"/>
        <v>2049776187822.8772</v>
      </c>
      <c r="H665" s="3">
        <f t="shared" si="71"/>
        <v>5.5437715934252695E-2</v>
      </c>
      <c r="I665">
        <f t="shared" si="72"/>
        <v>113634910029.32007</v>
      </c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6:19" x14ac:dyDescent="0.25">
      <c r="F666" s="5">
        <f t="shared" si="73"/>
        <v>2.5742525662916471E-14</v>
      </c>
      <c r="G666" s="4">
        <f t="shared" si="70"/>
        <v>2101020592518.449</v>
      </c>
      <c r="H666" s="3">
        <f t="shared" si="71"/>
        <v>5.4085576521222145E-2</v>
      </c>
      <c r="I666">
        <f t="shared" si="72"/>
        <v>113634910029.32007</v>
      </c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6:19" x14ac:dyDescent="0.25">
      <c r="F667" s="5">
        <f t="shared" si="73"/>
        <v>2.4502106520325026E-14</v>
      </c>
      <c r="G667" s="4">
        <f t="shared" si="70"/>
        <v>2153546107331.4099</v>
      </c>
      <c r="H667" s="3">
        <f t="shared" si="71"/>
        <v>5.2766416118265519E-2</v>
      </c>
      <c r="I667">
        <f t="shared" si="72"/>
        <v>113634910029.32007</v>
      </c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6:19" x14ac:dyDescent="0.25">
      <c r="F668" s="5">
        <f t="shared" si="73"/>
        <v>2.3321457723093428E-14</v>
      </c>
      <c r="G668" s="4">
        <f t="shared" si="70"/>
        <v>2207384760014.6948</v>
      </c>
      <c r="H668" s="3">
        <f t="shared" si="71"/>
        <v>5.1479430359283436E-2</v>
      </c>
      <c r="I668">
        <f t="shared" si="72"/>
        <v>113634910029.32007</v>
      </c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6:19" x14ac:dyDescent="0.25">
      <c r="F669" s="5">
        <f t="shared" si="73"/>
        <v>2.2197699201040745E-14</v>
      </c>
      <c r="G669" s="4">
        <f t="shared" si="70"/>
        <v>2262569379015.062</v>
      </c>
      <c r="H669" s="3">
        <f t="shared" si="71"/>
        <v>5.0223834496861894E-2</v>
      </c>
      <c r="I669">
        <f t="shared" si="72"/>
        <v>113634910029.32007</v>
      </c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6:19" x14ac:dyDescent="0.25">
      <c r="F670" s="5">
        <f t="shared" si="73"/>
        <v>2.1128089661906718E-14</v>
      </c>
      <c r="G670" s="4">
        <f t="shared" si="70"/>
        <v>2319133613490.4385</v>
      </c>
      <c r="H670" s="3">
        <f t="shared" si="71"/>
        <v>4.8998862923767705E-2</v>
      </c>
      <c r="I670">
        <f t="shared" si="72"/>
        <v>113634910029.32007</v>
      </c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6:19" x14ac:dyDescent="0.25">
      <c r="F671" s="5">
        <f t="shared" si="73"/>
        <v>2.0110019904253871E-14</v>
      </c>
      <c r="G671" s="4">
        <f t="shared" si="70"/>
        <v>2377111953827.6992</v>
      </c>
      <c r="H671" s="3">
        <f t="shared" si="71"/>
        <v>4.7803768706114837E-2</v>
      </c>
      <c r="I671">
        <f t="shared" si="72"/>
        <v>113634910029.32007</v>
      </c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6:19" x14ac:dyDescent="0.25">
      <c r="F672" s="5">
        <f t="shared" si="73"/>
        <v>1.9141006452591428E-14</v>
      </c>
      <c r="G672" s="4">
        <f t="shared" si="70"/>
        <v>2436539752673.3916</v>
      </c>
      <c r="H672" s="3">
        <f t="shared" si="71"/>
        <v>4.6637823127916915E-2</v>
      </c>
      <c r="I672">
        <f t="shared" si="72"/>
        <v>113634910029.32007</v>
      </c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6:19" x14ac:dyDescent="0.25">
      <c r="F673" s="5">
        <f t="shared" si="73"/>
        <v>1.8218685499194703E-14</v>
      </c>
      <c r="G673" s="4">
        <f t="shared" si="70"/>
        <v>2497453246490.2261</v>
      </c>
      <c r="H673" s="3">
        <f t="shared" si="71"/>
        <v>4.5500315246748219E-2</v>
      </c>
      <c r="I673">
        <f t="shared" si="72"/>
        <v>113634910029.32007</v>
      </c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6:19" x14ac:dyDescent="0.25">
      <c r="F674" s="5">
        <f t="shared" si="73"/>
        <v>1.7340807137841482E-14</v>
      </c>
      <c r="G674" s="4">
        <f t="shared" si="70"/>
        <v>2559889577652.4814</v>
      </c>
      <c r="H674" s="3">
        <f t="shared" si="71"/>
        <v>4.4390551460242171E-2</v>
      </c>
      <c r="I674">
        <f t="shared" si="72"/>
        <v>113634910029.32007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6:19" x14ac:dyDescent="0.25">
      <c r="F675" s="5">
        <f t="shared" si="73"/>
        <v>1.6505229875399389E-14</v>
      </c>
      <c r="G675" s="4">
        <f t="shared" si="70"/>
        <v>2623886817093.7935</v>
      </c>
      <c r="H675" s="3">
        <f t="shared" si="71"/>
        <v>4.3307855083163094E-2</v>
      </c>
      <c r="I675">
        <f t="shared" si="72"/>
        <v>113634910029.32007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6:19" x14ac:dyDescent="0.25">
      <c r="F676" s="5">
        <f t="shared" si="73"/>
        <v>1.5709915407875684E-14</v>
      </c>
      <c r="G676" s="4">
        <f t="shared" si="70"/>
        <v>2689483987521.1382</v>
      </c>
      <c r="H676" s="3">
        <f t="shared" si="71"/>
        <v>4.2251565934793262E-2</v>
      </c>
      <c r="I676">
        <f t="shared" si="72"/>
        <v>113634910029.32007</v>
      </c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6:19" x14ac:dyDescent="0.25">
      <c r="F677" s="5">
        <f t="shared" si="73"/>
        <v>1.4952923648186255E-14</v>
      </c>
      <c r="G677" s="4">
        <f t="shared" si="70"/>
        <v>2756721087209.1665</v>
      </c>
      <c r="H677" s="3">
        <f t="shared" si="71"/>
        <v>4.1221039936383673E-2</v>
      </c>
      <c r="I677">
        <f t="shared" si="72"/>
        <v>113634910029.32007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6:19" x14ac:dyDescent="0.25">
      <c r="F678" s="5">
        <f t="shared" si="73"/>
        <v>1.4232407993514584E-14</v>
      </c>
      <c r="G678" s="4">
        <f t="shared" si="70"/>
        <v>2825639114389.3955</v>
      </c>
      <c r="H678" s="3">
        <f t="shared" si="71"/>
        <v>4.0215648718423098E-2</v>
      </c>
      <c r="I678">
        <f t="shared" si="72"/>
        <v>113634910029.32007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6:19" x14ac:dyDescent="0.25">
      <c r="F679" s="5">
        <f t="shared" si="73"/>
        <v>1.3546610820715843E-14</v>
      </c>
      <c r="G679" s="4">
        <f t="shared" si="70"/>
        <v>2896280092249.1304</v>
      </c>
      <c r="H679" s="3">
        <f t="shared" si="71"/>
        <v>3.9234779237485952E-2</v>
      </c>
      <c r="I679">
        <f t="shared" si="72"/>
        <v>113634910029.32007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6:19" x14ac:dyDescent="0.25">
      <c r="F680" s="5">
        <f t="shared" si="73"/>
        <v>1.2893859198777723E-14</v>
      </c>
      <c r="G680" s="4">
        <f t="shared" si="70"/>
        <v>2968687094555.3584</v>
      </c>
      <c r="H680" s="3">
        <f t="shared" si="71"/>
        <v>3.8277833402425319E-2</v>
      </c>
      <c r="I680">
        <f t="shared" si="72"/>
        <v>113634910029.32007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6:19" x14ac:dyDescent="0.25">
      <c r="F681" s="5">
        <f t="shared" si="73"/>
        <v>1.2272560807878856E-14</v>
      </c>
      <c r="G681" s="4">
        <f t="shared" si="70"/>
        <v>3042904271919.2422</v>
      </c>
      <c r="H681" s="3">
        <f t="shared" si="71"/>
        <v>3.7344227709683236E-2</v>
      </c>
      <c r="I681">
        <f t="shared" si="72"/>
        <v>113634910029.32007</v>
      </c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6:19" x14ac:dyDescent="0.25">
      <c r="F682" s="5">
        <f t="shared" si="73"/>
        <v>1.168120005508993E-14</v>
      </c>
      <c r="G682" s="4">
        <f t="shared" si="70"/>
        <v>3118976878717.2231</v>
      </c>
      <c r="H682" s="3">
        <f t="shared" si="71"/>
        <v>3.6433392887495843E-2</v>
      </c>
      <c r="I682">
        <f t="shared" si="72"/>
        <v>113634910029.32007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6:19" x14ac:dyDescent="0.25">
      <c r="F683" s="5">
        <f t="shared" si="73"/>
        <v>1.1118334377242053E-14</v>
      </c>
      <c r="G683" s="4">
        <f t="shared" si="70"/>
        <v>3196951300685.1533</v>
      </c>
      <c r="H683" s="3">
        <f t="shared" si="71"/>
        <v>3.5544773548776436E-2</v>
      </c>
      <c r="I683">
        <f t="shared" si="72"/>
        <v>113634910029.32007</v>
      </c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6:19" x14ac:dyDescent="0.25">
      <c r="F684" s="5">
        <f t="shared" si="73"/>
        <v>1.0582590721943658E-14</v>
      </c>
      <c r="G684" s="4">
        <f t="shared" si="70"/>
        <v>3276875083202.2817</v>
      </c>
      <c r="H684" s="3">
        <f t="shared" si="71"/>
        <v>3.4677827852464822E-2</v>
      </c>
      <c r="I684">
        <f t="shared" si="72"/>
        <v>113634910029.32007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6:19" x14ac:dyDescent="0.25">
      <c r="F685" s="5">
        <f t="shared" si="73"/>
        <v>1.0072662198161724E-14</v>
      </c>
      <c r="G685" s="4">
        <f t="shared" si="70"/>
        <v>3358796960282.3384</v>
      </c>
      <c r="H685" s="3">
        <f t="shared" si="71"/>
        <v>3.3832027173136416E-2</v>
      </c>
      <c r="I685">
        <f t="shared" si="72"/>
        <v>113634910029.32007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6:19" x14ac:dyDescent="0.25">
      <c r="F686" s="5">
        <f t="shared" si="73"/>
        <v>9.5873048881967658E-15</v>
      </c>
      <c r="G686" s="4">
        <f t="shared" si="70"/>
        <v>3442766884289.3965</v>
      </c>
      <c r="H686" s="3">
        <f t="shared" si="71"/>
        <v>3.3006855778669679E-2</v>
      </c>
      <c r="I686">
        <f t="shared" si="72"/>
        <v>113634910029.32007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6:19" x14ac:dyDescent="0.25">
      <c r="F687" s="5">
        <f t="shared" si="73"/>
        <v>9.1253348132747354E-15</v>
      </c>
      <c r="G687" s="4">
        <f t="shared" si="70"/>
        <v>3528836056396.6309</v>
      </c>
      <c r="H687" s="3">
        <f t="shared" si="71"/>
        <v>3.2201810515775302E-2</v>
      </c>
      <c r="I687">
        <f t="shared" si="72"/>
        <v>113634910029.32007</v>
      </c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6:19" x14ac:dyDescent="0.25">
      <c r="F688" s="5">
        <f t="shared" si="73"/>
        <v>8.6856250453537047E-15</v>
      </c>
      <c r="G688" s="4">
        <f t="shared" si="70"/>
        <v>3617056957806.5464</v>
      </c>
      <c r="H688" s="3">
        <f t="shared" si="71"/>
        <v>3.141640050319542E-2</v>
      </c>
      <c r="I688">
        <f t="shared" si="72"/>
        <v>113634910029.32007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6:19" x14ac:dyDescent="0.25">
      <c r="F689" s="5">
        <f t="shared" si="73"/>
        <v>8.2671029580998976E-15</v>
      </c>
      <c r="G689" s="4">
        <f t="shared" ref="G689:G752" si="74">G688*(1+$O$1)</f>
        <v>3707483381751.71</v>
      </c>
      <c r="H689" s="3">
        <f t="shared" si="71"/>
        <v>3.0650146832385775E-2</v>
      </c>
      <c r="I689">
        <f t="shared" si="72"/>
        <v>113634910029.32007</v>
      </c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6:19" x14ac:dyDescent="0.25">
      <c r="F690" s="5">
        <f t="shared" si="73"/>
        <v>7.8687476103270905E-15</v>
      </c>
      <c r="G690" s="4">
        <f t="shared" si="74"/>
        <v>3800170466295.5024</v>
      </c>
      <c r="H690" s="3">
        <f t="shared" ref="H690:H753" si="75">I690/G690</f>
        <v>2.9902582275498319E-2</v>
      </c>
      <c r="I690">
        <f t="shared" ref="I690:I753" si="76">I689</f>
        <v>113634910029.32007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6:19" x14ac:dyDescent="0.25">
      <c r="F691" s="5">
        <f t="shared" si="73"/>
        <v>7.4895872555165658E-15</v>
      </c>
      <c r="G691" s="4">
        <f t="shared" si="74"/>
        <v>3895174727952.8896</v>
      </c>
      <c r="H691" s="3">
        <f t="shared" si="75"/>
        <v>2.9173251000486167E-2</v>
      </c>
      <c r="I691">
        <f t="shared" si="76"/>
        <v>113634910029.32007</v>
      </c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6:19" x14ac:dyDescent="0.25">
      <c r="F692" s="5">
        <f t="shared" si="73"/>
        <v>7.1286969713423602E-15</v>
      </c>
      <c r="G692" s="4">
        <f t="shared" si="74"/>
        <v>3992554096151.7114</v>
      </c>
      <c r="H692" s="3">
        <f t="shared" si="75"/>
        <v>2.846170829315724E-2</v>
      </c>
      <c r="I692">
        <f t="shared" si="76"/>
        <v>113634910029.32007</v>
      </c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6:19" x14ac:dyDescent="0.25">
      <c r="F693" s="5">
        <f t="shared" si="73"/>
        <v>6.7851964034192613E-15</v>
      </c>
      <c r="G693" s="4">
        <f t="shared" si="74"/>
        <v>4092367948555.5039</v>
      </c>
      <c r="H693" s="3">
        <f t="shared" si="75"/>
        <v>2.7767520286007066E-2</v>
      </c>
      <c r="I693">
        <f t="shared" si="76"/>
        <v>113634910029.32007</v>
      </c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6:19" x14ac:dyDescent="0.25">
      <c r="F694" s="5">
        <f t="shared" si="73"/>
        <v>6.4582476177696725E-15</v>
      </c>
      <c r="G694" s="4">
        <f t="shared" si="74"/>
        <v>4194677147269.3911</v>
      </c>
      <c r="H694" s="3">
        <f t="shared" si="75"/>
        <v>2.709026369366543E-2</v>
      </c>
      <c r="I694">
        <f t="shared" si="76"/>
        <v>113634910029.32007</v>
      </c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6:19" x14ac:dyDescent="0.25">
      <c r="F695" s="5">
        <f t="shared" si="73"/>
        <v>6.1470530567706589E-15</v>
      </c>
      <c r="G695" s="4">
        <f t="shared" si="74"/>
        <v>4299544075951.1255</v>
      </c>
      <c r="H695" s="3">
        <f t="shared" si="75"/>
        <v>2.6429525554795545E-2</v>
      </c>
      <c r="I695">
        <f t="shared" si="76"/>
        <v>113634910029.32007</v>
      </c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6:19" x14ac:dyDescent="0.25">
      <c r="F696" s="5">
        <f t="shared" si="73"/>
        <v>5.8508535935949174E-15</v>
      </c>
      <c r="G696" s="4">
        <f t="shared" si="74"/>
        <v>4407032677849.9033</v>
      </c>
      <c r="H696" s="3">
        <f t="shared" si="75"/>
        <v>2.5784902980288339E-2</v>
      </c>
      <c r="I696">
        <f t="shared" si="76"/>
        <v>113634910029.32007</v>
      </c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6:19" x14ac:dyDescent="0.25">
      <c r="F697" s="5">
        <f t="shared" si="73"/>
        <v>5.5689266803996844E-15</v>
      </c>
      <c r="G697" s="4">
        <f t="shared" si="74"/>
        <v>4517208494796.1504</v>
      </c>
      <c r="H697" s="3">
        <f t="shared" si="75"/>
        <v>2.5156002907598382E-2</v>
      </c>
      <c r="I697">
        <f t="shared" si="76"/>
        <v>113634910029.32007</v>
      </c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6:19" x14ac:dyDescent="0.25">
      <c r="F698" s="5">
        <f t="shared" si="73"/>
        <v>5.3005845857462804E-15</v>
      </c>
      <c r="G698" s="4">
        <f t="shared" si="74"/>
        <v>4630138707166.0537</v>
      </c>
      <c r="H698" s="3">
        <f t="shared" si="75"/>
        <v>2.4542441861071594E-2</v>
      </c>
      <c r="I698">
        <f t="shared" si="76"/>
        <v>113634910029.32007</v>
      </c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6:19" x14ac:dyDescent="0.25">
      <c r="F699" s="5">
        <f t="shared" si="73"/>
        <v>5.0451727169506536E-15</v>
      </c>
      <c r="G699" s="4">
        <f t="shared" si="74"/>
        <v>4745892174845.2051</v>
      </c>
      <c r="H699" s="3">
        <f t="shared" si="75"/>
        <v>2.3943845718118629E-2</v>
      </c>
      <c r="I699">
        <f t="shared" si="76"/>
        <v>113634910029.32007</v>
      </c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6:19" x14ac:dyDescent="0.25">
      <c r="F700" s="5">
        <f t="shared" si="73"/>
        <v>4.8020680232724845E-15</v>
      </c>
      <c r="G700" s="4">
        <f t="shared" si="74"/>
        <v>4864539479216.335</v>
      </c>
      <c r="H700" s="3">
        <f t="shared" si="75"/>
        <v>2.3359849481091346E-2</v>
      </c>
      <c r="I700">
        <f t="shared" si="76"/>
        <v>113634910029.32007</v>
      </c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6:19" x14ac:dyDescent="0.25">
      <c r="F701" s="5">
        <f t="shared" si="73"/>
        <v>4.5706774760475765E-15</v>
      </c>
      <c r="G701" s="4">
        <f t="shared" si="74"/>
        <v>4986152966196.7432</v>
      </c>
      <c r="H701" s="3">
        <f t="shared" si="75"/>
        <v>2.2790097054723266E-2</v>
      </c>
      <c r="I701">
        <f t="shared" si="76"/>
        <v>113634910029.32007</v>
      </c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6:19" x14ac:dyDescent="0.25">
      <c r="F702" s="5">
        <f t="shared" si="73"/>
        <v>4.3504366220559928E-15</v>
      </c>
      <c r="G702" s="4">
        <f t="shared" si="74"/>
        <v>5110806790351.6611</v>
      </c>
      <c r="H702" s="3">
        <f t="shared" si="75"/>
        <v>2.2234241028998309E-2</v>
      </c>
      <c r="I702">
        <f t="shared" si="76"/>
        <v>113634910029.32007</v>
      </c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6:19" x14ac:dyDescent="0.25">
      <c r="F703" s="5">
        <f t="shared" si="73"/>
        <v>4.1408082065970196E-15</v>
      </c>
      <c r="G703" s="4">
        <f t="shared" si="74"/>
        <v>5238576960110.4521</v>
      </c>
      <c r="H703" s="3">
        <f t="shared" si="75"/>
        <v>2.1691942467315428E-2</v>
      </c>
      <c r="I703">
        <f t="shared" si="76"/>
        <v>113634910029.32007</v>
      </c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6:19" x14ac:dyDescent="0.25">
      <c r="F704" s="5">
        <f t="shared" si="73"/>
        <v>3.9412808629120957E-15</v>
      </c>
      <c r="G704" s="4">
        <f t="shared" si="74"/>
        <v>5369541384113.2129</v>
      </c>
      <c r="H704" s="3">
        <f t="shared" si="75"/>
        <v>2.1162870699819931E-2</v>
      </c>
      <c r="I704">
        <f t="shared" si="76"/>
        <v>113634910029.32007</v>
      </c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6:19" x14ac:dyDescent="0.25">
      <c r="F705" s="5">
        <f t="shared" si="73"/>
        <v>3.7513678647586871E-15</v>
      </c>
      <c r="G705" s="4">
        <f t="shared" si="74"/>
        <v>5503779918716.043</v>
      </c>
      <c r="H705" s="3">
        <f t="shared" si="75"/>
        <v>2.0646703121775543E-2</v>
      </c>
      <c r="I705">
        <f t="shared" si="76"/>
        <v>113634910029.32007</v>
      </c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6:19" x14ac:dyDescent="0.25">
      <c r="F706" s="5">
        <f t="shared" si="73"/>
        <v>3.5706059390921479E-15</v>
      </c>
      <c r="G706" s="4">
        <f t="shared" si="74"/>
        <v>5641374416683.9434</v>
      </c>
      <c r="H706" s="3">
        <f t="shared" si="75"/>
        <v>2.0143124996854191E-2</v>
      </c>
      <c r="I706">
        <f t="shared" si="76"/>
        <v>113634910029.32007</v>
      </c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6:19" x14ac:dyDescent="0.25">
      <c r="F707" s="5">
        <f t="shared" si="73"/>
        <v>3.3985541359592139E-15</v>
      </c>
      <c r="G707" s="4">
        <f t="shared" si="74"/>
        <v>5782408777101.041</v>
      </c>
      <c r="H707" s="3">
        <f t="shared" si="75"/>
        <v>1.9651829265223603E-2</v>
      </c>
      <c r="I707">
        <f t="shared" si="76"/>
        <v>113634910029.32007</v>
      </c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6:19" x14ac:dyDescent="0.25">
      <c r="F708" s="5">
        <f t="shared" si="73"/>
        <v>3.2347927528463677E-15</v>
      </c>
      <c r="G708" s="4">
        <f t="shared" si="74"/>
        <v>5926968996528.5664</v>
      </c>
      <c r="H708" s="3">
        <f t="shared" si="75"/>
        <v>1.9172516356315714E-2</v>
      </c>
      <c r="I708">
        <f t="shared" si="76"/>
        <v>113634910029.32007</v>
      </c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6:19" x14ac:dyDescent="0.25">
      <c r="F709" s="5">
        <f t="shared" si="73"/>
        <v>3.0789223108591243E-15</v>
      </c>
      <c r="G709" s="4">
        <f t="shared" si="74"/>
        <v>6075143221441.7803</v>
      </c>
      <c r="H709" s="3">
        <f t="shared" si="75"/>
        <v>1.8704894006161672E-2</v>
      </c>
      <c r="I709">
        <f t="shared" si="76"/>
        <v>113634910029.32007</v>
      </c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6:19" x14ac:dyDescent="0.25">
      <c r="F710" s="5">
        <f t="shared" si="73"/>
        <v>2.9305625802347413E-15</v>
      </c>
      <c r="G710" s="4">
        <f t="shared" si="74"/>
        <v>6227021801977.8242</v>
      </c>
      <c r="H710" s="3">
        <f t="shared" si="75"/>
        <v>1.8248677079182121E-2</v>
      </c>
      <c r="I710">
        <f t="shared" si="76"/>
        <v>113634910029.32007</v>
      </c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6:19" x14ac:dyDescent="0.25">
      <c r="F711" s="5">
        <f t="shared" si="73"/>
        <v>2.7893516528111756E-15</v>
      </c>
      <c r="G711" s="4">
        <f t="shared" si="74"/>
        <v>6382697347027.2695</v>
      </c>
      <c r="H711" s="3">
        <f t="shared" si="75"/>
        <v>1.7803587394324021E-2</v>
      </c>
      <c r="I711">
        <f t="shared" si="76"/>
        <v>113634910029.32007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6:19" x14ac:dyDescent="0.25">
      <c r="F712" s="5">
        <f t="shared" si="73"/>
        <v>2.6549450591896978E-15</v>
      </c>
      <c r="G712" s="4">
        <f t="shared" si="74"/>
        <v>6542264780702.9512</v>
      </c>
      <c r="H712" s="3">
        <f t="shared" si="75"/>
        <v>1.7369353555438071E-2</v>
      </c>
      <c r="I712">
        <f t="shared" si="76"/>
        <v>113634910029.32007</v>
      </c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6:19" x14ac:dyDescent="0.25">
      <c r="F713" s="5">
        <f t="shared" ref="F713:F776" si="77">H713/G713</f>
        <v>2.5270149284375469E-15</v>
      </c>
      <c r="G713" s="4">
        <f t="shared" si="74"/>
        <v>6705821400220.5244</v>
      </c>
      <c r="H713" s="3">
        <f t="shared" si="75"/>
        <v>1.6945710785793239E-2</v>
      </c>
      <c r="I713">
        <f t="shared" si="76"/>
        <v>113634910029.32007</v>
      </c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6:19" x14ac:dyDescent="0.25">
      <c r="F714" s="5">
        <f t="shared" si="77"/>
        <v>2.4052491882808302E-15</v>
      </c>
      <c r="G714" s="4">
        <f t="shared" si="74"/>
        <v>6873466935226.0371</v>
      </c>
      <c r="H714" s="3">
        <f t="shared" si="75"/>
        <v>1.6532400766627552E-2</v>
      </c>
      <c r="I714">
        <f t="shared" si="76"/>
        <v>113634910029.32007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6:19" x14ac:dyDescent="0.25">
      <c r="F715" s="5">
        <f t="shared" si="77"/>
        <v>2.2893508038366028E-15</v>
      </c>
      <c r="G715" s="4">
        <f t="shared" si="74"/>
        <v>7045303608606.6875</v>
      </c>
      <c r="H715" s="3">
        <f t="shared" si="75"/>
        <v>1.6129171479636637E-2</v>
      </c>
      <c r="I715">
        <f t="shared" si="76"/>
        <v>113634910029.32007</v>
      </c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6:19" x14ac:dyDescent="0.25">
      <c r="F716" s="5">
        <f t="shared" si="77"/>
        <v>2.1790370530271056E-15</v>
      </c>
      <c r="G716" s="4">
        <f t="shared" si="74"/>
        <v>7221436198821.8545</v>
      </c>
      <c r="H716" s="3">
        <f t="shared" si="75"/>
        <v>1.5735777053304038E-2</v>
      </c>
      <c r="I716">
        <f t="shared" si="76"/>
        <v>113634910029.32007</v>
      </c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6:19" x14ac:dyDescent="0.25">
      <c r="F717" s="5">
        <f t="shared" si="77"/>
        <v>2.0740388369086078E-15</v>
      </c>
      <c r="G717" s="4">
        <f t="shared" si="74"/>
        <v>7401972103792.4004</v>
      </c>
      <c r="H717" s="3">
        <f t="shared" si="75"/>
        <v>1.535197761297955E-2</v>
      </c>
      <c r="I717">
        <f t="shared" si="76"/>
        <v>113634910029.32007</v>
      </c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6:19" x14ac:dyDescent="0.25">
      <c r="F718" s="5">
        <f t="shared" si="77"/>
        <v>1.9741000232324643E-15</v>
      </c>
      <c r="G718" s="4">
        <f t="shared" si="74"/>
        <v>7587021406387.21</v>
      </c>
      <c r="H718" s="3">
        <f t="shared" si="75"/>
        <v>1.4977539134614195E-2</v>
      </c>
      <c r="I718">
        <f t="shared" si="76"/>
        <v>113634910029.32007</v>
      </c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6:19" x14ac:dyDescent="0.25">
      <c r="F719" s="5">
        <f t="shared" si="77"/>
        <v>1.8789768216370869E-15</v>
      </c>
      <c r="G719" s="4">
        <f t="shared" si="74"/>
        <v>7776696941546.8896</v>
      </c>
      <c r="H719" s="3">
        <f t="shared" si="75"/>
        <v>1.4612233302062631E-2</v>
      </c>
      <c r="I719">
        <f t="shared" si="76"/>
        <v>113634910029.32007</v>
      </c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6:19" x14ac:dyDescent="0.25">
      <c r="F720" s="5">
        <f t="shared" si="77"/>
        <v>1.7884371889466625E-15</v>
      </c>
      <c r="G720" s="4">
        <f t="shared" si="74"/>
        <v>7971114365085.5615</v>
      </c>
      <c r="H720" s="3">
        <f t="shared" si="75"/>
        <v>1.4255837367865981E-2</v>
      </c>
      <c r="I720">
        <f t="shared" si="76"/>
        <v>113634910029.32007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6:19" x14ac:dyDescent="0.25">
      <c r="F721" s="5">
        <f t="shared" si="77"/>
        <v>1.7022602631259131E-15</v>
      </c>
      <c r="G721" s="4">
        <f t="shared" si="74"/>
        <v>8170392224212.7002</v>
      </c>
      <c r="H721" s="3">
        <f t="shared" si="75"/>
        <v>1.3908134017430226E-2</v>
      </c>
      <c r="I721">
        <f t="shared" si="76"/>
        <v>113634910029.32007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6:19" x14ac:dyDescent="0.25">
      <c r="F722" s="5">
        <f t="shared" si="77"/>
        <v>1.6202358245100904E-15</v>
      </c>
      <c r="G722" s="4">
        <f t="shared" si="74"/>
        <v>8374652029818.0166</v>
      </c>
      <c r="H722" s="3">
        <f t="shared" si="75"/>
        <v>1.3568911236517297E-2</v>
      </c>
      <c r="I722">
        <f t="shared" si="76"/>
        <v>113634910029.32007</v>
      </c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6:19" x14ac:dyDescent="0.25">
      <c r="F723" s="5">
        <f t="shared" si="77"/>
        <v>1.5421637829959222E-15</v>
      </c>
      <c r="G723" s="4">
        <f t="shared" si="74"/>
        <v>8584018330563.4658</v>
      </c>
      <c r="H723" s="3">
        <f t="shared" si="75"/>
        <v>1.3237962181968096E-2</v>
      </c>
      <c r="I723">
        <f t="shared" si="76"/>
        <v>113634910029.32007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6:19" x14ac:dyDescent="0.25">
      <c r="F724" s="5">
        <f t="shared" si="77"/>
        <v>1.4678536899425797E-15</v>
      </c>
      <c r="G724" s="4">
        <f t="shared" si="74"/>
        <v>8798618788827.5508</v>
      </c>
      <c r="H724" s="3">
        <f t="shared" si="75"/>
        <v>1.2915085055578632E-2</v>
      </c>
      <c r="I724">
        <f t="shared" si="76"/>
        <v>113634910029.32007</v>
      </c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6:19" x14ac:dyDescent="0.25">
      <c r="F725" s="5">
        <f t="shared" si="77"/>
        <v>1.397124273591986E-15</v>
      </c>
      <c r="G725" s="4">
        <f t="shared" si="74"/>
        <v>9018584258548.2383</v>
      </c>
      <c r="H725" s="3">
        <f t="shared" si="75"/>
        <v>1.2600082981052326E-2</v>
      </c>
      <c r="I725">
        <f t="shared" si="76"/>
        <v>113634910029.32007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6:19" x14ac:dyDescent="0.25">
      <c r="F726" s="5">
        <f t="shared" si="77"/>
        <v>1.3298029968751802E-15</v>
      </c>
      <c r="G726" s="4">
        <f t="shared" si="74"/>
        <v>9244048865011.9434</v>
      </c>
      <c r="H726" s="3">
        <f t="shared" si="75"/>
        <v>1.229276388395349E-2</v>
      </c>
      <c r="I726">
        <f t="shared" si="76"/>
        <v>113634910029.32007</v>
      </c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6:19" x14ac:dyDescent="0.25">
      <c r="F727" s="5">
        <f t="shared" si="77"/>
        <v>1.2657256365260494E-15</v>
      </c>
      <c r="G727" s="4">
        <f t="shared" si="74"/>
        <v>9475150086637.2402</v>
      </c>
      <c r="H727" s="3">
        <f t="shared" si="75"/>
        <v>1.1992940374588774E-2</v>
      </c>
      <c r="I727">
        <f t="shared" si="76"/>
        <v>113634910029.32007</v>
      </c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6:19" x14ac:dyDescent="0.25">
      <c r="F728" s="5">
        <f t="shared" si="77"/>
        <v>1.2047358824757166E-15</v>
      </c>
      <c r="G728" s="4">
        <f t="shared" si="74"/>
        <v>9712028838803.1699</v>
      </c>
      <c r="H728" s="3">
        <f t="shared" si="75"/>
        <v>1.1700429633745147E-2</v>
      </c>
      <c r="I728">
        <f t="shared" si="76"/>
        <v>113634910029.32007</v>
      </c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6:19" x14ac:dyDescent="0.25">
      <c r="F729" s="5">
        <f t="shared" si="77"/>
        <v>1.1466849565503553E-15</v>
      </c>
      <c r="G729" s="4">
        <f t="shared" si="74"/>
        <v>9954829559773.248</v>
      </c>
      <c r="H729" s="3">
        <f t="shared" si="75"/>
        <v>1.1415053301214778E-2</v>
      </c>
      <c r="I729">
        <f t="shared" si="76"/>
        <v>113634910029.32007</v>
      </c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6:19" x14ac:dyDescent="0.25">
      <c r="F730" s="5">
        <f t="shared" si="77"/>
        <v>1.0914312495422775E-15</v>
      </c>
      <c r="G730" s="4">
        <f t="shared" si="74"/>
        <v>10203700298767.578</v>
      </c>
      <c r="H730" s="3">
        <f t="shared" si="75"/>
        <v>1.1136637367038809E-2</v>
      </c>
      <c r="I730">
        <f t="shared" si="76"/>
        <v>113634910029.32007</v>
      </c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6:19" x14ac:dyDescent="0.25">
      <c r="F731" s="5">
        <f t="shared" si="77"/>
        <v>1.0388399757689733E-15</v>
      </c>
      <c r="G731" s="4">
        <f t="shared" si="74"/>
        <v>10458792806236.768</v>
      </c>
      <c r="H731" s="3">
        <f t="shared" si="75"/>
        <v>1.0865012065403716E-2</v>
      </c>
      <c r="I731">
        <f t="shared" si="76"/>
        <v>113634910029.32007</v>
      </c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6:19" x14ac:dyDescent="0.25">
      <c r="F732" s="5">
        <f t="shared" si="77"/>
        <v>9.887828442774288E-16</v>
      </c>
      <c r="G732" s="4">
        <f t="shared" si="74"/>
        <v>10720262626392.686</v>
      </c>
      <c r="H732" s="3">
        <f t="shared" si="75"/>
        <v>1.0600011771125578E-2</v>
      </c>
      <c r="I732">
        <f t="shared" si="76"/>
        <v>113634910029.32007</v>
      </c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6:19" x14ac:dyDescent="0.25">
      <c r="F733" s="5">
        <f t="shared" si="77"/>
        <v>9.4113774589166324E-16</v>
      </c>
      <c r="G733" s="4">
        <f t="shared" si="74"/>
        <v>10988269192052.502</v>
      </c>
      <c r="H733" s="3">
        <f t="shared" si="75"/>
        <v>1.03414748986591E-2</v>
      </c>
      <c r="I733">
        <f t="shared" si="76"/>
        <v>113634910029.32007</v>
      </c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6:19" x14ac:dyDescent="0.25">
      <c r="F734" s="5">
        <f t="shared" si="77"/>
        <v>8.9578845534007221E-16</v>
      </c>
      <c r="G734" s="4">
        <f t="shared" si="74"/>
        <v>11262975921853.814</v>
      </c>
      <c r="H734" s="3">
        <f t="shared" si="75"/>
        <v>1.0089243803569854E-2</v>
      </c>
      <c r="I734">
        <f t="shared" si="76"/>
        <v>113634910029.32007</v>
      </c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6:19" x14ac:dyDescent="0.25">
      <c r="F735" s="5">
        <f t="shared" si="77"/>
        <v>8.5262434773594055E-16</v>
      </c>
      <c r="G735" s="4">
        <f t="shared" si="74"/>
        <v>11544550319900.158</v>
      </c>
      <c r="H735" s="3">
        <f t="shared" si="75"/>
        <v>9.8431646864096164E-3</v>
      </c>
      <c r="I735">
        <f t="shared" si="76"/>
        <v>113634910029.32007</v>
      </c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6:19" x14ac:dyDescent="0.25">
      <c r="F736" s="5">
        <f t="shared" si="77"/>
        <v>8.115401287195153E-16</v>
      </c>
      <c r="G736" s="4">
        <f t="shared" si="74"/>
        <v>11833164077897.66</v>
      </c>
      <c r="H736" s="3">
        <f t="shared" si="75"/>
        <v>9.6030874989362115E-3</v>
      </c>
      <c r="I736">
        <f t="shared" si="76"/>
        <v>113634910029.32007</v>
      </c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6:19" x14ac:dyDescent="0.25">
      <c r="F737" s="5">
        <f t="shared" si="77"/>
        <v>7.72435577603346E-16</v>
      </c>
      <c r="G737" s="4">
        <f t="shared" si="74"/>
        <v>12128993179845.102</v>
      </c>
      <c r="H737" s="3">
        <f t="shared" si="75"/>
        <v>9.3688658526206951E-3</v>
      </c>
      <c r="I737">
        <f t="shared" si="76"/>
        <v>113634910029.32007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6:19" x14ac:dyDescent="0.25">
      <c r="F738" s="5">
        <f t="shared" si="77"/>
        <v>7.35215302894321E-16</v>
      </c>
      <c r="G738" s="4">
        <f t="shared" si="74"/>
        <v>12432218009341.229</v>
      </c>
      <c r="H738" s="3">
        <f t="shared" si="75"/>
        <v>9.1403569293860443E-3</v>
      </c>
      <c r="I738">
        <f t="shared" si="76"/>
        <v>113634910029.32007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6:19" x14ac:dyDescent="0.25">
      <c r="F739" s="5">
        <f t="shared" si="77"/>
        <v>6.997885095960226E-16</v>
      </c>
      <c r="G739" s="4">
        <f t="shared" si="74"/>
        <v>12743023459574.758</v>
      </c>
      <c r="H739" s="3">
        <f t="shared" si="75"/>
        <v>8.9174213945229716E-3</v>
      </c>
      <c r="I739">
        <f t="shared" si="76"/>
        <v>113634910029.32007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6:19" x14ac:dyDescent="0.25">
      <c r="F740" s="5">
        <f t="shared" si="77"/>
        <v>6.6606877772375755E-16</v>
      </c>
      <c r="G740" s="4">
        <f t="shared" si="74"/>
        <v>13061599046064.125</v>
      </c>
      <c r="H740" s="3">
        <f t="shared" si="75"/>
        <v>8.6999233117297289E-3</v>
      </c>
      <c r="I740">
        <f t="shared" si="76"/>
        <v>113634910029.32007</v>
      </c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6:19" x14ac:dyDescent="0.25">
      <c r="F741" s="5">
        <f t="shared" si="77"/>
        <v>6.339738514919764E-16</v>
      </c>
      <c r="G741" s="4">
        <f t="shared" si="74"/>
        <v>13388139022215.727</v>
      </c>
      <c r="H741" s="3">
        <f t="shared" si="75"/>
        <v>8.4877300602241267E-3</v>
      </c>
      <c r="I741">
        <f t="shared" si="76"/>
        <v>113634910029.32007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6:19" x14ac:dyDescent="0.25">
      <c r="F742" s="5">
        <f t="shared" si="77"/>
        <v>6.034254386598229E-16</v>
      </c>
      <c r="G742" s="4">
        <f t="shared" si="74"/>
        <v>13722842497771.119</v>
      </c>
      <c r="H742" s="3">
        <f t="shared" si="75"/>
        <v>8.2807122538771979E-3</v>
      </c>
      <c r="I742">
        <f t="shared" si="76"/>
        <v>113634910029.32007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6:19" x14ac:dyDescent="0.25">
      <c r="F743" s="5">
        <f t="shared" si="77"/>
        <v>5.7434901954534005E-16</v>
      </c>
      <c r="G743" s="4">
        <f t="shared" si="74"/>
        <v>14065913560215.396</v>
      </c>
      <c r="H743" s="3">
        <f t="shared" si="75"/>
        <v>8.0787436623192162E-3</v>
      </c>
      <c r="I743">
        <f t="shared" si="76"/>
        <v>113634910029.32007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6:19" x14ac:dyDescent="0.25">
      <c r="F744" s="5">
        <f t="shared" si="77"/>
        <v>5.4667366524244161E-16</v>
      </c>
      <c r="G744" s="4">
        <f t="shared" si="74"/>
        <v>14417561399220.779</v>
      </c>
      <c r="H744" s="3">
        <f t="shared" si="75"/>
        <v>7.8817011339699684E-3</v>
      </c>
      <c r="I744">
        <f t="shared" si="76"/>
        <v>113634910029.32007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6:19" x14ac:dyDescent="0.25">
      <c r="F745" s="5">
        <f t="shared" si="77"/>
        <v>5.2033186459720809E-16</v>
      </c>
      <c r="G745" s="4">
        <f t="shared" si="74"/>
        <v>14778000434201.297</v>
      </c>
      <c r="H745" s="3">
        <f t="shared" si="75"/>
        <v>7.6894645209463122E-3</v>
      </c>
      <c r="I745">
        <f t="shared" si="76"/>
        <v>113634910029.32007</v>
      </c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6:19" x14ac:dyDescent="0.25">
      <c r="F746" s="5">
        <f t="shared" si="77"/>
        <v>4.9525935952143556E-16</v>
      </c>
      <c r="G746" s="4">
        <f t="shared" si="74"/>
        <v>15147450445056.328</v>
      </c>
      <c r="H746" s="3">
        <f t="shared" si="75"/>
        <v>7.5019166058012806E-3</v>
      </c>
      <c r="I746">
        <f t="shared" si="76"/>
        <v>113634910029.32007</v>
      </c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6:19" x14ac:dyDescent="0.25">
      <c r="F747" s="5">
        <f t="shared" si="77"/>
        <v>4.7139498824169959E-16</v>
      </c>
      <c r="G747" s="4">
        <f t="shared" si="74"/>
        <v>15526136706182.734</v>
      </c>
      <c r="H747" s="3">
        <f t="shared" si="75"/>
        <v>7.3189430300500307E-3</v>
      </c>
      <c r="I747">
        <f t="shared" si="76"/>
        <v>113634910029.32007</v>
      </c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6:19" x14ac:dyDescent="0.25">
      <c r="F748" s="5">
        <f t="shared" si="77"/>
        <v>4.486805361015583E-16</v>
      </c>
      <c r="G748" s="4">
        <f t="shared" si="74"/>
        <v>15914290123837.301</v>
      </c>
      <c r="H748" s="3">
        <f t="shared" si="75"/>
        <v>7.1404322244390554E-3</v>
      </c>
      <c r="I748">
        <f t="shared" si="76"/>
        <v>113634910029.32007</v>
      </c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6:19" x14ac:dyDescent="0.25">
      <c r="F749" s="5">
        <f t="shared" si="77"/>
        <v>4.2706059355294079E-16</v>
      </c>
      <c r="G749" s="4">
        <f t="shared" si="74"/>
        <v>16312147376933.232</v>
      </c>
      <c r="H749" s="3">
        <f t="shared" si="75"/>
        <v>6.9662753409161522E-3</v>
      </c>
      <c r="I749">
        <f t="shared" si="76"/>
        <v>113634910029.32007</v>
      </c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6:19" x14ac:dyDescent="0.25">
      <c r="F750" s="5">
        <f t="shared" si="77"/>
        <v>4.0648242099030655E-16</v>
      </c>
      <c r="G750" s="4">
        <f t="shared" si="74"/>
        <v>16719951061356.563</v>
      </c>
      <c r="H750" s="3">
        <f t="shared" si="75"/>
        <v>6.7963661862596612E-3</v>
      </c>
      <c r="I750">
        <f t="shared" si="76"/>
        <v>113634910029.32007</v>
      </c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6:19" x14ac:dyDescent="0.25">
      <c r="F751" s="5">
        <f t="shared" si="77"/>
        <v>3.8689582009785282E-16</v>
      </c>
      <c r="G751" s="4">
        <f t="shared" si="74"/>
        <v>17137949837890.475</v>
      </c>
      <c r="H751" s="3">
        <f t="shared" si="75"/>
        <v>6.6306011573264989E-3</v>
      </c>
      <c r="I751">
        <f t="shared" si="76"/>
        <v>113634910029.32007</v>
      </c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6:19" x14ac:dyDescent="0.25">
      <c r="F752" s="5">
        <f t="shared" si="77"/>
        <v>3.6825301139593376E-16</v>
      </c>
      <c r="G752" s="4">
        <f t="shared" si="74"/>
        <v>17566398583837.734</v>
      </c>
      <c r="H752" s="3">
        <f t="shared" si="75"/>
        <v>6.4688791778795118E-3</v>
      </c>
      <c r="I752">
        <f t="shared" si="76"/>
        <v>113634910029.32007</v>
      </c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6:19" x14ac:dyDescent="0.25">
      <c r="F753" s="5">
        <f t="shared" si="77"/>
        <v>3.5050851768797985E-16</v>
      </c>
      <c r="G753" s="4">
        <f t="shared" ref="G753:G815" si="78">G752*(1+$O$1)</f>
        <v>18005558548433.676</v>
      </c>
      <c r="H753" s="3">
        <f t="shared" si="75"/>
        <v>6.3111016369556223E-3</v>
      </c>
      <c r="I753">
        <f t="shared" si="76"/>
        <v>113634910029.32007</v>
      </c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6:19" x14ac:dyDescent="0.25">
      <c r="F754" s="5">
        <f t="shared" si="77"/>
        <v>3.3361905312359781E-16</v>
      </c>
      <c r="G754" s="4">
        <f t="shared" si="78"/>
        <v>18455697512144.516</v>
      </c>
      <c r="H754" s="3">
        <f t="shared" ref="H754:H815" si="79">I754/G754</f>
        <v>6.1571723287371927E-3</v>
      </c>
      <c r="I754">
        <f t="shared" ref="I754:I815" si="80">I753</f>
        <v>113634910029.32007</v>
      </c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6:19" x14ac:dyDescent="0.25">
      <c r="F755" s="5">
        <f t="shared" si="77"/>
        <v>3.1754341760723184E-16</v>
      </c>
      <c r="G755" s="4">
        <f t="shared" si="78"/>
        <v>18917089949948.125</v>
      </c>
      <c r="H755" s="3">
        <f t="shared" si="79"/>
        <v>6.0069973938899459E-3</v>
      </c>
      <c r="I755">
        <f t="shared" si="80"/>
        <v>113634910029.32007</v>
      </c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6:19" x14ac:dyDescent="0.25">
      <c r="F756" s="5">
        <f t="shared" si="77"/>
        <v>3.0224239629480722E-16</v>
      </c>
      <c r="G756" s="4">
        <f t="shared" si="78"/>
        <v>19390017198696.828</v>
      </c>
      <c r="H756" s="3">
        <f t="shared" si="79"/>
        <v>5.8604852623316541E-3</v>
      </c>
      <c r="I756">
        <f t="shared" si="80"/>
        <v>113634910029.32007</v>
      </c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6:19" x14ac:dyDescent="0.25">
      <c r="F757" s="5">
        <f t="shared" si="77"/>
        <v>2.8767866393318959E-16</v>
      </c>
      <c r="G757" s="4">
        <f t="shared" si="78"/>
        <v>19874767628664.246</v>
      </c>
      <c r="H757" s="3">
        <f t="shared" si="79"/>
        <v>5.7175465973967367E-3</v>
      </c>
      <c r="I757">
        <f t="shared" si="80"/>
        <v>113634910029.32007</v>
      </c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6:19" x14ac:dyDescent="0.25">
      <c r="F758" s="5">
        <f t="shared" si="77"/>
        <v>2.7381669380910371E-16</v>
      </c>
      <c r="G758" s="4">
        <f t="shared" si="78"/>
        <v>20371636819380.852</v>
      </c>
      <c r="H758" s="3">
        <f t="shared" si="79"/>
        <v>5.5780942413626699E-3</v>
      </c>
      <c r="I758">
        <f t="shared" si="80"/>
        <v>113634910029.32007</v>
      </c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6:19" x14ac:dyDescent="0.25">
      <c r="F759" s="5">
        <f t="shared" si="77"/>
        <v>2.606226710854051E-16</v>
      </c>
      <c r="G759" s="4">
        <f t="shared" si="78"/>
        <v>20880927739865.371</v>
      </c>
      <c r="H759" s="3">
        <f t="shared" si="79"/>
        <v>5.4420431623050441E-3</v>
      </c>
      <c r="I759">
        <f t="shared" si="80"/>
        <v>113634910029.32007</v>
      </c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6:19" x14ac:dyDescent="0.25">
      <c r="F760" s="5">
        <f t="shared" si="77"/>
        <v>2.4806441031329461E-16</v>
      </c>
      <c r="G760" s="4">
        <f t="shared" si="78"/>
        <v>21402950933362.004</v>
      </c>
      <c r="H760" s="3">
        <f t="shared" si="79"/>
        <v>5.3093104022488239E-3</v>
      </c>
      <c r="I760">
        <f t="shared" si="80"/>
        <v>113634910029.32007</v>
      </c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6:19" x14ac:dyDescent="0.25">
      <c r="F761" s="5">
        <f t="shared" si="77"/>
        <v>2.3611127691925729E-16</v>
      </c>
      <c r="G761" s="4">
        <f t="shared" si="78"/>
        <v>21938024706696.051</v>
      </c>
      <c r="H761" s="3">
        <f t="shared" si="79"/>
        <v>5.1798150265842191E-3</v>
      </c>
      <c r="I761">
        <f t="shared" si="80"/>
        <v>113634910029.32007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6:19" x14ac:dyDescent="0.25">
      <c r="F762" s="5">
        <f t="shared" si="77"/>
        <v>2.2473411247520034E-16</v>
      </c>
      <c r="G762" s="4">
        <f t="shared" si="78"/>
        <v>22486475324363.449</v>
      </c>
      <c r="H762" s="3">
        <f t="shared" si="79"/>
        <v>5.0534780747163123E-3</v>
      </c>
      <c r="I762">
        <f t="shared" si="80"/>
        <v>113634910029.32007</v>
      </c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6:19" x14ac:dyDescent="0.25">
      <c r="F763" s="5">
        <f t="shared" si="77"/>
        <v>2.1390516356949469E-16</v>
      </c>
      <c r="G763" s="4">
        <f t="shared" si="78"/>
        <v>23048637207472.535</v>
      </c>
      <c r="H763" s="3">
        <f t="shared" si="79"/>
        <v>4.9302225119183538E-3</v>
      </c>
      <c r="I763">
        <f t="shared" si="80"/>
        <v>113634910029.32007</v>
      </c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6:19" x14ac:dyDescent="0.25">
      <c r="F764" s="5">
        <f t="shared" si="77"/>
        <v>2.0359801410540837E-16</v>
      </c>
      <c r="G764" s="4">
        <f t="shared" si="78"/>
        <v>23624853137659.348</v>
      </c>
      <c r="H764" s="3">
        <f t="shared" si="79"/>
        <v>4.8099731823593693E-3</v>
      </c>
      <c r="I764">
        <f t="shared" si="80"/>
        <v>113634910029.32007</v>
      </c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6:19" x14ac:dyDescent="0.25">
      <c r="F765" s="5">
        <f t="shared" si="77"/>
        <v>1.9378752086178078E-16</v>
      </c>
      <c r="G765" s="4">
        <f t="shared" si="78"/>
        <v>24215474466100.828</v>
      </c>
      <c r="H765" s="3">
        <f t="shared" si="79"/>
        <v>4.6926567632774342E-3</v>
      </c>
      <c r="I765">
        <f t="shared" si="80"/>
        <v>113634910029.32007</v>
      </c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6:19" x14ac:dyDescent="0.25">
      <c r="F766" s="5">
        <f t="shared" si="77"/>
        <v>1.8444975215874436E-16</v>
      </c>
      <c r="G766" s="4">
        <f t="shared" si="78"/>
        <v>24820861327753.348</v>
      </c>
      <c r="H766" s="3">
        <f t="shared" si="79"/>
        <v>4.5782017202706674E-3</v>
      </c>
      <c r="I766">
        <f t="shared" si="80"/>
        <v>113634910029.32007</v>
      </c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6:19" x14ac:dyDescent="0.25">
      <c r="F767" s="5">
        <f t="shared" si="77"/>
        <v>1.7556192947887628E-16</v>
      </c>
      <c r="G767" s="4">
        <f t="shared" si="78"/>
        <v>25441382860947.18</v>
      </c>
      <c r="H767" s="3">
        <f t="shared" si="79"/>
        <v>4.4665382636787003E-3</v>
      </c>
      <c r="I767">
        <f t="shared" si="80"/>
        <v>113634910029.32007</v>
      </c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6:19" x14ac:dyDescent="0.25">
      <c r="F768" s="5">
        <f t="shared" si="77"/>
        <v>1.6710237190136951E-16</v>
      </c>
      <c r="G768" s="4">
        <f t="shared" si="78"/>
        <v>26077417432470.855</v>
      </c>
      <c r="H768" s="3">
        <f t="shared" si="79"/>
        <v>4.3575983060280014E-3</v>
      </c>
      <c r="I768">
        <f t="shared" si="80"/>
        <v>113634910029.32007</v>
      </c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6:19" x14ac:dyDescent="0.25">
      <c r="F769" s="5">
        <f t="shared" si="77"/>
        <v>1.5905044321367712E-16</v>
      </c>
      <c r="G769" s="4">
        <f t="shared" si="78"/>
        <v>26729352868282.625</v>
      </c>
      <c r="H769" s="3">
        <f t="shared" si="79"/>
        <v>4.251315420515123E-3</v>
      </c>
      <c r="I769">
        <f t="shared" si="80"/>
        <v>113634910029.32007</v>
      </c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6:19" x14ac:dyDescent="0.25">
      <c r="F770" s="5">
        <f t="shared" si="77"/>
        <v>1.513865015716142E-16</v>
      </c>
      <c r="G770" s="4">
        <f t="shared" si="78"/>
        <v>27397586689989.688</v>
      </c>
      <c r="H770" s="3">
        <f t="shared" si="79"/>
        <v>4.14762480050256E-3</v>
      </c>
      <c r="I770">
        <f t="shared" si="80"/>
        <v>113634910029.32007</v>
      </c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6:19" x14ac:dyDescent="0.25">
      <c r="F771" s="5">
        <f t="shared" si="77"/>
        <v>1.4409185158511766E-16</v>
      </c>
      <c r="G771" s="4">
        <f t="shared" si="78"/>
        <v>28082526357239.426</v>
      </c>
      <c r="H771" s="3">
        <f t="shared" si="79"/>
        <v>4.0464632200024981E-3</v>
      </c>
      <c r="I771">
        <f t="shared" si="80"/>
        <v>113634910029.32007</v>
      </c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6:19" x14ac:dyDescent="0.25">
      <c r="F772" s="5">
        <f t="shared" si="77"/>
        <v>1.37148698712783E-16</v>
      </c>
      <c r="G772" s="4">
        <f t="shared" si="78"/>
        <v>28784589516170.41</v>
      </c>
      <c r="H772" s="3">
        <f t="shared" si="79"/>
        <v>3.9477689951243882E-3</v>
      </c>
      <c r="I772">
        <f t="shared" si="80"/>
        <v>113634910029.32007</v>
      </c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6:19" x14ac:dyDescent="0.25">
      <c r="F773" s="5">
        <f t="shared" si="77"/>
        <v>1.3054010585392793E-16</v>
      </c>
      <c r="G773" s="4">
        <f t="shared" si="78"/>
        <v>29504204254074.668</v>
      </c>
      <c r="H773" s="3">
        <f t="shared" si="79"/>
        <v>3.8514819464628182E-3</v>
      </c>
      <c r="I773">
        <f t="shared" si="80"/>
        <v>113634910029.32007</v>
      </c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6:19" x14ac:dyDescent="0.25">
      <c r="F774" s="5">
        <f t="shared" si="77"/>
        <v>1.2424995203229313E-16</v>
      </c>
      <c r="G774" s="4">
        <f t="shared" si="78"/>
        <v>30241809360426.531</v>
      </c>
      <c r="H774" s="3">
        <f t="shared" si="79"/>
        <v>3.7575433624027501E-3</v>
      </c>
      <c r="I774">
        <f t="shared" si="80"/>
        <v>113634910029.32007</v>
      </c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6:19" x14ac:dyDescent="0.25">
      <c r="F775" s="5">
        <f t="shared" si="77"/>
        <v>1.1826289307059433E-16</v>
      </c>
      <c r="G775" s="4">
        <f t="shared" si="78"/>
        <v>30997854594437.191</v>
      </c>
      <c r="H775" s="3">
        <f t="shared" si="79"/>
        <v>3.6658959633197566E-3</v>
      </c>
      <c r="I775">
        <f t="shared" si="80"/>
        <v>113634910029.32007</v>
      </c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6:19" x14ac:dyDescent="0.25">
      <c r="F776" s="5">
        <f t="shared" si="77"/>
        <v>1.1256432415999461E-16</v>
      </c>
      <c r="G776" s="4">
        <f t="shared" si="78"/>
        <v>31772800959298.117</v>
      </c>
      <c r="H776" s="3">
        <f t="shared" si="79"/>
        <v>3.5764838666534214E-3</v>
      </c>
      <c r="I776">
        <f t="shared" si="80"/>
        <v>113634910029.32007</v>
      </c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6:19" x14ac:dyDescent="0.25">
      <c r="F777" s="5">
        <f t="shared" ref="F777:F815" si="81">H777/G777</f>
        <v>1.0714034423318943E-16</v>
      </c>
      <c r="G777" s="4">
        <f t="shared" si="78"/>
        <v>32567120983280.566</v>
      </c>
      <c r="H777" s="3">
        <f t="shared" si="79"/>
        <v>3.4892525528326065E-3</v>
      </c>
      <c r="I777">
        <f t="shared" si="80"/>
        <v>113634910029.32007</v>
      </c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6:19" x14ac:dyDescent="0.25">
      <c r="F778" s="5">
        <f t="shared" si="81"/>
        <v>1.0197772205419579E-16</v>
      </c>
      <c r="G778" s="4">
        <f t="shared" si="78"/>
        <v>33381299007862.578</v>
      </c>
      <c r="H778" s="3">
        <f t="shared" si="79"/>
        <v>3.4041488320318116E-3</v>
      </c>
      <c r="I778">
        <f t="shared" si="80"/>
        <v>113634910029.32007</v>
      </c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6:19" x14ac:dyDescent="0.25">
      <c r="F779" s="5">
        <f t="shared" si="81"/>
        <v>9.7063863942125693E-17</v>
      </c>
      <c r="G779" s="4">
        <f t="shared" si="78"/>
        <v>34215831483059.141</v>
      </c>
      <c r="H779" s="3">
        <f t="shared" si="79"/>
        <v>3.3211208117383531E-3</v>
      </c>
      <c r="I779">
        <f t="shared" si="80"/>
        <v>113634910029.32007</v>
      </c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6:19" x14ac:dyDescent="0.25">
      <c r="F780" s="5">
        <f t="shared" si="81"/>
        <v>9.238678305020887E-17</v>
      </c>
      <c r="G780" s="4">
        <f t="shared" si="78"/>
        <v>35071227270135.617</v>
      </c>
      <c r="H780" s="3">
        <f t="shared" si="79"/>
        <v>3.2401178651105885E-3</v>
      </c>
      <c r="I780">
        <f t="shared" si="80"/>
        <v>113634910029.32007</v>
      </c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6:19" x14ac:dyDescent="0.25">
      <c r="F781" s="5">
        <f t="shared" si="81"/>
        <v>8.7935070125124438E-17</v>
      </c>
      <c r="G781" s="4">
        <f t="shared" si="78"/>
        <v>35948007951889.008</v>
      </c>
      <c r="H781" s="3">
        <f t="shared" si="79"/>
        <v>3.161090600107891E-3</v>
      </c>
      <c r="I781">
        <f t="shared" si="80"/>
        <v>113634910029.32007</v>
      </c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6:19" x14ac:dyDescent="0.25">
      <c r="F782" s="5">
        <f t="shared" si="81"/>
        <v>8.3697865675311822E-17</v>
      </c>
      <c r="G782" s="4">
        <f t="shared" si="78"/>
        <v>36846708150686.227</v>
      </c>
      <c r="H782" s="3">
        <f t="shared" si="79"/>
        <v>3.0839908293735529E-3</v>
      </c>
      <c r="I782">
        <f t="shared" si="80"/>
        <v>113634910029.32007</v>
      </c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6:19" x14ac:dyDescent="0.25">
      <c r="F783" s="5">
        <f t="shared" si="81"/>
        <v>7.966483348036817E-17</v>
      </c>
      <c r="G783" s="4">
        <f t="shared" si="78"/>
        <v>37767875854453.383</v>
      </c>
      <c r="H783" s="3">
        <f t="shared" si="79"/>
        <v>3.0087715408522466E-3</v>
      </c>
      <c r="I783">
        <f t="shared" si="80"/>
        <v>113634910029.32007</v>
      </c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6:19" x14ac:dyDescent="0.25">
      <c r="F784" s="5">
        <f t="shared" si="81"/>
        <v>7.5826135376912031E-17</v>
      </c>
      <c r="G784" s="4">
        <f t="shared" si="78"/>
        <v>38712072750814.711</v>
      </c>
      <c r="H784" s="3">
        <f t="shared" si="79"/>
        <v>2.9353868691241436E-3</v>
      </c>
      <c r="I784">
        <f t="shared" si="80"/>
        <v>113634910029.32007</v>
      </c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6:19" x14ac:dyDescent="0.25">
      <c r="F785" s="5">
        <f t="shared" si="81"/>
        <v>7.2172407259404679E-17</v>
      </c>
      <c r="G785" s="4">
        <f t="shared" si="78"/>
        <v>39679874569585.078</v>
      </c>
      <c r="H785" s="3">
        <f t="shared" si="79"/>
        <v>2.8637920674381891E-3</v>
      </c>
      <c r="I785">
        <f t="shared" si="80"/>
        <v>113634910029.32007</v>
      </c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6:19" x14ac:dyDescent="0.25">
      <c r="F786" s="5">
        <f t="shared" si="81"/>
        <v>6.8694736237386963E-17</v>
      </c>
      <c r="G786" s="4">
        <f t="shared" si="78"/>
        <v>40671871433824.703</v>
      </c>
      <c r="H786" s="3">
        <f t="shared" si="79"/>
        <v>2.7939434804275017E-3</v>
      </c>
      <c r="I786">
        <f t="shared" si="80"/>
        <v>113634910029.32007</v>
      </c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6:19" x14ac:dyDescent="0.25">
      <c r="F787" s="5">
        <f t="shared" si="81"/>
        <v>6.5384638893408175E-17</v>
      </c>
      <c r="G787" s="4">
        <f t="shared" si="78"/>
        <v>41688668219670.32</v>
      </c>
      <c r="H787" s="3">
        <f t="shared" si="79"/>
        <v>2.7257985174902453E-3</v>
      </c>
      <c r="I787">
        <f t="shared" si="80"/>
        <v>113634910029.32007</v>
      </c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6:19" x14ac:dyDescent="0.25">
      <c r="F788" s="5">
        <f t="shared" si="81"/>
        <v>6.2234040588609812E-17</v>
      </c>
      <c r="G788" s="4">
        <f t="shared" si="78"/>
        <v>42730884925162.078</v>
      </c>
      <c r="H788" s="3">
        <f t="shared" si="79"/>
        <v>2.6593156268197517E-3</v>
      </c>
      <c r="I788">
        <f t="shared" si="80"/>
        <v>113634910029.32007</v>
      </c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6:19" x14ac:dyDescent="0.25">
      <c r="F789" s="5">
        <f t="shared" si="81"/>
        <v>5.9235255765482279E-17</v>
      </c>
      <c r="G789" s="4">
        <f t="shared" si="78"/>
        <v>43799157048291.125</v>
      </c>
      <c r="H789" s="3">
        <f t="shared" si="79"/>
        <v>2.5944542700680508E-3</v>
      </c>
      <c r="I789">
        <f t="shared" si="80"/>
        <v>113634910029.32007</v>
      </c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6:19" x14ac:dyDescent="0.25">
      <c r="F790" s="5">
        <f t="shared" si="81"/>
        <v>5.6380969199745196E-17</v>
      </c>
      <c r="G790" s="4">
        <f t="shared" si="78"/>
        <v>44894135974498.398</v>
      </c>
      <c r="H790" s="3">
        <f t="shared" si="79"/>
        <v>2.5311748976273667E-3</v>
      </c>
      <c r="I790">
        <f t="shared" si="80"/>
        <v>113634910029.32007</v>
      </c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6:19" x14ac:dyDescent="0.25">
      <c r="F791" s="5">
        <f t="shared" si="81"/>
        <v>5.3664218155617089E-17</v>
      </c>
      <c r="G791" s="4">
        <f t="shared" si="78"/>
        <v>46016489373860.852</v>
      </c>
      <c r="H791" s="3">
        <f t="shared" si="79"/>
        <v>2.4694389245145045E-3</v>
      </c>
      <c r="I791">
        <f t="shared" si="80"/>
        <v>113634910029.32007</v>
      </c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6:19" x14ac:dyDescent="0.25">
      <c r="F792" s="5">
        <f t="shared" si="81"/>
        <v>5.1078375400944298E-17</v>
      </c>
      <c r="G792" s="4">
        <f t="shared" si="78"/>
        <v>47166901608207.367</v>
      </c>
      <c r="H792" s="3">
        <f t="shared" si="79"/>
        <v>2.4092087068434192E-3</v>
      </c>
      <c r="I792">
        <f t="shared" si="80"/>
        <v>113634910029.32007</v>
      </c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6:19" x14ac:dyDescent="0.25">
      <c r="F793" s="5">
        <f t="shared" si="81"/>
        <v>4.8617133040756034E-17</v>
      </c>
      <c r="G793" s="4">
        <f t="shared" si="78"/>
        <v>48346074148412.547</v>
      </c>
      <c r="H793" s="3">
        <f t="shared" si="79"/>
        <v>2.3504475188716287E-3</v>
      </c>
      <c r="I793">
        <f t="shared" si="80"/>
        <v>113634910029.32007</v>
      </c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6:19" x14ac:dyDescent="0.25">
      <c r="F794" s="5">
        <f t="shared" si="81"/>
        <v>4.6274487129809435E-17</v>
      </c>
      <c r="G794" s="4">
        <f t="shared" si="78"/>
        <v>49554726002122.859</v>
      </c>
      <c r="H794" s="3">
        <f t="shared" si="79"/>
        <v>2.2931195306064673E-3</v>
      </c>
      <c r="I794">
        <f t="shared" si="80"/>
        <v>113634910029.32007</v>
      </c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6:19" x14ac:dyDescent="0.25">
      <c r="F795" s="5">
        <f t="shared" si="81"/>
        <v>4.4044723026588403E-17</v>
      </c>
      <c r="G795" s="4">
        <f t="shared" si="78"/>
        <v>50793594152175.93</v>
      </c>
      <c r="H795" s="3">
        <f t="shared" si="79"/>
        <v>2.2371897859575292E-3</v>
      </c>
      <c r="I795">
        <f t="shared" si="80"/>
        <v>113634910029.32007</v>
      </c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6:19" x14ac:dyDescent="0.25">
      <c r="F796" s="5">
        <f t="shared" si="81"/>
        <v>4.1922401453028833E-17</v>
      </c>
      <c r="G796" s="4">
        <f t="shared" si="78"/>
        <v>52063434005980.32</v>
      </c>
      <c r="H796" s="3">
        <f t="shared" si="79"/>
        <v>2.1826241814219801E-3</v>
      </c>
      <c r="I796">
        <f t="shared" si="80"/>
        <v>113634910029.32007</v>
      </c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6:19" x14ac:dyDescent="0.25">
      <c r="F797" s="5">
        <f t="shared" si="81"/>
        <v>3.9902345225964389E-17</v>
      </c>
      <c r="G797" s="4">
        <f t="shared" si="78"/>
        <v>53365019856129.82</v>
      </c>
      <c r="H797" s="3">
        <f t="shared" si="79"/>
        <v>2.1293894452897367E-3</v>
      </c>
      <c r="I797">
        <f t="shared" si="80"/>
        <v>113634910029.32007</v>
      </c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6:19" x14ac:dyDescent="0.25">
      <c r="F798" s="5">
        <f t="shared" si="81"/>
        <v>3.7979626627925667E-17</v>
      </c>
      <c r="G798" s="4">
        <f t="shared" si="78"/>
        <v>54699145352533.063</v>
      </c>
      <c r="H798" s="3">
        <f t="shared" si="79"/>
        <v>2.0774531173558411E-3</v>
      </c>
      <c r="I798">
        <f t="shared" si="80"/>
        <v>113634910029.32007</v>
      </c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6:19" x14ac:dyDescent="0.25">
      <c r="F799" s="5">
        <f t="shared" si="81"/>
        <v>3.6149555386484872E-17</v>
      </c>
      <c r="G799" s="4">
        <f t="shared" si="78"/>
        <v>56066623986346.383</v>
      </c>
      <c r="H799" s="3">
        <f t="shared" si="79"/>
        <v>2.02678352912765E-3</v>
      </c>
      <c r="I799">
        <f t="shared" si="80"/>
        <v>113634910029.32007</v>
      </c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6:19" x14ac:dyDescent="0.25">
      <c r="F800" s="5">
        <f t="shared" si="81"/>
        <v>3.4407667232823204E-17</v>
      </c>
      <c r="G800" s="4">
        <f t="shared" si="78"/>
        <v>57468289586005.039</v>
      </c>
      <c r="H800" s="3">
        <f t="shared" si="79"/>
        <v>1.9773497845147806E-3</v>
      </c>
      <c r="I800">
        <f t="shared" si="80"/>
        <v>113634910029.32007</v>
      </c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6:19" x14ac:dyDescent="0.25">
      <c r="F801" s="5">
        <f t="shared" si="81"/>
        <v>3.2749713011610432E-17</v>
      </c>
      <c r="G801" s="4">
        <f t="shared" si="78"/>
        <v>58904996825655.156</v>
      </c>
      <c r="H801" s="3">
        <f t="shared" si="79"/>
        <v>1.92912174099003E-3</v>
      </c>
      <c r="I801">
        <f t="shared" si="80"/>
        <v>113634910029.32007</v>
      </c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6:19" x14ac:dyDescent="0.25">
      <c r="F802" s="5">
        <f t="shared" si="81"/>
        <v>3.1171648315631592E-17</v>
      </c>
      <c r="G802" s="4">
        <f t="shared" si="78"/>
        <v>60377621746296.531</v>
      </c>
      <c r="H802" s="3">
        <f t="shared" si="79"/>
        <v>1.8820699912097856E-3</v>
      </c>
      <c r="I802">
        <f t="shared" si="80"/>
        <v>113634910029.32007</v>
      </c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6:19" x14ac:dyDescent="0.25">
      <c r="F803" s="5">
        <f t="shared" si="81"/>
        <v>2.9669623619875406E-17</v>
      </c>
      <c r="G803" s="4">
        <f t="shared" si="78"/>
        <v>61887062289953.938</v>
      </c>
      <c r="H803" s="3">
        <f t="shared" si="79"/>
        <v>1.8361658450827178E-3</v>
      </c>
      <c r="I803">
        <f t="shared" si="80"/>
        <v>113634910029.32007</v>
      </c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6:19" x14ac:dyDescent="0.25">
      <c r="F804" s="5">
        <f t="shared" si="81"/>
        <v>2.8239974891017642E-17</v>
      </c>
      <c r="G804" s="4">
        <f t="shared" si="78"/>
        <v>63434238847202.781</v>
      </c>
      <c r="H804" s="3">
        <f t="shared" si="79"/>
        <v>1.7913813122758225E-3</v>
      </c>
      <c r="I804">
        <f t="shared" si="80"/>
        <v>113634910029.32007</v>
      </c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6:19" x14ac:dyDescent="0.25">
      <c r="F805" s="5">
        <f t="shared" si="81"/>
        <v>2.6879214649392171E-17</v>
      </c>
      <c r="G805" s="4">
        <f t="shared" si="78"/>
        <v>65020094818382.844</v>
      </c>
      <c r="H805" s="3">
        <f t="shared" si="79"/>
        <v>1.7476890851471441E-3</v>
      </c>
      <c r="I805">
        <f t="shared" si="80"/>
        <v>113634910029.32007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6:19" x14ac:dyDescent="0.25">
      <c r="F806" s="5">
        <f t="shared" si="81"/>
        <v>2.5584023461646331E-17</v>
      </c>
      <c r="G806" s="4">
        <f t="shared" si="78"/>
        <v>66645597188842.406</v>
      </c>
      <c r="H806" s="3">
        <f t="shared" si="79"/>
        <v>1.7050625220947748E-3</v>
      </c>
      <c r="I806">
        <f t="shared" si="80"/>
        <v>113634910029.32007</v>
      </c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6:19" x14ac:dyDescent="0.25">
      <c r="F807" s="5">
        <f t="shared" si="81"/>
        <v>2.4351241843327862E-17</v>
      </c>
      <c r="G807" s="4">
        <f t="shared" si="78"/>
        <v>68311737118563.461</v>
      </c>
      <c r="H807" s="3">
        <f t="shared" si="79"/>
        <v>1.6634756313119755E-3</v>
      </c>
      <c r="I807">
        <f t="shared" si="80"/>
        <v>113634910029.32007</v>
      </c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6:19" x14ac:dyDescent="0.25">
      <c r="F808" s="5">
        <f t="shared" si="81"/>
        <v>2.3177862551650558E-17</v>
      </c>
      <c r="G808" s="4">
        <f t="shared" si="78"/>
        <v>70019530546527.539</v>
      </c>
      <c r="H808" s="3">
        <f t="shared" si="79"/>
        <v>1.6229030549385129E-3</v>
      </c>
      <c r="I808">
        <f t="shared" si="80"/>
        <v>113634910029.32007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6:19" x14ac:dyDescent="0.25">
      <c r="F809" s="5">
        <f t="shared" si="81"/>
        <v>2.2061023249637658E-17</v>
      </c>
      <c r="G809" s="4">
        <f t="shared" si="78"/>
        <v>71770018810190.719</v>
      </c>
      <c r="H809" s="3">
        <f t="shared" si="79"/>
        <v>1.5833200535985495E-3</v>
      </c>
      <c r="I809">
        <f t="shared" si="80"/>
        <v>113634910029.32007</v>
      </c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6:19" x14ac:dyDescent="0.25">
      <c r="F810" s="5">
        <f t="shared" si="81"/>
        <v>2.0997999523747922E-17</v>
      </c>
      <c r="G810" s="4">
        <f t="shared" si="78"/>
        <v>73564269280445.484</v>
      </c>
      <c r="H810" s="3">
        <f t="shared" si="79"/>
        <v>1.5447024913156581E-3</v>
      </c>
      <c r="I810">
        <f t="shared" si="80"/>
        <v>113634910029.32007</v>
      </c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6:19" x14ac:dyDescent="0.25">
      <c r="F811" s="5">
        <f t="shared" si="81"/>
        <v>1.9986198237951625E-17</v>
      </c>
      <c r="G811" s="4">
        <f t="shared" si="78"/>
        <v>75403376012456.609</v>
      </c>
      <c r="H811" s="3">
        <f t="shared" si="79"/>
        <v>1.5070268207957641E-3</v>
      </c>
      <c r="I811">
        <f t="shared" si="80"/>
        <v>113634910029.32007</v>
      </c>
      <c r="J811" s="6"/>
      <c r="K811" s="6"/>
      <c r="L811" s="6"/>
      <c r="M811" s="6"/>
      <c r="S811" s="6"/>
    </row>
    <row r="812" spans="6:19" x14ac:dyDescent="0.25">
      <c r="F812" s="5">
        <f t="shared" si="81"/>
        <v>1.9023151208044382E-17</v>
      </c>
      <c r="G812" s="4">
        <f t="shared" si="78"/>
        <v>77288460412768.016</v>
      </c>
      <c r="H812" s="3">
        <f t="shared" si="79"/>
        <v>1.4702700690690383E-3</v>
      </c>
      <c r="I812">
        <f t="shared" si="80"/>
        <v>113634910029.32007</v>
      </c>
      <c r="J812" s="6"/>
      <c r="K812" s="6"/>
      <c r="L812" s="6"/>
      <c r="M812" s="6"/>
      <c r="S812" s="6"/>
    </row>
    <row r="813" spans="6:19" x14ac:dyDescent="0.25">
      <c r="F813" s="5">
        <f t="shared" si="81"/>
        <v>1.8106509180768011E-17</v>
      </c>
      <c r="G813" s="4">
        <f t="shared" si="78"/>
        <v>79220671923087.203</v>
      </c>
      <c r="H813" s="3">
        <f t="shared" si="79"/>
        <v>1.434409823481989E-3</v>
      </c>
      <c r="I813">
        <f t="shared" si="80"/>
        <v>113634910029.32007</v>
      </c>
      <c r="J813" s="6"/>
      <c r="K813" s="6"/>
      <c r="L813" s="6"/>
      <c r="M813" s="6"/>
      <c r="S813" s="6"/>
    </row>
    <row r="814" spans="6:19" x14ac:dyDescent="0.25">
      <c r="F814" s="5">
        <f t="shared" si="81"/>
        <v>1.7234036103051051E-17</v>
      </c>
      <c r="G814" s="4">
        <f t="shared" si="78"/>
        <v>81201188721164.375</v>
      </c>
      <c r="H814" s="3">
        <f t="shared" si="79"/>
        <v>1.3994242180312088E-3</v>
      </c>
      <c r="I814">
        <f t="shared" si="80"/>
        <v>113634910029.32007</v>
      </c>
      <c r="J814" s="6"/>
      <c r="K814" s="6"/>
      <c r="L814" s="6"/>
      <c r="M814" s="6"/>
      <c r="S814" s="6"/>
    </row>
    <row r="815" spans="6:19" x14ac:dyDescent="0.25">
      <c r="F815" s="5">
        <f t="shared" si="81"/>
        <v>1.6403603667389463E-17</v>
      </c>
      <c r="G815" s="4">
        <f t="shared" si="78"/>
        <v>83231218439193.484</v>
      </c>
      <c r="H815" s="3">
        <f t="shared" si="79"/>
        <v>1.3652919200304477E-3</v>
      </c>
      <c r="I815">
        <f t="shared" si="80"/>
        <v>113634910029.32007</v>
      </c>
      <c r="J815" s="6"/>
      <c r="K815" s="6"/>
      <c r="L815" s="6"/>
      <c r="M815" s="6"/>
      <c r="S815" s="6"/>
    </row>
  </sheetData>
  <mergeCells count="3">
    <mergeCell ref="T6:V6"/>
    <mergeCell ref="N6:R6"/>
    <mergeCell ref="W6:Y6"/>
  </mergeCells>
  <conditionalFormatting sqref="W12:Y71">
    <cfRule type="cellIs" dxfId="43" priority="35" operator="lessThan">
      <formula>0</formula>
    </cfRule>
  </conditionalFormatting>
  <conditionalFormatting sqref="W8:Y11">
    <cfRule type="cellIs" dxfId="42" priority="34" operator="lessThan">
      <formula>0</formula>
    </cfRule>
  </conditionalFormatting>
  <conditionalFormatting sqref="W72:Y72">
    <cfRule type="cellIs" dxfId="41" priority="33" operator="lessThan">
      <formula>0</formula>
    </cfRule>
  </conditionalFormatting>
  <conditionalFormatting sqref="W73:Y73">
    <cfRule type="cellIs" dxfId="40" priority="32" operator="lessThan">
      <formula>0</formula>
    </cfRule>
  </conditionalFormatting>
  <conditionalFormatting sqref="W74:Y74">
    <cfRule type="cellIs" dxfId="39" priority="31" operator="lessThan">
      <formula>0</formula>
    </cfRule>
  </conditionalFormatting>
  <conditionalFormatting sqref="W75:Y75">
    <cfRule type="cellIs" dxfId="38" priority="30" operator="lessThan">
      <formula>0</formula>
    </cfRule>
  </conditionalFormatting>
  <conditionalFormatting sqref="W76:Y76">
    <cfRule type="cellIs" dxfId="37" priority="29" operator="lessThan">
      <formula>0</formula>
    </cfRule>
  </conditionalFormatting>
  <conditionalFormatting sqref="W77:Y77">
    <cfRule type="cellIs" dxfId="36" priority="28" operator="lessThan">
      <formula>0</formula>
    </cfRule>
  </conditionalFormatting>
  <conditionalFormatting sqref="W78:Y78">
    <cfRule type="cellIs" dxfId="35" priority="27" operator="lessThan">
      <formula>0</formula>
    </cfRule>
  </conditionalFormatting>
  <conditionalFormatting sqref="W79:Y79">
    <cfRule type="cellIs" dxfId="34" priority="26" operator="lessThan">
      <formula>0</formula>
    </cfRule>
  </conditionalFormatting>
  <conditionalFormatting sqref="W80:Y80">
    <cfRule type="cellIs" dxfId="33" priority="25" operator="lessThan">
      <formula>0</formula>
    </cfRule>
  </conditionalFormatting>
  <conditionalFormatting sqref="W81:Y81">
    <cfRule type="cellIs" dxfId="32" priority="24" operator="lessThan">
      <formula>0</formula>
    </cfRule>
  </conditionalFormatting>
  <conditionalFormatting sqref="W82:Y82">
    <cfRule type="cellIs" dxfId="31" priority="23" operator="lessThan">
      <formula>0</formula>
    </cfRule>
  </conditionalFormatting>
  <conditionalFormatting sqref="W83:Y83">
    <cfRule type="cellIs" dxfId="30" priority="22" operator="lessThan">
      <formula>0</formula>
    </cfRule>
  </conditionalFormatting>
  <conditionalFormatting sqref="W84:Y84">
    <cfRule type="cellIs" dxfId="29" priority="21" operator="lessThan">
      <formula>0</formula>
    </cfRule>
  </conditionalFormatting>
  <conditionalFormatting sqref="W85:Y85">
    <cfRule type="cellIs" dxfId="28" priority="20" operator="lessThan">
      <formula>0</formula>
    </cfRule>
  </conditionalFormatting>
  <conditionalFormatting sqref="W86:Y86">
    <cfRule type="cellIs" dxfId="27" priority="19" operator="lessThan">
      <formula>0</formula>
    </cfRule>
  </conditionalFormatting>
  <conditionalFormatting sqref="W87:Y87">
    <cfRule type="cellIs" dxfId="26" priority="18" operator="lessThan">
      <formula>0</formula>
    </cfRule>
  </conditionalFormatting>
  <conditionalFormatting sqref="W88:Y88">
    <cfRule type="cellIs" dxfId="25" priority="17" operator="lessThan">
      <formula>0</formula>
    </cfRule>
  </conditionalFormatting>
  <conditionalFormatting sqref="W89:Y89">
    <cfRule type="cellIs" dxfId="24" priority="16" operator="lessThan">
      <formula>0</formula>
    </cfRule>
  </conditionalFormatting>
  <conditionalFormatting sqref="W90:Y90">
    <cfRule type="cellIs" dxfId="23" priority="15" operator="lessThan">
      <formula>0</formula>
    </cfRule>
  </conditionalFormatting>
  <conditionalFormatting sqref="W91:Y91">
    <cfRule type="cellIs" dxfId="22" priority="14" operator="lessThan">
      <formula>0</formula>
    </cfRule>
  </conditionalFormatting>
  <conditionalFormatting sqref="W92:Y92">
    <cfRule type="cellIs" dxfId="21" priority="13" operator="lessThan">
      <formula>0</formula>
    </cfRule>
  </conditionalFormatting>
  <conditionalFormatting sqref="W93:Y93">
    <cfRule type="cellIs" dxfId="20" priority="12" operator="lessThan">
      <formula>0</formula>
    </cfRule>
  </conditionalFormatting>
  <conditionalFormatting sqref="W94:Y94">
    <cfRule type="cellIs" dxfId="19" priority="11" operator="lessThan">
      <formula>0</formula>
    </cfRule>
  </conditionalFormatting>
  <conditionalFormatting sqref="W95:Y95">
    <cfRule type="cellIs" dxfId="18" priority="10" operator="lessThan">
      <formula>0</formula>
    </cfRule>
  </conditionalFormatting>
  <conditionalFormatting sqref="W96:Y96">
    <cfRule type="cellIs" dxfId="17" priority="9" operator="lessThan">
      <formula>0</formula>
    </cfRule>
  </conditionalFormatting>
  <conditionalFormatting sqref="W97:Y97">
    <cfRule type="cellIs" dxfId="16" priority="8" operator="lessThan">
      <formula>0</formula>
    </cfRule>
  </conditionalFormatting>
  <conditionalFormatting sqref="W98:Y98">
    <cfRule type="cellIs" dxfId="15" priority="7" operator="lessThan">
      <formula>0</formula>
    </cfRule>
  </conditionalFormatting>
  <conditionalFormatting sqref="W99:Y99">
    <cfRule type="cellIs" dxfId="14" priority="6" operator="lessThan">
      <formula>0</formula>
    </cfRule>
  </conditionalFormatting>
  <conditionalFormatting sqref="W100:Y100">
    <cfRule type="cellIs" dxfId="13" priority="5" operator="lessThan">
      <formula>0</formula>
    </cfRule>
  </conditionalFormatting>
  <conditionalFormatting sqref="Z8:Z100">
    <cfRule type="cellIs" dxfId="1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C8B9-4E34-418E-B0DE-D0EB3CFCEB20}">
  <sheetPr codeName="Sheet7">
    <tabColor theme="7" tint="0.59999389629810485"/>
  </sheetPr>
  <dimension ref="A1:N55"/>
  <sheetViews>
    <sheetView topLeftCell="A11" zoomScale="85" zoomScaleNormal="85" workbookViewId="0">
      <selection activeCell="A10" sqref="A1:XFD10"/>
    </sheetView>
  </sheetViews>
  <sheetFormatPr defaultRowHeight="15" x14ac:dyDescent="0.25"/>
  <cols>
    <col min="1" max="1" width="12.42578125" bestFit="1" customWidth="1"/>
    <col min="2" max="2" width="25.28515625" bestFit="1" customWidth="1"/>
    <col min="3" max="3" width="22.140625" bestFit="1" customWidth="1"/>
    <col min="4" max="4" width="22" bestFit="1" customWidth="1"/>
    <col min="5" max="5" width="25.28515625" bestFit="1" customWidth="1"/>
    <col min="6" max="6" width="24.140625" bestFit="1" customWidth="1"/>
    <col min="7" max="7" width="48" bestFit="1" customWidth="1"/>
    <col min="8" max="8" width="12" bestFit="1" customWidth="1"/>
    <col min="9" max="10" width="16.85546875" bestFit="1" customWidth="1"/>
    <col min="12" max="12" width="11.7109375" bestFit="1" customWidth="1"/>
    <col min="13" max="13" width="18.42578125" bestFit="1" customWidth="1"/>
    <col min="14" max="14" width="30.5703125" bestFit="1" customWidth="1"/>
    <col min="15" max="15" width="48" bestFit="1" customWidth="1"/>
  </cols>
  <sheetData>
    <row r="1" spans="1:14" hidden="1" x14ac:dyDescent="0.25"/>
    <row r="2" spans="1:14" hidden="1" x14ac:dyDescent="0.25"/>
    <row r="3" spans="1:14" hidden="1" x14ac:dyDescent="0.25"/>
    <row r="4" spans="1:14" hidden="1" x14ac:dyDescent="0.25"/>
    <row r="5" spans="1:14" hidden="1" x14ac:dyDescent="0.25">
      <c r="B5" t="s">
        <v>6</v>
      </c>
      <c r="D5" t="s">
        <v>13</v>
      </c>
      <c r="E5" t="s">
        <v>14</v>
      </c>
      <c r="G5" t="s">
        <v>51</v>
      </c>
      <c r="I5" t="s">
        <v>15</v>
      </c>
      <c r="J5" t="s">
        <v>16</v>
      </c>
      <c r="K5" t="s">
        <v>43</v>
      </c>
    </row>
    <row r="6" spans="1:14" hidden="1" x14ac:dyDescent="0.25">
      <c r="A6">
        <f>(B6-$B$8)/$B$8</f>
        <v>0.49999999999999989</v>
      </c>
      <c r="B6">
        <f>B8*1.5</f>
        <v>0.89999999999999991</v>
      </c>
      <c r="C6" s="41">
        <f>(D6-D$8)/D$8</f>
        <v>-0.18350341907227397</v>
      </c>
      <c r="D6">
        <f>$D$8*SQRT($B$8/B6)</f>
        <v>1360.8276348795434</v>
      </c>
      <c r="E6">
        <f>$E$8*SQRT(B6/$B$8)</f>
        <v>1224.744871391589</v>
      </c>
      <c r="F6">
        <f>E6*D6</f>
        <v>1666666.6666666665</v>
      </c>
      <c r="G6">
        <f>E6/D6</f>
        <v>0.89999999999999991</v>
      </c>
      <c r="I6">
        <f>D6+E6/B6</f>
        <v>2721.6552697590869</v>
      </c>
      <c r="J6">
        <f>E6+D6*B6</f>
        <v>2449.4897427831779</v>
      </c>
      <c r="K6">
        <f>$J$8/B6</f>
        <v>2222.2222222222226</v>
      </c>
      <c r="L6" s="1">
        <f>(K6-$K$8)/$K$8</f>
        <v>-0.33333333333333326</v>
      </c>
    </row>
    <row r="7" spans="1:14" hidden="1" x14ac:dyDescent="0.25">
      <c r="A7">
        <f>(B7-$B$8)/$B$8</f>
        <v>0.25000000000000006</v>
      </c>
      <c r="B7">
        <f>B8*1.25</f>
        <v>0.75</v>
      </c>
      <c r="C7" s="41">
        <f>(D7-D$8)/D$8</f>
        <v>-0.10557280900008413</v>
      </c>
      <c r="D7">
        <f>$D$8*SQRT($B$8/B7)</f>
        <v>1490.7119849998599</v>
      </c>
      <c r="E7">
        <f>$E$8*SQRT(B7/$B$8)</f>
        <v>1118.0339887498949</v>
      </c>
      <c r="F7">
        <f>E7*D7</f>
        <v>1666666.6666666667</v>
      </c>
      <c r="G7">
        <f>E7/D7</f>
        <v>0.75</v>
      </c>
      <c r="I7">
        <f>D7+E7/B7</f>
        <v>2981.4239699997197</v>
      </c>
      <c r="J7">
        <f>E7+D7*B7</f>
        <v>2236.0679774997898</v>
      </c>
      <c r="K7">
        <f>$J$8/B7</f>
        <v>2666.6666666666665</v>
      </c>
      <c r="L7" s="1">
        <f>(K7-$K$8)/$K$8</f>
        <v>-0.20000000000000009</v>
      </c>
    </row>
    <row r="8" spans="1:14" hidden="1" x14ac:dyDescent="0.25">
      <c r="A8">
        <f>(B8-$B$8)/$B$8</f>
        <v>0</v>
      </c>
      <c r="B8">
        <v>0.6</v>
      </c>
      <c r="C8" s="41">
        <f>(D8-D$8)/D$8</f>
        <v>0</v>
      </c>
      <c r="D8">
        <f>E8/B8</f>
        <v>1666.6666666666667</v>
      </c>
      <c r="E8">
        <v>1000</v>
      </c>
      <c r="F8">
        <f>E8*D8</f>
        <v>1666666.6666666667</v>
      </c>
      <c r="G8">
        <f>E8/D8</f>
        <v>0.6</v>
      </c>
      <c r="I8">
        <f>D8+E8/B8</f>
        <v>3333.3333333333335</v>
      </c>
      <c r="J8">
        <f>E8+D8*B8</f>
        <v>2000</v>
      </c>
      <c r="K8">
        <f>$J$8/B8</f>
        <v>3333.3333333333335</v>
      </c>
      <c r="L8" s="1">
        <f>(K8-$K$8)/$K$8</f>
        <v>0</v>
      </c>
    </row>
    <row r="9" spans="1:14" hidden="1" x14ac:dyDescent="0.25">
      <c r="A9">
        <f>(B9-$B$8)/$B$8</f>
        <v>-0.25000000000000006</v>
      </c>
      <c r="B9">
        <f>B8*0.75</f>
        <v>0.44999999999999996</v>
      </c>
      <c r="C9" s="41">
        <f>(D9-D$8)/D$8</f>
        <v>0.15470053837925174</v>
      </c>
      <c r="D9">
        <f>$D$8*SQRT($B$8/B9)</f>
        <v>1924.500897298753</v>
      </c>
      <c r="E9">
        <f>$E$8*SQRT(B9/$B$8)</f>
        <v>866.02540378443859</v>
      </c>
      <c r="F9">
        <f>E9*D9</f>
        <v>1666666.666666667</v>
      </c>
      <c r="G9">
        <f>E9/D9</f>
        <v>0.44999999999999984</v>
      </c>
      <c r="I9">
        <f>D9+E9/B9</f>
        <v>3849.0017945975055</v>
      </c>
      <c r="J9">
        <f>E9+D9*B9</f>
        <v>1732.0508075688772</v>
      </c>
      <c r="K9">
        <f>$J$8/B9</f>
        <v>4444.4444444444453</v>
      </c>
      <c r="L9" s="1">
        <f>(K9-$K$8)/$K$8</f>
        <v>0.33333333333333354</v>
      </c>
    </row>
    <row r="10" spans="1:14" hidden="1" x14ac:dyDescent="0.25">
      <c r="A10">
        <f>(B10-$B$8)/$B$8</f>
        <v>-0.5</v>
      </c>
      <c r="B10">
        <f>B8*0.5</f>
        <v>0.3</v>
      </c>
      <c r="C10" s="41">
        <f>(D10-D$8)/D$8</f>
        <v>0.41421356237309503</v>
      </c>
      <c r="D10">
        <f>$D$8*SQRT($B$8/B10)</f>
        <v>2357.0226039551585</v>
      </c>
      <c r="E10">
        <f>$E$8*SQRT(B10/$B$8)</f>
        <v>707.10678118654755</v>
      </c>
      <c r="F10">
        <f>E10*D10</f>
        <v>1666666.6666666667</v>
      </c>
      <c r="G10">
        <f>E10/D10</f>
        <v>0.3</v>
      </c>
      <c r="I10">
        <f>D10+E10/B10</f>
        <v>4714.045207910317</v>
      </c>
      <c r="J10">
        <f>E10+D10*B10</f>
        <v>1414.2135623730951</v>
      </c>
      <c r="K10">
        <f>$J$8/B10</f>
        <v>6666.666666666667</v>
      </c>
      <c r="L10" s="1">
        <f>(K10-$K$8)/$K$8</f>
        <v>1</v>
      </c>
    </row>
    <row r="11" spans="1:14" x14ac:dyDescent="0.25">
      <c r="B11" t="s">
        <v>17</v>
      </c>
    </row>
    <row r="15" spans="1:14" x14ac:dyDescent="0.25">
      <c r="C15" s="147" t="s">
        <v>0</v>
      </c>
      <c r="D15" s="148"/>
      <c r="E15" s="148"/>
      <c r="F15" s="149"/>
      <c r="G15" s="48" t="s">
        <v>21</v>
      </c>
      <c r="I15" s="146" t="s">
        <v>19</v>
      </c>
      <c r="J15" s="146"/>
      <c r="L15" s="146" t="s">
        <v>20</v>
      </c>
      <c r="M15" s="146"/>
    </row>
    <row r="16" spans="1:14" x14ac:dyDescent="0.25">
      <c r="B16" s="40"/>
      <c r="C16" s="44" t="s">
        <v>22</v>
      </c>
      <c r="D16" s="44" t="s">
        <v>23</v>
      </c>
      <c r="E16" s="40" t="s">
        <v>52</v>
      </c>
      <c r="F16" s="40" t="s">
        <v>53</v>
      </c>
      <c r="G16" s="40"/>
      <c r="I16" s="40" t="s">
        <v>22</v>
      </c>
      <c r="J16" s="40" t="s">
        <v>24</v>
      </c>
      <c r="L16" s="40" t="s">
        <v>25</v>
      </c>
      <c r="M16" s="40" t="s">
        <v>24</v>
      </c>
      <c r="N16" s="40" t="s">
        <v>38</v>
      </c>
    </row>
    <row r="17" spans="2:14" hidden="1" x14ac:dyDescent="0.25">
      <c r="C17" s="50" t="s">
        <v>0</v>
      </c>
      <c r="D17" s="50" t="s">
        <v>0</v>
      </c>
      <c r="E17" s="50" t="s">
        <v>0</v>
      </c>
      <c r="F17" s="50" t="s">
        <v>0</v>
      </c>
      <c r="G17" s="48"/>
      <c r="I17" s="48" t="s">
        <v>41</v>
      </c>
      <c r="J17" s="48" t="s">
        <v>41</v>
      </c>
      <c r="L17" s="48" t="s">
        <v>42</v>
      </c>
      <c r="M17" s="48" t="s">
        <v>42</v>
      </c>
    </row>
    <row r="18" spans="2:14" x14ac:dyDescent="0.25">
      <c r="B18" s="43">
        <f>A6</f>
        <v>0.49999999999999989</v>
      </c>
      <c r="C18" s="43">
        <f t="shared" ref="C18:D22" si="0">(D6-D$8)/D$8</f>
        <v>-0.18350341907227397</v>
      </c>
      <c r="D18" s="43">
        <f t="shared" si="0"/>
        <v>0.22474487139158897</v>
      </c>
      <c r="E18" s="42">
        <f>(J6-J$8)/J$8</f>
        <v>0.22474487139158897</v>
      </c>
      <c r="F18" s="42">
        <f>(I6-I$8)/I$8</f>
        <v>-0.18350341907227397</v>
      </c>
      <c r="G18" s="145" t="s">
        <v>50</v>
      </c>
      <c r="I18" s="42">
        <v>0</v>
      </c>
      <c r="J18" s="42">
        <f>B18</f>
        <v>0.49999999999999989</v>
      </c>
      <c r="L18" s="42">
        <f>L6</f>
        <v>-0.33333333333333326</v>
      </c>
      <c r="M18" s="42">
        <v>0</v>
      </c>
      <c r="N18" s="40" t="s">
        <v>39</v>
      </c>
    </row>
    <row r="19" spans="2:14" x14ac:dyDescent="0.25">
      <c r="B19" s="43">
        <f>A7</f>
        <v>0.25000000000000006</v>
      </c>
      <c r="C19" s="43">
        <f t="shared" si="0"/>
        <v>-0.10557280900008413</v>
      </c>
      <c r="D19" s="43">
        <f t="shared" si="0"/>
        <v>0.11803398874989489</v>
      </c>
      <c r="E19" s="42">
        <f>(J7-J$8)/J$8</f>
        <v>0.11803398874989489</v>
      </c>
      <c r="F19" s="42">
        <f>(I7-I$8)/I$8</f>
        <v>-0.10557280900008413</v>
      </c>
      <c r="G19" s="145"/>
      <c r="I19" s="42">
        <v>0</v>
      </c>
      <c r="J19" s="42">
        <f>B19</f>
        <v>0.25000000000000006</v>
      </c>
      <c r="L19" s="42">
        <f t="shared" ref="L19:L22" si="1">L7</f>
        <v>-0.20000000000000009</v>
      </c>
      <c r="M19" s="42">
        <v>0</v>
      </c>
      <c r="N19" s="40" t="s">
        <v>39</v>
      </c>
    </row>
    <row r="20" spans="2:14" x14ac:dyDescent="0.25">
      <c r="B20" s="43">
        <f>A8</f>
        <v>0</v>
      </c>
      <c r="C20" s="43">
        <f t="shared" si="0"/>
        <v>0</v>
      </c>
      <c r="D20" s="43">
        <f t="shared" si="0"/>
        <v>0</v>
      </c>
      <c r="E20" s="42">
        <f>(J8-J$8)/J$8</f>
        <v>0</v>
      </c>
      <c r="F20" s="42">
        <f>(I8-I$8)/I$8</f>
        <v>0</v>
      </c>
      <c r="G20" s="45"/>
      <c r="I20" s="42">
        <v>0</v>
      </c>
      <c r="J20" s="42">
        <f>B20</f>
        <v>0</v>
      </c>
      <c r="L20" s="42">
        <f t="shared" si="1"/>
        <v>0</v>
      </c>
      <c r="M20" s="42">
        <v>0</v>
      </c>
      <c r="N20" s="40" t="s">
        <v>40</v>
      </c>
    </row>
    <row r="21" spans="2:14" x14ac:dyDescent="0.25">
      <c r="B21" s="43">
        <f>A9</f>
        <v>-0.25000000000000006</v>
      </c>
      <c r="C21" s="43">
        <f t="shared" si="0"/>
        <v>0.15470053837925174</v>
      </c>
      <c r="D21" s="43">
        <f t="shared" si="0"/>
        <v>-0.1339745962155614</v>
      </c>
      <c r="E21" s="42">
        <f>(J9-J$8)/J$8</f>
        <v>-0.1339745962155614</v>
      </c>
      <c r="F21" s="42">
        <f>(I9-I$8)/I$8</f>
        <v>0.1547005383792516</v>
      </c>
      <c r="G21" s="145" t="s">
        <v>37</v>
      </c>
      <c r="I21" s="42">
        <v>0</v>
      </c>
      <c r="J21" s="42">
        <f>B21</f>
        <v>-0.25000000000000006</v>
      </c>
      <c r="L21" s="42">
        <f t="shared" si="1"/>
        <v>0.33333333333333354</v>
      </c>
      <c r="M21" s="42">
        <v>0</v>
      </c>
      <c r="N21" s="40" t="s">
        <v>40</v>
      </c>
    </row>
    <row r="22" spans="2:14" x14ac:dyDescent="0.25">
      <c r="B22" s="43">
        <f>A10</f>
        <v>-0.5</v>
      </c>
      <c r="C22" s="43">
        <f t="shared" si="0"/>
        <v>0.41421356237309503</v>
      </c>
      <c r="D22" s="43">
        <f t="shared" si="0"/>
        <v>-0.29289321881345243</v>
      </c>
      <c r="E22" s="42">
        <f>(J10-J$8)/J$8</f>
        <v>-0.29289321881345243</v>
      </c>
      <c r="F22" s="42">
        <f>(I10-I$8)/I$8</f>
        <v>0.41421356237309503</v>
      </c>
      <c r="G22" s="145"/>
      <c r="I22" s="42">
        <v>0</v>
      </c>
      <c r="J22" s="42">
        <f>B22</f>
        <v>-0.5</v>
      </c>
      <c r="L22" s="42">
        <f t="shared" si="1"/>
        <v>1</v>
      </c>
      <c r="M22" s="42">
        <v>0</v>
      </c>
      <c r="N22" s="40" t="s">
        <v>40</v>
      </c>
    </row>
    <row r="24" spans="2:14" x14ac:dyDescent="0.25">
      <c r="C24" s="138" t="s">
        <v>30</v>
      </c>
      <c r="D24" s="138"/>
    </row>
    <row r="25" spans="2:14" x14ac:dyDescent="0.25">
      <c r="C25" s="40" t="s">
        <v>26</v>
      </c>
      <c r="D25" s="40" t="s">
        <v>29</v>
      </c>
      <c r="F25" s="51" t="s">
        <v>46</v>
      </c>
      <c r="G25" s="51" t="s">
        <v>55</v>
      </c>
      <c r="H25" t="s">
        <v>21</v>
      </c>
    </row>
    <row r="26" spans="2:14" x14ac:dyDescent="0.25">
      <c r="B26" s="46" t="s">
        <v>0</v>
      </c>
      <c r="C26" s="40" t="s">
        <v>31</v>
      </c>
      <c r="D26" s="40" t="s">
        <v>18</v>
      </c>
      <c r="F26" s="40" t="s">
        <v>45</v>
      </c>
      <c r="G26" s="52" t="s">
        <v>54</v>
      </c>
    </row>
    <row r="27" spans="2:14" x14ac:dyDescent="0.25">
      <c r="B27" s="40" t="s">
        <v>27</v>
      </c>
      <c r="C27" s="40" t="s">
        <v>31</v>
      </c>
      <c r="D27" s="40" t="s">
        <v>32</v>
      </c>
      <c r="F27" s="40" t="s">
        <v>47</v>
      </c>
      <c r="G27" s="40"/>
    </row>
    <row r="28" spans="2:14" x14ac:dyDescent="0.25">
      <c r="B28" s="40" t="s">
        <v>28</v>
      </c>
      <c r="C28" s="40" t="s">
        <v>32</v>
      </c>
      <c r="D28" s="40" t="s">
        <v>18</v>
      </c>
      <c r="F28" s="40" t="s">
        <v>32</v>
      </c>
      <c r="G28" s="40"/>
    </row>
    <row r="29" spans="2:14" x14ac:dyDescent="0.25">
      <c r="B29" s="47" t="s">
        <v>34</v>
      </c>
    </row>
    <row r="30" spans="2:14" x14ac:dyDescent="0.25">
      <c r="B30" s="47" t="s">
        <v>44</v>
      </c>
    </row>
    <row r="32" spans="2:14" x14ac:dyDescent="0.25">
      <c r="C32" s="144" t="s">
        <v>33</v>
      </c>
      <c r="D32" s="144"/>
    </row>
    <row r="33" spans="2:7" x14ac:dyDescent="0.25">
      <c r="C33" s="40" t="s">
        <v>26</v>
      </c>
      <c r="D33" s="40" t="s">
        <v>29</v>
      </c>
      <c r="F33" s="51" t="s">
        <v>46</v>
      </c>
      <c r="G33" s="51" t="s">
        <v>55</v>
      </c>
    </row>
    <row r="34" spans="2:7" x14ac:dyDescent="0.25">
      <c r="B34" s="46" t="s">
        <v>0</v>
      </c>
      <c r="C34" s="40" t="s">
        <v>18</v>
      </c>
      <c r="D34" s="40" t="s">
        <v>31</v>
      </c>
      <c r="F34" s="40" t="s">
        <v>48</v>
      </c>
      <c r="G34" s="52" t="s">
        <v>54</v>
      </c>
    </row>
    <row r="35" spans="2:7" x14ac:dyDescent="0.25">
      <c r="B35" s="40" t="s">
        <v>27</v>
      </c>
      <c r="C35" s="40" t="s">
        <v>18</v>
      </c>
      <c r="D35" s="40" t="s">
        <v>32</v>
      </c>
      <c r="F35" s="40" t="s">
        <v>49</v>
      </c>
      <c r="G35" s="40"/>
    </row>
    <row r="36" spans="2:7" x14ac:dyDescent="0.25">
      <c r="B36" s="40" t="s">
        <v>28</v>
      </c>
      <c r="C36" s="40" t="s">
        <v>32</v>
      </c>
      <c r="D36" s="40" t="s">
        <v>31</v>
      </c>
      <c r="F36" s="40" t="s">
        <v>32</v>
      </c>
      <c r="G36" s="40"/>
    </row>
    <row r="37" spans="2:7" x14ac:dyDescent="0.25">
      <c r="B37" s="47" t="s">
        <v>35</v>
      </c>
    </row>
    <row r="38" spans="2:7" x14ac:dyDescent="0.25">
      <c r="B38" s="49" t="s">
        <v>36</v>
      </c>
    </row>
    <row r="55" spans="2:2" x14ac:dyDescent="0.25">
      <c r="B55" t="s">
        <v>56</v>
      </c>
    </row>
  </sheetData>
  <mergeCells count="7">
    <mergeCell ref="C32:D32"/>
    <mergeCell ref="G21:G22"/>
    <mergeCell ref="G18:G19"/>
    <mergeCell ref="I15:J15"/>
    <mergeCell ref="L15:M15"/>
    <mergeCell ref="C15:F15"/>
    <mergeCell ref="C24:D24"/>
  </mergeCells>
  <conditionalFormatting sqref="B18:G19 B21:G22">
    <cfRule type="cellIs" dxfId="11" priority="10" operator="lessThan">
      <formula>0</formula>
    </cfRule>
  </conditionalFormatting>
  <conditionalFormatting sqref="I18:J19 I21:J22">
    <cfRule type="cellIs" dxfId="10" priority="5" operator="lessThan">
      <formula>0</formula>
    </cfRule>
  </conditionalFormatting>
  <conditionalFormatting sqref="L18:M18 M21:M22 M19 L19:L22">
    <cfRule type="cellIs" dxfId="9" priority="4" operator="lessThan">
      <formula>0</formula>
    </cfRule>
  </conditionalFormatting>
  <conditionalFormatting sqref="B20:G20">
    <cfRule type="cellIs" dxfId="8" priority="3" operator="lessThan">
      <formula>0</formula>
    </cfRule>
  </conditionalFormatting>
  <conditionalFormatting sqref="I20:J20">
    <cfRule type="cellIs" dxfId="7" priority="2" operator="lessThan">
      <formula>0</formula>
    </cfRule>
  </conditionalFormatting>
  <conditionalFormatting sqref="M20">
    <cfRule type="cellIs" dxfId="6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689E3-1C17-4DFA-99DC-02CA8AA6F8BA}">
  <sheetPr codeName="Sheet8">
    <tabColor theme="7" tint="0.59999389629810485"/>
  </sheetPr>
  <dimension ref="A1:O40"/>
  <sheetViews>
    <sheetView topLeftCell="A12" zoomScale="85" zoomScaleNormal="85" workbookViewId="0">
      <selection activeCell="F16" sqref="F16"/>
    </sheetView>
  </sheetViews>
  <sheetFormatPr defaultRowHeight="15" x14ac:dyDescent="0.25"/>
  <cols>
    <col min="1" max="1" width="33.28515625" bestFit="1" customWidth="1"/>
    <col min="2" max="2" width="25.28515625" bestFit="1" customWidth="1"/>
    <col min="3" max="3" width="23.5703125" bestFit="1" customWidth="1"/>
    <col min="4" max="4" width="23.140625" bestFit="1" customWidth="1"/>
    <col min="5" max="5" width="25.28515625" bestFit="1" customWidth="1"/>
    <col min="6" max="6" width="24.140625" bestFit="1" customWidth="1"/>
    <col min="7" max="7" width="50.7109375" bestFit="1" customWidth="1"/>
    <col min="8" max="8" width="12" bestFit="1" customWidth="1"/>
    <col min="9" max="10" width="16.85546875" bestFit="1" customWidth="1"/>
    <col min="11" max="11" width="12.28515625" bestFit="1" customWidth="1"/>
    <col min="12" max="12" width="23.5703125" bestFit="1" customWidth="1"/>
    <col min="13" max="13" width="18.42578125" bestFit="1" customWidth="1"/>
    <col min="14" max="14" width="30.5703125" bestFit="1" customWidth="1"/>
    <col min="15" max="15" width="48" bestFit="1" customWidth="1"/>
  </cols>
  <sheetData>
    <row r="1" spans="1:15" hidden="1" x14ac:dyDescent="0.25"/>
    <row r="2" spans="1:15" hidden="1" x14ac:dyDescent="0.25"/>
    <row r="3" spans="1:15" hidden="1" x14ac:dyDescent="0.25"/>
    <row r="4" spans="1:15" hidden="1" x14ac:dyDescent="0.25"/>
    <row r="5" spans="1:15" hidden="1" x14ac:dyDescent="0.25">
      <c r="B5" t="s">
        <v>60</v>
      </c>
      <c r="D5" t="s">
        <v>13</v>
      </c>
      <c r="E5" t="s">
        <v>57</v>
      </c>
      <c r="G5" t="s">
        <v>63</v>
      </c>
      <c r="I5" t="s">
        <v>15</v>
      </c>
      <c r="J5" t="s">
        <v>64</v>
      </c>
      <c r="L5" t="s">
        <v>67</v>
      </c>
      <c r="N5" t="s">
        <v>70</v>
      </c>
    </row>
    <row r="6" spans="1:15" hidden="1" x14ac:dyDescent="0.25">
      <c r="A6">
        <f>(B6-$B$8)/$B$8</f>
        <v>0.5</v>
      </c>
      <c r="B6">
        <f>B8*1.5</f>
        <v>3</v>
      </c>
      <c r="C6" s="41">
        <f>(D6-D$8)/D$8</f>
        <v>0.22474487139158897</v>
      </c>
      <c r="D6">
        <f>$D$8*SQRT(1/($B$8/B6))</f>
        <v>1224.744871391589</v>
      </c>
      <c r="E6">
        <f t="shared" ref="E6:E7" si="0">D6/B6</f>
        <v>408.24829046386299</v>
      </c>
      <c r="F6">
        <f>E6*D6</f>
        <v>499999.99999999994</v>
      </c>
      <c r="G6">
        <f>D6/E6</f>
        <v>3</v>
      </c>
      <c r="I6">
        <f>D6+E6*B6</f>
        <v>2449.4897427831779</v>
      </c>
      <c r="J6">
        <f>E6+D6/B6</f>
        <v>816.49658092772597</v>
      </c>
      <c r="K6">
        <f>(J6-$J$8)/$J$8</f>
        <v>-0.18350341907227402</v>
      </c>
      <c r="L6">
        <f>$I$8/B6</f>
        <v>666.66666666666663</v>
      </c>
      <c r="M6" s="1">
        <f>(L6-$L$8)/$L$8</f>
        <v>-0.33333333333333337</v>
      </c>
      <c r="N6">
        <f>$J$8*B6</f>
        <v>3000</v>
      </c>
      <c r="O6">
        <f>(N6-$N$8)/$N$8</f>
        <v>0.5</v>
      </c>
    </row>
    <row r="7" spans="1:15" hidden="1" x14ac:dyDescent="0.25">
      <c r="A7">
        <f>(B7-$B$8)/$B$8</f>
        <v>0.25</v>
      </c>
      <c r="B7">
        <f>B8*1.25</f>
        <v>2.5</v>
      </c>
      <c r="C7" s="41">
        <f>(D7-D$8)/D$8</f>
        <v>0.11803398874989489</v>
      </c>
      <c r="D7">
        <f>$D$8*SQRT(1/($B$8/B7))</f>
        <v>1118.0339887498949</v>
      </c>
      <c r="E7">
        <f t="shared" si="0"/>
        <v>447.21359549995793</v>
      </c>
      <c r="F7">
        <f>E7*D7</f>
        <v>500000</v>
      </c>
      <c r="G7">
        <f t="shared" ref="G7:G10" si="1">D7/E7</f>
        <v>2.5</v>
      </c>
      <c r="I7">
        <f t="shared" ref="I7:I10" si="2">D7+E7*B7</f>
        <v>2236.0679774997898</v>
      </c>
      <c r="J7">
        <f t="shared" ref="J7:J10" si="3">E7+D7/B7</f>
        <v>894.42719099991587</v>
      </c>
      <c r="K7">
        <f>(J7-$J$8)/$J$8</f>
        <v>-0.10557280900008413</v>
      </c>
      <c r="L7">
        <f t="shared" ref="L7:L10" si="4">$I$8/B7</f>
        <v>800</v>
      </c>
      <c r="M7" s="1">
        <f>(L7-$L$8)/$L$8</f>
        <v>-0.2</v>
      </c>
      <c r="N7">
        <f>$J$8*B7</f>
        <v>2500</v>
      </c>
      <c r="O7">
        <f>(N7-$N$8)/$N$8</f>
        <v>0.25</v>
      </c>
    </row>
    <row r="8" spans="1:15" hidden="1" x14ac:dyDescent="0.25">
      <c r="A8">
        <f>(B8-$B$8)/$B$8</f>
        <v>0</v>
      </c>
      <c r="B8">
        <v>2</v>
      </c>
      <c r="C8" s="41">
        <f>(D8-D$8)/D$8</f>
        <v>0</v>
      </c>
      <c r="D8">
        <v>1000</v>
      </c>
      <c r="E8">
        <f>D8/B8</f>
        <v>500</v>
      </c>
      <c r="F8">
        <f>E8*D8</f>
        <v>500000</v>
      </c>
      <c r="G8">
        <f t="shared" si="1"/>
        <v>2</v>
      </c>
      <c r="I8">
        <f t="shared" si="2"/>
        <v>2000</v>
      </c>
      <c r="J8">
        <f t="shared" si="3"/>
        <v>1000</v>
      </c>
      <c r="K8">
        <f>(J8-$J$8)/$J$8</f>
        <v>0</v>
      </c>
      <c r="L8">
        <f t="shared" si="4"/>
        <v>1000</v>
      </c>
      <c r="M8" s="1">
        <f>(L8-$L$8)/$L$8</f>
        <v>0</v>
      </c>
      <c r="N8">
        <f>$J$8*B8</f>
        <v>2000</v>
      </c>
      <c r="O8">
        <f>(N8-$N$8)/$N$8</f>
        <v>0</v>
      </c>
    </row>
    <row r="9" spans="1:15" hidden="1" x14ac:dyDescent="0.25">
      <c r="A9">
        <f>(B9-$B$8)/$B$8</f>
        <v>-0.25</v>
      </c>
      <c r="B9">
        <f>B8*0.75</f>
        <v>1.5</v>
      </c>
      <c r="C9" s="41">
        <f>(D9-D$8)/D$8</f>
        <v>-0.1339745962155614</v>
      </c>
      <c r="D9">
        <f>$D$8*SQRT(1/($B$8/B9))</f>
        <v>866.02540378443859</v>
      </c>
      <c r="E9">
        <f t="shared" ref="E9:E10" si="5">D9/B9</f>
        <v>577.35026918962569</v>
      </c>
      <c r="F9">
        <f>E9*D9</f>
        <v>499999.99999999988</v>
      </c>
      <c r="G9">
        <f t="shared" si="1"/>
        <v>1.5</v>
      </c>
      <c r="I9">
        <f t="shared" si="2"/>
        <v>1732.0508075688772</v>
      </c>
      <c r="J9">
        <f t="shared" si="3"/>
        <v>1154.7005383792514</v>
      </c>
      <c r="K9">
        <f>(J9-$J$8)/$J$8</f>
        <v>0.15470053837925138</v>
      </c>
      <c r="L9">
        <f t="shared" si="4"/>
        <v>1333.3333333333333</v>
      </c>
      <c r="M9" s="1">
        <f>(L9-$L$8)/$L$8</f>
        <v>0.33333333333333326</v>
      </c>
      <c r="N9">
        <f>$J$8*B9</f>
        <v>1500</v>
      </c>
      <c r="O9">
        <f>(N9-$N$8)/$N$8</f>
        <v>-0.25</v>
      </c>
    </row>
    <row r="10" spans="1:15" hidden="1" x14ac:dyDescent="0.25">
      <c r="A10">
        <f>(B10-$B$8)/$B$8</f>
        <v>-0.5</v>
      </c>
      <c r="B10">
        <f>B8*0.5</f>
        <v>1</v>
      </c>
      <c r="C10" s="41">
        <f>(D10-D$8)/D$8</f>
        <v>-0.29289321881345243</v>
      </c>
      <c r="D10">
        <f>$D$8*SQRT(1/($B$8/B10))</f>
        <v>707.10678118654755</v>
      </c>
      <c r="E10">
        <f t="shared" si="5"/>
        <v>707.10678118654755</v>
      </c>
      <c r="F10">
        <f>E10*D10</f>
        <v>500000.00000000006</v>
      </c>
      <c r="G10">
        <f t="shared" si="1"/>
        <v>1</v>
      </c>
      <c r="I10">
        <f t="shared" si="2"/>
        <v>1414.2135623730951</v>
      </c>
      <c r="J10">
        <f t="shared" si="3"/>
        <v>1414.2135623730951</v>
      </c>
      <c r="K10">
        <f>(J10-$J$8)/$J$8</f>
        <v>0.41421356237309509</v>
      </c>
      <c r="L10">
        <f t="shared" si="4"/>
        <v>2000</v>
      </c>
      <c r="M10" s="1">
        <f>(L10-$L$8)/$L$8</f>
        <v>1</v>
      </c>
      <c r="N10">
        <f>$J$8*B10</f>
        <v>1000</v>
      </c>
      <c r="O10">
        <f>(N10-$N$8)/$N$8</f>
        <v>-0.5</v>
      </c>
    </row>
    <row r="11" spans="1:15" hidden="1" x14ac:dyDescent="0.25">
      <c r="B11" t="s">
        <v>17</v>
      </c>
    </row>
    <row r="12" spans="1:15" x14ac:dyDescent="0.25">
      <c r="A12" s="53" t="s">
        <v>79</v>
      </c>
    </row>
    <row r="15" spans="1:15" x14ac:dyDescent="0.25">
      <c r="C15" s="147" t="s">
        <v>0</v>
      </c>
      <c r="D15" s="148"/>
      <c r="E15" s="148"/>
      <c r="F15" s="149"/>
      <c r="G15" s="48" t="s">
        <v>21</v>
      </c>
      <c r="I15" s="146" t="s">
        <v>19</v>
      </c>
      <c r="J15" s="146"/>
      <c r="L15" s="146" t="s">
        <v>68</v>
      </c>
      <c r="M15" s="146"/>
    </row>
    <row r="16" spans="1:15" x14ac:dyDescent="0.25">
      <c r="B16" s="40"/>
      <c r="C16" s="44" t="s">
        <v>22</v>
      </c>
      <c r="D16" s="44" t="s">
        <v>58</v>
      </c>
      <c r="E16" s="40" t="s">
        <v>59</v>
      </c>
      <c r="F16" s="40" t="s">
        <v>53</v>
      </c>
      <c r="G16" s="40"/>
      <c r="I16" s="40" t="s">
        <v>65</v>
      </c>
      <c r="J16" s="40" t="s">
        <v>66</v>
      </c>
      <c r="L16" s="40" t="s">
        <v>25</v>
      </c>
      <c r="M16" s="40" t="s">
        <v>24</v>
      </c>
      <c r="N16" s="40" t="s">
        <v>38</v>
      </c>
    </row>
    <row r="17" spans="2:14" x14ac:dyDescent="0.25">
      <c r="C17" s="50" t="s">
        <v>0</v>
      </c>
      <c r="D17" s="50" t="s">
        <v>0</v>
      </c>
      <c r="E17" s="50" t="s">
        <v>0</v>
      </c>
      <c r="F17" s="50" t="s">
        <v>0</v>
      </c>
      <c r="G17" s="48"/>
      <c r="I17" s="48" t="s">
        <v>41</v>
      </c>
      <c r="J17" s="48" t="s">
        <v>41</v>
      </c>
      <c r="L17" s="48" t="s">
        <v>69</v>
      </c>
      <c r="M17" s="48" t="s">
        <v>69</v>
      </c>
    </row>
    <row r="18" spans="2:14" x14ac:dyDescent="0.25">
      <c r="B18" s="43">
        <f>A6</f>
        <v>0.5</v>
      </c>
      <c r="C18" s="43">
        <f>(D6-D$8)/D$8</f>
        <v>0.22474487139158897</v>
      </c>
      <c r="D18" s="43">
        <f t="shared" ref="C18:D22" si="6">(E6-E$8)/E$8</f>
        <v>-0.18350341907227402</v>
      </c>
      <c r="E18" s="42">
        <f>(J6-J$8)/J$8</f>
        <v>-0.18350341907227402</v>
      </c>
      <c r="F18" s="42">
        <f>(I6-I$8)/I$8</f>
        <v>0.22474487139158897</v>
      </c>
      <c r="G18" s="145" t="s">
        <v>62</v>
      </c>
      <c r="I18" s="42">
        <v>0</v>
      </c>
      <c r="J18" s="42">
        <f>M6</f>
        <v>-0.33333333333333337</v>
      </c>
      <c r="L18" s="42">
        <f>B18</f>
        <v>0.5</v>
      </c>
      <c r="M18" s="42">
        <v>0</v>
      </c>
      <c r="N18" s="40" t="s">
        <v>39</v>
      </c>
    </row>
    <row r="19" spans="2:14" x14ac:dyDescent="0.25">
      <c r="B19" s="43">
        <f>A7</f>
        <v>0.25</v>
      </c>
      <c r="C19" s="43">
        <f t="shared" si="6"/>
        <v>0.11803398874989489</v>
      </c>
      <c r="D19" s="43">
        <f t="shared" si="6"/>
        <v>-0.10557280900008413</v>
      </c>
      <c r="E19" s="42">
        <f>(J7-J$8)/J$8</f>
        <v>-0.10557280900008413</v>
      </c>
      <c r="F19" s="42">
        <f>(I7-I$8)/I$8</f>
        <v>0.11803398874989489</v>
      </c>
      <c r="G19" s="145"/>
      <c r="I19" s="42">
        <v>0</v>
      </c>
      <c r="J19" s="42">
        <f t="shared" ref="J19:J22" si="7">M7</f>
        <v>-0.2</v>
      </c>
      <c r="L19" s="42">
        <f t="shared" ref="L19:L22" si="8">B19</f>
        <v>0.25</v>
      </c>
      <c r="M19" s="42">
        <v>0</v>
      </c>
      <c r="N19" s="40" t="s">
        <v>39</v>
      </c>
    </row>
    <row r="20" spans="2:14" x14ac:dyDescent="0.25">
      <c r="B20" s="43">
        <f>A8</f>
        <v>0</v>
      </c>
      <c r="C20" s="43">
        <f t="shared" si="6"/>
        <v>0</v>
      </c>
      <c r="D20" s="43">
        <f t="shared" si="6"/>
        <v>0</v>
      </c>
      <c r="E20" s="42">
        <f>(J8-J$8)/J$8</f>
        <v>0</v>
      </c>
      <c r="F20" s="42">
        <f>(I8-I$8)/I$8</f>
        <v>0</v>
      </c>
      <c r="G20" s="45"/>
      <c r="I20" s="42">
        <v>0</v>
      </c>
      <c r="J20" s="42">
        <f t="shared" si="7"/>
        <v>0</v>
      </c>
      <c r="L20" s="42">
        <f t="shared" si="8"/>
        <v>0</v>
      </c>
      <c r="M20" s="42">
        <v>0</v>
      </c>
      <c r="N20" s="40" t="s">
        <v>40</v>
      </c>
    </row>
    <row r="21" spans="2:14" x14ac:dyDescent="0.25">
      <c r="B21" s="43">
        <f>A9</f>
        <v>-0.25</v>
      </c>
      <c r="C21" s="43">
        <f t="shared" si="6"/>
        <v>-0.1339745962155614</v>
      </c>
      <c r="D21" s="43">
        <f t="shared" si="6"/>
        <v>0.15470053837925138</v>
      </c>
      <c r="E21" s="42">
        <f>(J9-J$8)/J$8</f>
        <v>0.15470053837925138</v>
      </c>
      <c r="F21" s="42">
        <f>(I9-I$8)/I$8</f>
        <v>-0.1339745962155614</v>
      </c>
      <c r="G21" s="145" t="s">
        <v>61</v>
      </c>
      <c r="I21" s="42">
        <v>0</v>
      </c>
      <c r="J21" s="42">
        <f t="shared" si="7"/>
        <v>0.33333333333333326</v>
      </c>
      <c r="L21" s="42">
        <f t="shared" si="8"/>
        <v>-0.25</v>
      </c>
      <c r="M21" s="42">
        <v>0</v>
      </c>
      <c r="N21" s="40" t="s">
        <v>40</v>
      </c>
    </row>
    <row r="22" spans="2:14" x14ac:dyDescent="0.25">
      <c r="B22" s="43">
        <f>A10</f>
        <v>-0.5</v>
      </c>
      <c r="C22" s="43">
        <f t="shared" si="6"/>
        <v>-0.29289321881345243</v>
      </c>
      <c r="D22" s="43">
        <f t="shared" si="6"/>
        <v>0.41421356237309509</v>
      </c>
      <c r="E22" s="42">
        <f>(J10-J$8)/J$8</f>
        <v>0.41421356237309509</v>
      </c>
      <c r="F22" s="42">
        <f>(I10-I$8)/I$8</f>
        <v>-0.29289321881345243</v>
      </c>
      <c r="G22" s="145"/>
      <c r="I22" s="42">
        <v>0</v>
      </c>
      <c r="J22" s="42">
        <f t="shared" si="7"/>
        <v>1</v>
      </c>
      <c r="L22" s="42">
        <f t="shared" si="8"/>
        <v>-0.5</v>
      </c>
      <c r="M22" s="42">
        <v>0</v>
      </c>
      <c r="N22" s="40" t="s">
        <v>40</v>
      </c>
    </row>
    <row r="24" spans="2:14" x14ac:dyDescent="0.25">
      <c r="C24" s="138" t="s">
        <v>71</v>
      </c>
      <c r="D24" s="138"/>
    </row>
    <row r="25" spans="2:14" x14ac:dyDescent="0.25">
      <c r="C25" s="40" t="s">
        <v>29</v>
      </c>
      <c r="D25" s="40" t="s">
        <v>72</v>
      </c>
      <c r="F25" s="51" t="s">
        <v>46</v>
      </c>
      <c r="G25" s="51" t="s">
        <v>55</v>
      </c>
    </row>
    <row r="26" spans="2:14" x14ac:dyDescent="0.25">
      <c r="B26" s="46" t="s">
        <v>0</v>
      </c>
      <c r="C26" s="40" t="s">
        <v>31</v>
      </c>
      <c r="D26" s="40" t="s">
        <v>18</v>
      </c>
      <c r="F26" s="40" t="s">
        <v>45</v>
      </c>
      <c r="G26" s="52" t="s">
        <v>54</v>
      </c>
    </row>
    <row r="27" spans="2:14" x14ac:dyDescent="0.25">
      <c r="B27" s="40" t="s">
        <v>27</v>
      </c>
      <c r="C27" s="40" t="s">
        <v>32</v>
      </c>
      <c r="D27" s="40" t="s">
        <v>18</v>
      </c>
      <c r="F27" s="40" t="s">
        <v>32</v>
      </c>
      <c r="G27" s="40"/>
    </row>
    <row r="28" spans="2:14" x14ac:dyDescent="0.25">
      <c r="B28" s="40" t="s">
        <v>73</v>
      </c>
      <c r="C28" s="40" t="s">
        <v>31</v>
      </c>
      <c r="D28" s="40" t="s">
        <v>32</v>
      </c>
      <c r="F28" s="40" t="s">
        <v>47</v>
      </c>
      <c r="G28" s="40"/>
    </row>
    <row r="29" spans="2:14" x14ac:dyDescent="0.25">
      <c r="B29" s="47" t="s">
        <v>76</v>
      </c>
    </row>
    <row r="30" spans="2:14" x14ac:dyDescent="0.25">
      <c r="B30" s="47" t="s">
        <v>44</v>
      </c>
    </row>
    <row r="32" spans="2:14" x14ac:dyDescent="0.25">
      <c r="C32" s="144" t="s">
        <v>74</v>
      </c>
      <c r="D32" s="144"/>
    </row>
    <row r="33" spans="2:7" x14ac:dyDescent="0.25">
      <c r="C33" s="40" t="s">
        <v>29</v>
      </c>
      <c r="D33" s="40" t="s">
        <v>72</v>
      </c>
      <c r="F33" s="51" t="s">
        <v>46</v>
      </c>
      <c r="G33" s="51" t="s">
        <v>55</v>
      </c>
    </row>
    <row r="34" spans="2:7" x14ac:dyDescent="0.25">
      <c r="B34" s="46" t="s">
        <v>0</v>
      </c>
      <c r="C34" s="40" t="s">
        <v>18</v>
      </c>
      <c r="D34" s="40" t="s">
        <v>31</v>
      </c>
      <c r="F34" s="40" t="s">
        <v>48</v>
      </c>
      <c r="G34" s="52" t="s">
        <v>54</v>
      </c>
    </row>
    <row r="35" spans="2:7" x14ac:dyDescent="0.25">
      <c r="B35" s="40" t="s">
        <v>27</v>
      </c>
      <c r="C35" s="40" t="s">
        <v>32</v>
      </c>
      <c r="D35" s="40" t="s">
        <v>31</v>
      </c>
      <c r="F35" s="40" t="s">
        <v>32</v>
      </c>
      <c r="G35" s="40"/>
    </row>
    <row r="36" spans="2:7" x14ac:dyDescent="0.25">
      <c r="B36" s="40" t="s">
        <v>73</v>
      </c>
      <c r="C36" s="40" t="s">
        <v>18</v>
      </c>
      <c r="D36" s="40" t="s">
        <v>32</v>
      </c>
      <c r="F36" s="40" t="s">
        <v>75</v>
      </c>
      <c r="G36" s="40"/>
    </row>
    <row r="37" spans="2:7" x14ac:dyDescent="0.25">
      <c r="B37" s="47" t="s">
        <v>77</v>
      </c>
    </row>
    <row r="38" spans="2:7" x14ac:dyDescent="0.25">
      <c r="B38" s="49" t="s">
        <v>78</v>
      </c>
    </row>
    <row r="40" spans="2:7" x14ac:dyDescent="0.25">
      <c r="E40" s="54" t="s">
        <v>80</v>
      </c>
    </row>
  </sheetData>
  <mergeCells count="7">
    <mergeCell ref="C32:D32"/>
    <mergeCell ref="C15:F15"/>
    <mergeCell ref="I15:J15"/>
    <mergeCell ref="L15:M15"/>
    <mergeCell ref="G18:G19"/>
    <mergeCell ref="G21:G22"/>
    <mergeCell ref="C24:D24"/>
  </mergeCells>
  <conditionalFormatting sqref="B18:G19 B21:G22">
    <cfRule type="cellIs" dxfId="5" priority="6" operator="lessThan">
      <formula>0</formula>
    </cfRule>
  </conditionalFormatting>
  <conditionalFormatting sqref="I18:J18 I21:I22 I19 J19:J22">
    <cfRule type="cellIs" dxfId="4" priority="5" operator="lessThan">
      <formula>0</formula>
    </cfRule>
  </conditionalFormatting>
  <conditionalFormatting sqref="L18:M18 M21:M22 M19 L19:L22">
    <cfRule type="cellIs" dxfId="3" priority="4" operator="lessThan">
      <formula>0</formula>
    </cfRule>
  </conditionalFormatting>
  <conditionalFormatting sqref="B20:G20">
    <cfRule type="cellIs" dxfId="2" priority="3" operator="lessThan">
      <formula>0</formula>
    </cfRule>
  </conditionalFormatting>
  <conditionalFormatting sqref="I20">
    <cfRule type="cellIs" dxfId="1" priority="2" operator="lessThan">
      <formula>0</formula>
    </cfRule>
  </conditionalFormatting>
  <conditionalFormatting sqref="M20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PoolData</vt:lpstr>
      <vt:lpstr>Impermanent Loss</vt:lpstr>
      <vt:lpstr>Your Pooling</vt:lpstr>
      <vt:lpstr>Basic_Pool Stats</vt:lpstr>
      <vt:lpstr>FSN_XXX Graph</vt:lpstr>
      <vt:lpstr>FSN_aUSDT</vt:lpstr>
      <vt:lpstr>Basic_Fusion_aUSDT</vt:lpstr>
      <vt:lpstr>Basic_Fusion_ANY(orXXX)</vt:lpstr>
      <vt:lpstr>ANYFSN</vt:lpstr>
      <vt:lpstr>DAILYANY</vt:lpstr>
      <vt:lpstr>FEEREWARDS</vt:lpstr>
      <vt:lpstr>FSNPRICE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2020-09-12T03:05:58Z</dcterms:created>
  <dcterms:modified xsi:type="dcterms:W3CDTF">2020-09-13T03:09:58Z</dcterms:modified>
</cp:coreProperties>
</file>
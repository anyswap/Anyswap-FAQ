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filterPrivacy="1" codeName="ThisWorkbook" defaultThemeVersion="166925"/>
  <xr:revisionPtr revIDLastSave="0" documentId="13_ncr:1_{AB565199-6C0A-4B5C-9FEE-ADF84D120504}" xr6:coauthVersionLast="45" xr6:coauthVersionMax="45" xr10:uidLastSave="{00000000-0000-0000-0000-000000000000}"/>
  <bookViews>
    <workbookView xWindow="-120" yWindow="-120" windowWidth="29040" windowHeight="15840" xr2:uid="{88AC6065-28B9-4782-9BCA-B31E3DD0B4B4}"/>
  </bookViews>
  <sheets>
    <sheet name="PoolData" sheetId="11" r:id="rId1"/>
    <sheet name="Your Pooling" sheetId="14" r:id="rId2"/>
    <sheet name="Basic_Pool Stats" sheetId="17" r:id="rId3"/>
    <sheet name="Impermanent Loss" sheetId="18" r:id="rId4"/>
    <sheet name="FSN_XXX Graph" sheetId="13" r:id="rId5"/>
    <sheet name="FSN_aUSDT" sheetId="7" r:id="rId6"/>
    <sheet name="Basic_Fusion_aUSDT" sheetId="9" r:id="rId7"/>
    <sheet name="Basic_Fusion_ANY(orXXX)" sheetId="10" r:id="rId8"/>
  </sheets>
  <definedNames>
    <definedName name="ANYFSN">PoolData!$D$4</definedName>
    <definedName name="DAILYANY">PoolData!$D$3</definedName>
    <definedName name="FEEREWARDS">PoolData!$D$2</definedName>
    <definedName name="FSNPRICE">PoolData!$D$5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8" i="17" l="1"/>
  <c r="G8" i="17" s="1"/>
  <c r="F9" i="17" l="1"/>
  <c r="Q8" i="18" l="1"/>
  <c r="T8" i="18" s="1"/>
  <c r="N8" i="18"/>
  <c r="J8" i="18"/>
  <c r="F8" i="18"/>
  <c r="F13" i="11" l="1"/>
  <c r="C9" i="18" l="1"/>
  <c r="Q9" i="18"/>
  <c r="N9" i="18"/>
  <c r="J9" i="18"/>
  <c r="F9" i="18"/>
  <c r="T6" i="18"/>
  <c r="T7" i="18"/>
  <c r="T5" i="18"/>
  <c r="C5" i="18"/>
  <c r="N7" i="18"/>
  <c r="N6" i="18"/>
  <c r="N5" i="18"/>
  <c r="Q6" i="18"/>
  <c r="Q7" i="18"/>
  <c r="Q5" i="18"/>
  <c r="J7" i="18"/>
  <c r="F7" i="18"/>
  <c r="J6" i="18"/>
  <c r="F6" i="18"/>
  <c r="J5" i="18"/>
  <c r="F5" i="18"/>
  <c r="T9" i="18" l="1"/>
  <c r="D4" i="13"/>
  <c r="D3" i="13"/>
  <c r="K3" i="13" s="1"/>
  <c r="A49" i="17" l="1"/>
  <c r="A65" i="17"/>
  <c r="A81" i="17"/>
  <c r="A97" i="17"/>
  <c r="C100" i="17"/>
  <c r="B100" i="17"/>
  <c r="C99" i="17"/>
  <c r="B99" i="17"/>
  <c r="C98" i="17"/>
  <c r="B98" i="17"/>
  <c r="C97" i="17"/>
  <c r="B97" i="17"/>
  <c r="C96" i="17"/>
  <c r="B96" i="17"/>
  <c r="C95" i="17"/>
  <c r="B95" i="17"/>
  <c r="C94" i="17"/>
  <c r="B94" i="17"/>
  <c r="C93" i="17"/>
  <c r="B93" i="17"/>
  <c r="C92" i="17"/>
  <c r="B92" i="17"/>
  <c r="C91" i="17"/>
  <c r="B91" i="17"/>
  <c r="C90" i="17"/>
  <c r="B90" i="17"/>
  <c r="C89" i="17"/>
  <c r="B89" i="17"/>
  <c r="C88" i="17"/>
  <c r="B88" i="17"/>
  <c r="C87" i="17"/>
  <c r="B87" i="17"/>
  <c r="C86" i="17"/>
  <c r="B86" i="17"/>
  <c r="C85" i="17"/>
  <c r="B85" i="17"/>
  <c r="C84" i="17"/>
  <c r="B84" i="17"/>
  <c r="C83" i="17"/>
  <c r="B83" i="17"/>
  <c r="C82" i="17"/>
  <c r="B82" i="17"/>
  <c r="C81" i="17"/>
  <c r="B81" i="17"/>
  <c r="C80" i="17"/>
  <c r="B80" i="17"/>
  <c r="C79" i="17"/>
  <c r="B79" i="17"/>
  <c r="C78" i="17"/>
  <c r="B78" i="17"/>
  <c r="C77" i="17"/>
  <c r="B77" i="17"/>
  <c r="C76" i="17"/>
  <c r="B76" i="17"/>
  <c r="C75" i="17"/>
  <c r="B75" i="17"/>
  <c r="C74" i="17"/>
  <c r="B74" i="17"/>
  <c r="C73" i="17"/>
  <c r="B73" i="17"/>
  <c r="C72" i="17"/>
  <c r="B72" i="17"/>
  <c r="C71" i="17"/>
  <c r="B71" i="17"/>
  <c r="C70" i="17"/>
  <c r="B70" i="17"/>
  <c r="C69" i="17"/>
  <c r="B69" i="17"/>
  <c r="C68" i="17"/>
  <c r="B68" i="17"/>
  <c r="C67" i="17"/>
  <c r="B67" i="17"/>
  <c r="C66" i="17"/>
  <c r="B66" i="17"/>
  <c r="C65" i="17"/>
  <c r="B65" i="17"/>
  <c r="C64" i="17"/>
  <c r="B64" i="17"/>
  <c r="C63" i="17"/>
  <c r="B63" i="17"/>
  <c r="C62" i="17"/>
  <c r="B62" i="17"/>
  <c r="C61" i="17"/>
  <c r="B61" i="17"/>
  <c r="C60" i="17"/>
  <c r="B60" i="17"/>
  <c r="C59" i="17"/>
  <c r="B59" i="17"/>
  <c r="C58" i="17"/>
  <c r="B58" i="17"/>
  <c r="C57" i="17"/>
  <c r="B57" i="17"/>
  <c r="C56" i="17"/>
  <c r="B56" i="17"/>
  <c r="C55" i="17"/>
  <c r="B55" i="17"/>
  <c r="C54" i="17"/>
  <c r="B54" i="17"/>
  <c r="C53" i="17"/>
  <c r="B53" i="17"/>
  <c r="C52" i="17"/>
  <c r="B52" i="17"/>
  <c r="C51" i="17"/>
  <c r="B51" i="17"/>
  <c r="C50" i="17"/>
  <c r="B50" i="17"/>
  <c r="C49" i="17"/>
  <c r="B49" i="17"/>
  <c r="C48" i="17"/>
  <c r="B48" i="17"/>
  <c r="C47" i="17"/>
  <c r="B47" i="17"/>
  <c r="C46" i="17"/>
  <c r="B46" i="17"/>
  <c r="C45" i="17"/>
  <c r="B45" i="17"/>
  <c r="C44" i="17"/>
  <c r="B44" i="17"/>
  <c r="C43" i="17"/>
  <c r="B43" i="17"/>
  <c r="C42" i="17"/>
  <c r="B42" i="17"/>
  <c r="C41" i="17"/>
  <c r="B41" i="17"/>
  <c r="C40" i="17"/>
  <c r="B40" i="17"/>
  <c r="C39" i="17"/>
  <c r="B39" i="17"/>
  <c r="C38" i="17"/>
  <c r="B38" i="17"/>
  <c r="C37" i="17"/>
  <c r="B37" i="17"/>
  <c r="C36" i="17"/>
  <c r="B36" i="17"/>
  <c r="C35" i="17"/>
  <c r="B35" i="17"/>
  <c r="C34" i="17"/>
  <c r="B34" i="17"/>
  <c r="C33" i="17"/>
  <c r="B33" i="17"/>
  <c r="C32" i="17"/>
  <c r="B32" i="17"/>
  <c r="H34" i="11"/>
  <c r="H42" i="11"/>
  <c r="H50" i="11"/>
  <c r="H58" i="11"/>
  <c r="H66" i="11"/>
  <c r="H74" i="11"/>
  <c r="H82" i="11"/>
  <c r="H90" i="11"/>
  <c r="H98" i="11"/>
  <c r="A100" i="11"/>
  <c r="Y94" i="18" s="1"/>
  <c r="A99" i="11"/>
  <c r="A98" i="11"/>
  <c r="Y92" i="18" s="1"/>
  <c r="A97" i="11"/>
  <c r="A96" i="11"/>
  <c r="A95" i="11"/>
  <c r="A94" i="11"/>
  <c r="Y88" i="18" s="1"/>
  <c r="A93" i="11"/>
  <c r="A92" i="11"/>
  <c r="A91" i="11"/>
  <c r="A90" i="11"/>
  <c r="Y84" i="18" s="1"/>
  <c r="A89" i="11"/>
  <c r="A88" i="11"/>
  <c r="A87" i="11"/>
  <c r="A86" i="11"/>
  <c r="Y80" i="18" s="1"/>
  <c r="A85" i="11"/>
  <c r="A84" i="11"/>
  <c r="A83" i="11"/>
  <c r="A82" i="11"/>
  <c r="Y76" i="18" s="1"/>
  <c r="A81" i="11"/>
  <c r="A80" i="11"/>
  <c r="A79" i="11"/>
  <c r="A78" i="11"/>
  <c r="Y72" i="18" s="1"/>
  <c r="A77" i="11"/>
  <c r="A76" i="11"/>
  <c r="A75" i="11"/>
  <c r="A74" i="11"/>
  <c r="Y68" i="18" s="1"/>
  <c r="A73" i="11"/>
  <c r="A72" i="11"/>
  <c r="A71" i="11"/>
  <c r="A70" i="11"/>
  <c r="Y64" i="18" s="1"/>
  <c r="A69" i="11"/>
  <c r="A68" i="11"/>
  <c r="A67" i="11"/>
  <c r="A66" i="11"/>
  <c r="Y60" i="18" s="1"/>
  <c r="A65" i="11"/>
  <c r="A64" i="11"/>
  <c r="A63" i="11"/>
  <c r="A62" i="11"/>
  <c r="Y56" i="18" s="1"/>
  <c r="A61" i="11"/>
  <c r="A60" i="11"/>
  <c r="A59" i="11"/>
  <c r="A58" i="11"/>
  <c r="Y52" i="18" s="1"/>
  <c r="A57" i="11"/>
  <c r="A56" i="11"/>
  <c r="A55" i="11"/>
  <c r="A54" i="11"/>
  <c r="Y48" i="18" s="1"/>
  <c r="A53" i="11"/>
  <c r="A52" i="11"/>
  <c r="A51" i="11"/>
  <c r="A50" i="11"/>
  <c r="Y44" i="18" s="1"/>
  <c r="A49" i="11"/>
  <c r="A48" i="11"/>
  <c r="A47" i="11"/>
  <c r="A46" i="11"/>
  <c r="Y40" i="18" s="1"/>
  <c r="A45" i="11"/>
  <c r="A44" i="11"/>
  <c r="A43" i="11"/>
  <c r="A42" i="11"/>
  <c r="Y36" i="18" s="1"/>
  <c r="A41" i="11"/>
  <c r="A40" i="11"/>
  <c r="A39" i="11"/>
  <c r="A38" i="11"/>
  <c r="Y32" i="18" s="1"/>
  <c r="A37" i="11"/>
  <c r="A36" i="11"/>
  <c r="A35" i="11"/>
  <c r="A34" i="11"/>
  <c r="Y28" i="18" s="1"/>
  <c r="A33" i="11"/>
  <c r="D8" i="11"/>
  <c r="P100" i="11"/>
  <c r="F100" i="11"/>
  <c r="B100" i="11"/>
  <c r="P99" i="11"/>
  <c r="F99" i="11"/>
  <c r="B99" i="11"/>
  <c r="P98" i="11"/>
  <c r="F98" i="11"/>
  <c r="B98" i="11"/>
  <c r="P97" i="11"/>
  <c r="F97" i="11"/>
  <c r="B97" i="11"/>
  <c r="P96" i="11"/>
  <c r="F96" i="11"/>
  <c r="B96" i="11"/>
  <c r="P95" i="11"/>
  <c r="F95" i="11"/>
  <c r="B95" i="11"/>
  <c r="P94" i="11"/>
  <c r="F94" i="11"/>
  <c r="B94" i="11"/>
  <c r="P93" i="11"/>
  <c r="F93" i="11"/>
  <c r="B93" i="11"/>
  <c r="P92" i="11"/>
  <c r="F92" i="11"/>
  <c r="B92" i="11"/>
  <c r="P91" i="11"/>
  <c r="F91" i="11"/>
  <c r="B91" i="11"/>
  <c r="P90" i="11"/>
  <c r="F90" i="11"/>
  <c r="B90" i="11"/>
  <c r="P89" i="11"/>
  <c r="F89" i="11"/>
  <c r="B89" i="11"/>
  <c r="P88" i="11"/>
  <c r="F88" i="11"/>
  <c r="B88" i="11"/>
  <c r="P87" i="11"/>
  <c r="F87" i="11"/>
  <c r="B87" i="11"/>
  <c r="P86" i="11"/>
  <c r="F86" i="11"/>
  <c r="B86" i="11"/>
  <c r="P85" i="11"/>
  <c r="F85" i="11"/>
  <c r="B85" i="11"/>
  <c r="P84" i="11"/>
  <c r="F84" i="11"/>
  <c r="B84" i="11"/>
  <c r="P83" i="11"/>
  <c r="F83" i="11"/>
  <c r="B83" i="11"/>
  <c r="P82" i="11"/>
  <c r="F82" i="11"/>
  <c r="B82" i="11"/>
  <c r="P81" i="11"/>
  <c r="F81" i="11"/>
  <c r="B81" i="11"/>
  <c r="P80" i="11"/>
  <c r="F80" i="11"/>
  <c r="B80" i="11"/>
  <c r="P79" i="11"/>
  <c r="F79" i="11"/>
  <c r="B79" i="11"/>
  <c r="P78" i="11"/>
  <c r="F78" i="11"/>
  <c r="B78" i="11"/>
  <c r="P77" i="11"/>
  <c r="F77" i="11"/>
  <c r="B77" i="11"/>
  <c r="P76" i="11"/>
  <c r="F76" i="11"/>
  <c r="B76" i="11"/>
  <c r="P75" i="11"/>
  <c r="F75" i="11"/>
  <c r="B75" i="11"/>
  <c r="P74" i="11"/>
  <c r="F74" i="11"/>
  <c r="B74" i="11"/>
  <c r="P73" i="11"/>
  <c r="F73" i="11"/>
  <c r="B73" i="11"/>
  <c r="P72" i="11"/>
  <c r="F72" i="11"/>
  <c r="B72" i="11"/>
  <c r="P71" i="11"/>
  <c r="F71" i="11"/>
  <c r="B71" i="11"/>
  <c r="P70" i="11"/>
  <c r="F70" i="11"/>
  <c r="B70" i="11"/>
  <c r="P69" i="11"/>
  <c r="F69" i="11"/>
  <c r="B69" i="11"/>
  <c r="P68" i="11"/>
  <c r="F68" i="11"/>
  <c r="B68" i="11"/>
  <c r="P67" i="11"/>
  <c r="F67" i="11"/>
  <c r="B67" i="11"/>
  <c r="P66" i="11"/>
  <c r="F66" i="11"/>
  <c r="B66" i="11"/>
  <c r="P65" i="11"/>
  <c r="F65" i="11"/>
  <c r="B65" i="11"/>
  <c r="P64" i="11"/>
  <c r="F64" i="11"/>
  <c r="B64" i="11"/>
  <c r="P63" i="11"/>
  <c r="F63" i="11"/>
  <c r="B63" i="11"/>
  <c r="P62" i="11"/>
  <c r="F62" i="11"/>
  <c r="B62" i="11"/>
  <c r="P61" i="11"/>
  <c r="F61" i="11"/>
  <c r="B61" i="11"/>
  <c r="P60" i="11"/>
  <c r="F60" i="11"/>
  <c r="B60" i="11"/>
  <c r="P59" i="11"/>
  <c r="F59" i="11"/>
  <c r="B59" i="11"/>
  <c r="P58" i="11"/>
  <c r="F58" i="11"/>
  <c r="B58" i="11"/>
  <c r="P57" i="11"/>
  <c r="F57" i="11"/>
  <c r="B57" i="11"/>
  <c r="P56" i="11"/>
  <c r="F56" i="11"/>
  <c r="B56" i="11"/>
  <c r="P55" i="11"/>
  <c r="F55" i="11"/>
  <c r="B55" i="11"/>
  <c r="P54" i="11"/>
  <c r="F54" i="11"/>
  <c r="B54" i="11"/>
  <c r="P53" i="11"/>
  <c r="F53" i="11"/>
  <c r="B53" i="11"/>
  <c r="P52" i="11"/>
  <c r="F52" i="11"/>
  <c r="B52" i="11"/>
  <c r="P51" i="11"/>
  <c r="F51" i="11"/>
  <c r="B51" i="11"/>
  <c r="P50" i="11"/>
  <c r="F50" i="11"/>
  <c r="B50" i="11"/>
  <c r="P49" i="11"/>
  <c r="F49" i="11"/>
  <c r="B49" i="11"/>
  <c r="P48" i="11"/>
  <c r="F48" i="11"/>
  <c r="B48" i="11"/>
  <c r="P47" i="11"/>
  <c r="F47" i="11"/>
  <c r="B47" i="11"/>
  <c r="P46" i="11"/>
  <c r="F46" i="11"/>
  <c r="B46" i="11"/>
  <c r="P45" i="11"/>
  <c r="F45" i="11"/>
  <c r="B45" i="11"/>
  <c r="P44" i="11"/>
  <c r="F44" i="11"/>
  <c r="B44" i="11"/>
  <c r="P43" i="11"/>
  <c r="F43" i="11"/>
  <c r="B43" i="11"/>
  <c r="P42" i="11"/>
  <c r="F42" i="11"/>
  <c r="B42" i="11"/>
  <c r="P41" i="11"/>
  <c r="F41" i="11"/>
  <c r="B41" i="11"/>
  <c r="P40" i="11"/>
  <c r="F40" i="11"/>
  <c r="B40" i="11"/>
  <c r="P39" i="11"/>
  <c r="F39" i="11"/>
  <c r="B39" i="11"/>
  <c r="P38" i="11"/>
  <c r="F38" i="11"/>
  <c r="B38" i="11"/>
  <c r="P37" i="11"/>
  <c r="F37" i="11"/>
  <c r="B37" i="11"/>
  <c r="P36" i="11"/>
  <c r="F36" i="11"/>
  <c r="B36" i="11"/>
  <c r="P35" i="11"/>
  <c r="F35" i="11"/>
  <c r="B35" i="11"/>
  <c r="P34" i="11"/>
  <c r="F34" i="11"/>
  <c r="B34" i="11"/>
  <c r="P33" i="11"/>
  <c r="F33" i="11"/>
  <c r="B33" i="11"/>
  <c r="H94" i="11" l="1"/>
  <c r="H86" i="11"/>
  <c r="H78" i="11"/>
  <c r="H70" i="11"/>
  <c r="H62" i="11"/>
  <c r="H54" i="11"/>
  <c r="H46" i="11"/>
  <c r="H38" i="11"/>
  <c r="A89" i="17"/>
  <c r="A73" i="17"/>
  <c r="A57" i="17"/>
  <c r="A41" i="17"/>
  <c r="G98" i="11"/>
  <c r="G90" i="11"/>
  <c r="G82" i="11"/>
  <c r="I82" i="11" s="1"/>
  <c r="G74" i="11"/>
  <c r="I74" i="11" s="1"/>
  <c r="G66" i="11"/>
  <c r="G58" i="11"/>
  <c r="G50" i="11"/>
  <c r="G42" i="11"/>
  <c r="I42" i="11" s="1"/>
  <c r="G34" i="11"/>
  <c r="A93" i="17"/>
  <c r="A77" i="17"/>
  <c r="A61" i="17"/>
  <c r="A45" i="17"/>
  <c r="G94" i="11"/>
  <c r="G86" i="11"/>
  <c r="G78" i="11"/>
  <c r="I78" i="11" s="1"/>
  <c r="G70" i="11"/>
  <c r="G62" i="11"/>
  <c r="G54" i="11"/>
  <c r="G46" i="11"/>
  <c r="I46" i="11" s="1"/>
  <c r="G38" i="11"/>
  <c r="A85" i="17"/>
  <c r="A69" i="17"/>
  <c r="A53" i="17"/>
  <c r="A37" i="17"/>
  <c r="Y30" i="18"/>
  <c r="G36" i="11"/>
  <c r="A39" i="17"/>
  <c r="H36" i="11"/>
  <c r="Y38" i="18"/>
  <c r="G44" i="11"/>
  <c r="A47" i="17"/>
  <c r="H44" i="11"/>
  <c r="Y46" i="18"/>
  <c r="G52" i="11"/>
  <c r="A55" i="17"/>
  <c r="H52" i="11"/>
  <c r="Y54" i="18"/>
  <c r="G60" i="11"/>
  <c r="A63" i="17"/>
  <c r="H60" i="11"/>
  <c r="Y62" i="18"/>
  <c r="G68" i="11"/>
  <c r="A71" i="17"/>
  <c r="H68" i="11"/>
  <c r="Y70" i="18"/>
  <c r="G76" i="11"/>
  <c r="A79" i="17"/>
  <c r="H76" i="11"/>
  <c r="Y78" i="18"/>
  <c r="G84" i="11"/>
  <c r="A87" i="17"/>
  <c r="H84" i="11"/>
  <c r="Y82" i="18"/>
  <c r="G88" i="11"/>
  <c r="A91" i="17"/>
  <c r="H88" i="11"/>
  <c r="Y86" i="18"/>
  <c r="G92" i="11"/>
  <c r="A95" i="17"/>
  <c r="H92" i="11"/>
  <c r="Y90" i="18"/>
  <c r="G96" i="11"/>
  <c r="A99" i="17"/>
  <c r="H96" i="11"/>
  <c r="Y31" i="18"/>
  <c r="A40" i="17"/>
  <c r="G37" i="11"/>
  <c r="Y39" i="18"/>
  <c r="A48" i="17"/>
  <c r="G45" i="11"/>
  <c r="Y43" i="18"/>
  <c r="A52" i="17"/>
  <c r="G49" i="11"/>
  <c r="Y51" i="18"/>
  <c r="A60" i="17"/>
  <c r="G57" i="11"/>
  <c r="Y55" i="18"/>
  <c r="A64" i="17"/>
  <c r="G61" i="11"/>
  <c r="Y59" i="18"/>
  <c r="A68" i="17"/>
  <c r="G65" i="11"/>
  <c r="Y63" i="18"/>
  <c r="A72" i="17"/>
  <c r="G69" i="11"/>
  <c r="Y67" i="18"/>
  <c r="A76" i="17"/>
  <c r="G73" i="11"/>
  <c r="Y75" i="18"/>
  <c r="A84" i="17"/>
  <c r="G81" i="11"/>
  <c r="Y79" i="18"/>
  <c r="A88" i="17"/>
  <c r="G85" i="11"/>
  <c r="Y83" i="18"/>
  <c r="A92" i="17"/>
  <c r="G89" i="11"/>
  <c r="Y87" i="18"/>
  <c r="A96" i="17"/>
  <c r="G93" i="11"/>
  <c r="Y91" i="18"/>
  <c r="A100" i="17"/>
  <c r="G97" i="11"/>
  <c r="H100" i="11"/>
  <c r="Y34" i="18"/>
  <c r="G40" i="11"/>
  <c r="A43" i="17"/>
  <c r="H40" i="11"/>
  <c r="Y42" i="18"/>
  <c r="G48" i="11"/>
  <c r="A51" i="17"/>
  <c r="H48" i="11"/>
  <c r="Y58" i="18"/>
  <c r="G64" i="11"/>
  <c r="A67" i="17"/>
  <c r="H64" i="11"/>
  <c r="Y66" i="18"/>
  <c r="G72" i="11"/>
  <c r="A75" i="17"/>
  <c r="H72" i="11"/>
  <c r="Y74" i="18"/>
  <c r="G80" i="11"/>
  <c r="A83" i="17"/>
  <c r="H80" i="11"/>
  <c r="AB94" i="18"/>
  <c r="Z94" i="18"/>
  <c r="Y27" i="18"/>
  <c r="A36" i="17"/>
  <c r="G33" i="11"/>
  <c r="H33" i="11"/>
  <c r="I33" i="11" s="1"/>
  <c r="Y35" i="18"/>
  <c r="A44" i="17"/>
  <c r="G41" i="11"/>
  <c r="Y47" i="18"/>
  <c r="A56" i="17"/>
  <c r="G53" i="11"/>
  <c r="Y71" i="18"/>
  <c r="A80" i="17"/>
  <c r="G77" i="11"/>
  <c r="G100" i="11"/>
  <c r="I100" i="11" s="1"/>
  <c r="H97" i="11"/>
  <c r="H93" i="11"/>
  <c r="H89" i="11"/>
  <c r="I89" i="11" s="1"/>
  <c r="H85" i="11"/>
  <c r="H81" i="11"/>
  <c r="H77" i="11"/>
  <c r="H73" i="11"/>
  <c r="H69" i="11"/>
  <c r="I69" i="11" s="1"/>
  <c r="H65" i="11"/>
  <c r="H61" i="11"/>
  <c r="H57" i="11"/>
  <c r="H53" i="11"/>
  <c r="H49" i="11"/>
  <c r="I49" i="11" s="1"/>
  <c r="H45" i="11"/>
  <c r="H41" i="11"/>
  <c r="I41" i="11" s="1"/>
  <c r="H37" i="11"/>
  <c r="Y50" i="18"/>
  <c r="G56" i="11"/>
  <c r="A59" i="17"/>
  <c r="H56" i="11"/>
  <c r="Y29" i="18"/>
  <c r="A38" i="17"/>
  <c r="G35" i="11"/>
  <c r="Y33" i="18"/>
  <c r="A42" i="17"/>
  <c r="G39" i="11"/>
  <c r="Y37" i="18"/>
  <c r="A46" i="17"/>
  <c r="G43" i="11"/>
  <c r="Y41" i="18"/>
  <c r="A50" i="17"/>
  <c r="G47" i="11"/>
  <c r="Y45" i="18"/>
  <c r="A54" i="17"/>
  <c r="G51" i="11"/>
  <c r="Y49" i="18"/>
  <c r="A58" i="17"/>
  <c r="G55" i="11"/>
  <c r="Y53" i="18"/>
  <c r="A62" i="17"/>
  <c r="G59" i="11"/>
  <c r="Y57" i="18"/>
  <c r="A66" i="17"/>
  <c r="G63" i="11"/>
  <c r="Y61" i="18"/>
  <c r="A70" i="17"/>
  <c r="G67" i="11"/>
  <c r="Y65" i="18"/>
  <c r="A74" i="17"/>
  <c r="G71" i="11"/>
  <c r="Y69" i="18"/>
  <c r="A78" i="17"/>
  <c r="G75" i="11"/>
  <c r="Y73" i="18"/>
  <c r="A82" i="17"/>
  <c r="G79" i="11"/>
  <c r="Y77" i="18"/>
  <c r="A86" i="17"/>
  <c r="G83" i="11"/>
  <c r="Y81" i="18"/>
  <c r="A90" i="17"/>
  <c r="G87" i="11"/>
  <c r="Y85" i="18"/>
  <c r="A94" i="17"/>
  <c r="G91" i="11"/>
  <c r="Y89" i="18"/>
  <c r="A98" i="17"/>
  <c r="G95" i="11"/>
  <c r="Y93" i="18"/>
  <c r="G99" i="11"/>
  <c r="H99" i="11"/>
  <c r="H95" i="11"/>
  <c r="H91" i="11"/>
  <c r="H87" i="11"/>
  <c r="H83" i="11"/>
  <c r="H79" i="11"/>
  <c r="H75" i="11"/>
  <c r="H71" i="11"/>
  <c r="H67" i="11"/>
  <c r="H63" i="11"/>
  <c r="H59" i="11"/>
  <c r="H55" i="11"/>
  <c r="H51" i="11"/>
  <c r="H47" i="11"/>
  <c r="H43" i="11"/>
  <c r="H39" i="11"/>
  <c r="H35" i="11"/>
  <c r="Z28" i="18"/>
  <c r="AB28" i="18"/>
  <c r="AB32" i="18"/>
  <c r="Z32" i="18"/>
  <c r="Z36" i="18"/>
  <c r="AB36" i="18"/>
  <c r="Z40" i="18"/>
  <c r="AB40" i="18"/>
  <c r="AB44" i="18"/>
  <c r="Z44" i="18"/>
  <c r="Z48" i="18"/>
  <c r="AB48" i="18"/>
  <c r="AB52" i="18"/>
  <c r="Z52" i="18"/>
  <c r="Z56" i="18"/>
  <c r="AB56" i="18"/>
  <c r="AB60" i="18"/>
  <c r="Z60" i="18"/>
  <c r="Z64" i="18"/>
  <c r="AB64" i="18"/>
  <c r="Z68" i="18"/>
  <c r="AB68" i="18"/>
  <c r="AB72" i="18"/>
  <c r="Z72" i="18"/>
  <c r="Z76" i="18"/>
  <c r="AB76" i="18"/>
  <c r="AB80" i="18"/>
  <c r="Z80" i="18"/>
  <c r="Z84" i="18"/>
  <c r="AB84" i="18"/>
  <c r="Z88" i="18"/>
  <c r="AB88" i="18"/>
  <c r="AB92" i="18"/>
  <c r="Z92" i="18"/>
  <c r="I50" i="11"/>
  <c r="I66" i="11"/>
  <c r="I90" i="11"/>
  <c r="I62" i="11"/>
  <c r="I58" i="11"/>
  <c r="I54" i="11"/>
  <c r="I34" i="11"/>
  <c r="I91" i="11"/>
  <c r="I59" i="11"/>
  <c r="I43" i="11"/>
  <c r="I94" i="11"/>
  <c r="I98" i="11"/>
  <c r="F12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11" i="11"/>
  <c r="I55" i="11" l="1"/>
  <c r="I97" i="11"/>
  <c r="I81" i="11"/>
  <c r="I77" i="11"/>
  <c r="I61" i="11"/>
  <c r="I38" i="11"/>
  <c r="I70" i="11"/>
  <c r="I65" i="11"/>
  <c r="I86" i="11"/>
  <c r="I92" i="11"/>
  <c r="I51" i="11"/>
  <c r="I72" i="11"/>
  <c r="I67" i="11"/>
  <c r="I35" i="11"/>
  <c r="I99" i="11"/>
  <c r="I71" i="11"/>
  <c r="I39" i="11"/>
  <c r="I45" i="11"/>
  <c r="I88" i="11"/>
  <c r="I44" i="11"/>
  <c r="I83" i="11"/>
  <c r="I87" i="11"/>
  <c r="I75" i="11"/>
  <c r="I56" i="11"/>
  <c r="I37" i="11"/>
  <c r="I85" i="11"/>
  <c r="I80" i="11"/>
  <c r="I64" i="11"/>
  <c r="I48" i="11"/>
  <c r="I40" i="11"/>
  <c r="I96" i="11"/>
  <c r="I84" i="11"/>
  <c r="I76" i="11"/>
  <c r="I68" i="11"/>
  <c r="I60" i="11"/>
  <c r="I52" i="11"/>
  <c r="I36" i="11"/>
  <c r="I95" i="11"/>
  <c r="I79" i="11"/>
  <c r="I63" i="11"/>
  <c r="I47" i="11"/>
  <c r="I53" i="11"/>
  <c r="I93" i="11"/>
  <c r="I73" i="11"/>
  <c r="I57" i="11"/>
  <c r="Z81" i="18"/>
  <c r="AB81" i="18"/>
  <c r="Z85" i="18"/>
  <c r="AB85" i="18"/>
  <c r="Z69" i="18"/>
  <c r="AB69" i="18"/>
  <c r="Z53" i="18"/>
  <c r="AB53" i="18"/>
  <c r="Z37" i="18"/>
  <c r="AB37" i="18"/>
  <c r="AB35" i="18"/>
  <c r="Z35" i="18"/>
  <c r="AB27" i="18"/>
  <c r="Z27" i="18"/>
  <c r="AB83" i="18"/>
  <c r="Z83" i="18"/>
  <c r="AB63" i="18"/>
  <c r="Z63" i="18"/>
  <c r="AB43" i="18"/>
  <c r="Z43" i="18"/>
  <c r="AB59" i="18"/>
  <c r="Z59" i="18"/>
  <c r="Z89" i="18"/>
  <c r="AB89" i="18"/>
  <c r="Z73" i="18"/>
  <c r="AB73" i="18"/>
  <c r="Z57" i="18"/>
  <c r="AB57" i="18"/>
  <c r="Z41" i="18"/>
  <c r="AB41" i="18"/>
  <c r="AB47" i="18"/>
  <c r="Z47" i="18"/>
  <c r="AB87" i="18"/>
  <c r="Z87" i="18"/>
  <c r="AB67" i="18"/>
  <c r="Z67" i="18"/>
  <c r="AB51" i="18"/>
  <c r="Z51" i="18"/>
  <c r="Z65" i="18"/>
  <c r="AB65" i="18"/>
  <c r="Z49" i="18"/>
  <c r="AB49" i="18"/>
  <c r="Z33" i="18"/>
  <c r="AB33" i="18"/>
  <c r="AB79" i="18"/>
  <c r="Z79" i="18"/>
  <c r="AB39" i="18"/>
  <c r="Z39" i="18"/>
  <c r="Z93" i="18"/>
  <c r="AB93" i="18"/>
  <c r="Z77" i="18"/>
  <c r="AB77" i="18"/>
  <c r="Z61" i="18"/>
  <c r="AB61" i="18"/>
  <c r="Z45" i="18"/>
  <c r="AB45" i="18"/>
  <c r="Z29" i="18"/>
  <c r="AB29" i="18"/>
  <c r="AB50" i="18"/>
  <c r="Z50" i="18"/>
  <c r="AB71" i="18"/>
  <c r="Z71" i="18"/>
  <c r="AB74" i="18"/>
  <c r="Z74" i="18"/>
  <c r="AB66" i="18"/>
  <c r="Z66" i="18"/>
  <c r="AB58" i="18"/>
  <c r="Z58" i="18"/>
  <c r="AB42" i="18"/>
  <c r="Z42" i="18"/>
  <c r="AB34" i="18"/>
  <c r="Z34" i="18"/>
  <c r="AB91" i="18"/>
  <c r="Z91" i="18"/>
  <c r="AB75" i="18"/>
  <c r="Z75" i="18"/>
  <c r="AB55" i="18"/>
  <c r="Z55" i="18"/>
  <c r="AB31" i="18"/>
  <c r="Z31" i="18"/>
  <c r="AB90" i="18"/>
  <c r="Z90" i="18"/>
  <c r="AB86" i="18"/>
  <c r="Z86" i="18"/>
  <c r="AB82" i="18"/>
  <c r="Z82" i="18"/>
  <c r="AB78" i="18"/>
  <c r="Z78" i="18"/>
  <c r="AB70" i="18"/>
  <c r="Z70" i="18"/>
  <c r="AB62" i="18"/>
  <c r="Z62" i="18"/>
  <c r="AB54" i="18"/>
  <c r="Z54" i="18"/>
  <c r="AB46" i="18"/>
  <c r="Z46" i="18"/>
  <c r="AB38" i="18"/>
  <c r="Z38" i="18"/>
  <c r="AB30" i="18"/>
  <c r="Z30" i="18"/>
  <c r="B17" i="17"/>
  <c r="C17" i="17"/>
  <c r="B18" i="17"/>
  <c r="C18" i="17"/>
  <c r="B19" i="17"/>
  <c r="C19" i="17"/>
  <c r="B20" i="17"/>
  <c r="C20" i="17"/>
  <c r="B21" i="17"/>
  <c r="C21" i="17"/>
  <c r="B22" i="17"/>
  <c r="C22" i="17"/>
  <c r="B23" i="17"/>
  <c r="C23" i="17"/>
  <c r="B24" i="17"/>
  <c r="C24" i="17"/>
  <c r="B25" i="17"/>
  <c r="C25" i="17"/>
  <c r="B26" i="17"/>
  <c r="C26" i="17"/>
  <c r="B27" i="17"/>
  <c r="C27" i="17"/>
  <c r="B28" i="17"/>
  <c r="C28" i="17"/>
  <c r="B29" i="17"/>
  <c r="C29" i="17"/>
  <c r="B30" i="17"/>
  <c r="C30" i="17"/>
  <c r="B31" i="17"/>
  <c r="C31" i="17"/>
  <c r="B14" i="17"/>
  <c r="C14" i="17"/>
  <c r="B15" i="17"/>
  <c r="C15" i="17"/>
  <c r="B16" i="17"/>
  <c r="C16" i="17"/>
  <c r="P13" i="11"/>
  <c r="P12" i="11"/>
  <c r="P11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Q7" i="13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A30" i="11"/>
  <c r="A31" i="11"/>
  <c r="A32" i="11"/>
  <c r="A14" i="11"/>
  <c r="Y8" i="18" s="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13" i="11"/>
  <c r="A12" i="11"/>
  <c r="A11" i="11"/>
  <c r="B13" i="11"/>
  <c r="B12" i="11"/>
  <c r="B11" i="11"/>
  <c r="A14" i="17" l="1"/>
  <c r="M14" i="17" s="1"/>
  <c r="G8" i="18"/>
  <c r="G7" i="18"/>
  <c r="Y5" i="18"/>
  <c r="C15" i="14"/>
  <c r="H11" i="11"/>
  <c r="G11" i="11"/>
  <c r="D13" i="14" s="1"/>
  <c r="Y18" i="18"/>
  <c r="G24" i="11"/>
  <c r="A27" i="17"/>
  <c r="H24" i="11"/>
  <c r="Y21" i="18"/>
  <c r="A30" i="17"/>
  <c r="G27" i="11"/>
  <c r="H27" i="11"/>
  <c r="Y13" i="18"/>
  <c r="A22" i="17"/>
  <c r="G19" i="11"/>
  <c r="H19" i="11"/>
  <c r="Y7" i="18"/>
  <c r="A16" i="17"/>
  <c r="M16" i="17" s="1"/>
  <c r="H13" i="11"/>
  <c r="G13" i="11"/>
  <c r="D15" i="14" s="1"/>
  <c r="Y20" i="18"/>
  <c r="G26" i="11"/>
  <c r="H26" i="11"/>
  <c r="A29" i="17"/>
  <c r="F29" i="17" s="1"/>
  <c r="Y16" i="18"/>
  <c r="G22" i="11"/>
  <c r="H22" i="11"/>
  <c r="A25" i="17"/>
  <c r="F25" i="17" s="1"/>
  <c r="Y12" i="18"/>
  <c r="G18" i="11"/>
  <c r="H18" i="11"/>
  <c r="A21" i="17"/>
  <c r="F21" i="17" s="1"/>
  <c r="G9" i="18"/>
  <c r="I9" i="18" s="1"/>
  <c r="O9" i="18" s="1"/>
  <c r="Y23" i="18"/>
  <c r="A32" i="17"/>
  <c r="G29" i="11"/>
  <c r="H29" i="11"/>
  <c r="Y19" i="18"/>
  <c r="A28" i="17"/>
  <c r="G25" i="11"/>
  <c r="H25" i="11"/>
  <c r="Y15" i="18"/>
  <c r="A24" i="17"/>
  <c r="G21" i="11"/>
  <c r="H21" i="11"/>
  <c r="Y11" i="18"/>
  <c r="A20" i="17"/>
  <c r="G17" i="11"/>
  <c r="H17" i="11"/>
  <c r="Y26" i="18"/>
  <c r="G32" i="11"/>
  <c r="A35" i="17"/>
  <c r="H32" i="11"/>
  <c r="G5" i="18"/>
  <c r="Y22" i="18"/>
  <c r="G28" i="11"/>
  <c r="I28" i="11" s="1"/>
  <c r="A31" i="17"/>
  <c r="H28" i="11"/>
  <c r="Y10" i="18"/>
  <c r="G16" i="11"/>
  <c r="I16" i="11" s="1"/>
  <c r="A19" i="17"/>
  <c r="H16" i="11"/>
  <c r="Y25" i="18"/>
  <c r="A34" i="17"/>
  <c r="F34" i="17" s="1"/>
  <c r="G31" i="11"/>
  <c r="H31" i="11"/>
  <c r="C14" i="14"/>
  <c r="Y14" i="18"/>
  <c r="G20" i="11"/>
  <c r="A23" i="17"/>
  <c r="H20" i="11"/>
  <c r="Y6" i="18"/>
  <c r="A15" i="17"/>
  <c r="M15" i="17" s="1"/>
  <c r="H12" i="11"/>
  <c r="G12" i="11"/>
  <c r="D14" i="14" s="1"/>
  <c r="Y17" i="18"/>
  <c r="A26" i="17"/>
  <c r="G23" i="11"/>
  <c r="H23" i="11"/>
  <c r="Y24" i="18"/>
  <c r="G30" i="11"/>
  <c r="H30" i="11"/>
  <c r="A33" i="17"/>
  <c r="C13" i="14"/>
  <c r="G6" i="18"/>
  <c r="H6" i="18" s="1"/>
  <c r="Y9" i="18"/>
  <c r="A18" i="17"/>
  <c r="M18" i="17" s="1"/>
  <c r="G15" i="11"/>
  <c r="H15" i="11"/>
  <c r="H5" i="18"/>
  <c r="I5" i="18"/>
  <c r="O5" i="18" s="1"/>
  <c r="AB8" i="18"/>
  <c r="Z8" i="18"/>
  <c r="C100" i="14"/>
  <c r="C96" i="14"/>
  <c r="C92" i="14"/>
  <c r="C88" i="14"/>
  <c r="C84" i="14"/>
  <c r="C80" i="14"/>
  <c r="C76" i="14"/>
  <c r="C72" i="14"/>
  <c r="C68" i="14"/>
  <c r="C64" i="14"/>
  <c r="C60" i="14"/>
  <c r="C56" i="14"/>
  <c r="C52" i="14"/>
  <c r="C48" i="14"/>
  <c r="C44" i="14"/>
  <c r="C40" i="14"/>
  <c r="C36" i="14"/>
  <c r="C32" i="14"/>
  <c r="C28" i="14"/>
  <c r="C24" i="14"/>
  <c r="C20" i="14"/>
  <c r="C16" i="14"/>
  <c r="C49" i="14"/>
  <c r="C29" i="14"/>
  <c r="C99" i="14"/>
  <c r="C95" i="14"/>
  <c r="C91" i="14"/>
  <c r="C87" i="14"/>
  <c r="C83" i="14"/>
  <c r="C79" i="14"/>
  <c r="C75" i="14"/>
  <c r="C71" i="14"/>
  <c r="C67" i="14"/>
  <c r="C63" i="14"/>
  <c r="C59" i="14"/>
  <c r="C55" i="14"/>
  <c r="C51" i="14"/>
  <c r="C47" i="14"/>
  <c r="C43" i="14"/>
  <c r="C39" i="14"/>
  <c r="C35" i="14"/>
  <c r="C31" i="14"/>
  <c r="C27" i="14"/>
  <c r="C23" i="14"/>
  <c r="C19" i="14"/>
  <c r="C93" i="14"/>
  <c r="C85" i="14"/>
  <c r="C77" i="14"/>
  <c r="C69" i="14"/>
  <c r="C61" i="14"/>
  <c r="C53" i="14"/>
  <c r="C45" i="14"/>
  <c r="C37" i="14"/>
  <c r="C21" i="14"/>
  <c r="C98" i="14"/>
  <c r="C94" i="14"/>
  <c r="C90" i="14"/>
  <c r="C86" i="14"/>
  <c r="C82" i="14"/>
  <c r="C78" i="14"/>
  <c r="C74" i="14"/>
  <c r="C70" i="14"/>
  <c r="C66" i="14"/>
  <c r="C62" i="14"/>
  <c r="C58" i="14"/>
  <c r="C54" i="14"/>
  <c r="C50" i="14"/>
  <c r="C46" i="14"/>
  <c r="C42" i="14"/>
  <c r="C38" i="14"/>
  <c r="C34" i="14"/>
  <c r="C30" i="14"/>
  <c r="C26" i="14"/>
  <c r="C22" i="14"/>
  <c r="C18" i="14"/>
  <c r="C97" i="14"/>
  <c r="C89" i="14"/>
  <c r="C81" i="14"/>
  <c r="C73" i="14"/>
  <c r="C65" i="14"/>
  <c r="C57" i="14"/>
  <c r="C41" i="14"/>
  <c r="C33" i="14"/>
  <c r="C25" i="14"/>
  <c r="C17" i="14"/>
  <c r="H14" i="11"/>
  <c r="A17" i="17"/>
  <c r="G14" i="11"/>
  <c r="D16" i="14" s="1"/>
  <c r="F96" i="17"/>
  <c r="F93" i="17"/>
  <c r="F90" i="17"/>
  <c r="F80" i="17"/>
  <c r="F77" i="17"/>
  <c r="F74" i="17"/>
  <c r="F64" i="17"/>
  <c r="F61" i="17"/>
  <c r="F58" i="17"/>
  <c r="F48" i="17"/>
  <c r="F45" i="17"/>
  <c r="F42" i="17"/>
  <c r="F88" i="17"/>
  <c r="F82" i="17"/>
  <c r="F72" i="17"/>
  <c r="F66" i="17"/>
  <c r="F53" i="17"/>
  <c r="F37" i="17"/>
  <c r="F92" i="17"/>
  <c r="F86" i="17"/>
  <c r="F76" i="17"/>
  <c r="F70" i="17"/>
  <c r="F60" i="17"/>
  <c r="F44" i="17"/>
  <c r="F38" i="17"/>
  <c r="F100" i="17"/>
  <c r="F97" i="17"/>
  <c r="F94" i="17"/>
  <c r="F84" i="17"/>
  <c r="F81" i="17"/>
  <c r="F78" i="17"/>
  <c r="F68" i="17"/>
  <c r="F65" i="17"/>
  <c r="F62" i="17"/>
  <c r="F52" i="17"/>
  <c r="F49" i="17"/>
  <c r="F46" i="17"/>
  <c r="F36" i="17"/>
  <c r="F98" i="17"/>
  <c r="F85" i="17"/>
  <c r="F69" i="17"/>
  <c r="F56" i="17"/>
  <c r="F50" i="17"/>
  <c r="F40" i="17"/>
  <c r="F89" i="17"/>
  <c r="F73" i="17"/>
  <c r="F57" i="17"/>
  <c r="F54" i="17"/>
  <c r="F41" i="17"/>
  <c r="F47" i="17"/>
  <c r="F63" i="17"/>
  <c r="F79" i="17"/>
  <c r="F95" i="17"/>
  <c r="F39" i="17"/>
  <c r="F87" i="17"/>
  <c r="F75" i="17"/>
  <c r="F51" i="17"/>
  <c r="F67" i="17"/>
  <c r="F83" i="17"/>
  <c r="F99" i="17"/>
  <c r="F55" i="17"/>
  <c r="F71" i="17"/>
  <c r="F43" i="17"/>
  <c r="F59" i="17"/>
  <c r="F91" i="17"/>
  <c r="G7" i="13"/>
  <c r="F35" i="17"/>
  <c r="F32" i="17"/>
  <c r="F33" i="17"/>
  <c r="F16" i="17"/>
  <c r="F14" i="17"/>
  <c r="F15" i="17"/>
  <c r="F18" i="17"/>
  <c r="F19" i="17"/>
  <c r="F20" i="17"/>
  <c r="F22" i="17"/>
  <c r="F23" i="17"/>
  <c r="F24" i="17"/>
  <c r="F26" i="17"/>
  <c r="F27" i="17"/>
  <c r="F28" i="17"/>
  <c r="F30" i="17"/>
  <c r="F31" i="17"/>
  <c r="O7" i="13"/>
  <c r="J1" i="13"/>
  <c r="V7" i="13"/>
  <c r="K3" i="7"/>
  <c r="O7" i="7"/>
  <c r="J1" i="7"/>
  <c r="W7" i="7"/>
  <c r="N7" i="7"/>
  <c r="Q7" i="7"/>
  <c r="B6" i="9"/>
  <c r="B10" i="9"/>
  <c r="B9" i="9"/>
  <c r="B10" i="10"/>
  <c r="B9" i="10"/>
  <c r="A9" i="10" s="1"/>
  <c r="B6" i="10"/>
  <c r="D6" i="10" s="1"/>
  <c r="B7" i="10"/>
  <c r="J10" i="10"/>
  <c r="K10" i="10" s="1"/>
  <c r="I10" i="10"/>
  <c r="D10" i="10"/>
  <c r="G10" i="10" s="1"/>
  <c r="D9" i="10"/>
  <c r="E9" i="10" s="1"/>
  <c r="J9" i="10" s="1"/>
  <c r="K9" i="10" s="1"/>
  <c r="D7" i="10"/>
  <c r="E7" i="10" s="1"/>
  <c r="J7" i="10" s="1"/>
  <c r="K7" i="10" s="1"/>
  <c r="E10" i="10"/>
  <c r="E8" i="10"/>
  <c r="J8" i="10" s="1"/>
  <c r="D20" i="10"/>
  <c r="A8" i="10"/>
  <c r="B20" i="10" s="1"/>
  <c r="L20" i="10" s="1"/>
  <c r="F16" i="14" l="1"/>
  <c r="F15" i="14"/>
  <c r="F14" i="14"/>
  <c r="F13" i="14"/>
  <c r="I17" i="11"/>
  <c r="I21" i="11"/>
  <c r="I25" i="11"/>
  <c r="I29" i="11"/>
  <c r="I6" i="18"/>
  <c r="O6" i="18" s="1"/>
  <c r="H9" i="18"/>
  <c r="R9" i="18" s="1"/>
  <c r="I32" i="11"/>
  <c r="Z24" i="18"/>
  <c r="AB24" i="18"/>
  <c r="Z25" i="18"/>
  <c r="AB25" i="18"/>
  <c r="AB10" i="18"/>
  <c r="Z10" i="18"/>
  <c r="AB22" i="18"/>
  <c r="Z22" i="18"/>
  <c r="I19" i="11"/>
  <c r="I27" i="11"/>
  <c r="H7" i="18"/>
  <c r="I7" i="18"/>
  <c r="O7" i="18" s="1"/>
  <c r="Z6" i="18"/>
  <c r="AB6" i="18"/>
  <c r="I23" i="11"/>
  <c r="AB26" i="18"/>
  <c r="Z26" i="18"/>
  <c r="AB11" i="18"/>
  <c r="Z11" i="18"/>
  <c r="AB15" i="18"/>
  <c r="Z15" i="18"/>
  <c r="AB19" i="18"/>
  <c r="Z19" i="18"/>
  <c r="AB23" i="18"/>
  <c r="Z23" i="18"/>
  <c r="I18" i="11"/>
  <c r="I22" i="11"/>
  <c r="I26" i="11"/>
  <c r="I24" i="11"/>
  <c r="H8" i="18"/>
  <c r="I8" i="18"/>
  <c r="O8" i="18" s="1"/>
  <c r="Z17" i="18"/>
  <c r="AB17" i="18"/>
  <c r="AB14" i="18"/>
  <c r="Z14" i="18"/>
  <c r="AB5" i="18"/>
  <c r="Z5" i="18"/>
  <c r="I30" i="11"/>
  <c r="I20" i="11"/>
  <c r="I31" i="11"/>
  <c r="Z12" i="18"/>
  <c r="AB12" i="18"/>
  <c r="Z16" i="18"/>
  <c r="AB16" i="18"/>
  <c r="AB20" i="18"/>
  <c r="Z20" i="18"/>
  <c r="Z7" i="18"/>
  <c r="AB7" i="18"/>
  <c r="Z13" i="18"/>
  <c r="AB13" i="18"/>
  <c r="Z21" i="18"/>
  <c r="AB21" i="18"/>
  <c r="AB18" i="18"/>
  <c r="Z18" i="18"/>
  <c r="I15" i="11"/>
  <c r="AB9" i="18"/>
  <c r="Z9" i="18"/>
  <c r="F17" i="17"/>
  <c r="F12" i="17" s="1"/>
  <c r="M17" i="17"/>
  <c r="D23" i="14"/>
  <c r="F23" i="14" s="1"/>
  <c r="R5" i="18"/>
  <c r="M5" i="18"/>
  <c r="K5" i="18"/>
  <c r="D66" i="14"/>
  <c r="F66" i="14" s="1"/>
  <c r="D64" i="14"/>
  <c r="F64" i="14" s="1"/>
  <c r="D87" i="14"/>
  <c r="F87" i="14" s="1"/>
  <c r="K9" i="18"/>
  <c r="D45" i="14"/>
  <c r="F45" i="14" s="1"/>
  <c r="D60" i="14"/>
  <c r="F60" i="14" s="1"/>
  <c r="M6" i="18"/>
  <c r="R6" i="18"/>
  <c r="D93" i="14"/>
  <c r="F93" i="14" s="1"/>
  <c r="D55" i="14"/>
  <c r="F55" i="14" s="1"/>
  <c r="D92" i="14"/>
  <c r="F92" i="14" s="1"/>
  <c r="D22" i="14"/>
  <c r="F22" i="14" s="1"/>
  <c r="D98" i="14"/>
  <c r="F98" i="14" s="1"/>
  <c r="D54" i="14"/>
  <c r="F54" i="14" s="1"/>
  <c r="D40" i="14"/>
  <c r="F40" i="14" s="1"/>
  <c r="D42" i="14"/>
  <c r="F42" i="14" s="1"/>
  <c r="D71" i="14"/>
  <c r="F71" i="14" s="1"/>
  <c r="D28" i="14"/>
  <c r="F28" i="14" s="1"/>
  <c r="D30" i="14"/>
  <c r="F30" i="14" s="1"/>
  <c r="D77" i="14"/>
  <c r="F77" i="14" s="1"/>
  <c r="D82" i="14"/>
  <c r="F82" i="14" s="1"/>
  <c r="D39" i="14"/>
  <c r="F39" i="14" s="1"/>
  <c r="D52" i="14"/>
  <c r="F52" i="14" s="1"/>
  <c r="D76" i="14"/>
  <c r="F76" i="14" s="1"/>
  <c r="D20" i="14"/>
  <c r="F20" i="14" s="1"/>
  <c r="D21" i="14"/>
  <c r="F21" i="14" s="1"/>
  <c r="D85" i="14"/>
  <c r="F85" i="14" s="1"/>
  <c r="D56" i="14"/>
  <c r="F56" i="14" s="1"/>
  <c r="D90" i="14"/>
  <c r="F90" i="14" s="1"/>
  <c r="D58" i="14"/>
  <c r="F58" i="14" s="1"/>
  <c r="D47" i="14"/>
  <c r="F47" i="14" s="1"/>
  <c r="D79" i="14"/>
  <c r="F79" i="14" s="1"/>
  <c r="D96" i="14"/>
  <c r="F96" i="14" s="1"/>
  <c r="D44" i="14"/>
  <c r="F44" i="14" s="1"/>
  <c r="D84" i="14"/>
  <c r="F84" i="14" s="1"/>
  <c r="D41" i="14"/>
  <c r="F41" i="14" s="1"/>
  <c r="D80" i="14"/>
  <c r="F80" i="14" s="1"/>
  <c r="D61" i="14"/>
  <c r="F61" i="14" s="1"/>
  <c r="D24" i="14"/>
  <c r="F24" i="14" s="1"/>
  <c r="D74" i="14"/>
  <c r="F74" i="14" s="1"/>
  <c r="D26" i="14"/>
  <c r="F26" i="14" s="1"/>
  <c r="D31" i="14"/>
  <c r="F31" i="14" s="1"/>
  <c r="D63" i="14"/>
  <c r="F63" i="14" s="1"/>
  <c r="D95" i="14"/>
  <c r="F95" i="14" s="1"/>
  <c r="D53" i="14"/>
  <c r="F53" i="14" s="1"/>
  <c r="D68" i="14"/>
  <c r="F68" i="14" s="1"/>
  <c r="D100" i="14"/>
  <c r="F100" i="14" s="1"/>
  <c r="D89" i="14"/>
  <c r="F89" i="14" s="1"/>
  <c r="D33" i="14"/>
  <c r="F33" i="14" s="1"/>
  <c r="D46" i="14"/>
  <c r="F46" i="14" s="1"/>
  <c r="D57" i="14"/>
  <c r="F57" i="14" s="1"/>
  <c r="D88" i="14"/>
  <c r="F88" i="14" s="1"/>
  <c r="D25" i="14"/>
  <c r="F25" i="14" s="1"/>
  <c r="D73" i="14"/>
  <c r="F73" i="14" s="1"/>
  <c r="D48" i="14"/>
  <c r="F48" i="14" s="1"/>
  <c r="D36" i="14"/>
  <c r="F36" i="14" s="1"/>
  <c r="D29" i="14"/>
  <c r="F29" i="14" s="1"/>
  <c r="D27" i="14"/>
  <c r="F27" i="14" s="1"/>
  <c r="D69" i="14"/>
  <c r="F69" i="14" s="1"/>
  <c r="D75" i="14"/>
  <c r="F75" i="14" s="1"/>
  <c r="D86" i="14"/>
  <c r="F86" i="14" s="1"/>
  <c r="D65" i="14"/>
  <c r="F65" i="14" s="1"/>
  <c r="D97" i="14"/>
  <c r="F97" i="14" s="1"/>
  <c r="D38" i="14"/>
  <c r="F38" i="14" s="1"/>
  <c r="D32" i="14"/>
  <c r="F32" i="14" s="1"/>
  <c r="D50" i="14"/>
  <c r="F50" i="14" s="1"/>
  <c r="D91" i="14"/>
  <c r="F91" i="14" s="1"/>
  <c r="D17" i="14"/>
  <c r="D49" i="14"/>
  <c r="F49" i="14" s="1"/>
  <c r="D81" i="14"/>
  <c r="F81" i="14" s="1"/>
  <c r="D72" i="14"/>
  <c r="F72" i="14" s="1"/>
  <c r="D37" i="14"/>
  <c r="F37" i="14" s="1"/>
  <c r="D70" i="14"/>
  <c r="F70" i="14" s="1"/>
  <c r="D43" i="14"/>
  <c r="F43" i="14" s="1"/>
  <c r="D18" i="14"/>
  <c r="F18" i="14" s="1"/>
  <c r="D59" i="14"/>
  <c r="F59" i="14" s="1"/>
  <c r="D78" i="14"/>
  <c r="F78" i="14" s="1"/>
  <c r="D34" i="14"/>
  <c r="F34" i="14" s="1"/>
  <c r="D35" i="14"/>
  <c r="F35" i="14" s="1"/>
  <c r="D67" i="14"/>
  <c r="F67" i="14" s="1"/>
  <c r="D99" i="14"/>
  <c r="F99" i="14" s="1"/>
  <c r="D62" i="14"/>
  <c r="F62" i="14" s="1"/>
  <c r="D94" i="14"/>
  <c r="F94" i="14" s="1"/>
  <c r="D19" i="14"/>
  <c r="F19" i="14" s="1"/>
  <c r="D51" i="14"/>
  <c r="F51" i="14" s="1"/>
  <c r="D83" i="14"/>
  <c r="F83" i="14" s="1"/>
  <c r="E12" i="11"/>
  <c r="E88" i="11"/>
  <c r="O88" i="11" s="1"/>
  <c r="E72" i="11"/>
  <c r="O72" i="11" s="1"/>
  <c r="E56" i="11"/>
  <c r="O56" i="11" s="1"/>
  <c r="E40" i="11"/>
  <c r="O40" i="11" s="1"/>
  <c r="E24" i="11"/>
  <c r="E95" i="11"/>
  <c r="O95" i="11" s="1"/>
  <c r="E79" i="11"/>
  <c r="O79" i="11" s="1"/>
  <c r="E63" i="11"/>
  <c r="O63" i="11" s="1"/>
  <c r="E47" i="11"/>
  <c r="O47" i="11" s="1"/>
  <c r="E31" i="11"/>
  <c r="E15" i="11"/>
  <c r="O15" i="11" s="1"/>
  <c r="E94" i="11"/>
  <c r="O94" i="11" s="1"/>
  <c r="E78" i="11"/>
  <c r="O78" i="11" s="1"/>
  <c r="E62" i="11"/>
  <c r="O62" i="11" s="1"/>
  <c r="E46" i="11"/>
  <c r="O46" i="11" s="1"/>
  <c r="E30" i="11"/>
  <c r="E85" i="11"/>
  <c r="O85" i="11" s="1"/>
  <c r="E69" i="11"/>
  <c r="O69" i="11" s="1"/>
  <c r="E53" i="11"/>
  <c r="O53" i="11" s="1"/>
  <c r="E37" i="11"/>
  <c r="O37" i="11" s="1"/>
  <c r="E21" i="11"/>
  <c r="E17" i="11"/>
  <c r="E93" i="11"/>
  <c r="O93" i="11" s="1"/>
  <c r="E61" i="11"/>
  <c r="O61" i="11" s="1"/>
  <c r="E45" i="11"/>
  <c r="O45" i="11" s="1"/>
  <c r="D7" i="11"/>
  <c r="I14" i="11"/>
  <c r="E13" i="11"/>
  <c r="E76" i="11"/>
  <c r="O76" i="11" s="1"/>
  <c r="E99" i="11"/>
  <c r="O99" i="11" s="1"/>
  <c r="E67" i="11"/>
  <c r="O67" i="11" s="1"/>
  <c r="E35" i="11"/>
  <c r="O35" i="11" s="1"/>
  <c r="E82" i="11"/>
  <c r="O82" i="11" s="1"/>
  <c r="E89" i="11"/>
  <c r="O89" i="11" s="1"/>
  <c r="E41" i="11"/>
  <c r="O41" i="11" s="1"/>
  <c r="E100" i="11"/>
  <c r="O100" i="11" s="1"/>
  <c r="E84" i="11"/>
  <c r="O84" i="11" s="1"/>
  <c r="E68" i="11"/>
  <c r="O68" i="11" s="1"/>
  <c r="E52" i="11"/>
  <c r="O52" i="11" s="1"/>
  <c r="E36" i="11"/>
  <c r="O36" i="11" s="1"/>
  <c r="E20" i="11"/>
  <c r="E91" i="11"/>
  <c r="O91" i="11" s="1"/>
  <c r="E75" i="11"/>
  <c r="O75" i="11" s="1"/>
  <c r="E59" i="11"/>
  <c r="O59" i="11" s="1"/>
  <c r="E43" i="11"/>
  <c r="O43" i="11" s="1"/>
  <c r="E27" i="11"/>
  <c r="E11" i="11"/>
  <c r="E90" i="11"/>
  <c r="O90" i="11" s="1"/>
  <c r="E74" i="11"/>
  <c r="O74" i="11" s="1"/>
  <c r="E58" i="11"/>
  <c r="O58" i="11" s="1"/>
  <c r="E42" i="11"/>
  <c r="O42" i="11" s="1"/>
  <c r="E26" i="11"/>
  <c r="E97" i="11"/>
  <c r="O97" i="11" s="1"/>
  <c r="E81" i="11"/>
  <c r="O81" i="11" s="1"/>
  <c r="E65" i="11"/>
  <c r="O65" i="11" s="1"/>
  <c r="E49" i="11"/>
  <c r="O49" i="11" s="1"/>
  <c r="E33" i="11"/>
  <c r="O33" i="11" s="1"/>
  <c r="E96" i="11"/>
  <c r="O96" i="11" s="1"/>
  <c r="E80" i="11"/>
  <c r="O80" i="11" s="1"/>
  <c r="E64" i="11"/>
  <c r="O64" i="11" s="1"/>
  <c r="E48" i="11"/>
  <c r="O48" i="11" s="1"/>
  <c r="E32" i="11"/>
  <c r="E16" i="11"/>
  <c r="E87" i="11"/>
  <c r="O87" i="11" s="1"/>
  <c r="E71" i="11"/>
  <c r="O71" i="11" s="1"/>
  <c r="E55" i="11"/>
  <c r="O55" i="11" s="1"/>
  <c r="E39" i="11"/>
  <c r="O39" i="11" s="1"/>
  <c r="E23" i="11"/>
  <c r="D6" i="11"/>
  <c r="E86" i="11"/>
  <c r="O86" i="11" s="1"/>
  <c r="E70" i="11"/>
  <c r="O70" i="11" s="1"/>
  <c r="E54" i="11"/>
  <c r="O54" i="11" s="1"/>
  <c r="E38" i="11"/>
  <c r="O38" i="11" s="1"/>
  <c r="E22" i="11"/>
  <c r="E77" i="11"/>
  <c r="O77" i="11" s="1"/>
  <c r="E29" i="11"/>
  <c r="E92" i="11"/>
  <c r="O92" i="11" s="1"/>
  <c r="E44" i="11"/>
  <c r="O44" i="11" s="1"/>
  <c r="E83" i="11"/>
  <c r="O83" i="11" s="1"/>
  <c r="E51" i="11"/>
  <c r="O51" i="11" s="1"/>
  <c r="E19" i="11"/>
  <c r="E66" i="11"/>
  <c r="O66" i="11" s="1"/>
  <c r="E34" i="11"/>
  <c r="O34" i="11" s="1"/>
  <c r="E57" i="11"/>
  <c r="O57" i="11" s="1"/>
  <c r="E60" i="11"/>
  <c r="O60" i="11" s="1"/>
  <c r="E28" i="11"/>
  <c r="E98" i="11"/>
  <c r="O98" i="11" s="1"/>
  <c r="E50" i="11"/>
  <c r="O50" i="11" s="1"/>
  <c r="E18" i="11"/>
  <c r="E73" i="11"/>
  <c r="O73" i="11" s="1"/>
  <c r="E25" i="11"/>
  <c r="E14" i="11"/>
  <c r="D4" i="11"/>
  <c r="F4" i="17" s="1"/>
  <c r="I13" i="11"/>
  <c r="F7" i="13"/>
  <c r="N7" i="13" s="1"/>
  <c r="M7" i="13"/>
  <c r="H7" i="13"/>
  <c r="K1" i="13"/>
  <c r="G48" i="13" s="1"/>
  <c r="P7" i="13"/>
  <c r="W7" i="13"/>
  <c r="J2" i="13"/>
  <c r="L2" i="13"/>
  <c r="K2" i="13"/>
  <c r="H48" i="13" s="1"/>
  <c r="L2" i="7"/>
  <c r="X7" i="7"/>
  <c r="P7" i="7"/>
  <c r="J2" i="7"/>
  <c r="C18" i="10"/>
  <c r="E6" i="10"/>
  <c r="J6" i="10" s="1"/>
  <c r="K6" i="10" s="1"/>
  <c r="N9" i="10"/>
  <c r="K8" i="10"/>
  <c r="N8" i="10"/>
  <c r="O8" i="10" s="1"/>
  <c r="N7" i="10"/>
  <c r="O7" i="10" s="1"/>
  <c r="N6" i="10"/>
  <c r="O6" i="10" s="1"/>
  <c r="N10" i="10"/>
  <c r="O10" i="10" s="1"/>
  <c r="G8" i="10"/>
  <c r="I9" i="10"/>
  <c r="G9" i="10"/>
  <c r="G7" i="10"/>
  <c r="I8" i="10"/>
  <c r="I7" i="10"/>
  <c r="A6" i="10"/>
  <c r="B18" i="10" s="1"/>
  <c r="L18" i="10" s="1"/>
  <c r="C8" i="10"/>
  <c r="A10" i="10"/>
  <c r="B22" i="10" s="1"/>
  <c r="L22" i="10" s="1"/>
  <c r="D21" i="10"/>
  <c r="D22" i="10"/>
  <c r="D19" i="10"/>
  <c r="F8" i="10"/>
  <c r="C20" i="10"/>
  <c r="A7" i="10"/>
  <c r="B19" i="10" s="1"/>
  <c r="L19" i="10" s="1"/>
  <c r="B21" i="10"/>
  <c r="L21" i="10" s="1"/>
  <c r="D20" i="9"/>
  <c r="A8" i="9"/>
  <c r="B20" i="9" s="1"/>
  <c r="J20" i="9" s="1"/>
  <c r="E9" i="9"/>
  <c r="E10" i="9"/>
  <c r="A6" i="9"/>
  <c r="B18" i="9" s="1"/>
  <c r="J18" i="9" s="1"/>
  <c r="B7" i="9"/>
  <c r="A7" i="9" s="1"/>
  <c r="B19" i="9" s="1"/>
  <c r="J19" i="9" s="1"/>
  <c r="D8" i="9"/>
  <c r="C20" i="9" s="1"/>
  <c r="E17" i="14" l="1"/>
  <c r="K6" i="18"/>
  <c r="M9" i="18"/>
  <c r="F17" i="14"/>
  <c r="G17" i="14"/>
  <c r="I17" i="14" s="1"/>
  <c r="J17" i="14" s="1"/>
  <c r="R7" i="18"/>
  <c r="M7" i="18"/>
  <c r="K7" i="18"/>
  <c r="M8" i="18"/>
  <c r="R8" i="18"/>
  <c r="K8" i="18"/>
  <c r="E18" i="14"/>
  <c r="E81" i="14"/>
  <c r="G81" i="14" s="1"/>
  <c r="I81" i="14" s="1"/>
  <c r="J81" i="14" s="1"/>
  <c r="E20" i="14"/>
  <c r="E74" i="14"/>
  <c r="G74" i="14" s="1"/>
  <c r="I74" i="14" s="1"/>
  <c r="J74" i="14" s="1"/>
  <c r="E82" i="14"/>
  <c r="G82" i="14" s="1"/>
  <c r="I82" i="14" s="1"/>
  <c r="J82" i="14" s="1"/>
  <c r="E90" i="14"/>
  <c r="G90" i="14" s="1"/>
  <c r="I90" i="14" s="1"/>
  <c r="J90" i="14" s="1"/>
  <c r="E98" i="14"/>
  <c r="G98" i="14" s="1"/>
  <c r="I98" i="14" s="1"/>
  <c r="J98" i="14" s="1"/>
  <c r="E83" i="14"/>
  <c r="G83" i="14" s="1"/>
  <c r="I83" i="14" s="1"/>
  <c r="J83" i="14" s="1"/>
  <c r="E24" i="14"/>
  <c r="E93" i="14"/>
  <c r="G93" i="14" s="1"/>
  <c r="I93" i="14" s="1"/>
  <c r="J93" i="14" s="1"/>
  <c r="E29" i="14"/>
  <c r="E47" i="14"/>
  <c r="G47" i="14" s="1"/>
  <c r="I47" i="14" s="1"/>
  <c r="J47" i="14" s="1"/>
  <c r="E19" i="14"/>
  <c r="G19" i="14" s="1"/>
  <c r="I19" i="14" s="1"/>
  <c r="J19" i="14" s="1"/>
  <c r="E56" i="14"/>
  <c r="G56" i="14" s="1"/>
  <c r="I56" i="14" s="1"/>
  <c r="J56" i="14" s="1"/>
  <c r="E30" i="14"/>
  <c r="G30" i="14" s="1"/>
  <c r="I30" i="14" s="1"/>
  <c r="J30" i="14" s="1"/>
  <c r="E66" i="14"/>
  <c r="G66" i="14" s="1"/>
  <c r="I66" i="14" s="1"/>
  <c r="J66" i="14" s="1"/>
  <c r="E21" i="14"/>
  <c r="G21" i="14" s="1"/>
  <c r="I21" i="14" s="1"/>
  <c r="J21" i="14" s="1"/>
  <c r="E31" i="14"/>
  <c r="G31" i="14" s="1"/>
  <c r="I31" i="14" s="1"/>
  <c r="J31" i="14" s="1"/>
  <c r="E50" i="14"/>
  <c r="G50" i="14" s="1"/>
  <c r="I50" i="14" s="1"/>
  <c r="J50" i="14" s="1"/>
  <c r="E65" i="14"/>
  <c r="G65" i="14" s="1"/>
  <c r="I65" i="14" s="1"/>
  <c r="J65" i="14" s="1"/>
  <c r="E68" i="14"/>
  <c r="G68" i="14" s="1"/>
  <c r="I68" i="14" s="1"/>
  <c r="J68" i="14" s="1"/>
  <c r="E40" i="14"/>
  <c r="G40" i="14" s="1"/>
  <c r="I40" i="14" s="1"/>
  <c r="J40" i="14" s="1"/>
  <c r="E25" i="14"/>
  <c r="E87" i="14"/>
  <c r="G87" i="14" s="1"/>
  <c r="I87" i="14" s="1"/>
  <c r="J87" i="14" s="1"/>
  <c r="E27" i="14"/>
  <c r="G27" i="14" s="1"/>
  <c r="I27" i="14" s="1"/>
  <c r="J27" i="14" s="1"/>
  <c r="E76" i="14"/>
  <c r="G76" i="14" s="1"/>
  <c r="I76" i="14" s="1"/>
  <c r="J76" i="14" s="1"/>
  <c r="E84" i="14"/>
  <c r="G84" i="14" s="1"/>
  <c r="I84" i="14" s="1"/>
  <c r="J84" i="14" s="1"/>
  <c r="E92" i="14"/>
  <c r="G92" i="14" s="1"/>
  <c r="I92" i="14" s="1"/>
  <c r="J92" i="14" s="1"/>
  <c r="E89" i="14"/>
  <c r="G89" i="14" s="1"/>
  <c r="I89" i="14" s="1"/>
  <c r="J89" i="14" s="1"/>
  <c r="E73" i="14"/>
  <c r="G73" i="14" s="1"/>
  <c r="I73" i="14" s="1"/>
  <c r="J73" i="14" s="1"/>
  <c r="E97" i="14"/>
  <c r="G97" i="14" s="1"/>
  <c r="I97" i="14" s="1"/>
  <c r="J97" i="14" s="1"/>
  <c r="E54" i="14"/>
  <c r="E42" i="14"/>
  <c r="G42" i="14" s="1"/>
  <c r="I42" i="14" s="1"/>
  <c r="J42" i="14" s="1"/>
  <c r="E34" i="14"/>
  <c r="G34" i="14" s="1"/>
  <c r="I34" i="14" s="1"/>
  <c r="J34" i="14" s="1"/>
  <c r="E57" i="14"/>
  <c r="G57" i="14" s="1"/>
  <c r="I57" i="14" s="1"/>
  <c r="J57" i="14" s="1"/>
  <c r="E60" i="14"/>
  <c r="G60" i="14" s="1"/>
  <c r="I60" i="14" s="1"/>
  <c r="J60" i="14" s="1"/>
  <c r="E69" i="14"/>
  <c r="G69" i="14" s="1"/>
  <c r="I69" i="14" s="1"/>
  <c r="J69" i="14" s="1"/>
  <c r="E38" i="14"/>
  <c r="G38" i="14" s="1"/>
  <c r="I38" i="14" s="1"/>
  <c r="J38" i="14" s="1"/>
  <c r="E67" i="14"/>
  <c r="G67" i="14" s="1"/>
  <c r="I67" i="14" s="1"/>
  <c r="J67" i="14" s="1"/>
  <c r="E62" i="14"/>
  <c r="G62" i="14" s="1"/>
  <c r="I62" i="14" s="1"/>
  <c r="J62" i="14" s="1"/>
  <c r="E49" i="14"/>
  <c r="G49" i="14" s="1"/>
  <c r="I49" i="14" s="1"/>
  <c r="J49" i="14" s="1"/>
  <c r="E44" i="14"/>
  <c r="G44" i="14" s="1"/>
  <c r="I44" i="14" s="1"/>
  <c r="J44" i="14" s="1"/>
  <c r="E100" i="14"/>
  <c r="G100" i="14" s="1"/>
  <c r="I100" i="14" s="1"/>
  <c r="J100" i="14" s="1"/>
  <c r="E91" i="14"/>
  <c r="G91" i="14" s="1"/>
  <c r="I91" i="14" s="1"/>
  <c r="J91" i="14" s="1"/>
  <c r="E70" i="14"/>
  <c r="G70" i="14" s="1"/>
  <c r="I70" i="14" s="1"/>
  <c r="J70" i="14" s="1"/>
  <c r="E78" i="14"/>
  <c r="G78" i="14" s="1"/>
  <c r="I78" i="14" s="1"/>
  <c r="J78" i="14" s="1"/>
  <c r="E86" i="14"/>
  <c r="G86" i="14" s="1"/>
  <c r="I86" i="14" s="1"/>
  <c r="J86" i="14" s="1"/>
  <c r="E94" i="14"/>
  <c r="E71" i="14"/>
  <c r="G71" i="14" s="1"/>
  <c r="I71" i="14" s="1"/>
  <c r="J71" i="14" s="1"/>
  <c r="E95" i="14"/>
  <c r="G95" i="14" s="1"/>
  <c r="I95" i="14" s="1"/>
  <c r="J95" i="14" s="1"/>
  <c r="E79" i="14"/>
  <c r="G79" i="14" s="1"/>
  <c r="I79" i="14" s="1"/>
  <c r="J79" i="14" s="1"/>
  <c r="E61" i="14"/>
  <c r="G61" i="14" s="1"/>
  <c r="I61" i="14" s="1"/>
  <c r="J61" i="14" s="1"/>
  <c r="E64" i="14"/>
  <c r="G64" i="14" s="1"/>
  <c r="I64" i="14" s="1"/>
  <c r="J64" i="14" s="1"/>
  <c r="E59" i="14"/>
  <c r="G59" i="14" s="1"/>
  <c r="I59" i="14" s="1"/>
  <c r="J59" i="14" s="1"/>
  <c r="E48" i="14"/>
  <c r="G48" i="14" s="1"/>
  <c r="I48" i="14" s="1"/>
  <c r="J48" i="14" s="1"/>
  <c r="E41" i="14"/>
  <c r="G41" i="14" s="1"/>
  <c r="I41" i="14" s="1"/>
  <c r="J41" i="14" s="1"/>
  <c r="E28" i="14"/>
  <c r="G28" i="14" s="1"/>
  <c r="I28" i="14" s="1"/>
  <c r="J28" i="14" s="1"/>
  <c r="E53" i="14"/>
  <c r="G53" i="14" s="1"/>
  <c r="I53" i="14" s="1"/>
  <c r="J53" i="14" s="1"/>
  <c r="E52" i="14"/>
  <c r="G52" i="14" s="1"/>
  <c r="I52" i="14" s="1"/>
  <c r="J52" i="14" s="1"/>
  <c r="E51" i="14"/>
  <c r="G51" i="14" s="1"/>
  <c r="I51" i="14" s="1"/>
  <c r="J51" i="14" s="1"/>
  <c r="E32" i="14"/>
  <c r="G32" i="14" s="1"/>
  <c r="I32" i="14" s="1"/>
  <c r="J32" i="14" s="1"/>
  <c r="E33" i="14"/>
  <c r="G33" i="14" s="1"/>
  <c r="I33" i="14" s="1"/>
  <c r="J33" i="14" s="1"/>
  <c r="E55" i="14"/>
  <c r="G55" i="14" s="1"/>
  <c r="I55" i="14" s="1"/>
  <c r="J55" i="14" s="1"/>
  <c r="E75" i="14"/>
  <c r="G75" i="14" s="1"/>
  <c r="I75" i="14" s="1"/>
  <c r="J75" i="14" s="1"/>
  <c r="E99" i="14"/>
  <c r="G99" i="14" s="1"/>
  <c r="I99" i="14" s="1"/>
  <c r="J99" i="14" s="1"/>
  <c r="E72" i="14"/>
  <c r="G72" i="14" s="1"/>
  <c r="I72" i="14" s="1"/>
  <c r="J72" i="14" s="1"/>
  <c r="E80" i="14"/>
  <c r="G80" i="14" s="1"/>
  <c r="I80" i="14" s="1"/>
  <c r="J80" i="14" s="1"/>
  <c r="E88" i="14"/>
  <c r="G88" i="14" s="1"/>
  <c r="I88" i="14" s="1"/>
  <c r="J88" i="14" s="1"/>
  <c r="E96" i="14"/>
  <c r="G96" i="14" s="1"/>
  <c r="I96" i="14" s="1"/>
  <c r="J96" i="14" s="1"/>
  <c r="E77" i="14"/>
  <c r="G77" i="14" s="1"/>
  <c r="I77" i="14" s="1"/>
  <c r="J77" i="14" s="1"/>
  <c r="E22" i="14"/>
  <c r="G22" i="14" s="1"/>
  <c r="I22" i="14" s="1"/>
  <c r="J22" i="14" s="1"/>
  <c r="E85" i="14"/>
  <c r="G85" i="14" s="1"/>
  <c r="I85" i="14" s="1"/>
  <c r="J85" i="14" s="1"/>
  <c r="E45" i="14"/>
  <c r="G45" i="14" s="1"/>
  <c r="I45" i="14" s="1"/>
  <c r="J45" i="14" s="1"/>
  <c r="E36" i="14"/>
  <c r="G36" i="14" s="1"/>
  <c r="I36" i="14" s="1"/>
  <c r="J36" i="14" s="1"/>
  <c r="E43" i="14"/>
  <c r="G43" i="14" s="1"/>
  <c r="I43" i="14" s="1"/>
  <c r="J43" i="14" s="1"/>
  <c r="E23" i="14"/>
  <c r="G23" i="14" s="1"/>
  <c r="I23" i="14" s="1"/>
  <c r="J23" i="14" s="1"/>
  <c r="E39" i="14"/>
  <c r="G39" i="14" s="1"/>
  <c r="I39" i="14" s="1"/>
  <c r="J39" i="14" s="1"/>
  <c r="E37" i="14"/>
  <c r="G37" i="14" s="1"/>
  <c r="I37" i="14" s="1"/>
  <c r="J37" i="14" s="1"/>
  <c r="E63" i="14"/>
  <c r="G63" i="14" s="1"/>
  <c r="I63" i="14" s="1"/>
  <c r="J63" i="14" s="1"/>
  <c r="E35" i="14"/>
  <c r="G35" i="14" s="1"/>
  <c r="I35" i="14" s="1"/>
  <c r="J35" i="14" s="1"/>
  <c r="E26" i="14"/>
  <c r="G26" i="14" s="1"/>
  <c r="I26" i="14" s="1"/>
  <c r="J26" i="14" s="1"/>
  <c r="E46" i="14"/>
  <c r="G46" i="14" s="1"/>
  <c r="I46" i="14" s="1"/>
  <c r="J46" i="14" s="1"/>
  <c r="E58" i="14"/>
  <c r="G58" i="14" s="1"/>
  <c r="I58" i="14" s="1"/>
  <c r="J58" i="14" s="1"/>
  <c r="G24" i="14"/>
  <c r="I24" i="14" s="1"/>
  <c r="J24" i="14" s="1"/>
  <c r="G94" i="14"/>
  <c r="I94" i="14" s="1"/>
  <c r="J94" i="14" s="1"/>
  <c r="G20" i="14"/>
  <c r="I20" i="14" s="1"/>
  <c r="J20" i="14" s="1"/>
  <c r="G29" i="14"/>
  <c r="I29" i="14" s="1"/>
  <c r="J29" i="14" s="1"/>
  <c r="G54" i="14"/>
  <c r="I54" i="14" s="1"/>
  <c r="J54" i="14" s="1"/>
  <c r="G25" i="14"/>
  <c r="I25" i="14" s="1"/>
  <c r="J25" i="14" s="1"/>
  <c r="G18" i="14"/>
  <c r="I18" i="14" s="1"/>
  <c r="J18" i="14" s="1"/>
  <c r="I12" i="11"/>
  <c r="S7" i="13"/>
  <c r="O48" i="13"/>
  <c r="I48" i="13"/>
  <c r="G47" i="13"/>
  <c r="G46" i="13" s="1"/>
  <c r="G45" i="13" s="1"/>
  <c r="G44" i="13" s="1"/>
  <c r="G43" i="13" s="1"/>
  <c r="G42" i="13" s="1"/>
  <c r="G41" i="13" s="1"/>
  <c r="G40" i="13" s="1"/>
  <c r="G39" i="13" s="1"/>
  <c r="G38" i="13" s="1"/>
  <c r="G37" i="13" s="1"/>
  <c r="G36" i="13" s="1"/>
  <c r="G35" i="13" s="1"/>
  <c r="G34" i="13" s="1"/>
  <c r="G33" i="13" s="1"/>
  <c r="G32" i="13" s="1"/>
  <c r="G31" i="13" s="1"/>
  <c r="G30" i="13" s="1"/>
  <c r="G29" i="13" s="1"/>
  <c r="G28" i="13" s="1"/>
  <c r="G27" i="13" s="1"/>
  <c r="G26" i="13" s="1"/>
  <c r="G25" i="13" s="1"/>
  <c r="G24" i="13" s="1"/>
  <c r="G23" i="13" s="1"/>
  <c r="G22" i="13" s="1"/>
  <c r="G21" i="13" s="1"/>
  <c r="G20" i="13" s="1"/>
  <c r="G19" i="13" s="1"/>
  <c r="G18" i="13" s="1"/>
  <c r="G17" i="13" s="1"/>
  <c r="G16" i="13" s="1"/>
  <c r="G15" i="13" s="1"/>
  <c r="G14" i="13" s="1"/>
  <c r="G13" i="13" s="1"/>
  <c r="G49" i="13"/>
  <c r="G50" i="13" s="1"/>
  <c r="G51" i="13" s="1"/>
  <c r="G52" i="13" s="1"/>
  <c r="G53" i="13" s="1"/>
  <c r="G54" i="13" s="1"/>
  <c r="G55" i="13" s="1"/>
  <c r="G56" i="13" s="1"/>
  <c r="G57" i="13" s="1"/>
  <c r="G58" i="13" s="1"/>
  <c r="G59" i="13" s="1"/>
  <c r="G60" i="13" s="1"/>
  <c r="G61" i="13" s="1"/>
  <c r="G62" i="13" s="1"/>
  <c r="G63" i="13" s="1"/>
  <c r="G64" i="13" s="1"/>
  <c r="G65" i="13" s="1"/>
  <c r="G66" i="13" s="1"/>
  <c r="G67" i="13" s="1"/>
  <c r="G68" i="13" s="1"/>
  <c r="G69" i="13" s="1"/>
  <c r="G70" i="13" s="1"/>
  <c r="G71" i="13" s="1"/>
  <c r="G72" i="13" s="1"/>
  <c r="G73" i="13" s="1"/>
  <c r="G74" i="13" s="1"/>
  <c r="G75" i="13" s="1"/>
  <c r="G76" i="13" s="1"/>
  <c r="G77" i="13" s="1"/>
  <c r="G78" i="13" s="1"/>
  <c r="G79" i="13" s="1"/>
  <c r="G80" i="13" s="1"/>
  <c r="G81" i="13" s="1"/>
  <c r="G82" i="13" s="1"/>
  <c r="G83" i="13" s="1"/>
  <c r="G84" i="13" s="1"/>
  <c r="G85" i="13" s="1"/>
  <c r="G86" i="13" s="1"/>
  <c r="G87" i="13" s="1"/>
  <c r="G88" i="13" s="1"/>
  <c r="G89" i="13" s="1"/>
  <c r="G90" i="13" s="1"/>
  <c r="G91" i="13" s="1"/>
  <c r="G92" i="13" s="1"/>
  <c r="G93" i="13" s="1"/>
  <c r="G94" i="13" s="1"/>
  <c r="G95" i="13" s="1"/>
  <c r="G96" i="13" s="1"/>
  <c r="G97" i="13" s="1"/>
  <c r="G98" i="13" s="1"/>
  <c r="G99" i="13" s="1"/>
  <c r="G100" i="13" s="1"/>
  <c r="G101" i="13" s="1"/>
  <c r="G102" i="13" s="1"/>
  <c r="G103" i="13" s="1"/>
  <c r="G104" i="13" s="1"/>
  <c r="G105" i="13" s="1"/>
  <c r="G106" i="13" s="1"/>
  <c r="G107" i="13" s="1"/>
  <c r="G108" i="13" s="1"/>
  <c r="G109" i="13" s="1"/>
  <c r="G110" i="13" s="1"/>
  <c r="G111" i="13" s="1"/>
  <c r="G112" i="13" s="1"/>
  <c r="G113" i="13" s="1"/>
  <c r="G114" i="13" s="1"/>
  <c r="G115" i="13" s="1"/>
  <c r="G116" i="13" s="1"/>
  <c r="G117" i="13" s="1"/>
  <c r="G118" i="13" s="1"/>
  <c r="G119" i="13" s="1"/>
  <c r="G120" i="13" s="1"/>
  <c r="G121" i="13" s="1"/>
  <c r="G122" i="13" s="1"/>
  <c r="G123" i="13" s="1"/>
  <c r="G124" i="13" s="1"/>
  <c r="G125" i="13" s="1"/>
  <c r="G126" i="13" s="1"/>
  <c r="G127" i="13" s="1"/>
  <c r="G128" i="13" s="1"/>
  <c r="G129" i="13" s="1"/>
  <c r="G130" i="13" s="1"/>
  <c r="G131" i="13" s="1"/>
  <c r="G132" i="13" s="1"/>
  <c r="G133" i="13" s="1"/>
  <c r="G134" i="13" s="1"/>
  <c r="G135" i="13" s="1"/>
  <c r="G136" i="13" s="1"/>
  <c r="G137" i="13" s="1"/>
  <c r="G138" i="13" s="1"/>
  <c r="G139" i="13" s="1"/>
  <c r="G140" i="13" s="1"/>
  <c r="G141" i="13" s="1"/>
  <c r="G142" i="13" s="1"/>
  <c r="G143" i="13" s="1"/>
  <c r="G144" i="13" s="1"/>
  <c r="G145" i="13" s="1"/>
  <c r="G146" i="13" s="1"/>
  <c r="G147" i="13" s="1"/>
  <c r="G148" i="13" s="1"/>
  <c r="G149" i="13" s="1"/>
  <c r="G150" i="13" s="1"/>
  <c r="G151" i="13" s="1"/>
  <c r="G152" i="13" s="1"/>
  <c r="G153" i="13" s="1"/>
  <c r="G154" i="13" s="1"/>
  <c r="G155" i="13" s="1"/>
  <c r="G156" i="13" s="1"/>
  <c r="G157" i="13" s="1"/>
  <c r="G158" i="13" s="1"/>
  <c r="G159" i="13" s="1"/>
  <c r="G160" i="13" s="1"/>
  <c r="G161" i="13" s="1"/>
  <c r="G162" i="13" s="1"/>
  <c r="G163" i="13" s="1"/>
  <c r="G164" i="13" s="1"/>
  <c r="G165" i="13" s="1"/>
  <c r="G166" i="13" s="1"/>
  <c r="G167" i="13" s="1"/>
  <c r="G168" i="13" s="1"/>
  <c r="G169" i="13" s="1"/>
  <c r="G170" i="13" s="1"/>
  <c r="G171" i="13" s="1"/>
  <c r="G172" i="13" s="1"/>
  <c r="G173" i="13" s="1"/>
  <c r="G174" i="13" s="1"/>
  <c r="G175" i="13" s="1"/>
  <c r="G176" i="13" s="1"/>
  <c r="G177" i="13" s="1"/>
  <c r="G178" i="13" s="1"/>
  <c r="G179" i="13" s="1"/>
  <c r="G180" i="13" s="1"/>
  <c r="G181" i="13" s="1"/>
  <c r="G182" i="13" s="1"/>
  <c r="G183" i="13" s="1"/>
  <c r="G184" i="13" s="1"/>
  <c r="G185" i="13" s="1"/>
  <c r="G186" i="13" s="1"/>
  <c r="G187" i="13" s="1"/>
  <c r="G188" i="13" s="1"/>
  <c r="G189" i="13" s="1"/>
  <c r="G190" i="13" s="1"/>
  <c r="G191" i="13" s="1"/>
  <c r="G192" i="13" s="1"/>
  <c r="G193" i="13" s="1"/>
  <c r="G194" i="13" s="1"/>
  <c r="G195" i="13" s="1"/>
  <c r="G196" i="13" s="1"/>
  <c r="G197" i="13" s="1"/>
  <c r="G198" i="13" s="1"/>
  <c r="G199" i="13" s="1"/>
  <c r="G200" i="13" s="1"/>
  <c r="G201" i="13" s="1"/>
  <c r="G202" i="13" s="1"/>
  <c r="G203" i="13" s="1"/>
  <c r="G204" i="13" s="1"/>
  <c r="G205" i="13" s="1"/>
  <c r="G206" i="13" s="1"/>
  <c r="G207" i="13" s="1"/>
  <c r="G208" i="13" s="1"/>
  <c r="G209" i="13" s="1"/>
  <c r="G210" i="13" s="1"/>
  <c r="G211" i="13" s="1"/>
  <c r="G212" i="13" s="1"/>
  <c r="G213" i="13" s="1"/>
  <c r="G214" i="13" s="1"/>
  <c r="G215" i="13" s="1"/>
  <c r="G216" i="13" s="1"/>
  <c r="G217" i="13" s="1"/>
  <c r="G218" i="13" s="1"/>
  <c r="G219" i="13" s="1"/>
  <c r="G220" i="13" s="1"/>
  <c r="G221" i="13" s="1"/>
  <c r="G222" i="13" s="1"/>
  <c r="G223" i="13" s="1"/>
  <c r="G224" i="13" s="1"/>
  <c r="G225" i="13" s="1"/>
  <c r="G226" i="13" s="1"/>
  <c r="G227" i="13" s="1"/>
  <c r="G228" i="13" s="1"/>
  <c r="G229" i="13" s="1"/>
  <c r="G230" i="13" s="1"/>
  <c r="G231" i="13" s="1"/>
  <c r="G232" i="13" s="1"/>
  <c r="G233" i="13" s="1"/>
  <c r="G234" i="13" s="1"/>
  <c r="G235" i="13" s="1"/>
  <c r="G236" i="13" s="1"/>
  <c r="G237" i="13" s="1"/>
  <c r="G238" i="13" s="1"/>
  <c r="G239" i="13" s="1"/>
  <c r="G240" i="13" s="1"/>
  <c r="G241" i="13" s="1"/>
  <c r="G242" i="13" s="1"/>
  <c r="G243" i="13" s="1"/>
  <c r="G244" i="13" s="1"/>
  <c r="G245" i="13" s="1"/>
  <c r="G246" i="13" s="1"/>
  <c r="G247" i="13" s="1"/>
  <c r="G248" i="13" s="1"/>
  <c r="G249" i="13" s="1"/>
  <c r="G250" i="13" s="1"/>
  <c r="G251" i="13" s="1"/>
  <c r="G252" i="13" s="1"/>
  <c r="G253" i="13" s="1"/>
  <c r="G254" i="13" s="1"/>
  <c r="G255" i="13" s="1"/>
  <c r="G256" i="13" s="1"/>
  <c r="G257" i="13" s="1"/>
  <c r="G258" i="13" s="1"/>
  <c r="G259" i="13" s="1"/>
  <c r="G260" i="13" s="1"/>
  <c r="G261" i="13" s="1"/>
  <c r="G262" i="13" s="1"/>
  <c r="G263" i="13" s="1"/>
  <c r="G264" i="13" s="1"/>
  <c r="G265" i="13" s="1"/>
  <c r="G266" i="13" s="1"/>
  <c r="G267" i="13" s="1"/>
  <c r="G268" i="13" s="1"/>
  <c r="G269" i="13" s="1"/>
  <c r="G270" i="13" s="1"/>
  <c r="G271" i="13" s="1"/>
  <c r="G272" i="13" s="1"/>
  <c r="G273" i="13" s="1"/>
  <c r="G274" i="13" s="1"/>
  <c r="G275" i="13" s="1"/>
  <c r="G276" i="13" s="1"/>
  <c r="G277" i="13" s="1"/>
  <c r="G278" i="13" s="1"/>
  <c r="G279" i="13" s="1"/>
  <c r="G280" i="13" s="1"/>
  <c r="G281" i="13" s="1"/>
  <c r="G282" i="13" s="1"/>
  <c r="G283" i="13" s="1"/>
  <c r="G284" i="13" s="1"/>
  <c r="G285" i="13" s="1"/>
  <c r="G286" i="13" s="1"/>
  <c r="G287" i="13" s="1"/>
  <c r="G288" i="13" s="1"/>
  <c r="G289" i="13" s="1"/>
  <c r="G290" i="13" s="1"/>
  <c r="G291" i="13" s="1"/>
  <c r="G292" i="13" s="1"/>
  <c r="G293" i="13" s="1"/>
  <c r="G294" i="13" s="1"/>
  <c r="G295" i="13" s="1"/>
  <c r="G296" i="13" s="1"/>
  <c r="G297" i="13" s="1"/>
  <c r="G298" i="13" s="1"/>
  <c r="G299" i="13" s="1"/>
  <c r="G300" i="13" s="1"/>
  <c r="G301" i="13" s="1"/>
  <c r="G302" i="13" s="1"/>
  <c r="G303" i="13" s="1"/>
  <c r="G304" i="13" s="1"/>
  <c r="G305" i="13" s="1"/>
  <c r="G306" i="13" s="1"/>
  <c r="G307" i="13" s="1"/>
  <c r="G308" i="13" s="1"/>
  <c r="G309" i="13" s="1"/>
  <c r="G310" i="13" s="1"/>
  <c r="G311" i="13" s="1"/>
  <c r="G312" i="13" s="1"/>
  <c r="G313" i="13" s="1"/>
  <c r="G314" i="13" s="1"/>
  <c r="G315" i="13" s="1"/>
  <c r="G316" i="13" s="1"/>
  <c r="G317" i="13" s="1"/>
  <c r="G318" i="13" s="1"/>
  <c r="G319" i="13" s="1"/>
  <c r="G320" i="13" s="1"/>
  <c r="G321" i="13" s="1"/>
  <c r="G322" i="13" s="1"/>
  <c r="G323" i="13" s="1"/>
  <c r="G324" i="13" s="1"/>
  <c r="G325" i="13" s="1"/>
  <c r="G326" i="13" s="1"/>
  <c r="G327" i="13" s="1"/>
  <c r="G328" i="13" s="1"/>
  <c r="G329" i="13" s="1"/>
  <c r="G330" i="13" s="1"/>
  <c r="G331" i="13" s="1"/>
  <c r="G332" i="13" s="1"/>
  <c r="G333" i="13" s="1"/>
  <c r="G334" i="13" s="1"/>
  <c r="G335" i="13" s="1"/>
  <c r="G336" i="13" s="1"/>
  <c r="G337" i="13" s="1"/>
  <c r="G338" i="13" s="1"/>
  <c r="G339" i="13" s="1"/>
  <c r="G340" i="13" s="1"/>
  <c r="G341" i="13" s="1"/>
  <c r="G342" i="13" s="1"/>
  <c r="G343" i="13" s="1"/>
  <c r="G344" i="13" s="1"/>
  <c r="G345" i="13" s="1"/>
  <c r="G346" i="13" s="1"/>
  <c r="G347" i="13" s="1"/>
  <c r="G348" i="13" s="1"/>
  <c r="G349" i="13" s="1"/>
  <c r="G350" i="13" s="1"/>
  <c r="G351" i="13" s="1"/>
  <c r="G352" i="13" s="1"/>
  <c r="G353" i="13" s="1"/>
  <c r="G354" i="13" s="1"/>
  <c r="G355" i="13" s="1"/>
  <c r="G356" i="13" s="1"/>
  <c r="G357" i="13" s="1"/>
  <c r="G358" i="13" s="1"/>
  <c r="G359" i="13" s="1"/>
  <c r="G360" i="13" s="1"/>
  <c r="G361" i="13" s="1"/>
  <c r="G362" i="13" s="1"/>
  <c r="G363" i="13" s="1"/>
  <c r="G364" i="13" s="1"/>
  <c r="G365" i="13" s="1"/>
  <c r="G366" i="13" s="1"/>
  <c r="G367" i="13" s="1"/>
  <c r="G368" i="13" s="1"/>
  <c r="G369" i="13" s="1"/>
  <c r="G370" i="13" s="1"/>
  <c r="G371" i="13" s="1"/>
  <c r="G372" i="13" s="1"/>
  <c r="G373" i="13" s="1"/>
  <c r="G374" i="13" s="1"/>
  <c r="G375" i="13" s="1"/>
  <c r="G376" i="13" s="1"/>
  <c r="G377" i="13" s="1"/>
  <c r="G378" i="13" s="1"/>
  <c r="G379" i="13" s="1"/>
  <c r="G380" i="13" s="1"/>
  <c r="G381" i="13" s="1"/>
  <c r="G382" i="13" s="1"/>
  <c r="G383" i="13" s="1"/>
  <c r="G384" i="13" s="1"/>
  <c r="G385" i="13" s="1"/>
  <c r="G386" i="13" s="1"/>
  <c r="G387" i="13" s="1"/>
  <c r="G388" i="13" s="1"/>
  <c r="G389" i="13" s="1"/>
  <c r="G390" i="13" s="1"/>
  <c r="G391" i="13" s="1"/>
  <c r="G392" i="13" s="1"/>
  <c r="G393" i="13" s="1"/>
  <c r="G394" i="13" s="1"/>
  <c r="G395" i="13" s="1"/>
  <c r="G396" i="13" s="1"/>
  <c r="G397" i="13" s="1"/>
  <c r="G398" i="13" s="1"/>
  <c r="G399" i="13" s="1"/>
  <c r="G400" i="13" s="1"/>
  <c r="G401" i="13" s="1"/>
  <c r="G402" i="13" s="1"/>
  <c r="G403" i="13" s="1"/>
  <c r="G404" i="13" s="1"/>
  <c r="G405" i="13" s="1"/>
  <c r="G406" i="13" s="1"/>
  <c r="G407" i="13" s="1"/>
  <c r="G408" i="13" s="1"/>
  <c r="G409" i="13" s="1"/>
  <c r="G410" i="13" s="1"/>
  <c r="G411" i="13" s="1"/>
  <c r="G412" i="13" s="1"/>
  <c r="G413" i="13" s="1"/>
  <c r="G414" i="13" s="1"/>
  <c r="G415" i="13" s="1"/>
  <c r="G416" i="13" s="1"/>
  <c r="G417" i="13" s="1"/>
  <c r="G418" i="13" s="1"/>
  <c r="G419" i="13" s="1"/>
  <c r="G420" i="13" s="1"/>
  <c r="G421" i="13" s="1"/>
  <c r="G422" i="13" s="1"/>
  <c r="G423" i="13" s="1"/>
  <c r="G424" i="13" s="1"/>
  <c r="G425" i="13" s="1"/>
  <c r="G426" i="13" s="1"/>
  <c r="G427" i="13" s="1"/>
  <c r="G428" i="13" s="1"/>
  <c r="G429" i="13" s="1"/>
  <c r="G430" i="13" s="1"/>
  <c r="G431" i="13" s="1"/>
  <c r="G432" i="13" s="1"/>
  <c r="G433" i="13" s="1"/>
  <c r="G434" i="13" s="1"/>
  <c r="G435" i="13" s="1"/>
  <c r="G436" i="13" s="1"/>
  <c r="G437" i="13" s="1"/>
  <c r="G438" i="13" s="1"/>
  <c r="G439" i="13" s="1"/>
  <c r="G440" i="13" s="1"/>
  <c r="G441" i="13" s="1"/>
  <c r="G442" i="13" s="1"/>
  <c r="G443" i="13" s="1"/>
  <c r="G444" i="13" s="1"/>
  <c r="G445" i="13" s="1"/>
  <c r="G446" i="13" s="1"/>
  <c r="G447" i="13" s="1"/>
  <c r="G448" i="13" s="1"/>
  <c r="G449" i="13" s="1"/>
  <c r="G450" i="13" s="1"/>
  <c r="G451" i="13" s="1"/>
  <c r="G452" i="13" s="1"/>
  <c r="G453" i="13" s="1"/>
  <c r="G454" i="13" s="1"/>
  <c r="G455" i="13" s="1"/>
  <c r="G456" i="13" s="1"/>
  <c r="G457" i="13" s="1"/>
  <c r="G458" i="13" s="1"/>
  <c r="G459" i="13" s="1"/>
  <c r="G460" i="13" s="1"/>
  <c r="G461" i="13" s="1"/>
  <c r="G462" i="13" s="1"/>
  <c r="G463" i="13" s="1"/>
  <c r="G464" i="13" s="1"/>
  <c r="G465" i="13" s="1"/>
  <c r="G466" i="13" s="1"/>
  <c r="G467" i="13" s="1"/>
  <c r="G468" i="13" s="1"/>
  <c r="G469" i="13" s="1"/>
  <c r="G470" i="13" s="1"/>
  <c r="G471" i="13" s="1"/>
  <c r="G472" i="13" s="1"/>
  <c r="G473" i="13" s="1"/>
  <c r="G474" i="13" s="1"/>
  <c r="G475" i="13" s="1"/>
  <c r="G476" i="13" s="1"/>
  <c r="G477" i="13" s="1"/>
  <c r="G478" i="13" s="1"/>
  <c r="G479" i="13" s="1"/>
  <c r="G480" i="13" s="1"/>
  <c r="G481" i="13" s="1"/>
  <c r="G482" i="13" s="1"/>
  <c r="G483" i="13" s="1"/>
  <c r="G484" i="13" s="1"/>
  <c r="G485" i="13" s="1"/>
  <c r="G486" i="13" s="1"/>
  <c r="G487" i="13" s="1"/>
  <c r="G488" i="13" s="1"/>
  <c r="G489" i="13" s="1"/>
  <c r="G490" i="13" s="1"/>
  <c r="G491" i="13" s="1"/>
  <c r="G492" i="13" s="1"/>
  <c r="G493" i="13" s="1"/>
  <c r="G494" i="13" s="1"/>
  <c r="G495" i="13" s="1"/>
  <c r="G496" i="13" s="1"/>
  <c r="G497" i="13" s="1"/>
  <c r="G498" i="13" s="1"/>
  <c r="G499" i="13" s="1"/>
  <c r="G500" i="13" s="1"/>
  <c r="G501" i="13" s="1"/>
  <c r="G502" i="13" s="1"/>
  <c r="G503" i="13" s="1"/>
  <c r="G504" i="13" s="1"/>
  <c r="G505" i="13" s="1"/>
  <c r="G506" i="13" s="1"/>
  <c r="G507" i="13" s="1"/>
  <c r="G508" i="13" s="1"/>
  <c r="G509" i="13" s="1"/>
  <c r="G510" i="13" s="1"/>
  <c r="G511" i="13" s="1"/>
  <c r="G512" i="13" s="1"/>
  <c r="G513" i="13" s="1"/>
  <c r="G514" i="13" s="1"/>
  <c r="G515" i="13" s="1"/>
  <c r="G516" i="13" s="1"/>
  <c r="G517" i="13" s="1"/>
  <c r="G518" i="13" s="1"/>
  <c r="G519" i="13" s="1"/>
  <c r="G520" i="13" s="1"/>
  <c r="G521" i="13" s="1"/>
  <c r="G522" i="13" s="1"/>
  <c r="G523" i="13" s="1"/>
  <c r="G524" i="13" s="1"/>
  <c r="G525" i="13" s="1"/>
  <c r="G526" i="13" s="1"/>
  <c r="G527" i="13" s="1"/>
  <c r="G528" i="13" s="1"/>
  <c r="G529" i="13" s="1"/>
  <c r="G530" i="13" s="1"/>
  <c r="G531" i="13" s="1"/>
  <c r="G532" i="13" s="1"/>
  <c r="G533" i="13" s="1"/>
  <c r="G534" i="13" s="1"/>
  <c r="G535" i="13" s="1"/>
  <c r="G536" i="13" s="1"/>
  <c r="G537" i="13" s="1"/>
  <c r="G538" i="13" s="1"/>
  <c r="G539" i="13" s="1"/>
  <c r="G540" i="13" s="1"/>
  <c r="G541" i="13" s="1"/>
  <c r="G542" i="13" s="1"/>
  <c r="G543" i="13" s="1"/>
  <c r="G544" i="13" s="1"/>
  <c r="G545" i="13" s="1"/>
  <c r="G546" i="13" s="1"/>
  <c r="G547" i="13" s="1"/>
  <c r="G548" i="13" s="1"/>
  <c r="G549" i="13" s="1"/>
  <c r="G550" i="13" s="1"/>
  <c r="G551" i="13" s="1"/>
  <c r="G552" i="13" s="1"/>
  <c r="G553" i="13" s="1"/>
  <c r="G554" i="13" s="1"/>
  <c r="G555" i="13" s="1"/>
  <c r="G556" i="13" s="1"/>
  <c r="G557" i="13" s="1"/>
  <c r="G558" i="13" s="1"/>
  <c r="G559" i="13" s="1"/>
  <c r="G560" i="13" s="1"/>
  <c r="G561" i="13" s="1"/>
  <c r="G562" i="13" s="1"/>
  <c r="G563" i="13" s="1"/>
  <c r="G564" i="13" s="1"/>
  <c r="G565" i="13" s="1"/>
  <c r="G566" i="13" s="1"/>
  <c r="G567" i="13" s="1"/>
  <c r="G568" i="13" s="1"/>
  <c r="G569" i="13" s="1"/>
  <c r="G570" i="13" s="1"/>
  <c r="G571" i="13" s="1"/>
  <c r="G572" i="13" s="1"/>
  <c r="G573" i="13" s="1"/>
  <c r="G574" i="13" s="1"/>
  <c r="G575" i="13" s="1"/>
  <c r="G576" i="13" s="1"/>
  <c r="G577" i="13" s="1"/>
  <c r="G578" i="13" s="1"/>
  <c r="G579" i="13" s="1"/>
  <c r="G580" i="13" s="1"/>
  <c r="G581" i="13" s="1"/>
  <c r="G582" i="13" s="1"/>
  <c r="G583" i="13" s="1"/>
  <c r="G584" i="13" s="1"/>
  <c r="G585" i="13" s="1"/>
  <c r="G586" i="13" s="1"/>
  <c r="G587" i="13" s="1"/>
  <c r="G588" i="13" s="1"/>
  <c r="G589" i="13" s="1"/>
  <c r="G590" i="13" s="1"/>
  <c r="G591" i="13" s="1"/>
  <c r="G592" i="13" s="1"/>
  <c r="G593" i="13" s="1"/>
  <c r="G594" i="13" s="1"/>
  <c r="G595" i="13" s="1"/>
  <c r="G596" i="13" s="1"/>
  <c r="G597" i="13" s="1"/>
  <c r="G598" i="13" s="1"/>
  <c r="G599" i="13" s="1"/>
  <c r="G600" i="13" s="1"/>
  <c r="G601" i="13" s="1"/>
  <c r="G602" i="13" s="1"/>
  <c r="G603" i="13" s="1"/>
  <c r="G604" i="13" s="1"/>
  <c r="G605" i="13" s="1"/>
  <c r="G606" i="13" s="1"/>
  <c r="G607" i="13" s="1"/>
  <c r="G608" i="13" s="1"/>
  <c r="G609" i="13" s="1"/>
  <c r="G610" i="13" s="1"/>
  <c r="G611" i="13" s="1"/>
  <c r="G612" i="13" s="1"/>
  <c r="G613" i="13" s="1"/>
  <c r="G614" i="13" s="1"/>
  <c r="G615" i="13" s="1"/>
  <c r="G616" i="13" s="1"/>
  <c r="G617" i="13" s="1"/>
  <c r="G618" i="13" s="1"/>
  <c r="G619" i="13" s="1"/>
  <c r="G620" i="13" s="1"/>
  <c r="G621" i="13" s="1"/>
  <c r="G622" i="13" s="1"/>
  <c r="G623" i="13" s="1"/>
  <c r="G624" i="13" s="1"/>
  <c r="G625" i="13" s="1"/>
  <c r="G626" i="13" s="1"/>
  <c r="G627" i="13" s="1"/>
  <c r="G628" i="13" s="1"/>
  <c r="G629" i="13" s="1"/>
  <c r="G630" i="13" s="1"/>
  <c r="G631" i="13" s="1"/>
  <c r="G632" i="13" s="1"/>
  <c r="G633" i="13" s="1"/>
  <c r="G634" i="13" s="1"/>
  <c r="G635" i="13" s="1"/>
  <c r="G636" i="13" s="1"/>
  <c r="G637" i="13" s="1"/>
  <c r="G638" i="13" s="1"/>
  <c r="G639" i="13" s="1"/>
  <c r="G640" i="13" s="1"/>
  <c r="G641" i="13" s="1"/>
  <c r="G642" i="13" s="1"/>
  <c r="G643" i="13" s="1"/>
  <c r="G644" i="13" s="1"/>
  <c r="G645" i="13" s="1"/>
  <c r="G646" i="13" s="1"/>
  <c r="G647" i="13" s="1"/>
  <c r="G648" i="13" s="1"/>
  <c r="G649" i="13" s="1"/>
  <c r="G650" i="13" s="1"/>
  <c r="G651" i="13" s="1"/>
  <c r="G652" i="13" s="1"/>
  <c r="G653" i="13" s="1"/>
  <c r="G654" i="13" s="1"/>
  <c r="G655" i="13" s="1"/>
  <c r="G656" i="13" s="1"/>
  <c r="G657" i="13" s="1"/>
  <c r="G658" i="13" s="1"/>
  <c r="G659" i="13" s="1"/>
  <c r="G660" i="13" s="1"/>
  <c r="G661" i="13" s="1"/>
  <c r="G662" i="13" s="1"/>
  <c r="G663" i="13" s="1"/>
  <c r="G664" i="13" s="1"/>
  <c r="G665" i="13" s="1"/>
  <c r="G666" i="13" s="1"/>
  <c r="G667" i="13" s="1"/>
  <c r="G668" i="13" s="1"/>
  <c r="G669" i="13" s="1"/>
  <c r="G670" i="13" s="1"/>
  <c r="G671" i="13" s="1"/>
  <c r="G672" i="13" s="1"/>
  <c r="G673" i="13" s="1"/>
  <c r="G674" i="13" s="1"/>
  <c r="G675" i="13" s="1"/>
  <c r="G676" i="13" s="1"/>
  <c r="G677" i="13" s="1"/>
  <c r="G678" i="13" s="1"/>
  <c r="G679" i="13" s="1"/>
  <c r="G680" i="13" s="1"/>
  <c r="G681" i="13" s="1"/>
  <c r="G682" i="13" s="1"/>
  <c r="G683" i="13" s="1"/>
  <c r="G684" i="13" s="1"/>
  <c r="G685" i="13" s="1"/>
  <c r="G686" i="13" s="1"/>
  <c r="G687" i="13" s="1"/>
  <c r="G688" i="13" s="1"/>
  <c r="G689" i="13" s="1"/>
  <c r="G690" i="13" s="1"/>
  <c r="G691" i="13" s="1"/>
  <c r="G692" i="13" s="1"/>
  <c r="G693" i="13" s="1"/>
  <c r="G694" i="13" s="1"/>
  <c r="G695" i="13" s="1"/>
  <c r="G696" i="13" s="1"/>
  <c r="G697" i="13" s="1"/>
  <c r="G698" i="13" s="1"/>
  <c r="G699" i="13" s="1"/>
  <c r="G700" i="13" s="1"/>
  <c r="G701" i="13" s="1"/>
  <c r="G702" i="13" s="1"/>
  <c r="G703" i="13" s="1"/>
  <c r="G704" i="13" s="1"/>
  <c r="G705" i="13" s="1"/>
  <c r="G706" i="13" s="1"/>
  <c r="G707" i="13" s="1"/>
  <c r="G708" i="13" s="1"/>
  <c r="G709" i="13" s="1"/>
  <c r="G710" i="13" s="1"/>
  <c r="G711" i="13" s="1"/>
  <c r="G712" i="13" s="1"/>
  <c r="G713" i="13" s="1"/>
  <c r="G714" i="13" s="1"/>
  <c r="G715" i="13" s="1"/>
  <c r="G716" i="13" s="1"/>
  <c r="G717" i="13" s="1"/>
  <c r="G718" i="13" s="1"/>
  <c r="G719" i="13" s="1"/>
  <c r="G720" i="13" s="1"/>
  <c r="G721" i="13" s="1"/>
  <c r="G722" i="13" s="1"/>
  <c r="G723" i="13" s="1"/>
  <c r="G724" i="13" s="1"/>
  <c r="G725" i="13" s="1"/>
  <c r="G726" i="13" s="1"/>
  <c r="G727" i="13" s="1"/>
  <c r="G728" i="13" s="1"/>
  <c r="G729" i="13" s="1"/>
  <c r="G730" i="13" s="1"/>
  <c r="G731" i="13" s="1"/>
  <c r="G732" i="13" s="1"/>
  <c r="G733" i="13" s="1"/>
  <c r="G734" i="13" s="1"/>
  <c r="G735" i="13" s="1"/>
  <c r="G736" i="13" s="1"/>
  <c r="G737" i="13" s="1"/>
  <c r="G738" i="13" s="1"/>
  <c r="G739" i="13" s="1"/>
  <c r="G740" i="13" s="1"/>
  <c r="G741" i="13" s="1"/>
  <c r="G742" i="13" s="1"/>
  <c r="G743" i="13" s="1"/>
  <c r="G744" i="13" s="1"/>
  <c r="G745" i="13" s="1"/>
  <c r="G746" i="13" s="1"/>
  <c r="G747" i="13" s="1"/>
  <c r="G748" i="13" s="1"/>
  <c r="G749" i="13" s="1"/>
  <c r="G750" i="13" s="1"/>
  <c r="G751" i="13" s="1"/>
  <c r="G752" i="13" s="1"/>
  <c r="G753" i="13" s="1"/>
  <c r="G754" i="13" s="1"/>
  <c r="G755" i="13" s="1"/>
  <c r="G756" i="13" s="1"/>
  <c r="G757" i="13" s="1"/>
  <c r="G758" i="13" s="1"/>
  <c r="G759" i="13" s="1"/>
  <c r="G760" i="13" s="1"/>
  <c r="G761" i="13" s="1"/>
  <c r="G762" i="13" s="1"/>
  <c r="G763" i="13" s="1"/>
  <c r="G764" i="13" s="1"/>
  <c r="G765" i="13" s="1"/>
  <c r="G766" i="13" s="1"/>
  <c r="G767" i="13" s="1"/>
  <c r="G768" i="13" s="1"/>
  <c r="G769" i="13" s="1"/>
  <c r="G770" i="13" s="1"/>
  <c r="G771" i="13" s="1"/>
  <c r="G772" i="13" s="1"/>
  <c r="G773" i="13" s="1"/>
  <c r="G774" i="13" s="1"/>
  <c r="G775" i="13" s="1"/>
  <c r="G776" i="13" s="1"/>
  <c r="G777" i="13" s="1"/>
  <c r="G778" i="13" s="1"/>
  <c r="G779" i="13" s="1"/>
  <c r="G780" i="13" s="1"/>
  <c r="G781" i="13" s="1"/>
  <c r="G782" i="13" s="1"/>
  <c r="G783" i="13" s="1"/>
  <c r="G784" i="13" s="1"/>
  <c r="G785" i="13" s="1"/>
  <c r="G786" i="13" s="1"/>
  <c r="G787" i="13" s="1"/>
  <c r="G788" i="13" s="1"/>
  <c r="G789" i="13" s="1"/>
  <c r="G790" i="13" s="1"/>
  <c r="G791" i="13" s="1"/>
  <c r="G792" i="13" s="1"/>
  <c r="G793" i="13" s="1"/>
  <c r="G794" i="13" s="1"/>
  <c r="G795" i="13" s="1"/>
  <c r="G796" i="13" s="1"/>
  <c r="G797" i="13" s="1"/>
  <c r="G798" i="13" s="1"/>
  <c r="G799" i="13" s="1"/>
  <c r="G800" i="13" s="1"/>
  <c r="G801" i="13" s="1"/>
  <c r="G802" i="13" s="1"/>
  <c r="G803" i="13" s="1"/>
  <c r="G804" i="13" s="1"/>
  <c r="G805" i="13" s="1"/>
  <c r="G806" i="13" s="1"/>
  <c r="G807" i="13" s="1"/>
  <c r="G808" i="13" s="1"/>
  <c r="G809" i="13" s="1"/>
  <c r="G810" i="13" s="1"/>
  <c r="G811" i="13" s="1"/>
  <c r="G812" i="13" s="1"/>
  <c r="G813" i="13" s="1"/>
  <c r="G814" i="13" s="1"/>
  <c r="G815" i="13" s="1"/>
  <c r="F48" i="13"/>
  <c r="N48" i="13" s="1"/>
  <c r="K4" i="13"/>
  <c r="L3" i="13"/>
  <c r="T7" i="13" s="1"/>
  <c r="L7" i="10"/>
  <c r="L6" i="10"/>
  <c r="F20" i="10"/>
  <c r="L8" i="10"/>
  <c r="L10" i="10"/>
  <c r="L9" i="10"/>
  <c r="G6" i="10"/>
  <c r="D18" i="10"/>
  <c r="O9" i="10"/>
  <c r="I6" i="10"/>
  <c r="F6" i="10"/>
  <c r="F22" i="10"/>
  <c r="E18" i="10"/>
  <c r="F10" i="10"/>
  <c r="F19" i="10"/>
  <c r="C19" i="10"/>
  <c r="C7" i="10"/>
  <c r="C21" i="10"/>
  <c r="F21" i="10"/>
  <c r="C9" i="10"/>
  <c r="E21" i="10"/>
  <c r="F9" i="10"/>
  <c r="E20" i="10"/>
  <c r="M8" i="10"/>
  <c r="J20" i="10" s="1"/>
  <c r="E19" i="10"/>
  <c r="F18" i="10"/>
  <c r="C6" i="10"/>
  <c r="C22" i="10"/>
  <c r="C10" i="10"/>
  <c r="F7" i="10"/>
  <c r="E22" i="10"/>
  <c r="E7" i="9"/>
  <c r="F8" i="9"/>
  <c r="D10" i="9"/>
  <c r="I10" i="9" s="1"/>
  <c r="D6" i="9"/>
  <c r="C18" i="9" s="1"/>
  <c r="E6" i="9"/>
  <c r="D9" i="9"/>
  <c r="C9" i="9" s="1"/>
  <c r="D7" i="9"/>
  <c r="G8" i="9"/>
  <c r="A9" i="9"/>
  <c r="B21" i="9" s="1"/>
  <c r="J21" i="9" s="1"/>
  <c r="I8" i="9"/>
  <c r="A10" i="9"/>
  <c r="B22" i="9" s="1"/>
  <c r="J22" i="9" s="1"/>
  <c r="C8" i="9"/>
  <c r="D21" i="9"/>
  <c r="J8" i="9"/>
  <c r="G12" i="13" l="1"/>
  <c r="G11" i="13" s="1"/>
  <c r="G10" i="13" s="1"/>
  <c r="G9" i="13" s="1"/>
  <c r="N4" i="13"/>
  <c r="U7" i="13"/>
  <c r="P48" i="13"/>
  <c r="O50" i="13"/>
  <c r="O46" i="13"/>
  <c r="I49" i="13"/>
  <c r="I50" i="13" s="1"/>
  <c r="I47" i="13"/>
  <c r="O47" i="13"/>
  <c r="O49" i="13"/>
  <c r="I7" i="9"/>
  <c r="F19" i="9" s="1"/>
  <c r="D19" i="9"/>
  <c r="G7" i="9"/>
  <c r="F9" i="9"/>
  <c r="M6" i="10"/>
  <c r="J18" i="10" s="1"/>
  <c r="M10" i="10"/>
  <c r="J22" i="10" s="1"/>
  <c r="M7" i="10"/>
  <c r="J19" i="10" s="1"/>
  <c r="M9" i="10"/>
  <c r="J21" i="10" s="1"/>
  <c r="F10" i="9"/>
  <c r="J10" i="9"/>
  <c r="E22" i="9" s="1"/>
  <c r="I9" i="9"/>
  <c r="F21" i="9" s="1"/>
  <c r="F7" i="9"/>
  <c r="C19" i="9"/>
  <c r="J7" i="9"/>
  <c r="E19" i="9" s="1"/>
  <c r="G9" i="9"/>
  <c r="J6" i="9"/>
  <c r="E18" i="9" s="1"/>
  <c r="G6" i="9"/>
  <c r="F6" i="9"/>
  <c r="K6" i="9"/>
  <c r="K10" i="9"/>
  <c r="K9" i="9"/>
  <c r="K8" i="9"/>
  <c r="L8" i="9" s="1"/>
  <c r="L20" i="9" s="1"/>
  <c r="G10" i="9"/>
  <c r="E20" i="9"/>
  <c r="K7" i="9"/>
  <c r="F20" i="9"/>
  <c r="D22" i="9"/>
  <c r="C7" i="9"/>
  <c r="C6" i="9"/>
  <c r="C10" i="9"/>
  <c r="C22" i="9"/>
  <c r="D18" i="9"/>
  <c r="C21" i="9"/>
  <c r="I6" i="9"/>
  <c r="F18" i="9" s="1"/>
  <c r="J9" i="9"/>
  <c r="E21" i="9" s="1"/>
  <c r="L6" i="9" l="1"/>
  <c r="H47" i="13"/>
  <c r="I46" i="13"/>
  <c r="H49" i="13"/>
  <c r="L18" i="9"/>
  <c r="L10" i="9"/>
  <c r="L22" i="9" s="1"/>
  <c r="L9" i="9"/>
  <c r="L21" i="9" s="1"/>
  <c r="L7" i="9"/>
  <c r="L19" i="9" s="1"/>
  <c r="F22" i="9"/>
  <c r="F49" i="13" l="1"/>
  <c r="O45" i="13"/>
  <c r="F47" i="13"/>
  <c r="O51" i="13"/>
  <c r="I51" i="13"/>
  <c r="H50" i="13"/>
  <c r="F50" i="13" s="1"/>
  <c r="P50" i="13" s="1"/>
  <c r="I45" i="13"/>
  <c r="H46" i="13"/>
  <c r="F46" i="13" s="1"/>
  <c r="P46" i="13" s="1"/>
  <c r="N47" i="13" l="1"/>
  <c r="P47" i="13"/>
  <c r="N49" i="13"/>
  <c r="P49" i="13"/>
  <c r="O44" i="13"/>
  <c r="O52" i="13"/>
  <c r="I52" i="13"/>
  <c r="H51" i="13"/>
  <c r="F51" i="13" s="1"/>
  <c r="P51" i="13" s="1"/>
  <c r="N50" i="13"/>
  <c r="N46" i="13"/>
  <c r="I44" i="13"/>
  <c r="H45" i="13"/>
  <c r="F45" i="13" s="1"/>
  <c r="P45" i="13" s="1"/>
  <c r="O53" i="13" l="1"/>
  <c r="O43" i="13"/>
  <c r="N45" i="13"/>
  <c r="H44" i="13"/>
  <c r="F44" i="13" s="1"/>
  <c r="P44" i="13" s="1"/>
  <c r="I43" i="13"/>
  <c r="N51" i="13"/>
  <c r="I53" i="13"/>
  <c r="H52" i="13"/>
  <c r="F52" i="13" s="1"/>
  <c r="P52" i="13" s="1"/>
  <c r="O42" i="13" l="1"/>
  <c r="O54" i="13"/>
  <c r="N52" i="13"/>
  <c r="I54" i="13"/>
  <c r="H53" i="13"/>
  <c r="F53" i="13" s="1"/>
  <c r="P53" i="13" s="1"/>
  <c r="H43" i="13"/>
  <c r="F43" i="13" s="1"/>
  <c r="P43" i="13" s="1"/>
  <c r="I42" i="13"/>
  <c r="N44" i="13"/>
  <c r="O55" i="13" l="1"/>
  <c r="O41" i="13"/>
  <c r="I41" i="13"/>
  <c r="H42" i="13"/>
  <c r="F42" i="13" s="1"/>
  <c r="P42" i="13" s="1"/>
  <c r="N53" i="13"/>
  <c r="N43" i="13"/>
  <c r="I55" i="13"/>
  <c r="H54" i="13"/>
  <c r="F54" i="13" s="1"/>
  <c r="P54" i="13" s="1"/>
  <c r="O40" i="13" l="1"/>
  <c r="O56" i="13"/>
  <c r="I56" i="13"/>
  <c r="H55" i="13"/>
  <c r="F55" i="13" s="1"/>
  <c r="P55" i="13" s="1"/>
  <c r="N42" i="13"/>
  <c r="I40" i="13"/>
  <c r="H41" i="13"/>
  <c r="F41" i="13" s="1"/>
  <c r="P41" i="13" s="1"/>
  <c r="N54" i="13"/>
  <c r="O57" i="13" l="1"/>
  <c r="O39" i="13"/>
  <c r="N41" i="13"/>
  <c r="N55" i="13"/>
  <c r="H40" i="13"/>
  <c r="F40" i="13" s="1"/>
  <c r="P40" i="13" s="1"/>
  <c r="I39" i="13"/>
  <c r="H56" i="13"/>
  <c r="F56" i="13" s="1"/>
  <c r="P56" i="13" s="1"/>
  <c r="I57" i="13"/>
  <c r="O38" i="13" l="1"/>
  <c r="O58" i="13"/>
  <c r="N40" i="13"/>
  <c r="I58" i="13"/>
  <c r="H57" i="13"/>
  <c r="F57" i="13" s="1"/>
  <c r="P57" i="13" s="1"/>
  <c r="N56" i="13"/>
  <c r="H39" i="13"/>
  <c r="F39" i="13" s="1"/>
  <c r="P39" i="13" s="1"/>
  <c r="I38" i="13"/>
  <c r="O59" i="13" l="1"/>
  <c r="O37" i="13"/>
  <c r="N57" i="13"/>
  <c r="I59" i="13"/>
  <c r="H58" i="13"/>
  <c r="F58" i="13" s="1"/>
  <c r="P58" i="13" s="1"/>
  <c r="I37" i="13"/>
  <c r="H38" i="13"/>
  <c r="F38" i="13" s="1"/>
  <c r="P38" i="13" s="1"/>
  <c r="N39" i="13"/>
  <c r="O36" i="13" l="1"/>
  <c r="O60" i="13"/>
  <c r="N38" i="13"/>
  <c r="I36" i="13"/>
  <c r="H37" i="13"/>
  <c r="F37" i="13" s="1"/>
  <c r="P37" i="13" s="1"/>
  <c r="N58" i="13"/>
  <c r="I60" i="13"/>
  <c r="H59" i="13"/>
  <c r="F59" i="13" s="1"/>
  <c r="P59" i="13" s="1"/>
  <c r="O35" i="13" l="1"/>
  <c r="O61" i="13"/>
  <c r="N59" i="13"/>
  <c r="H36" i="13"/>
  <c r="F36" i="13" s="1"/>
  <c r="P36" i="13" s="1"/>
  <c r="I35" i="13"/>
  <c r="N37" i="13"/>
  <c r="I61" i="13"/>
  <c r="H60" i="13"/>
  <c r="F60" i="13" s="1"/>
  <c r="P60" i="13" s="1"/>
  <c r="O62" i="13" l="1"/>
  <c r="O34" i="13"/>
  <c r="N60" i="13"/>
  <c r="H35" i="13"/>
  <c r="F35" i="13" s="1"/>
  <c r="P35" i="13" s="1"/>
  <c r="I34" i="13"/>
  <c r="I62" i="13"/>
  <c r="H61" i="13"/>
  <c r="F61" i="13" s="1"/>
  <c r="P61" i="13" s="1"/>
  <c r="N36" i="13"/>
  <c r="O33" i="13" l="1"/>
  <c r="O63" i="13"/>
  <c r="N35" i="13"/>
  <c r="I33" i="13"/>
  <c r="H34" i="13"/>
  <c r="F34" i="13" s="1"/>
  <c r="P34" i="13" s="1"/>
  <c r="N61" i="13"/>
  <c r="I63" i="13"/>
  <c r="H62" i="13"/>
  <c r="F62" i="13" s="1"/>
  <c r="P62" i="13" s="1"/>
  <c r="O64" i="13" l="1"/>
  <c r="O32" i="13"/>
  <c r="I64" i="13"/>
  <c r="H63" i="13"/>
  <c r="F63" i="13" s="1"/>
  <c r="P63" i="13" s="1"/>
  <c r="I32" i="13"/>
  <c r="H33" i="13"/>
  <c r="F33" i="13" s="1"/>
  <c r="P33" i="13" s="1"/>
  <c r="N62" i="13"/>
  <c r="N34" i="13"/>
  <c r="O31" i="13" l="1"/>
  <c r="O65" i="13"/>
  <c r="N33" i="13"/>
  <c r="H32" i="13"/>
  <c r="F32" i="13" s="1"/>
  <c r="P32" i="13" s="1"/>
  <c r="I31" i="13"/>
  <c r="N63" i="13"/>
  <c r="I65" i="13"/>
  <c r="H64" i="13"/>
  <c r="F64" i="13" s="1"/>
  <c r="P64" i="13" s="1"/>
  <c r="O66" i="13" l="1"/>
  <c r="O30" i="13"/>
  <c r="N64" i="13"/>
  <c r="I66" i="13"/>
  <c r="H65" i="13"/>
  <c r="F65" i="13" s="1"/>
  <c r="P65" i="13" s="1"/>
  <c r="H31" i="13"/>
  <c r="F31" i="13" s="1"/>
  <c r="P31" i="13" s="1"/>
  <c r="I30" i="13"/>
  <c r="N32" i="13"/>
  <c r="O29" i="13" l="1"/>
  <c r="O67" i="13"/>
  <c r="N65" i="13"/>
  <c r="N31" i="13"/>
  <c r="I67" i="13"/>
  <c r="H66" i="13"/>
  <c r="F66" i="13" s="1"/>
  <c r="P66" i="13" s="1"/>
  <c r="I29" i="13"/>
  <c r="H30" i="13"/>
  <c r="F30" i="13" s="1"/>
  <c r="P30" i="13" s="1"/>
  <c r="O68" i="13" l="1"/>
  <c r="O28" i="13"/>
  <c r="N30" i="13"/>
  <c r="N66" i="13"/>
  <c r="I28" i="13"/>
  <c r="H29" i="13"/>
  <c r="F29" i="13" s="1"/>
  <c r="P29" i="13" s="1"/>
  <c r="I68" i="13"/>
  <c r="H67" i="13"/>
  <c r="F67" i="13" s="1"/>
  <c r="P67" i="13" s="1"/>
  <c r="O27" i="13" l="1"/>
  <c r="O69" i="13"/>
  <c r="H28" i="13"/>
  <c r="F28" i="13" s="1"/>
  <c r="P28" i="13" s="1"/>
  <c r="I27" i="13"/>
  <c r="I69" i="13"/>
  <c r="H68" i="13"/>
  <c r="F68" i="13" s="1"/>
  <c r="P68" i="13" s="1"/>
  <c r="N67" i="13"/>
  <c r="N29" i="13"/>
  <c r="O70" i="13" l="1"/>
  <c r="O26" i="13"/>
  <c r="H27" i="13"/>
  <c r="F27" i="13" s="1"/>
  <c r="P27" i="13" s="1"/>
  <c r="I26" i="13"/>
  <c r="I70" i="13"/>
  <c r="H69" i="13"/>
  <c r="F69" i="13" s="1"/>
  <c r="P69" i="13" s="1"/>
  <c r="N68" i="13"/>
  <c r="N28" i="13"/>
  <c r="O25" i="13" l="1"/>
  <c r="O71" i="13"/>
  <c r="N27" i="13"/>
  <c r="I71" i="13"/>
  <c r="H70" i="13"/>
  <c r="F70" i="13" s="1"/>
  <c r="P70" i="13" s="1"/>
  <c r="N69" i="13"/>
  <c r="I25" i="13"/>
  <c r="H26" i="13"/>
  <c r="F26" i="13" s="1"/>
  <c r="P26" i="13" s="1"/>
  <c r="O24" i="13" l="1"/>
  <c r="O72" i="13"/>
  <c r="N70" i="13"/>
  <c r="I72" i="13"/>
  <c r="H71" i="13"/>
  <c r="F71" i="13" s="1"/>
  <c r="P71" i="13" s="1"/>
  <c r="I24" i="13"/>
  <c r="H25" i="13"/>
  <c r="F25" i="13" s="1"/>
  <c r="P25" i="13" s="1"/>
  <c r="N26" i="13"/>
  <c r="O73" i="13" l="1"/>
  <c r="O23" i="13"/>
  <c r="H24" i="13"/>
  <c r="F24" i="13" s="1"/>
  <c r="P24" i="13" s="1"/>
  <c r="I23" i="13"/>
  <c r="H72" i="13"/>
  <c r="F72" i="13" s="1"/>
  <c r="P72" i="13" s="1"/>
  <c r="I73" i="13"/>
  <c r="N25" i="13"/>
  <c r="N71" i="13"/>
  <c r="O22" i="13" l="1"/>
  <c r="O74" i="13"/>
  <c r="H23" i="13"/>
  <c r="F23" i="13" s="1"/>
  <c r="P23" i="13" s="1"/>
  <c r="I22" i="13"/>
  <c r="I74" i="13"/>
  <c r="H73" i="13"/>
  <c r="F73" i="13" s="1"/>
  <c r="P73" i="13" s="1"/>
  <c r="N24" i="13"/>
  <c r="N72" i="13"/>
  <c r="O75" i="13" l="1"/>
  <c r="O21" i="13"/>
  <c r="N73" i="13"/>
  <c r="I75" i="13"/>
  <c r="H74" i="13"/>
  <c r="F74" i="13" s="1"/>
  <c r="P74" i="13" s="1"/>
  <c r="I21" i="13"/>
  <c r="H22" i="13"/>
  <c r="F22" i="13" s="1"/>
  <c r="P22" i="13" s="1"/>
  <c r="N23" i="13"/>
  <c r="O20" i="13" l="1"/>
  <c r="O76" i="13"/>
  <c r="N74" i="13"/>
  <c r="N22" i="13"/>
  <c r="I76" i="13"/>
  <c r="H75" i="13"/>
  <c r="F75" i="13" s="1"/>
  <c r="P75" i="13" s="1"/>
  <c r="I20" i="13"/>
  <c r="H21" i="13"/>
  <c r="F21" i="13" s="1"/>
  <c r="P21" i="13" s="1"/>
  <c r="O77" i="13" l="1"/>
  <c r="O19" i="13"/>
  <c r="N21" i="13"/>
  <c r="N75" i="13"/>
  <c r="H20" i="13"/>
  <c r="F20" i="13" s="1"/>
  <c r="P20" i="13" s="1"/>
  <c r="I19" i="13"/>
  <c r="I77" i="13"/>
  <c r="H76" i="13"/>
  <c r="F76" i="13" s="1"/>
  <c r="P76" i="13" s="1"/>
  <c r="O18" i="13" l="1"/>
  <c r="O78" i="13"/>
  <c r="N76" i="13"/>
  <c r="H77" i="13"/>
  <c r="F77" i="13" s="1"/>
  <c r="P77" i="13" s="1"/>
  <c r="I78" i="13"/>
  <c r="I18" i="13"/>
  <c r="H19" i="13"/>
  <c r="F19" i="13" s="1"/>
  <c r="P19" i="13" s="1"/>
  <c r="N20" i="13"/>
  <c r="O17" i="13" l="1"/>
  <c r="O79" i="13"/>
  <c r="N77" i="13"/>
  <c r="N19" i="13"/>
  <c r="H18" i="13"/>
  <c r="F18" i="13" s="1"/>
  <c r="P18" i="13" s="1"/>
  <c r="I17" i="13"/>
  <c r="I79" i="13"/>
  <c r="H78" i="13"/>
  <c r="F78" i="13" s="1"/>
  <c r="P78" i="13" s="1"/>
  <c r="O80" i="13" l="1"/>
  <c r="O16" i="13"/>
  <c r="H17" i="13"/>
  <c r="F17" i="13" s="1"/>
  <c r="P17" i="13" s="1"/>
  <c r="I16" i="13"/>
  <c r="N78" i="13"/>
  <c r="I80" i="13"/>
  <c r="H79" i="13"/>
  <c r="F79" i="13" s="1"/>
  <c r="P79" i="13" s="1"/>
  <c r="N18" i="13"/>
  <c r="O15" i="13" l="1"/>
  <c r="O81" i="13"/>
  <c r="I81" i="13"/>
  <c r="H80" i="13"/>
  <c r="F80" i="13" s="1"/>
  <c r="P80" i="13" s="1"/>
  <c r="N17" i="13"/>
  <c r="N79" i="13"/>
  <c r="I15" i="13"/>
  <c r="H16" i="13"/>
  <c r="F16" i="13" s="1"/>
  <c r="P16" i="13" s="1"/>
  <c r="O82" i="13" l="1"/>
  <c r="O14" i="13"/>
  <c r="N16" i="13"/>
  <c r="N80" i="13"/>
  <c r="I14" i="13"/>
  <c r="H15" i="13"/>
  <c r="F15" i="13" s="1"/>
  <c r="P15" i="13" s="1"/>
  <c r="I82" i="13"/>
  <c r="H81" i="13"/>
  <c r="F81" i="13" s="1"/>
  <c r="P81" i="13" s="1"/>
  <c r="O13" i="13" l="1"/>
  <c r="O83" i="13"/>
  <c r="N81" i="13"/>
  <c r="I13" i="13"/>
  <c r="H14" i="13"/>
  <c r="F14" i="13" s="1"/>
  <c r="P14" i="13" s="1"/>
  <c r="N15" i="13"/>
  <c r="I83" i="13"/>
  <c r="H82" i="13"/>
  <c r="F82" i="13" s="1"/>
  <c r="P82" i="13" s="1"/>
  <c r="O84" i="13" l="1"/>
  <c r="O12" i="13"/>
  <c r="H83" i="13"/>
  <c r="F83" i="13" s="1"/>
  <c r="P83" i="13" s="1"/>
  <c r="I84" i="13"/>
  <c r="N14" i="13"/>
  <c r="H13" i="13"/>
  <c r="F13" i="13" s="1"/>
  <c r="I12" i="13"/>
  <c r="N82" i="13"/>
  <c r="P13" i="13" l="1"/>
  <c r="O11" i="13"/>
  <c r="O85" i="13"/>
  <c r="I85" i="13"/>
  <c r="H84" i="13"/>
  <c r="F84" i="13" s="1"/>
  <c r="P84" i="13" s="1"/>
  <c r="H12" i="13"/>
  <c r="F12" i="13" s="1"/>
  <c r="P12" i="13" s="1"/>
  <c r="I11" i="13"/>
  <c r="N83" i="13"/>
  <c r="N13" i="13" l="1"/>
  <c r="O86" i="13"/>
  <c r="G8" i="13"/>
  <c r="O10" i="13"/>
  <c r="N84" i="13"/>
  <c r="I86" i="13"/>
  <c r="H85" i="13"/>
  <c r="F85" i="13" s="1"/>
  <c r="P85" i="13" s="1"/>
  <c r="I10" i="13"/>
  <c r="H11" i="13"/>
  <c r="F11" i="13" s="1"/>
  <c r="P11" i="13" s="1"/>
  <c r="N12" i="13"/>
  <c r="O8" i="13" l="1"/>
  <c r="O9" i="13"/>
  <c r="O87" i="13"/>
  <c r="N11" i="13"/>
  <c r="H10" i="13"/>
  <c r="F10" i="13" s="1"/>
  <c r="P10" i="13" s="1"/>
  <c r="I9" i="13"/>
  <c r="N85" i="13"/>
  <c r="I87" i="13"/>
  <c r="H86" i="13"/>
  <c r="F86" i="13" s="1"/>
  <c r="P86" i="13" s="1"/>
  <c r="O88" i="13" l="1"/>
  <c r="I8" i="13"/>
  <c r="H8" i="13" s="1"/>
  <c r="F8" i="13" s="1"/>
  <c r="P8" i="13" s="1"/>
  <c r="H9" i="13"/>
  <c r="F9" i="13" s="1"/>
  <c r="P9" i="13" s="1"/>
  <c r="N86" i="13"/>
  <c r="I88" i="13"/>
  <c r="H87" i="13"/>
  <c r="F87" i="13" s="1"/>
  <c r="P87" i="13" s="1"/>
  <c r="N10" i="13"/>
  <c r="O89" i="13" l="1"/>
  <c r="N87" i="13"/>
  <c r="I89" i="13"/>
  <c r="H88" i="13"/>
  <c r="F88" i="13" s="1"/>
  <c r="P88" i="13" s="1"/>
  <c r="N9" i="13"/>
  <c r="N8" i="13"/>
  <c r="O90" i="13" l="1"/>
  <c r="N88" i="13"/>
  <c r="I90" i="13"/>
  <c r="H89" i="13"/>
  <c r="F89" i="13" s="1"/>
  <c r="P89" i="13" s="1"/>
  <c r="O91" i="13" l="1"/>
  <c r="I91" i="13"/>
  <c r="H90" i="13"/>
  <c r="F90" i="13" s="1"/>
  <c r="P90" i="13" s="1"/>
  <c r="N89" i="13"/>
  <c r="O92" i="13" l="1"/>
  <c r="N90" i="13"/>
  <c r="I92" i="13"/>
  <c r="H91" i="13"/>
  <c r="F91" i="13" s="1"/>
  <c r="P91" i="13" s="1"/>
  <c r="O93" i="13" l="1"/>
  <c r="N91" i="13"/>
  <c r="I93" i="13"/>
  <c r="H92" i="13"/>
  <c r="F92" i="13" s="1"/>
  <c r="P92" i="13" s="1"/>
  <c r="O94" i="13" l="1"/>
  <c r="N92" i="13"/>
  <c r="H93" i="13"/>
  <c r="F93" i="13" s="1"/>
  <c r="P93" i="13" s="1"/>
  <c r="I94" i="13"/>
  <c r="O95" i="13" l="1"/>
  <c r="I95" i="13"/>
  <c r="H94" i="13"/>
  <c r="F94" i="13" s="1"/>
  <c r="P94" i="13" s="1"/>
  <c r="N93" i="13"/>
  <c r="O96" i="13" l="1"/>
  <c r="I96" i="13"/>
  <c r="H95" i="13"/>
  <c r="F95" i="13" s="1"/>
  <c r="P95" i="13" s="1"/>
  <c r="N94" i="13"/>
  <c r="O97" i="13" l="1"/>
  <c r="N95" i="13"/>
  <c r="I97" i="13"/>
  <c r="H96" i="13"/>
  <c r="F96" i="13" s="1"/>
  <c r="P96" i="13" s="1"/>
  <c r="O98" i="13" l="1"/>
  <c r="N96" i="13"/>
  <c r="I98" i="13"/>
  <c r="H97" i="13"/>
  <c r="F97" i="13" s="1"/>
  <c r="P97" i="13" s="1"/>
  <c r="O99" i="13" l="1"/>
  <c r="I99" i="13"/>
  <c r="H98" i="13"/>
  <c r="F98" i="13" s="1"/>
  <c r="P98" i="13" s="1"/>
  <c r="N97" i="13"/>
  <c r="O100" i="13" l="1"/>
  <c r="N98" i="13"/>
  <c r="H99" i="13"/>
  <c r="F99" i="13" s="1"/>
  <c r="P99" i="13" s="1"/>
  <c r="I100" i="13"/>
  <c r="I101" i="13" l="1"/>
  <c r="H100" i="13"/>
  <c r="F100" i="13" s="1"/>
  <c r="P100" i="13" s="1"/>
  <c r="N99" i="13"/>
  <c r="N100" i="13" l="1"/>
  <c r="I102" i="13"/>
  <c r="H101" i="13"/>
  <c r="F101" i="13" s="1"/>
  <c r="I103" i="13" l="1"/>
  <c r="H102" i="13"/>
  <c r="F102" i="13" s="1"/>
  <c r="I104" i="13" l="1"/>
  <c r="H103" i="13"/>
  <c r="F103" i="13" s="1"/>
  <c r="I105" i="13" l="1"/>
  <c r="H104" i="13"/>
  <c r="F104" i="13" s="1"/>
  <c r="I106" i="13" l="1"/>
  <c r="H105" i="13"/>
  <c r="F105" i="13" s="1"/>
  <c r="I107" i="13" l="1"/>
  <c r="H106" i="13"/>
  <c r="F106" i="13" s="1"/>
  <c r="I108" i="13" l="1"/>
  <c r="H107" i="13"/>
  <c r="F107" i="13" s="1"/>
  <c r="I109" i="13" l="1"/>
  <c r="H108" i="13"/>
  <c r="F108" i="13" s="1"/>
  <c r="I110" i="13" l="1"/>
  <c r="H109" i="13"/>
  <c r="F109" i="13" s="1"/>
  <c r="I111" i="13" l="1"/>
  <c r="H110" i="13"/>
  <c r="F110" i="13" s="1"/>
  <c r="I112" i="13" l="1"/>
  <c r="H111" i="13"/>
  <c r="F111" i="13" s="1"/>
  <c r="I113" i="13" l="1"/>
  <c r="H112" i="13"/>
  <c r="F112" i="13" s="1"/>
  <c r="I114" i="13" l="1"/>
  <c r="H113" i="13"/>
  <c r="F113" i="13" s="1"/>
  <c r="I115" i="13" l="1"/>
  <c r="H114" i="13"/>
  <c r="F114" i="13" s="1"/>
  <c r="H115" i="13" l="1"/>
  <c r="F115" i="13" s="1"/>
  <c r="I116" i="13"/>
  <c r="I117" i="13" l="1"/>
  <c r="H116" i="13"/>
  <c r="F116" i="13" s="1"/>
  <c r="I118" i="13" l="1"/>
  <c r="H117" i="13"/>
  <c r="F117" i="13" s="1"/>
  <c r="I119" i="13" l="1"/>
  <c r="H118" i="13"/>
  <c r="F118" i="13" s="1"/>
  <c r="I120" i="13" l="1"/>
  <c r="H119" i="13"/>
  <c r="F119" i="13" s="1"/>
  <c r="I121" i="13" l="1"/>
  <c r="H120" i="13"/>
  <c r="F120" i="13" s="1"/>
  <c r="I122" i="13" l="1"/>
  <c r="H121" i="13"/>
  <c r="F121" i="13" s="1"/>
  <c r="I123" i="13" l="1"/>
  <c r="H122" i="13"/>
  <c r="F122" i="13" s="1"/>
  <c r="I124" i="13" l="1"/>
  <c r="H123" i="13"/>
  <c r="F123" i="13" s="1"/>
  <c r="H124" i="13" l="1"/>
  <c r="F124" i="13" s="1"/>
  <c r="I125" i="13"/>
  <c r="I126" i="13" l="1"/>
  <c r="H125" i="13"/>
  <c r="F125" i="13" s="1"/>
  <c r="I127" i="13" l="1"/>
  <c r="H126" i="13"/>
  <c r="F126" i="13" s="1"/>
  <c r="I128" i="13" l="1"/>
  <c r="H127" i="13"/>
  <c r="F127" i="13" s="1"/>
  <c r="I129" i="13" l="1"/>
  <c r="H128" i="13"/>
  <c r="F128" i="13" s="1"/>
  <c r="I130" i="13" l="1"/>
  <c r="H129" i="13"/>
  <c r="F129" i="13" s="1"/>
  <c r="I131" i="13" l="1"/>
  <c r="H130" i="13"/>
  <c r="F130" i="13" s="1"/>
  <c r="I132" i="13" l="1"/>
  <c r="H131" i="13"/>
  <c r="F131" i="13" s="1"/>
  <c r="I133" i="13" l="1"/>
  <c r="H132" i="13"/>
  <c r="F132" i="13" s="1"/>
  <c r="I134" i="13" l="1"/>
  <c r="H133" i="13"/>
  <c r="F133" i="13" s="1"/>
  <c r="I135" i="13" l="1"/>
  <c r="H134" i="13"/>
  <c r="F134" i="13" s="1"/>
  <c r="I136" i="13" l="1"/>
  <c r="H135" i="13"/>
  <c r="F135" i="13" s="1"/>
  <c r="I137" i="13" l="1"/>
  <c r="H136" i="13"/>
  <c r="F136" i="13" s="1"/>
  <c r="I138" i="13" l="1"/>
  <c r="H137" i="13"/>
  <c r="F137" i="13" s="1"/>
  <c r="I139" i="13" l="1"/>
  <c r="H138" i="13"/>
  <c r="F138" i="13" s="1"/>
  <c r="I140" i="13" l="1"/>
  <c r="H139" i="13"/>
  <c r="F139" i="13" s="1"/>
  <c r="I141" i="13" l="1"/>
  <c r="H140" i="13"/>
  <c r="F140" i="13" s="1"/>
  <c r="I142" i="13" l="1"/>
  <c r="H141" i="13"/>
  <c r="F141" i="13" s="1"/>
  <c r="I143" i="13" l="1"/>
  <c r="H142" i="13"/>
  <c r="F142" i="13" s="1"/>
  <c r="I144" i="13" l="1"/>
  <c r="H143" i="13"/>
  <c r="F143" i="13" s="1"/>
  <c r="I145" i="13" l="1"/>
  <c r="H144" i="13"/>
  <c r="F144" i="13" s="1"/>
  <c r="I146" i="13" l="1"/>
  <c r="H145" i="13"/>
  <c r="F145" i="13" s="1"/>
  <c r="I147" i="13" l="1"/>
  <c r="H146" i="13"/>
  <c r="F146" i="13" s="1"/>
  <c r="I148" i="13" l="1"/>
  <c r="H147" i="13"/>
  <c r="F147" i="13" s="1"/>
  <c r="I149" i="13" l="1"/>
  <c r="H148" i="13"/>
  <c r="F148" i="13" s="1"/>
  <c r="I150" i="13" l="1"/>
  <c r="H149" i="13"/>
  <c r="F149" i="13" s="1"/>
  <c r="I151" i="13" l="1"/>
  <c r="H150" i="13"/>
  <c r="F150" i="13" s="1"/>
  <c r="I152" i="13" l="1"/>
  <c r="H151" i="13"/>
  <c r="F151" i="13" s="1"/>
  <c r="I153" i="13" l="1"/>
  <c r="H152" i="13"/>
  <c r="F152" i="13" s="1"/>
  <c r="I154" i="13" l="1"/>
  <c r="H153" i="13"/>
  <c r="F153" i="13" s="1"/>
  <c r="I155" i="13" l="1"/>
  <c r="H154" i="13"/>
  <c r="F154" i="13" s="1"/>
  <c r="I156" i="13" l="1"/>
  <c r="H155" i="13"/>
  <c r="F155" i="13" s="1"/>
  <c r="I157" i="13" l="1"/>
  <c r="H156" i="13"/>
  <c r="F156" i="13" s="1"/>
  <c r="I158" i="13" l="1"/>
  <c r="H157" i="13"/>
  <c r="F157" i="13" s="1"/>
  <c r="I159" i="13" l="1"/>
  <c r="H158" i="13"/>
  <c r="F158" i="13" s="1"/>
  <c r="I160" i="13" l="1"/>
  <c r="H159" i="13"/>
  <c r="F159" i="13" s="1"/>
  <c r="I161" i="13" l="1"/>
  <c r="H160" i="13"/>
  <c r="F160" i="13" s="1"/>
  <c r="I162" i="13" l="1"/>
  <c r="H161" i="13"/>
  <c r="F161" i="13" s="1"/>
  <c r="I163" i="13" l="1"/>
  <c r="H162" i="13"/>
  <c r="F162" i="13" s="1"/>
  <c r="I164" i="13" l="1"/>
  <c r="H163" i="13"/>
  <c r="F163" i="13" s="1"/>
  <c r="I165" i="13" l="1"/>
  <c r="H164" i="13"/>
  <c r="F164" i="13" s="1"/>
  <c r="I166" i="13" l="1"/>
  <c r="H165" i="13"/>
  <c r="F165" i="13" s="1"/>
  <c r="I167" i="13" l="1"/>
  <c r="H166" i="13"/>
  <c r="F166" i="13" s="1"/>
  <c r="I168" i="13" l="1"/>
  <c r="H167" i="13"/>
  <c r="F167" i="13" s="1"/>
  <c r="I169" i="13" l="1"/>
  <c r="H168" i="13"/>
  <c r="F168" i="13" s="1"/>
  <c r="I170" i="13" l="1"/>
  <c r="H169" i="13"/>
  <c r="F169" i="13" s="1"/>
  <c r="I171" i="13" l="1"/>
  <c r="H170" i="13"/>
  <c r="F170" i="13" s="1"/>
  <c r="I172" i="13" l="1"/>
  <c r="H171" i="13"/>
  <c r="F171" i="13" s="1"/>
  <c r="I173" i="13" l="1"/>
  <c r="H172" i="13"/>
  <c r="F172" i="13" s="1"/>
  <c r="I174" i="13" l="1"/>
  <c r="H173" i="13"/>
  <c r="F173" i="13" s="1"/>
  <c r="I175" i="13" l="1"/>
  <c r="H174" i="13"/>
  <c r="F174" i="13" s="1"/>
  <c r="I176" i="13" l="1"/>
  <c r="H175" i="13"/>
  <c r="F175" i="13" s="1"/>
  <c r="I177" i="13" l="1"/>
  <c r="H176" i="13"/>
  <c r="F176" i="13" s="1"/>
  <c r="I178" i="13" l="1"/>
  <c r="H177" i="13"/>
  <c r="F177" i="13" s="1"/>
  <c r="I179" i="13" l="1"/>
  <c r="H178" i="13"/>
  <c r="F178" i="13" s="1"/>
  <c r="I180" i="13" l="1"/>
  <c r="H179" i="13"/>
  <c r="F179" i="13" s="1"/>
  <c r="I181" i="13" l="1"/>
  <c r="H180" i="13"/>
  <c r="F180" i="13" s="1"/>
  <c r="I182" i="13" l="1"/>
  <c r="H181" i="13"/>
  <c r="F181" i="13" s="1"/>
  <c r="I183" i="13" l="1"/>
  <c r="H182" i="13"/>
  <c r="F182" i="13" s="1"/>
  <c r="I184" i="13" l="1"/>
  <c r="H183" i="13"/>
  <c r="F183" i="13" s="1"/>
  <c r="I185" i="13" l="1"/>
  <c r="H184" i="13"/>
  <c r="F184" i="13" s="1"/>
  <c r="I186" i="13" l="1"/>
  <c r="H185" i="13"/>
  <c r="F185" i="13" s="1"/>
  <c r="I187" i="13" l="1"/>
  <c r="H186" i="13"/>
  <c r="F186" i="13" s="1"/>
  <c r="I188" i="13" l="1"/>
  <c r="H187" i="13"/>
  <c r="F187" i="13" s="1"/>
  <c r="I189" i="13" l="1"/>
  <c r="H188" i="13"/>
  <c r="F188" i="13" s="1"/>
  <c r="I190" i="13" l="1"/>
  <c r="H189" i="13"/>
  <c r="F189" i="13" s="1"/>
  <c r="I191" i="13" l="1"/>
  <c r="H190" i="13"/>
  <c r="F190" i="13" s="1"/>
  <c r="I192" i="13" l="1"/>
  <c r="H191" i="13"/>
  <c r="F191" i="13" s="1"/>
  <c r="I193" i="13" l="1"/>
  <c r="H192" i="13"/>
  <c r="F192" i="13" s="1"/>
  <c r="I194" i="13" l="1"/>
  <c r="H193" i="13"/>
  <c r="F193" i="13" s="1"/>
  <c r="I195" i="13" l="1"/>
  <c r="H194" i="13"/>
  <c r="F194" i="13" s="1"/>
  <c r="I196" i="13" l="1"/>
  <c r="H195" i="13"/>
  <c r="F195" i="13" s="1"/>
  <c r="I197" i="13" l="1"/>
  <c r="H196" i="13"/>
  <c r="F196" i="13" s="1"/>
  <c r="I198" i="13" l="1"/>
  <c r="H197" i="13"/>
  <c r="F197" i="13" s="1"/>
  <c r="I199" i="13" l="1"/>
  <c r="H198" i="13"/>
  <c r="F198" i="13" s="1"/>
  <c r="I200" i="13" l="1"/>
  <c r="H199" i="13"/>
  <c r="F199" i="13" s="1"/>
  <c r="I201" i="13" l="1"/>
  <c r="H200" i="13"/>
  <c r="F200" i="13" s="1"/>
  <c r="H201" i="13" l="1"/>
  <c r="F201" i="13" s="1"/>
  <c r="I202" i="13"/>
  <c r="H202" i="13" l="1"/>
  <c r="F202" i="13" s="1"/>
  <c r="I203" i="13"/>
  <c r="H203" i="13" l="1"/>
  <c r="F203" i="13" s="1"/>
  <c r="I204" i="13"/>
  <c r="H204" i="13" l="1"/>
  <c r="F204" i="13" s="1"/>
  <c r="I205" i="13"/>
  <c r="H205" i="13" l="1"/>
  <c r="F205" i="13" s="1"/>
  <c r="I206" i="13"/>
  <c r="H206" i="13" l="1"/>
  <c r="F206" i="13" s="1"/>
  <c r="I207" i="13"/>
  <c r="H207" i="13" l="1"/>
  <c r="F207" i="13" s="1"/>
  <c r="I208" i="13"/>
  <c r="H208" i="13" l="1"/>
  <c r="F208" i="13" s="1"/>
  <c r="I209" i="13"/>
  <c r="H209" i="13" l="1"/>
  <c r="F209" i="13" s="1"/>
  <c r="I210" i="13"/>
  <c r="H210" i="13" l="1"/>
  <c r="F210" i="13" s="1"/>
  <c r="I211" i="13"/>
  <c r="H211" i="13" l="1"/>
  <c r="F211" i="13" s="1"/>
  <c r="I212" i="13"/>
  <c r="H212" i="13" l="1"/>
  <c r="F212" i="13" s="1"/>
  <c r="I213" i="13"/>
  <c r="H213" i="13" l="1"/>
  <c r="F213" i="13" s="1"/>
  <c r="I214" i="13"/>
  <c r="H214" i="13" l="1"/>
  <c r="F214" i="13" s="1"/>
  <c r="I215" i="13"/>
  <c r="H215" i="13" l="1"/>
  <c r="F215" i="13" s="1"/>
  <c r="I216" i="13"/>
  <c r="H216" i="13" l="1"/>
  <c r="F216" i="13" s="1"/>
  <c r="I217" i="13"/>
  <c r="H217" i="13" l="1"/>
  <c r="F217" i="13" s="1"/>
  <c r="I218" i="13"/>
  <c r="H218" i="13" l="1"/>
  <c r="F218" i="13" s="1"/>
  <c r="I219" i="13"/>
  <c r="H219" i="13" l="1"/>
  <c r="F219" i="13" s="1"/>
  <c r="I220" i="13"/>
  <c r="H220" i="13" l="1"/>
  <c r="F220" i="13" s="1"/>
  <c r="I221" i="13"/>
  <c r="H221" i="13" l="1"/>
  <c r="F221" i="13" s="1"/>
  <c r="I222" i="13"/>
  <c r="H222" i="13" l="1"/>
  <c r="F222" i="13" s="1"/>
  <c r="I223" i="13"/>
  <c r="H223" i="13" l="1"/>
  <c r="F223" i="13" s="1"/>
  <c r="I224" i="13"/>
  <c r="H224" i="13" l="1"/>
  <c r="F224" i="13" s="1"/>
  <c r="I225" i="13"/>
  <c r="H225" i="13" l="1"/>
  <c r="F225" i="13" s="1"/>
  <c r="I226" i="13"/>
  <c r="H226" i="13" l="1"/>
  <c r="F226" i="13" s="1"/>
  <c r="I227" i="13"/>
  <c r="H227" i="13" l="1"/>
  <c r="F227" i="13" s="1"/>
  <c r="I228" i="13"/>
  <c r="H228" i="13" l="1"/>
  <c r="F228" i="13" s="1"/>
  <c r="I229" i="13"/>
  <c r="H229" i="13" l="1"/>
  <c r="F229" i="13" s="1"/>
  <c r="I230" i="13"/>
  <c r="H230" i="13" l="1"/>
  <c r="F230" i="13" s="1"/>
  <c r="I231" i="13"/>
  <c r="H231" i="13" l="1"/>
  <c r="F231" i="13" s="1"/>
  <c r="I232" i="13"/>
  <c r="H232" i="13" l="1"/>
  <c r="F232" i="13" s="1"/>
  <c r="I233" i="13"/>
  <c r="H233" i="13" l="1"/>
  <c r="F233" i="13" s="1"/>
  <c r="I234" i="13"/>
  <c r="H234" i="13" l="1"/>
  <c r="F234" i="13" s="1"/>
  <c r="I235" i="13"/>
  <c r="H235" i="13" l="1"/>
  <c r="F235" i="13" s="1"/>
  <c r="I236" i="13"/>
  <c r="H236" i="13" l="1"/>
  <c r="F236" i="13" s="1"/>
  <c r="I237" i="13"/>
  <c r="H237" i="13" l="1"/>
  <c r="F237" i="13" s="1"/>
  <c r="I238" i="13"/>
  <c r="H238" i="13" l="1"/>
  <c r="F238" i="13" s="1"/>
  <c r="I239" i="13"/>
  <c r="H239" i="13" l="1"/>
  <c r="F239" i="13" s="1"/>
  <c r="I240" i="13"/>
  <c r="H240" i="13" l="1"/>
  <c r="F240" i="13" s="1"/>
  <c r="I241" i="13"/>
  <c r="H241" i="13" l="1"/>
  <c r="F241" i="13" s="1"/>
  <c r="I242" i="13"/>
  <c r="H242" i="13" l="1"/>
  <c r="F242" i="13" s="1"/>
  <c r="I243" i="13"/>
  <c r="H243" i="13" l="1"/>
  <c r="F243" i="13" s="1"/>
  <c r="I244" i="13"/>
  <c r="H244" i="13" l="1"/>
  <c r="F244" i="13" s="1"/>
  <c r="I245" i="13"/>
  <c r="H245" i="13" l="1"/>
  <c r="F245" i="13" s="1"/>
  <c r="I246" i="13"/>
  <c r="H246" i="13" l="1"/>
  <c r="F246" i="13" s="1"/>
  <c r="I247" i="13"/>
  <c r="H247" i="13" l="1"/>
  <c r="F247" i="13" s="1"/>
  <c r="I248" i="13"/>
  <c r="H248" i="13" l="1"/>
  <c r="F248" i="13" s="1"/>
  <c r="I249" i="13"/>
  <c r="H249" i="13" l="1"/>
  <c r="F249" i="13" s="1"/>
  <c r="I250" i="13"/>
  <c r="H250" i="13" l="1"/>
  <c r="F250" i="13" s="1"/>
  <c r="I251" i="13"/>
  <c r="H251" i="13" l="1"/>
  <c r="F251" i="13" s="1"/>
  <c r="I252" i="13"/>
  <c r="H252" i="13" l="1"/>
  <c r="F252" i="13" s="1"/>
  <c r="I253" i="13"/>
  <c r="H253" i="13" l="1"/>
  <c r="F253" i="13" s="1"/>
  <c r="I254" i="13"/>
  <c r="H254" i="13" l="1"/>
  <c r="F254" i="13" s="1"/>
  <c r="I255" i="13"/>
  <c r="H255" i="13" l="1"/>
  <c r="F255" i="13" s="1"/>
  <c r="I256" i="13"/>
  <c r="H256" i="13" l="1"/>
  <c r="F256" i="13" s="1"/>
  <c r="I257" i="13"/>
  <c r="H257" i="13" l="1"/>
  <c r="F257" i="13" s="1"/>
  <c r="I258" i="13"/>
  <c r="H258" i="13" l="1"/>
  <c r="F258" i="13" s="1"/>
  <c r="I259" i="13"/>
  <c r="H259" i="13" l="1"/>
  <c r="F259" i="13" s="1"/>
  <c r="I260" i="13"/>
  <c r="H260" i="13" l="1"/>
  <c r="F260" i="13" s="1"/>
  <c r="I261" i="13"/>
  <c r="H261" i="13" l="1"/>
  <c r="F261" i="13" s="1"/>
  <c r="I262" i="13"/>
  <c r="H262" i="13" l="1"/>
  <c r="F262" i="13" s="1"/>
  <c r="I263" i="13"/>
  <c r="H263" i="13" l="1"/>
  <c r="F263" i="13" s="1"/>
  <c r="I264" i="13"/>
  <c r="H264" i="13" l="1"/>
  <c r="F264" i="13" s="1"/>
  <c r="I265" i="13"/>
  <c r="H265" i="13" l="1"/>
  <c r="F265" i="13" s="1"/>
  <c r="I266" i="13"/>
  <c r="H266" i="13" l="1"/>
  <c r="F266" i="13" s="1"/>
  <c r="I267" i="13"/>
  <c r="H267" i="13" l="1"/>
  <c r="F267" i="13" s="1"/>
  <c r="I268" i="13"/>
  <c r="H268" i="13" l="1"/>
  <c r="F268" i="13" s="1"/>
  <c r="I269" i="13"/>
  <c r="H269" i="13" l="1"/>
  <c r="F269" i="13" s="1"/>
  <c r="I270" i="13"/>
  <c r="H270" i="13" l="1"/>
  <c r="F270" i="13" s="1"/>
  <c r="I271" i="13"/>
  <c r="H271" i="13" l="1"/>
  <c r="F271" i="13" s="1"/>
  <c r="I272" i="13"/>
  <c r="H272" i="13" l="1"/>
  <c r="F272" i="13" s="1"/>
  <c r="I273" i="13"/>
  <c r="H273" i="13" l="1"/>
  <c r="F273" i="13" s="1"/>
  <c r="I274" i="13"/>
  <c r="H274" i="13" l="1"/>
  <c r="F274" i="13" s="1"/>
  <c r="I275" i="13"/>
  <c r="H275" i="13" l="1"/>
  <c r="F275" i="13" s="1"/>
  <c r="I276" i="13"/>
  <c r="H276" i="13" l="1"/>
  <c r="F276" i="13" s="1"/>
  <c r="I277" i="13"/>
  <c r="H277" i="13" l="1"/>
  <c r="F277" i="13" s="1"/>
  <c r="I278" i="13"/>
  <c r="H278" i="13" l="1"/>
  <c r="F278" i="13" s="1"/>
  <c r="I279" i="13"/>
  <c r="H279" i="13" l="1"/>
  <c r="F279" i="13" s="1"/>
  <c r="I280" i="13"/>
  <c r="H280" i="13" l="1"/>
  <c r="F280" i="13" s="1"/>
  <c r="I281" i="13"/>
  <c r="H281" i="13" l="1"/>
  <c r="F281" i="13" s="1"/>
  <c r="I282" i="13"/>
  <c r="H282" i="13" l="1"/>
  <c r="F282" i="13" s="1"/>
  <c r="I283" i="13"/>
  <c r="H283" i="13" l="1"/>
  <c r="F283" i="13" s="1"/>
  <c r="I284" i="13"/>
  <c r="H284" i="13" l="1"/>
  <c r="F284" i="13" s="1"/>
  <c r="I285" i="13"/>
  <c r="H285" i="13" l="1"/>
  <c r="F285" i="13" s="1"/>
  <c r="I286" i="13"/>
  <c r="H286" i="13" l="1"/>
  <c r="F286" i="13" s="1"/>
  <c r="I287" i="13"/>
  <c r="H287" i="13" l="1"/>
  <c r="F287" i="13" s="1"/>
  <c r="I288" i="13"/>
  <c r="H288" i="13" l="1"/>
  <c r="F288" i="13" s="1"/>
  <c r="I289" i="13"/>
  <c r="H289" i="13" l="1"/>
  <c r="F289" i="13" s="1"/>
  <c r="I290" i="13"/>
  <c r="H290" i="13" l="1"/>
  <c r="F290" i="13" s="1"/>
  <c r="I291" i="13"/>
  <c r="H291" i="13" l="1"/>
  <c r="F291" i="13" s="1"/>
  <c r="I292" i="13"/>
  <c r="H292" i="13" l="1"/>
  <c r="F292" i="13" s="1"/>
  <c r="I293" i="13"/>
  <c r="H293" i="13" l="1"/>
  <c r="F293" i="13" s="1"/>
  <c r="I294" i="13"/>
  <c r="H294" i="13" l="1"/>
  <c r="F294" i="13" s="1"/>
  <c r="I295" i="13"/>
  <c r="H295" i="13" l="1"/>
  <c r="F295" i="13" s="1"/>
  <c r="I296" i="13"/>
  <c r="H296" i="13" l="1"/>
  <c r="F296" i="13" s="1"/>
  <c r="I297" i="13"/>
  <c r="H297" i="13" l="1"/>
  <c r="F297" i="13" s="1"/>
  <c r="I298" i="13"/>
  <c r="H298" i="13" l="1"/>
  <c r="F298" i="13" s="1"/>
  <c r="I299" i="13"/>
  <c r="H299" i="13" l="1"/>
  <c r="F299" i="13" s="1"/>
  <c r="I300" i="13"/>
  <c r="H300" i="13" l="1"/>
  <c r="F300" i="13" s="1"/>
  <c r="I301" i="13"/>
  <c r="H301" i="13" l="1"/>
  <c r="F301" i="13" s="1"/>
  <c r="I302" i="13"/>
  <c r="H302" i="13" l="1"/>
  <c r="F302" i="13" s="1"/>
  <c r="I303" i="13"/>
  <c r="H303" i="13" l="1"/>
  <c r="F303" i="13" s="1"/>
  <c r="I304" i="13"/>
  <c r="H304" i="13" l="1"/>
  <c r="F304" i="13" s="1"/>
  <c r="I305" i="13"/>
  <c r="H305" i="13" l="1"/>
  <c r="F305" i="13" s="1"/>
  <c r="I306" i="13"/>
  <c r="H306" i="13" l="1"/>
  <c r="F306" i="13" s="1"/>
  <c r="I307" i="13"/>
  <c r="H307" i="13" l="1"/>
  <c r="F307" i="13" s="1"/>
  <c r="I308" i="13"/>
  <c r="H308" i="13" l="1"/>
  <c r="F308" i="13" s="1"/>
  <c r="I309" i="13"/>
  <c r="H309" i="13" l="1"/>
  <c r="F309" i="13" s="1"/>
  <c r="I310" i="13"/>
  <c r="H310" i="13" l="1"/>
  <c r="F310" i="13" s="1"/>
  <c r="I311" i="13"/>
  <c r="H311" i="13" l="1"/>
  <c r="F311" i="13" s="1"/>
  <c r="I312" i="13"/>
  <c r="H312" i="13" l="1"/>
  <c r="F312" i="13" s="1"/>
  <c r="I313" i="13"/>
  <c r="H313" i="13" l="1"/>
  <c r="F313" i="13" s="1"/>
  <c r="I314" i="13"/>
  <c r="H314" i="13" l="1"/>
  <c r="F314" i="13" s="1"/>
  <c r="I315" i="13"/>
  <c r="H315" i="13" l="1"/>
  <c r="F315" i="13" s="1"/>
  <c r="I316" i="13"/>
  <c r="H316" i="13" l="1"/>
  <c r="F316" i="13" s="1"/>
  <c r="I317" i="13"/>
  <c r="H317" i="13" l="1"/>
  <c r="F317" i="13" s="1"/>
  <c r="I318" i="13"/>
  <c r="H318" i="13" l="1"/>
  <c r="F318" i="13" s="1"/>
  <c r="I319" i="13"/>
  <c r="H319" i="13" l="1"/>
  <c r="F319" i="13" s="1"/>
  <c r="I320" i="13"/>
  <c r="H320" i="13" l="1"/>
  <c r="F320" i="13" s="1"/>
  <c r="I321" i="13"/>
  <c r="H321" i="13" l="1"/>
  <c r="F321" i="13" s="1"/>
  <c r="I322" i="13"/>
  <c r="H322" i="13" l="1"/>
  <c r="F322" i="13" s="1"/>
  <c r="I323" i="13"/>
  <c r="H323" i="13" l="1"/>
  <c r="F323" i="13" s="1"/>
  <c r="I324" i="13"/>
  <c r="H324" i="13" l="1"/>
  <c r="F324" i="13" s="1"/>
  <c r="I325" i="13"/>
  <c r="H325" i="13" l="1"/>
  <c r="F325" i="13" s="1"/>
  <c r="I326" i="13"/>
  <c r="H326" i="13" l="1"/>
  <c r="F326" i="13" s="1"/>
  <c r="I327" i="13"/>
  <c r="H327" i="13" l="1"/>
  <c r="F327" i="13" s="1"/>
  <c r="I328" i="13"/>
  <c r="I329" i="13" l="1"/>
  <c r="H328" i="13"/>
  <c r="F328" i="13" s="1"/>
  <c r="I330" i="13" l="1"/>
  <c r="H329" i="13"/>
  <c r="F329" i="13" s="1"/>
  <c r="I331" i="13" l="1"/>
  <c r="H330" i="13"/>
  <c r="F330" i="13" s="1"/>
  <c r="I332" i="13" l="1"/>
  <c r="H331" i="13"/>
  <c r="F331" i="13" s="1"/>
  <c r="I333" i="13" l="1"/>
  <c r="H332" i="13"/>
  <c r="F332" i="13" s="1"/>
  <c r="I334" i="13" l="1"/>
  <c r="H333" i="13"/>
  <c r="F333" i="13" s="1"/>
  <c r="I335" i="13" l="1"/>
  <c r="H334" i="13"/>
  <c r="F334" i="13" s="1"/>
  <c r="I336" i="13" l="1"/>
  <c r="H335" i="13"/>
  <c r="F335" i="13" s="1"/>
  <c r="I337" i="13" l="1"/>
  <c r="H336" i="13"/>
  <c r="F336" i="13" s="1"/>
  <c r="I338" i="13" l="1"/>
  <c r="H337" i="13"/>
  <c r="F337" i="13" s="1"/>
  <c r="I339" i="13" l="1"/>
  <c r="H338" i="13"/>
  <c r="F338" i="13" s="1"/>
  <c r="I340" i="13" l="1"/>
  <c r="H339" i="13"/>
  <c r="F339" i="13" s="1"/>
  <c r="I341" i="13" l="1"/>
  <c r="H340" i="13"/>
  <c r="F340" i="13" s="1"/>
  <c r="I342" i="13" l="1"/>
  <c r="H341" i="13"/>
  <c r="F341" i="13" s="1"/>
  <c r="I343" i="13" l="1"/>
  <c r="H342" i="13"/>
  <c r="F342" i="13" s="1"/>
  <c r="I344" i="13" l="1"/>
  <c r="H343" i="13"/>
  <c r="F343" i="13" s="1"/>
  <c r="I345" i="13" l="1"/>
  <c r="H344" i="13"/>
  <c r="F344" i="13" s="1"/>
  <c r="I346" i="13" l="1"/>
  <c r="H345" i="13"/>
  <c r="F345" i="13" s="1"/>
  <c r="I347" i="13" l="1"/>
  <c r="H346" i="13"/>
  <c r="F346" i="13" s="1"/>
  <c r="I348" i="13" l="1"/>
  <c r="H347" i="13"/>
  <c r="F347" i="13" s="1"/>
  <c r="I349" i="13" l="1"/>
  <c r="H348" i="13"/>
  <c r="F348" i="13" s="1"/>
  <c r="I350" i="13" l="1"/>
  <c r="H349" i="13"/>
  <c r="F349" i="13" s="1"/>
  <c r="I351" i="13" l="1"/>
  <c r="H350" i="13"/>
  <c r="F350" i="13" s="1"/>
  <c r="I352" i="13" l="1"/>
  <c r="H351" i="13"/>
  <c r="F351" i="13" s="1"/>
  <c r="I353" i="13" l="1"/>
  <c r="H352" i="13"/>
  <c r="F352" i="13" s="1"/>
  <c r="I354" i="13" l="1"/>
  <c r="H353" i="13"/>
  <c r="F353" i="13" s="1"/>
  <c r="I355" i="13" l="1"/>
  <c r="H354" i="13"/>
  <c r="F354" i="13" s="1"/>
  <c r="I356" i="13" l="1"/>
  <c r="H355" i="13"/>
  <c r="F355" i="13" s="1"/>
  <c r="I357" i="13" l="1"/>
  <c r="H356" i="13"/>
  <c r="F356" i="13" s="1"/>
  <c r="I358" i="13" l="1"/>
  <c r="H357" i="13"/>
  <c r="F357" i="13" s="1"/>
  <c r="I359" i="13" l="1"/>
  <c r="H358" i="13"/>
  <c r="F358" i="13" s="1"/>
  <c r="I360" i="13" l="1"/>
  <c r="H359" i="13"/>
  <c r="F359" i="13" s="1"/>
  <c r="I361" i="13" l="1"/>
  <c r="H360" i="13"/>
  <c r="F360" i="13" s="1"/>
  <c r="I362" i="13" l="1"/>
  <c r="H361" i="13"/>
  <c r="F361" i="13" s="1"/>
  <c r="I363" i="13" l="1"/>
  <c r="H362" i="13"/>
  <c r="F362" i="13" s="1"/>
  <c r="I364" i="13" l="1"/>
  <c r="H363" i="13"/>
  <c r="F363" i="13" s="1"/>
  <c r="I365" i="13" l="1"/>
  <c r="H364" i="13"/>
  <c r="F364" i="13" s="1"/>
  <c r="I366" i="13" l="1"/>
  <c r="H365" i="13"/>
  <c r="F365" i="13" s="1"/>
  <c r="I367" i="13" l="1"/>
  <c r="H366" i="13"/>
  <c r="F366" i="13" s="1"/>
  <c r="I368" i="13" l="1"/>
  <c r="H367" i="13"/>
  <c r="F367" i="13" s="1"/>
  <c r="I369" i="13" l="1"/>
  <c r="H368" i="13"/>
  <c r="F368" i="13" s="1"/>
  <c r="I370" i="13" l="1"/>
  <c r="H369" i="13"/>
  <c r="F369" i="13" s="1"/>
  <c r="I371" i="13" l="1"/>
  <c r="H370" i="13"/>
  <c r="F370" i="13" s="1"/>
  <c r="I372" i="13" l="1"/>
  <c r="H371" i="13"/>
  <c r="F371" i="13" s="1"/>
  <c r="I373" i="13" l="1"/>
  <c r="H372" i="13"/>
  <c r="F372" i="13" s="1"/>
  <c r="I374" i="13" l="1"/>
  <c r="H373" i="13"/>
  <c r="F373" i="13" s="1"/>
  <c r="I375" i="13" l="1"/>
  <c r="H374" i="13"/>
  <c r="F374" i="13" s="1"/>
  <c r="I376" i="13" l="1"/>
  <c r="H375" i="13"/>
  <c r="F375" i="13" s="1"/>
  <c r="I377" i="13" l="1"/>
  <c r="H376" i="13"/>
  <c r="F376" i="13" s="1"/>
  <c r="I378" i="13" l="1"/>
  <c r="H377" i="13"/>
  <c r="F377" i="13" s="1"/>
  <c r="I379" i="13" l="1"/>
  <c r="H378" i="13"/>
  <c r="F378" i="13" s="1"/>
  <c r="I380" i="13" l="1"/>
  <c r="H379" i="13"/>
  <c r="F379" i="13" s="1"/>
  <c r="I381" i="13" l="1"/>
  <c r="H380" i="13"/>
  <c r="F380" i="13" s="1"/>
  <c r="I382" i="13" l="1"/>
  <c r="H381" i="13"/>
  <c r="F381" i="13" s="1"/>
  <c r="I383" i="13" l="1"/>
  <c r="H382" i="13"/>
  <c r="F382" i="13" s="1"/>
  <c r="I384" i="13" l="1"/>
  <c r="H383" i="13"/>
  <c r="F383" i="13" s="1"/>
  <c r="I385" i="13" l="1"/>
  <c r="H384" i="13"/>
  <c r="F384" i="13" s="1"/>
  <c r="I386" i="13" l="1"/>
  <c r="H385" i="13"/>
  <c r="F385" i="13" s="1"/>
  <c r="I387" i="13" l="1"/>
  <c r="H386" i="13"/>
  <c r="F386" i="13" s="1"/>
  <c r="I388" i="13" l="1"/>
  <c r="H387" i="13"/>
  <c r="F387" i="13" s="1"/>
  <c r="I389" i="13" l="1"/>
  <c r="H388" i="13"/>
  <c r="F388" i="13" s="1"/>
  <c r="I390" i="13" l="1"/>
  <c r="H389" i="13"/>
  <c r="F389" i="13" s="1"/>
  <c r="I391" i="13" l="1"/>
  <c r="H390" i="13"/>
  <c r="F390" i="13" s="1"/>
  <c r="I392" i="13" l="1"/>
  <c r="H391" i="13"/>
  <c r="F391" i="13" s="1"/>
  <c r="I393" i="13" l="1"/>
  <c r="H392" i="13"/>
  <c r="F392" i="13" s="1"/>
  <c r="I394" i="13" l="1"/>
  <c r="H393" i="13"/>
  <c r="F393" i="13" s="1"/>
  <c r="I395" i="13" l="1"/>
  <c r="H394" i="13"/>
  <c r="F394" i="13" s="1"/>
  <c r="I396" i="13" l="1"/>
  <c r="H395" i="13"/>
  <c r="F395" i="13" s="1"/>
  <c r="I397" i="13" l="1"/>
  <c r="H396" i="13"/>
  <c r="F396" i="13" s="1"/>
  <c r="I398" i="13" l="1"/>
  <c r="H397" i="13"/>
  <c r="F397" i="13" s="1"/>
  <c r="I399" i="13" l="1"/>
  <c r="H398" i="13"/>
  <c r="F398" i="13" s="1"/>
  <c r="I400" i="13" l="1"/>
  <c r="H399" i="13"/>
  <c r="F399" i="13" s="1"/>
  <c r="I401" i="13" l="1"/>
  <c r="H400" i="13"/>
  <c r="F400" i="13" s="1"/>
  <c r="I402" i="13" l="1"/>
  <c r="H401" i="13"/>
  <c r="F401" i="13" s="1"/>
  <c r="I403" i="13" l="1"/>
  <c r="H402" i="13"/>
  <c r="F402" i="13" s="1"/>
  <c r="I404" i="13" l="1"/>
  <c r="H403" i="13"/>
  <c r="F403" i="13" s="1"/>
  <c r="I405" i="13" l="1"/>
  <c r="H404" i="13"/>
  <c r="F404" i="13" s="1"/>
  <c r="I406" i="13" l="1"/>
  <c r="H405" i="13"/>
  <c r="F405" i="13" s="1"/>
  <c r="I407" i="13" l="1"/>
  <c r="H406" i="13"/>
  <c r="F406" i="13" s="1"/>
  <c r="I408" i="13" l="1"/>
  <c r="H407" i="13"/>
  <c r="F407" i="13" s="1"/>
  <c r="I409" i="13" l="1"/>
  <c r="H408" i="13"/>
  <c r="F408" i="13" s="1"/>
  <c r="I410" i="13" l="1"/>
  <c r="H409" i="13"/>
  <c r="F409" i="13" s="1"/>
  <c r="I411" i="13" l="1"/>
  <c r="H410" i="13"/>
  <c r="F410" i="13" s="1"/>
  <c r="I412" i="13" l="1"/>
  <c r="H411" i="13"/>
  <c r="F411" i="13" s="1"/>
  <c r="I413" i="13" l="1"/>
  <c r="H412" i="13"/>
  <c r="F412" i="13" s="1"/>
  <c r="I414" i="13" l="1"/>
  <c r="H413" i="13"/>
  <c r="F413" i="13" s="1"/>
  <c r="I415" i="13" l="1"/>
  <c r="H414" i="13"/>
  <c r="F414" i="13" s="1"/>
  <c r="I416" i="13" l="1"/>
  <c r="H415" i="13"/>
  <c r="F415" i="13" s="1"/>
  <c r="I417" i="13" l="1"/>
  <c r="H416" i="13"/>
  <c r="F416" i="13" s="1"/>
  <c r="I418" i="13" l="1"/>
  <c r="H417" i="13"/>
  <c r="F417" i="13" s="1"/>
  <c r="I419" i="13" l="1"/>
  <c r="H418" i="13"/>
  <c r="F418" i="13" s="1"/>
  <c r="I420" i="13" l="1"/>
  <c r="H419" i="13"/>
  <c r="F419" i="13" s="1"/>
  <c r="I421" i="13" l="1"/>
  <c r="H420" i="13"/>
  <c r="F420" i="13" s="1"/>
  <c r="I422" i="13" l="1"/>
  <c r="H421" i="13"/>
  <c r="F421" i="13" s="1"/>
  <c r="I423" i="13" l="1"/>
  <c r="H422" i="13"/>
  <c r="F422" i="13" s="1"/>
  <c r="I424" i="13" l="1"/>
  <c r="H423" i="13"/>
  <c r="F423" i="13" s="1"/>
  <c r="I425" i="13" l="1"/>
  <c r="H424" i="13"/>
  <c r="F424" i="13" s="1"/>
  <c r="I426" i="13" l="1"/>
  <c r="H425" i="13"/>
  <c r="F425" i="13" s="1"/>
  <c r="I427" i="13" l="1"/>
  <c r="H426" i="13"/>
  <c r="F426" i="13" s="1"/>
  <c r="I428" i="13" l="1"/>
  <c r="H427" i="13"/>
  <c r="F427" i="13" s="1"/>
  <c r="I429" i="13" l="1"/>
  <c r="H428" i="13"/>
  <c r="F428" i="13" s="1"/>
  <c r="I430" i="13" l="1"/>
  <c r="H429" i="13"/>
  <c r="F429" i="13" s="1"/>
  <c r="I431" i="13" l="1"/>
  <c r="H430" i="13"/>
  <c r="F430" i="13" s="1"/>
  <c r="I432" i="13" l="1"/>
  <c r="H431" i="13"/>
  <c r="F431" i="13" s="1"/>
  <c r="I433" i="13" l="1"/>
  <c r="H432" i="13"/>
  <c r="F432" i="13" s="1"/>
  <c r="I434" i="13" l="1"/>
  <c r="H433" i="13"/>
  <c r="F433" i="13" s="1"/>
  <c r="I435" i="13" l="1"/>
  <c r="H434" i="13"/>
  <c r="F434" i="13" s="1"/>
  <c r="I436" i="13" l="1"/>
  <c r="H435" i="13"/>
  <c r="F435" i="13" s="1"/>
  <c r="I437" i="13" l="1"/>
  <c r="H436" i="13"/>
  <c r="F436" i="13" s="1"/>
  <c r="I438" i="13" l="1"/>
  <c r="H437" i="13"/>
  <c r="F437" i="13" s="1"/>
  <c r="I439" i="13" l="1"/>
  <c r="H438" i="13"/>
  <c r="F438" i="13" s="1"/>
  <c r="I440" i="13" l="1"/>
  <c r="H439" i="13"/>
  <c r="F439" i="13" s="1"/>
  <c r="I441" i="13" l="1"/>
  <c r="H440" i="13"/>
  <c r="F440" i="13" s="1"/>
  <c r="I442" i="13" l="1"/>
  <c r="H441" i="13"/>
  <c r="F441" i="13" s="1"/>
  <c r="I443" i="13" l="1"/>
  <c r="H442" i="13"/>
  <c r="F442" i="13" s="1"/>
  <c r="I444" i="13" l="1"/>
  <c r="H443" i="13"/>
  <c r="F443" i="13" s="1"/>
  <c r="I445" i="13" l="1"/>
  <c r="H444" i="13"/>
  <c r="F444" i="13" s="1"/>
  <c r="I446" i="13" l="1"/>
  <c r="H445" i="13"/>
  <c r="F445" i="13" s="1"/>
  <c r="I447" i="13" l="1"/>
  <c r="H446" i="13"/>
  <c r="F446" i="13" s="1"/>
  <c r="I448" i="13" l="1"/>
  <c r="H447" i="13"/>
  <c r="F447" i="13" s="1"/>
  <c r="I449" i="13" l="1"/>
  <c r="H448" i="13"/>
  <c r="F448" i="13" s="1"/>
  <c r="I450" i="13" l="1"/>
  <c r="H449" i="13"/>
  <c r="F449" i="13" s="1"/>
  <c r="I451" i="13" l="1"/>
  <c r="H450" i="13"/>
  <c r="F450" i="13" s="1"/>
  <c r="I452" i="13" l="1"/>
  <c r="H451" i="13"/>
  <c r="F451" i="13" s="1"/>
  <c r="I453" i="13" l="1"/>
  <c r="H452" i="13"/>
  <c r="F452" i="13" s="1"/>
  <c r="I454" i="13" l="1"/>
  <c r="H453" i="13"/>
  <c r="F453" i="13" s="1"/>
  <c r="I455" i="13" l="1"/>
  <c r="H454" i="13"/>
  <c r="F454" i="13" s="1"/>
  <c r="I456" i="13" l="1"/>
  <c r="H455" i="13"/>
  <c r="F455" i="13" s="1"/>
  <c r="I457" i="13" l="1"/>
  <c r="H456" i="13"/>
  <c r="F456" i="13" s="1"/>
  <c r="I458" i="13" l="1"/>
  <c r="H457" i="13"/>
  <c r="F457" i="13" s="1"/>
  <c r="I459" i="13" l="1"/>
  <c r="H458" i="13"/>
  <c r="F458" i="13" s="1"/>
  <c r="I460" i="13" l="1"/>
  <c r="H459" i="13"/>
  <c r="F459" i="13" s="1"/>
  <c r="I461" i="13" l="1"/>
  <c r="H460" i="13"/>
  <c r="F460" i="13" s="1"/>
  <c r="I462" i="13" l="1"/>
  <c r="H461" i="13"/>
  <c r="F461" i="13" s="1"/>
  <c r="I463" i="13" l="1"/>
  <c r="H462" i="13"/>
  <c r="F462" i="13" s="1"/>
  <c r="I464" i="13" l="1"/>
  <c r="H463" i="13"/>
  <c r="F463" i="13" s="1"/>
  <c r="I465" i="13" l="1"/>
  <c r="H464" i="13"/>
  <c r="F464" i="13" s="1"/>
  <c r="I466" i="13" l="1"/>
  <c r="H465" i="13"/>
  <c r="F465" i="13" s="1"/>
  <c r="I467" i="13" l="1"/>
  <c r="H466" i="13"/>
  <c r="F466" i="13" s="1"/>
  <c r="I468" i="13" l="1"/>
  <c r="H467" i="13"/>
  <c r="F467" i="13" s="1"/>
  <c r="I469" i="13" l="1"/>
  <c r="H468" i="13"/>
  <c r="F468" i="13" s="1"/>
  <c r="I470" i="13" l="1"/>
  <c r="H469" i="13"/>
  <c r="F469" i="13" s="1"/>
  <c r="I471" i="13" l="1"/>
  <c r="H470" i="13"/>
  <c r="F470" i="13" s="1"/>
  <c r="I472" i="13" l="1"/>
  <c r="H471" i="13"/>
  <c r="F471" i="13" s="1"/>
  <c r="I473" i="13" l="1"/>
  <c r="H472" i="13"/>
  <c r="F472" i="13" s="1"/>
  <c r="I474" i="13" l="1"/>
  <c r="H473" i="13"/>
  <c r="F473" i="13" s="1"/>
  <c r="I475" i="13" l="1"/>
  <c r="H474" i="13"/>
  <c r="F474" i="13" s="1"/>
  <c r="I476" i="13" l="1"/>
  <c r="H475" i="13"/>
  <c r="F475" i="13" s="1"/>
  <c r="I477" i="13" l="1"/>
  <c r="H476" i="13"/>
  <c r="F476" i="13" s="1"/>
  <c r="I478" i="13" l="1"/>
  <c r="H477" i="13"/>
  <c r="F477" i="13" s="1"/>
  <c r="I479" i="13" l="1"/>
  <c r="H478" i="13"/>
  <c r="F478" i="13" s="1"/>
  <c r="I480" i="13" l="1"/>
  <c r="H479" i="13"/>
  <c r="F479" i="13" s="1"/>
  <c r="I481" i="13" l="1"/>
  <c r="H480" i="13"/>
  <c r="F480" i="13" s="1"/>
  <c r="I482" i="13" l="1"/>
  <c r="H481" i="13"/>
  <c r="F481" i="13" s="1"/>
  <c r="I483" i="13" l="1"/>
  <c r="H482" i="13"/>
  <c r="F482" i="13" s="1"/>
  <c r="I484" i="13" l="1"/>
  <c r="H483" i="13"/>
  <c r="F483" i="13" s="1"/>
  <c r="I485" i="13" l="1"/>
  <c r="H484" i="13"/>
  <c r="F484" i="13" s="1"/>
  <c r="I486" i="13" l="1"/>
  <c r="H485" i="13"/>
  <c r="F485" i="13" s="1"/>
  <c r="I487" i="13" l="1"/>
  <c r="H486" i="13"/>
  <c r="F486" i="13" s="1"/>
  <c r="I488" i="13" l="1"/>
  <c r="H487" i="13"/>
  <c r="F487" i="13" s="1"/>
  <c r="I489" i="13" l="1"/>
  <c r="H488" i="13"/>
  <c r="F488" i="13" s="1"/>
  <c r="I490" i="13" l="1"/>
  <c r="H489" i="13"/>
  <c r="F489" i="13" s="1"/>
  <c r="I491" i="13" l="1"/>
  <c r="H490" i="13"/>
  <c r="F490" i="13" s="1"/>
  <c r="I492" i="13" l="1"/>
  <c r="H491" i="13"/>
  <c r="F491" i="13" s="1"/>
  <c r="I493" i="13" l="1"/>
  <c r="H492" i="13"/>
  <c r="F492" i="13" s="1"/>
  <c r="I494" i="13" l="1"/>
  <c r="H493" i="13"/>
  <c r="F493" i="13" s="1"/>
  <c r="I495" i="13" l="1"/>
  <c r="H494" i="13"/>
  <c r="F494" i="13" s="1"/>
  <c r="I496" i="13" l="1"/>
  <c r="H495" i="13"/>
  <c r="F495" i="13" s="1"/>
  <c r="I497" i="13" l="1"/>
  <c r="H496" i="13"/>
  <c r="F496" i="13" s="1"/>
  <c r="I498" i="13" l="1"/>
  <c r="H497" i="13"/>
  <c r="F497" i="13" s="1"/>
  <c r="I499" i="13" l="1"/>
  <c r="H498" i="13"/>
  <c r="F498" i="13" s="1"/>
  <c r="I500" i="13" l="1"/>
  <c r="H499" i="13"/>
  <c r="F499" i="13" s="1"/>
  <c r="I501" i="13" l="1"/>
  <c r="H500" i="13"/>
  <c r="F500" i="13" s="1"/>
  <c r="I502" i="13" l="1"/>
  <c r="H501" i="13"/>
  <c r="F501" i="13" s="1"/>
  <c r="I503" i="13" l="1"/>
  <c r="H502" i="13"/>
  <c r="F502" i="13" s="1"/>
  <c r="I504" i="13" l="1"/>
  <c r="H503" i="13"/>
  <c r="F503" i="13" s="1"/>
  <c r="I505" i="13" l="1"/>
  <c r="H504" i="13"/>
  <c r="F504" i="13" s="1"/>
  <c r="I506" i="13" l="1"/>
  <c r="H505" i="13"/>
  <c r="F505" i="13" s="1"/>
  <c r="I507" i="13" l="1"/>
  <c r="H506" i="13"/>
  <c r="F506" i="13" s="1"/>
  <c r="I508" i="13" l="1"/>
  <c r="H507" i="13"/>
  <c r="F507" i="13" s="1"/>
  <c r="I509" i="13" l="1"/>
  <c r="H508" i="13"/>
  <c r="F508" i="13" s="1"/>
  <c r="I510" i="13" l="1"/>
  <c r="H509" i="13"/>
  <c r="F509" i="13" s="1"/>
  <c r="I511" i="13" l="1"/>
  <c r="H510" i="13"/>
  <c r="F510" i="13" s="1"/>
  <c r="I512" i="13" l="1"/>
  <c r="H511" i="13"/>
  <c r="F511" i="13" s="1"/>
  <c r="I513" i="13" l="1"/>
  <c r="H512" i="13"/>
  <c r="F512" i="13" s="1"/>
  <c r="I514" i="13" l="1"/>
  <c r="H513" i="13"/>
  <c r="F513" i="13" s="1"/>
  <c r="I515" i="13" l="1"/>
  <c r="H514" i="13"/>
  <c r="F514" i="13" s="1"/>
  <c r="I516" i="13" l="1"/>
  <c r="H515" i="13"/>
  <c r="F515" i="13" s="1"/>
  <c r="I517" i="13" l="1"/>
  <c r="H516" i="13"/>
  <c r="F516" i="13" s="1"/>
  <c r="I518" i="13" l="1"/>
  <c r="H517" i="13"/>
  <c r="F517" i="13" s="1"/>
  <c r="I519" i="13" l="1"/>
  <c r="H518" i="13"/>
  <c r="F518" i="13" s="1"/>
  <c r="I520" i="13" l="1"/>
  <c r="H519" i="13"/>
  <c r="F519" i="13" s="1"/>
  <c r="I521" i="13" l="1"/>
  <c r="H520" i="13"/>
  <c r="F520" i="13" s="1"/>
  <c r="I522" i="13" l="1"/>
  <c r="H521" i="13"/>
  <c r="F521" i="13" s="1"/>
  <c r="I523" i="13" l="1"/>
  <c r="H522" i="13"/>
  <c r="F522" i="13" s="1"/>
  <c r="I524" i="13" l="1"/>
  <c r="H523" i="13"/>
  <c r="F523" i="13" s="1"/>
  <c r="I525" i="13" l="1"/>
  <c r="H524" i="13"/>
  <c r="F524" i="13" s="1"/>
  <c r="I526" i="13" l="1"/>
  <c r="H525" i="13"/>
  <c r="F525" i="13" s="1"/>
  <c r="I527" i="13" l="1"/>
  <c r="H526" i="13"/>
  <c r="F526" i="13" s="1"/>
  <c r="I528" i="13" l="1"/>
  <c r="H527" i="13"/>
  <c r="F527" i="13" s="1"/>
  <c r="I529" i="13" l="1"/>
  <c r="H528" i="13"/>
  <c r="F528" i="13" s="1"/>
  <c r="I530" i="13" l="1"/>
  <c r="H529" i="13"/>
  <c r="F529" i="13" s="1"/>
  <c r="I531" i="13" l="1"/>
  <c r="H530" i="13"/>
  <c r="F530" i="13" s="1"/>
  <c r="I532" i="13" l="1"/>
  <c r="H531" i="13"/>
  <c r="F531" i="13" s="1"/>
  <c r="I533" i="13" l="1"/>
  <c r="H532" i="13"/>
  <c r="F532" i="13" s="1"/>
  <c r="I534" i="13" l="1"/>
  <c r="H533" i="13"/>
  <c r="F533" i="13" s="1"/>
  <c r="I535" i="13" l="1"/>
  <c r="H534" i="13"/>
  <c r="F534" i="13" s="1"/>
  <c r="I536" i="13" l="1"/>
  <c r="H535" i="13"/>
  <c r="F535" i="13" s="1"/>
  <c r="I537" i="13" l="1"/>
  <c r="H536" i="13"/>
  <c r="F536" i="13" s="1"/>
  <c r="I538" i="13" l="1"/>
  <c r="H537" i="13"/>
  <c r="F537" i="13" s="1"/>
  <c r="I539" i="13" l="1"/>
  <c r="H538" i="13"/>
  <c r="F538" i="13" s="1"/>
  <c r="I540" i="13" l="1"/>
  <c r="H539" i="13"/>
  <c r="F539" i="13" s="1"/>
  <c r="I541" i="13" l="1"/>
  <c r="H540" i="13"/>
  <c r="F540" i="13" s="1"/>
  <c r="I542" i="13" l="1"/>
  <c r="H541" i="13"/>
  <c r="F541" i="13" s="1"/>
  <c r="I543" i="13" l="1"/>
  <c r="H542" i="13"/>
  <c r="F542" i="13" s="1"/>
  <c r="I544" i="13" l="1"/>
  <c r="H543" i="13"/>
  <c r="F543" i="13" s="1"/>
  <c r="I545" i="13" l="1"/>
  <c r="H544" i="13"/>
  <c r="F544" i="13" s="1"/>
  <c r="I546" i="13" l="1"/>
  <c r="H545" i="13"/>
  <c r="F545" i="13" s="1"/>
  <c r="I547" i="13" l="1"/>
  <c r="H546" i="13"/>
  <c r="F546" i="13" s="1"/>
  <c r="I548" i="13" l="1"/>
  <c r="H547" i="13"/>
  <c r="F547" i="13" s="1"/>
  <c r="I549" i="13" l="1"/>
  <c r="H548" i="13"/>
  <c r="F548" i="13" s="1"/>
  <c r="I550" i="13" l="1"/>
  <c r="H549" i="13"/>
  <c r="F549" i="13" s="1"/>
  <c r="I551" i="13" l="1"/>
  <c r="H550" i="13"/>
  <c r="F550" i="13" s="1"/>
  <c r="I552" i="13" l="1"/>
  <c r="H551" i="13"/>
  <c r="F551" i="13" s="1"/>
  <c r="I553" i="13" l="1"/>
  <c r="H552" i="13"/>
  <c r="F552" i="13" s="1"/>
  <c r="I554" i="13" l="1"/>
  <c r="H553" i="13"/>
  <c r="F553" i="13" s="1"/>
  <c r="I555" i="13" l="1"/>
  <c r="H554" i="13"/>
  <c r="F554" i="13" s="1"/>
  <c r="I556" i="13" l="1"/>
  <c r="H555" i="13"/>
  <c r="F555" i="13" s="1"/>
  <c r="I557" i="13" l="1"/>
  <c r="H556" i="13"/>
  <c r="F556" i="13" s="1"/>
  <c r="I558" i="13" l="1"/>
  <c r="H557" i="13"/>
  <c r="F557" i="13" s="1"/>
  <c r="I559" i="13" l="1"/>
  <c r="H558" i="13"/>
  <c r="F558" i="13" s="1"/>
  <c r="I560" i="13" l="1"/>
  <c r="H559" i="13"/>
  <c r="F559" i="13" s="1"/>
  <c r="I561" i="13" l="1"/>
  <c r="H560" i="13"/>
  <c r="F560" i="13" s="1"/>
  <c r="I562" i="13" l="1"/>
  <c r="H561" i="13"/>
  <c r="F561" i="13" s="1"/>
  <c r="I563" i="13" l="1"/>
  <c r="H562" i="13"/>
  <c r="F562" i="13" s="1"/>
  <c r="I564" i="13" l="1"/>
  <c r="H563" i="13"/>
  <c r="F563" i="13" s="1"/>
  <c r="I565" i="13" l="1"/>
  <c r="H564" i="13"/>
  <c r="F564" i="13" s="1"/>
  <c r="I566" i="13" l="1"/>
  <c r="H565" i="13"/>
  <c r="F565" i="13" s="1"/>
  <c r="I567" i="13" l="1"/>
  <c r="H566" i="13"/>
  <c r="F566" i="13" s="1"/>
  <c r="I568" i="13" l="1"/>
  <c r="H567" i="13"/>
  <c r="F567" i="13" s="1"/>
  <c r="I569" i="13" l="1"/>
  <c r="H568" i="13"/>
  <c r="F568" i="13" s="1"/>
  <c r="I570" i="13" l="1"/>
  <c r="H569" i="13"/>
  <c r="F569" i="13" s="1"/>
  <c r="I571" i="13" l="1"/>
  <c r="H570" i="13"/>
  <c r="F570" i="13" s="1"/>
  <c r="I572" i="13" l="1"/>
  <c r="H571" i="13"/>
  <c r="F571" i="13" s="1"/>
  <c r="I573" i="13" l="1"/>
  <c r="H572" i="13"/>
  <c r="F572" i="13" s="1"/>
  <c r="I574" i="13" l="1"/>
  <c r="H573" i="13"/>
  <c r="F573" i="13" s="1"/>
  <c r="I575" i="13" l="1"/>
  <c r="H574" i="13"/>
  <c r="F574" i="13" s="1"/>
  <c r="I576" i="13" l="1"/>
  <c r="H575" i="13"/>
  <c r="F575" i="13" s="1"/>
  <c r="I577" i="13" l="1"/>
  <c r="H576" i="13"/>
  <c r="F576" i="13" s="1"/>
  <c r="I578" i="13" l="1"/>
  <c r="H577" i="13"/>
  <c r="F577" i="13" s="1"/>
  <c r="I579" i="13" l="1"/>
  <c r="H578" i="13"/>
  <c r="F578" i="13" s="1"/>
  <c r="I580" i="13" l="1"/>
  <c r="H579" i="13"/>
  <c r="F579" i="13" s="1"/>
  <c r="I581" i="13" l="1"/>
  <c r="H580" i="13"/>
  <c r="F580" i="13" s="1"/>
  <c r="I582" i="13" l="1"/>
  <c r="H581" i="13"/>
  <c r="F581" i="13" s="1"/>
  <c r="I583" i="13" l="1"/>
  <c r="H582" i="13"/>
  <c r="F582" i="13" s="1"/>
  <c r="I584" i="13" l="1"/>
  <c r="H583" i="13"/>
  <c r="F583" i="13" s="1"/>
  <c r="I585" i="13" l="1"/>
  <c r="H584" i="13"/>
  <c r="F584" i="13" s="1"/>
  <c r="I586" i="13" l="1"/>
  <c r="H585" i="13"/>
  <c r="F585" i="13" s="1"/>
  <c r="I587" i="13" l="1"/>
  <c r="H586" i="13"/>
  <c r="F586" i="13" s="1"/>
  <c r="I588" i="13" l="1"/>
  <c r="H587" i="13"/>
  <c r="F587" i="13" s="1"/>
  <c r="I589" i="13" l="1"/>
  <c r="H588" i="13"/>
  <c r="F588" i="13" s="1"/>
  <c r="I590" i="13" l="1"/>
  <c r="H589" i="13"/>
  <c r="F589" i="13" s="1"/>
  <c r="I591" i="13" l="1"/>
  <c r="H590" i="13"/>
  <c r="F590" i="13" s="1"/>
  <c r="I592" i="13" l="1"/>
  <c r="H591" i="13"/>
  <c r="F591" i="13" s="1"/>
  <c r="I593" i="13" l="1"/>
  <c r="H592" i="13"/>
  <c r="F592" i="13" s="1"/>
  <c r="I594" i="13" l="1"/>
  <c r="H593" i="13"/>
  <c r="F593" i="13" s="1"/>
  <c r="I595" i="13" l="1"/>
  <c r="H594" i="13"/>
  <c r="F594" i="13" s="1"/>
  <c r="I596" i="13" l="1"/>
  <c r="H595" i="13"/>
  <c r="F595" i="13" s="1"/>
  <c r="I597" i="13" l="1"/>
  <c r="H596" i="13"/>
  <c r="F596" i="13" s="1"/>
  <c r="I598" i="13" l="1"/>
  <c r="H597" i="13"/>
  <c r="F597" i="13" s="1"/>
  <c r="I599" i="13" l="1"/>
  <c r="H598" i="13"/>
  <c r="F598" i="13" s="1"/>
  <c r="I600" i="13" l="1"/>
  <c r="H599" i="13"/>
  <c r="F599" i="13" s="1"/>
  <c r="I601" i="13" l="1"/>
  <c r="H600" i="13"/>
  <c r="F600" i="13" s="1"/>
  <c r="I602" i="13" l="1"/>
  <c r="H601" i="13"/>
  <c r="F601" i="13" s="1"/>
  <c r="I603" i="13" l="1"/>
  <c r="H602" i="13"/>
  <c r="F602" i="13" s="1"/>
  <c r="I604" i="13" l="1"/>
  <c r="H603" i="13"/>
  <c r="F603" i="13" s="1"/>
  <c r="I605" i="13" l="1"/>
  <c r="H604" i="13"/>
  <c r="F604" i="13" s="1"/>
  <c r="I606" i="13" l="1"/>
  <c r="H605" i="13"/>
  <c r="F605" i="13" s="1"/>
  <c r="I607" i="13" l="1"/>
  <c r="H606" i="13"/>
  <c r="F606" i="13" s="1"/>
  <c r="I608" i="13" l="1"/>
  <c r="H607" i="13"/>
  <c r="F607" i="13" s="1"/>
  <c r="I609" i="13" l="1"/>
  <c r="H608" i="13"/>
  <c r="F608" i="13" s="1"/>
  <c r="I610" i="13" l="1"/>
  <c r="H609" i="13"/>
  <c r="F609" i="13" s="1"/>
  <c r="I611" i="13" l="1"/>
  <c r="H610" i="13"/>
  <c r="F610" i="13" s="1"/>
  <c r="I612" i="13" l="1"/>
  <c r="H611" i="13"/>
  <c r="F611" i="13" s="1"/>
  <c r="I613" i="13" l="1"/>
  <c r="H612" i="13"/>
  <c r="F612" i="13" s="1"/>
  <c r="I614" i="13" l="1"/>
  <c r="H613" i="13"/>
  <c r="F613" i="13" s="1"/>
  <c r="I615" i="13" l="1"/>
  <c r="H614" i="13"/>
  <c r="F614" i="13" s="1"/>
  <c r="I616" i="13" l="1"/>
  <c r="H615" i="13"/>
  <c r="F615" i="13" s="1"/>
  <c r="I617" i="13" l="1"/>
  <c r="H616" i="13"/>
  <c r="F616" i="13" s="1"/>
  <c r="I618" i="13" l="1"/>
  <c r="H617" i="13"/>
  <c r="F617" i="13" s="1"/>
  <c r="I619" i="13" l="1"/>
  <c r="H618" i="13"/>
  <c r="F618" i="13" s="1"/>
  <c r="I620" i="13" l="1"/>
  <c r="H619" i="13"/>
  <c r="F619" i="13" s="1"/>
  <c r="I621" i="13" l="1"/>
  <c r="H620" i="13"/>
  <c r="F620" i="13" s="1"/>
  <c r="I622" i="13" l="1"/>
  <c r="H621" i="13"/>
  <c r="F621" i="13" s="1"/>
  <c r="I623" i="13" l="1"/>
  <c r="H622" i="13"/>
  <c r="F622" i="13" s="1"/>
  <c r="I624" i="13" l="1"/>
  <c r="H623" i="13"/>
  <c r="F623" i="13" s="1"/>
  <c r="I625" i="13" l="1"/>
  <c r="H624" i="13"/>
  <c r="F624" i="13" s="1"/>
  <c r="I626" i="13" l="1"/>
  <c r="H625" i="13"/>
  <c r="F625" i="13" s="1"/>
  <c r="I627" i="13" l="1"/>
  <c r="H626" i="13"/>
  <c r="F626" i="13" s="1"/>
  <c r="I628" i="13" l="1"/>
  <c r="H627" i="13"/>
  <c r="F627" i="13" s="1"/>
  <c r="I629" i="13" l="1"/>
  <c r="H628" i="13"/>
  <c r="F628" i="13" s="1"/>
  <c r="I630" i="13" l="1"/>
  <c r="H629" i="13"/>
  <c r="F629" i="13" s="1"/>
  <c r="I631" i="13" l="1"/>
  <c r="H630" i="13"/>
  <c r="F630" i="13" s="1"/>
  <c r="I632" i="13" l="1"/>
  <c r="H631" i="13"/>
  <c r="F631" i="13" s="1"/>
  <c r="I633" i="13" l="1"/>
  <c r="H632" i="13"/>
  <c r="F632" i="13" s="1"/>
  <c r="I634" i="13" l="1"/>
  <c r="H633" i="13"/>
  <c r="F633" i="13" s="1"/>
  <c r="I635" i="13" l="1"/>
  <c r="H634" i="13"/>
  <c r="F634" i="13" s="1"/>
  <c r="I636" i="13" l="1"/>
  <c r="H635" i="13"/>
  <c r="F635" i="13" s="1"/>
  <c r="I637" i="13" l="1"/>
  <c r="H636" i="13"/>
  <c r="F636" i="13" s="1"/>
  <c r="I638" i="13" l="1"/>
  <c r="H637" i="13"/>
  <c r="F637" i="13" s="1"/>
  <c r="I639" i="13" l="1"/>
  <c r="H638" i="13"/>
  <c r="F638" i="13" s="1"/>
  <c r="I640" i="13" l="1"/>
  <c r="H639" i="13"/>
  <c r="F639" i="13" s="1"/>
  <c r="I641" i="13" l="1"/>
  <c r="H640" i="13"/>
  <c r="F640" i="13" s="1"/>
  <c r="I642" i="13" l="1"/>
  <c r="H641" i="13"/>
  <c r="F641" i="13" s="1"/>
  <c r="I643" i="13" l="1"/>
  <c r="H642" i="13"/>
  <c r="F642" i="13" s="1"/>
  <c r="I644" i="13" l="1"/>
  <c r="H643" i="13"/>
  <c r="F643" i="13" s="1"/>
  <c r="I645" i="13" l="1"/>
  <c r="H644" i="13"/>
  <c r="F644" i="13" s="1"/>
  <c r="I646" i="13" l="1"/>
  <c r="H645" i="13"/>
  <c r="F645" i="13" s="1"/>
  <c r="I647" i="13" l="1"/>
  <c r="H646" i="13"/>
  <c r="F646" i="13" s="1"/>
  <c r="I648" i="13" l="1"/>
  <c r="H647" i="13"/>
  <c r="F647" i="13" s="1"/>
  <c r="I649" i="13" l="1"/>
  <c r="H648" i="13"/>
  <c r="F648" i="13" s="1"/>
  <c r="I650" i="13" l="1"/>
  <c r="H649" i="13"/>
  <c r="F649" i="13" s="1"/>
  <c r="I651" i="13" l="1"/>
  <c r="H650" i="13"/>
  <c r="F650" i="13" s="1"/>
  <c r="I652" i="13" l="1"/>
  <c r="H651" i="13"/>
  <c r="F651" i="13" s="1"/>
  <c r="I653" i="13" l="1"/>
  <c r="H652" i="13"/>
  <c r="F652" i="13" s="1"/>
  <c r="I654" i="13" l="1"/>
  <c r="H653" i="13"/>
  <c r="F653" i="13" s="1"/>
  <c r="I655" i="13" l="1"/>
  <c r="H654" i="13"/>
  <c r="F654" i="13" s="1"/>
  <c r="I656" i="13" l="1"/>
  <c r="H655" i="13"/>
  <c r="F655" i="13" s="1"/>
  <c r="I657" i="13" l="1"/>
  <c r="H656" i="13"/>
  <c r="F656" i="13" s="1"/>
  <c r="I658" i="13" l="1"/>
  <c r="H657" i="13"/>
  <c r="F657" i="13" s="1"/>
  <c r="I659" i="13" l="1"/>
  <c r="H658" i="13"/>
  <c r="F658" i="13" s="1"/>
  <c r="I660" i="13" l="1"/>
  <c r="H659" i="13"/>
  <c r="F659" i="13" s="1"/>
  <c r="I661" i="13" l="1"/>
  <c r="H660" i="13"/>
  <c r="F660" i="13" s="1"/>
  <c r="I662" i="13" l="1"/>
  <c r="H661" i="13"/>
  <c r="F661" i="13" s="1"/>
  <c r="I663" i="13" l="1"/>
  <c r="H662" i="13"/>
  <c r="F662" i="13" s="1"/>
  <c r="I664" i="13" l="1"/>
  <c r="H663" i="13"/>
  <c r="F663" i="13" s="1"/>
  <c r="I665" i="13" l="1"/>
  <c r="H664" i="13"/>
  <c r="F664" i="13" s="1"/>
  <c r="I666" i="13" l="1"/>
  <c r="H665" i="13"/>
  <c r="F665" i="13" s="1"/>
  <c r="I667" i="13" l="1"/>
  <c r="H666" i="13"/>
  <c r="F666" i="13" s="1"/>
  <c r="H667" i="13" l="1"/>
  <c r="F667" i="13" s="1"/>
  <c r="I668" i="13"/>
  <c r="H668" i="13" l="1"/>
  <c r="F668" i="13" s="1"/>
  <c r="I669" i="13"/>
  <c r="H669" i="13" l="1"/>
  <c r="F669" i="13" s="1"/>
  <c r="I670" i="13"/>
  <c r="H670" i="13" l="1"/>
  <c r="F670" i="13" s="1"/>
  <c r="I671" i="13"/>
  <c r="H671" i="13" l="1"/>
  <c r="F671" i="13" s="1"/>
  <c r="I672" i="13"/>
  <c r="H672" i="13" l="1"/>
  <c r="F672" i="13" s="1"/>
  <c r="I673" i="13"/>
  <c r="H673" i="13" l="1"/>
  <c r="F673" i="13" s="1"/>
  <c r="I674" i="13"/>
  <c r="H674" i="13" l="1"/>
  <c r="F674" i="13" s="1"/>
  <c r="I675" i="13"/>
  <c r="H675" i="13" l="1"/>
  <c r="F675" i="13" s="1"/>
  <c r="I676" i="13"/>
  <c r="H676" i="13" l="1"/>
  <c r="F676" i="13" s="1"/>
  <c r="I677" i="13"/>
  <c r="H677" i="13" l="1"/>
  <c r="F677" i="13" s="1"/>
  <c r="I678" i="13"/>
  <c r="H678" i="13" l="1"/>
  <c r="F678" i="13" s="1"/>
  <c r="I679" i="13"/>
  <c r="H679" i="13" l="1"/>
  <c r="F679" i="13" s="1"/>
  <c r="I680" i="13"/>
  <c r="H680" i="13" l="1"/>
  <c r="F680" i="13" s="1"/>
  <c r="I681" i="13"/>
  <c r="H681" i="13" l="1"/>
  <c r="F681" i="13" s="1"/>
  <c r="I682" i="13"/>
  <c r="H682" i="13" l="1"/>
  <c r="F682" i="13" s="1"/>
  <c r="I683" i="13"/>
  <c r="H683" i="13" l="1"/>
  <c r="F683" i="13" s="1"/>
  <c r="I684" i="13"/>
  <c r="H684" i="13" l="1"/>
  <c r="F684" i="13" s="1"/>
  <c r="I685" i="13"/>
  <c r="H685" i="13" l="1"/>
  <c r="F685" i="13" s="1"/>
  <c r="I686" i="13"/>
  <c r="H686" i="13" l="1"/>
  <c r="F686" i="13" s="1"/>
  <c r="I687" i="13"/>
  <c r="H687" i="13" l="1"/>
  <c r="F687" i="13" s="1"/>
  <c r="I688" i="13"/>
  <c r="H688" i="13" l="1"/>
  <c r="F688" i="13" s="1"/>
  <c r="I689" i="13"/>
  <c r="H689" i="13" l="1"/>
  <c r="F689" i="13" s="1"/>
  <c r="I690" i="13"/>
  <c r="H690" i="13" l="1"/>
  <c r="F690" i="13" s="1"/>
  <c r="I691" i="13"/>
  <c r="H691" i="13" l="1"/>
  <c r="F691" i="13" s="1"/>
  <c r="I692" i="13"/>
  <c r="H692" i="13" l="1"/>
  <c r="F692" i="13" s="1"/>
  <c r="I693" i="13"/>
  <c r="H693" i="13" l="1"/>
  <c r="F693" i="13" s="1"/>
  <c r="I694" i="13"/>
  <c r="H694" i="13" l="1"/>
  <c r="F694" i="13" s="1"/>
  <c r="I695" i="13"/>
  <c r="H695" i="13" l="1"/>
  <c r="F695" i="13" s="1"/>
  <c r="I696" i="13"/>
  <c r="H696" i="13" l="1"/>
  <c r="F696" i="13" s="1"/>
  <c r="I697" i="13"/>
  <c r="H697" i="13" l="1"/>
  <c r="F697" i="13" s="1"/>
  <c r="I698" i="13"/>
  <c r="H698" i="13" l="1"/>
  <c r="F698" i="13" s="1"/>
  <c r="I699" i="13"/>
  <c r="H699" i="13" l="1"/>
  <c r="F699" i="13" s="1"/>
  <c r="I700" i="13"/>
  <c r="H700" i="13" l="1"/>
  <c r="F700" i="13" s="1"/>
  <c r="I701" i="13"/>
  <c r="H701" i="13" l="1"/>
  <c r="F701" i="13" s="1"/>
  <c r="I702" i="13"/>
  <c r="H702" i="13" l="1"/>
  <c r="F702" i="13" s="1"/>
  <c r="I703" i="13"/>
  <c r="H703" i="13" l="1"/>
  <c r="F703" i="13" s="1"/>
  <c r="I704" i="13"/>
  <c r="H704" i="13" l="1"/>
  <c r="F704" i="13" s="1"/>
  <c r="I705" i="13"/>
  <c r="H705" i="13" l="1"/>
  <c r="F705" i="13" s="1"/>
  <c r="I706" i="13"/>
  <c r="H706" i="13" l="1"/>
  <c r="F706" i="13" s="1"/>
  <c r="I707" i="13"/>
  <c r="H707" i="13" l="1"/>
  <c r="F707" i="13" s="1"/>
  <c r="I708" i="13"/>
  <c r="H708" i="13" l="1"/>
  <c r="F708" i="13" s="1"/>
  <c r="I709" i="13"/>
  <c r="H709" i="13" l="1"/>
  <c r="F709" i="13" s="1"/>
  <c r="I710" i="13"/>
  <c r="H710" i="13" l="1"/>
  <c r="F710" i="13" s="1"/>
  <c r="I711" i="13"/>
  <c r="H711" i="13" l="1"/>
  <c r="F711" i="13" s="1"/>
  <c r="I712" i="13"/>
  <c r="H712" i="13" l="1"/>
  <c r="F712" i="13" s="1"/>
  <c r="I713" i="13"/>
  <c r="H713" i="13" l="1"/>
  <c r="F713" i="13" s="1"/>
  <c r="I714" i="13"/>
  <c r="H714" i="13" l="1"/>
  <c r="F714" i="13" s="1"/>
  <c r="I715" i="13"/>
  <c r="H715" i="13" l="1"/>
  <c r="F715" i="13" s="1"/>
  <c r="I716" i="13"/>
  <c r="H716" i="13" l="1"/>
  <c r="F716" i="13" s="1"/>
  <c r="I717" i="13"/>
  <c r="H717" i="13" l="1"/>
  <c r="F717" i="13" s="1"/>
  <c r="I718" i="13"/>
  <c r="H718" i="13" l="1"/>
  <c r="F718" i="13" s="1"/>
  <c r="I719" i="13"/>
  <c r="H719" i="13" l="1"/>
  <c r="F719" i="13" s="1"/>
  <c r="I720" i="13"/>
  <c r="H720" i="13" l="1"/>
  <c r="F720" i="13" s="1"/>
  <c r="I721" i="13"/>
  <c r="H721" i="13" l="1"/>
  <c r="F721" i="13" s="1"/>
  <c r="I722" i="13"/>
  <c r="H722" i="13" l="1"/>
  <c r="F722" i="13" s="1"/>
  <c r="I723" i="13"/>
  <c r="H723" i="13" l="1"/>
  <c r="F723" i="13" s="1"/>
  <c r="I724" i="13"/>
  <c r="H724" i="13" l="1"/>
  <c r="F724" i="13" s="1"/>
  <c r="I725" i="13"/>
  <c r="H725" i="13" l="1"/>
  <c r="F725" i="13" s="1"/>
  <c r="I726" i="13"/>
  <c r="H726" i="13" l="1"/>
  <c r="F726" i="13" s="1"/>
  <c r="I727" i="13"/>
  <c r="H727" i="13" l="1"/>
  <c r="F727" i="13" s="1"/>
  <c r="I728" i="13"/>
  <c r="H728" i="13" l="1"/>
  <c r="F728" i="13" s="1"/>
  <c r="I729" i="13"/>
  <c r="H729" i="13" l="1"/>
  <c r="F729" i="13" s="1"/>
  <c r="I730" i="13"/>
  <c r="I731" i="13" l="1"/>
  <c r="H730" i="13"/>
  <c r="F730" i="13" s="1"/>
  <c r="I732" i="13" l="1"/>
  <c r="H731" i="13"/>
  <c r="F731" i="13" s="1"/>
  <c r="I733" i="13" l="1"/>
  <c r="H732" i="13"/>
  <c r="F732" i="13" s="1"/>
  <c r="I734" i="13" l="1"/>
  <c r="H733" i="13"/>
  <c r="F733" i="13" s="1"/>
  <c r="I735" i="13" l="1"/>
  <c r="H734" i="13"/>
  <c r="F734" i="13" s="1"/>
  <c r="I736" i="13" l="1"/>
  <c r="H735" i="13"/>
  <c r="F735" i="13" s="1"/>
  <c r="I737" i="13" l="1"/>
  <c r="H736" i="13"/>
  <c r="F736" i="13" s="1"/>
  <c r="I738" i="13" l="1"/>
  <c r="H737" i="13"/>
  <c r="F737" i="13" s="1"/>
  <c r="I739" i="13" l="1"/>
  <c r="H738" i="13"/>
  <c r="F738" i="13" s="1"/>
  <c r="I740" i="13" l="1"/>
  <c r="H739" i="13"/>
  <c r="F739" i="13" s="1"/>
  <c r="I741" i="13" l="1"/>
  <c r="H740" i="13"/>
  <c r="F740" i="13" s="1"/>
  <c r="I742" i="13" l="1"/>
  <c r="H741" i="13"/>
  <c r="F741" i="13" s="1"/>
  <c r="I743" i="13" l="1"/>
  <c r="H742" i="13"/>
  <c r="F742" i="13" s="1"/>
  <c r="I744" i="13" l="1"/>
  <c r="H743" i="13"/>
  <c r="F743" i="13" s="1"/>
  <c r="I745" i="13" l="1"/>
  <c r="H744" i="13"/>
  <c r="F744" i="13" s="1"/>
  <c r="I746" i="13" l="1"/>
  <c r="H745" i="13"/>
  <c r="F745" i="13" s="1"/>
  <c r="I747" i="13" l="1"/>
  <c r="H746" i="13"/>
  <c r="F746" i="13" s="1"/>
  <c r="I748" i="13" l="1"/>
  <c r="H747" i="13"/>
  <c r="F747" i="13" s="1"/>
  <c r="I749" i="13" l="1"/>
  <c r="H748" i="13"/>
  <c r="F748" i="13" s="1"/>
  <c r="I750" i="13" l="1"/>
  <c r="H749" i="13"/>
  <c r="F749" i="13" s="1"/>
  <c r="I751" i="13" l="1"/>
  <c r="H750" i="13"/>
  <c r="F750" i="13" s="1"/>
  <c r="I752" i="13" l="1"/>
  <c r="H751" i="13"/>
  <c r="F751" i="13" s="1"/>
  <c r="I753" i="13" l="1"/>
  <c r="H752" i="13"/>
  <c r="F752" i="13" s="1"/>
  <c r="I754" i="13" l="1"/>
  <c r="H753" i="13"/>
  <c r="F753" i="13" s="1"/>
  <c r="I755" i="13" l="1"/>
  <c r="H754" i="13"/>
  <c r="F754" i="13" s="1"/>
  <c r="I756" i="13" l="1"/>
  <c r="H755" i="13"/>
  <c r="F755" i="13" s="1"/>
  <c r="I757" i="13" l="1"/>
  <c r="H756" i="13"/>
  <c r="F756" i="13" s="1"/>
  <c r="I758" i="13" l="1"/>
  <c r="H757" i="13"/>
  <c r="F757" i="13" s="1"/>
  <c r="I759" i="13" l="1"/>
  <c r="H758" i="13"/>
  <c r="F758" i="13" s="1"/>
  <c r="I760" i="13" l="1"/>
  <c r="H759" i="13"/>
  <c r="F759" i="13" s="1"/>
  <c r="I761" i="13" l="1"/>
  <c r="H760" i="13"/>
  <c r="F760" i="13" s="1"/>
  <c r="I762" i="13" l="1"/>
  <c r="H761" i="13"/>
  <c r="F761" i="13" s="1"/>
  <c r="I763" i="13" l="1"/>
  <c r="H762" i="13"/>
  <c r="F762" i="13" s="1"/>
  <c r="I764" i="13" l="1"/>
  <c r="H763" i="13"/>
  <c r="F763" i="13" s="1"/>
  <c r="I765" i="13" l="1"/>
  <c r="H764" i="13"/>
  <c r="F764" i="13" s="1"/>
  <c r="I766" i="13" l="1"/>
  <c r="H765" i="13"/>
  <c r="F765" i="13" s="1"/>
  <c r="I767" i="13" l="1"/>
  <c r="H766" i="13"/>
  <c r="F766" i="13" s="1"/>
  <c r="I768" i="13" l="1"/>
  <c r="H767" i="13"/>
  <c r="F767" i="13" s="1"/>
  <c r="I769" i="13" l="1"/>
  <c r="H768" i="13"/>
  <c r="F768" i="13" s="1"/>
  <c r="I770" i="13" l="1"/>
  <c r="H769" i="13"/>
  <c r="F769" i="13" s="1"/>
  <c r="I771" i="13" l="1"/>
  <c r="H770" i="13"/>
  <c r="F770" i="13" s="1"/>
  <c r="I772" i="13" l="1"/>
  <c r="H771" i="13"/>
  <c r="F771" i="13" s="1"/>
  <c r="I773" i="13" l="1"/>
  <c r="H772" i="13"/>
  <c r="F772" i="13" s="1"/>
  <c r="I774" i="13" l="1"/>
  <c r="H773" i="13"/>
  <c r="F773" i="13" s="1"/>
  <c r="I775" i="13" l="1"/>
  <c r="H774" i="13"/>
  <c r="F774" i="13" s="1"/>
  <c r="I776" i="13" l="1"/>
  <c r="H775" i="13"/>
  <c r="F775" i="13" s="1"/>
  <c r="I777" i="13" l="1"/>
  <c r="H776" i="13"/>
  <c r="F776" i="13" s="1"/>
  <c r="I778" i="13" l="1"/>
  <c r="H777" i="13"/>
  <c r="F777" i="13" s="1"/>
  <c r="I779" i="13" l="1"/>
  <c r="H778" i="13"/>
  <c r="F778" i="13" s="1"/>
  <c r="I780" i="13" l="1"/>
  <c r="H779" i="13"/>
  <c r="F779" i="13" s="1"/>
  <c r="I781" i="13" l="1"/>
  <c r="H780" i="13"/>
  <c r="F780" i="13" s="1"/>
  <c r="I782" i="13" l="1"/>
  <c r="H781" i="13"/>
  <c r="F781" i="13" s="1"/>
  <c r="I783" i="13" l="1"/>
  <c r="H782" i="13"/>
  <c r="F782" i="13" s="1"/>
  <c r="I784" i="13" l="1"/>
  <c r="H783" i="13"/>
  <c r="F783" i="13" s="1"/>
  <c r="I785" i="13" l="1"/>
  <c r="H784" i="13"/>
  <c r="F784" i="13" s="1"/>
  <c r="I786" i="13" l="1"/>
  <c r="H785" i="13"/>
  <c r="F785" i="13" s="1"/>
  <c r="I787" i="13" l="1"/>
  <c r="H786" i="13"/>
  <c r="F786" i="13" s="1"/>
  <c r="I788" i="13" l="1"/>
  <c r="H787" i="13"/>
  <c r="F787" i="13" s="1"/>
  <c r="I789" i="13" l="1"/>
  <c r="H788" i="13"/>
  <c r="F788" i="13" s="1"/>
  <c r="I790" i="13" l="1"/>
  <c r="H789" i="13"/>
  <c r="F789" i="13" s="1"/>
  <c r="I791" i="13" l="1"/>
  <c r="H790" i="13"/>
  <c r="F790" i="13" s="1"/>
  <c r="I792" i="13" l="1"/>
  <c r="H791" i="13"/>
  <c r="F791" i="13" s="1"/>
  <c r="I793" i="13" l="1"/>
  <c r="H792" i="13"/>
  <c r="F792" i="13" s="1"/>
  <c r="I794" i="13" l="1"/>
  <c r="H793" i="13"/>
  <c r="F793" i="13" s="1"/>
  <c r="I795" i="13" l="1"/>
  <c r="H794" i="13"/>
  <c r="F794" i="13" s="1"/>
  <c r="I796" i="13" l="1"/>
  <c r="H795" i="13"/>
  <c r="F795" i="13" s="1"/>
  <c r="I797" i="13" l="1"/>
  <c r="H796" i="13"/>
  <c r="F796" i="13" s="1"/>
  <c r="I798" i="13" l="1"/>
  <c r="H797" i="13"/>
  <c r="F797" i="13" s="1"/>
  <c r="I799" i="13" l="1"/>
  <c r="H798" i="13"/>
  <c r="F798" i="13" s="1"/>
  <c r="I800" i="13" l="1"/>
  <c r="H799" i="13"/>
  <c r="F799" i="13" s="1"/>
  <c r="I801" i="13" l="1"/>
  <c r="H800" i="13"/>
  <c r="F800" i="13" s="1"/>
  <c r="I802" i="13" l="1"/>
  <c r="H801" i="13"/>
  <c r="F801" i="13" s="1"/>
  <c r="I803" i="13" l="1"/>
  <c r="H802" i="13"/>
  <c r="F802" i="13" s="1"/>
  <c r="I804" i="13" l="1"/>
  <c r="H803" i="13"/>
  <c r="F803" i="13" s="1"/>
  <c r="I805" i="13" l="1"/>
  <c r="H804" i="13"/>
  <c r="F804" i="13" s="1"/>
  <c r="I806" i="13" l="1"/>
  <c r="H805" i="13"/>
  <c r="F805" i="13" s="1"/>
  <c r="I807" i="13" l="1"/>
  <c r="H806" i="13"/>
  <c r="F806" i="13" s="1"/>
  <c r="I808" i="13" l="1"/>
  <c r="H807" i="13"/>
  <c r="F807" i="13" s="1"/>
  <c r="I809" i="13" l="1"/>
  <c r="H808" i="13"/>
  <c r="F808" i="13" s="1"/>
  <c r="I810" i="13" l="1"/>
  <c r="H809" i="13"/>
  <c r="F809" i="13" s="1"/>
  <c r="I811" i="13" l="1"/>
  <c r="H810" i="13"/>
  <c r="F810" i="13" s="1"/>
  <c r="I812" i="13" l="1"/>
  <c r="H811" i="13"/>
  <c r="F811" i="13" s="1"/>
  <c r="I813" i="13" l="1"/>
  <c r="H812" i="13"/>
  <c r="F812" i="13" s="1"/>
  <c r="I814" i="13" l="1"/>
  <c r="H813" i="13"/>
  <c r="F813" i="13" s="1"/>
  <c r="I815" i="13" l="1"/>
  <c r="H815" i="13" s="1"/>
  <c r="F815" i="13" s="1"/>
  <c r="H814" i="13"/>
  <c r="F814" i="13" s="1"/>
  <c r="O48" i="7" l="1"/>
  <c r="B6" i="14"/>
  <c r="T7" i="7" l="1"/>
  <c r="K1" i="7"/>
  <c r="G48" i="7" s="1"/>
  <c r="O27" i="11"/>
  <c r="O29" i="11"/>
  <c r="O18" i="11"/>
  <c r="O32" i="11"/>
  <c r="O22" i="11"/>
  <c r="O21" i="11"/>
  <c r="O11" i="11"/>
  <c r="E13" i="14" s="1"/>
  <c r="O26" i="11"/>
  <c r="O25" i="11"/>
  <c r="O31" i="11"/>
  <c r="O30" i="11"/>
  <c r="O24" i="11"/>
  <c r="O19" i="11"/>
  <c r="F6" i="17"/>
  <c r="P7" i="17" s="1"/>
  <c r="O20" i="11"/>
  <c r="O28" i="11"/>
  <c r="O16" i="11"/>
  <c r="E18" i="17"/>
  <c r="O14" i="11"/>
  <c r="E16" i="14" s="1"/>
  <c r="O17" i="11"/>
  <c r="O23" i="11"/>
  <c r="E17" i="17" l="1"/>
  <c r="G16" i="14"/>
  <c r="I16" i="14" s="1"/>
  <c r="J16" i="14" s="1"/>
  <c r="E14" i="17"/>
  <c r="G13" i="14"/>
  <c r="I13" i="14" s="1"/>
  <c r="J13" i="14" s="1"/>
  <c r="F7" i="17"/>
  <c r="G6" i="17"/>
  <c r="N7" i="17" s="1"/>
  <c r="E95" i="17"/>
  <c r="E93" i="17"/>
  <c r="E86" i="17"/>
  <c r="E84" i="17"/>
  <c r="E79" i="17"/>
  <c r="E77" i="17"/>
  <c r="E70" i="17"/>
  <c r="E68" i="17"/>
  <c r="E63" i="17"/>
  <c r="E61" i="17"/>
  <c r="E54" i="17"/>
  <c r="E52" i="17"/>
  <c r="E47" i="17"/>
  <c r="E45" i="17"/>
  <c r="E38" i="17"/>
  <c r="E36" i="17"/>
  <c r="E46" i="17"/>
  <c r="E44" i="17"/>
  <c r="E100" i="17"/>
  <c r="E98" i="17"/>
  <c r="E96" i="17"/>
  <c r="E91" i="17"/>
  <c r="E89" i="17"/>
  <c r="E82" i="17"/>
  <c r="E80" i="17"/>
  <c r="E75" i="17"/>
  <c r="E73" i="17"/>
  <c r="E66" i="17"/>
  <c r="E64" i="17"/>
  <c r="E59" i="17"/>
  <c r="E57" i="17"/>
  <c r="E50" i="17"/>
  <c r="E48" i="17"/>
  <c r="E43" i="17"/>
  <c r="E41" i="17"/>
  <c r="E94" i="17"/>
  <c r="E92" i="17"/>
  <c r="E87" i="17"/>
  <c r="E85" i="17"/>
  <c r="E78" i="17"/>
  <c r="E76" i="17"/>
  <c r="E71" i="17"/>
  <c r="E69" i="17"/>
  <c r="E62" i="17"/>
  <c r="E60" i="17"/>
  <c r="E55" i="17"/>
  <c r="E53" i="17"/>
  <c r="E39" i="17"/>
  <c r="E37" i="17"/>
  <c r="E90" i="17"/>
  <c r="E88" i="17"/>
  <c r="E58" i="17"/>
  <c r="E56" i="17"/>
  <c r="E97" i="17"/>
  <c r="E67" i="17"/>
  <c r="E74" i="17"/>
  <c r="E42" i="17"/>
  <c r="E83" i="17"/>
  <c r="E51" i="17"/>
  <c r="E65" i="17"/>
  <c r="E72" i="17"/>
  <c r="E40" i="17"/>
  <c r="E81" i="17"/>
  <c r="E49" i="17"/>
  <c r="E99" i="17"/>
  <c r="E34" i="17"/>
  <c r="E35" i="17"/>
  <c r="E32" i="17"/>
  <c r="E33" i="17"/>
  <c r="O13" i="11"/>
  <c r="E15" i="14" s="1"/>
  <c r="E23" i="17"/>
  <c r="E27" i="17"/>
  <c r="E22" i="17"/>
  <c r="E21" i="17"/>
  <c r="E31" i="17"/>
  <c r="E29" i="17"/>
  <c r="E24" i="17"/>
  <c r="E19" i="17"/>
  <c r="E28" i="17"/>
  <c r="E30" i="17"/>
  <c r="E25" i="17"/>
  <c r="E26" i="17"/>
  <c r="E20" i="17"/>
  <c r="O12" i="11"/>
  <c r="E14" i="14" s="1"/>
  <c r="G49" i="7"/>
  <c r="G50" i="7" s="1"/>
  <c r="G51" i="7" s="1"/>
  <c r="G52" i="7" s="1"/>
  <c r="G53" i="7" s="1"/>
  <c r="G54" i="7" s="1"/>
  <c r="G55" i="7" s="1"/>
  <c r="G56" i="7" s="1"/>
  <c r="G57" i="7" s="1"/>
  <c r="G58" i="7" s="1"/>
  <c r="G59" i="7" s="1"/>
  <c r="G60" i="7" s="1"/>
  <c r="G61" i="7" s="1"/>
  <c r="G62" i="7" s="1"/>
  <c r="G63" i="7" s="1"/>
  <c r="G64" i="7" s="1"/>
  <c r="G65" i="7" s="1"/>
  <c r="G66" i="7" s="1"/>
  <c r="G67" i="7" s="1"/>
  <c r="G68" i="7" s="1"/>
  <c r="G69" i="7" s="1"/>
  <c r="G70" i="7" s="1"/>
  <c r="G71" i="7" s="1"/>
  <c r="G72" i="7" s="1"/>
  <c r="G73" i="7" s="1"/>
  <c r="G74" i="7" s="1"/>
  <c r="G75" i="7" s="1"/>
  <c r="G76" i="7" s="1"/>
  <c r="G77" i="7" s="1"/>
  <c r="G78" i="7" s="1"/>
  <c r="G79" i="7" s="1"/>
  <c r="G80" i="7" s="1"/>
  <c r="G81" i="7" s="1"/>
  <c r="G82" i="7" s="1"/>
  <c r="G83" i="7" s="1"/>
  <c r="G84" i="7" s="1"/>
  <c r="G85" i="7" s="1"/>
  <c r="G86" i="7" s="1"/>
  <c r="G87" i="7" s="1"/>
  <c r="G88" i="7" s="1"/>
  <c r="G89" i="7" s="1"/>
  <c r="G90" i="7" s="1"/>
  <c r="G91" i="7" s="1"/>
  <c r="G92" i="7" s="1"/>
  <c r="G93" i="7" s="1"/>
  <c r="G94" i="7" s="1"/>
  <c r="G95" i="7" s="1"/>
  <c r="G96" i="7" s="1"/>
  <c r="G97" i="7" s="1"/>
  <c r="G98" i="7" s="1"/>
  <c r="G99" i="7" s="1"/>
  <c r="G100" i="7" s="1"/>
  <c r="G101" i="7" s="1"/>
  <c r="G102" i="7" s="1"/>
  <c r="G103" i="7" s="1"/>
  <c r="G104" i="7" s="1"/>
  <c r="G105" i="7" s="1"/>
  <c r="G106" i="7" s="1"/>
  <c r="G107" i="7" s="1"/>
  <c r="G108" i="7" s="1"/>
  <c r="G109" i="7" s="1"/>
  <c r="G110" i="7" s="1"/>
  <c r="G111" i="7" s="1"/>
  <c r="G112" i="7" s="1"/>
  <c r="G113" i="7" s="1"/>
  <c r="G114" i="7" s="1"/>
  <c r="G115" i="7" s="1"/>
  <c r="G116" i="7" s="1"/>
  <c r="G117" i="7" s="1"/>
  <c r="G118" i="7" s="1"/>
  <c r="G119" i="7" s="1"/>
  <c r="G120" i="7" s="1"/>
  <c r="G121" i="7" s="1"/>
  <c r="G122" i="7" s="1"/>
  <c r="G123" i="7" s="1"/>
  <c r="G124" i="7" s="1"/>
  <c r="G125" i="7" s="1"/>
  <c r="G126" i="7" s="1"/>
  <c r="G127" i="7" s="1"/>
  <c r="G128" i="7" s="1"/>
  <c r="G129" i="7" s="1"/>
  <c r="G130" i="7" s="1"/>
  <c r="G131" i="7" s="1"/>
  <c r="G132" i="7" s="1"/>
  <c r="G133" i="7" s="1"/>
  <c r="G134" i="7" s="1"/>
  <c r="G135" i="7" s="1"/>
  <c r="G136" i="7" s="1"/>
  <c r="G137" i="7" s="1"/>
  <c r="G138" i="7" s="1"/>
  <c r="G139" i="7" s="1"/>
  <c r="G140" i="7" s="1"/>
  <c r="G141" i="7" s="1"/>
  <c r="G142" i="7" s="1"/>
  <c r="G143" i="7" s="1"/>
  <c r="G144" i="7" s="1"/>
  <c r="G145" i="7" s="1"/>
  <c r="G146" i="7" s="1"/>
  <c r="G147" i="7" s="1"/>
  <c r="G148" i="7" s="1"/>
  <c r="G149" i="7" s="1"/>
  <c r="G150" i="7" s="1"/>
  <c r="G151" i="7" s="1"/>
  <c r="G152" i="7" s="1"/>
  <c r="G153" i="7" s="1"/>
  <c r="G154" i="7" s="1"/>
  <c r="G155" i="7" s="1"/>
  <c r="G156" i="7" s="1"/>
  <c r="G157" i="7" s="1"/>
  <c r="G158" i="7" s="1"/>
  <c r="G159" i="7" s="1"/>
  <c r="G160" i="7" s="1"/>
  <c r="G161" i="7" s="1"/>
  <c r="G162" i="7" s="1"/>
  <c r="G163" i="7" s="1"/>
  <c r="G164" i="7" s="1"/>
  <c r="G165" i="7" s="1"/>
  <c r="G166" i="7" s="1"/>
  <c r="G167" i="7" s="1"/>
  <c r="G168" i="7" s="1"/>
  <c r="G169" i="7" s="1"/>
  <c r="G170" i="7" s="1"/>
  <c r="G171" i="7" s="1"/>
  <c r="G172" i="7" s="1"/>
  <c r="G173" i="7" s="1"/>
  <c r="G174" i="7" s="1"/>
  <c r="G175" i="7" s="1"/>
  <c r="G176" i="7" s="1"/>
  <c r="G177" i="7" s="1"/>
  <c r="G178" i="7" s="1"/>
  <c r="G179" i="7" s="1"/>
  <c r="G180" i="7" s="1"/>
  <c r="G181" i="7" s="1"/>
  <c r="G182" i="7" s="1"/>
  <c r="G183" i="7" s="1"/>
  <c r="G184" i="7" s="1"/>
  <c r="G185" i="7" s="1"/>
  <c r="G186" i="7" s="1"/>
  <c r="G187" i="7" s="1"/>
  <c r="G188" i="7" s="1"/>
  <c r="G189" i="7" s="1"/>
  <c r="G190" i="7" s="1"/>
  <c r="G191" i="7" s="1"/>
  <c r="G192" i="7" s="1"/>
  <c r="G193" i="7" s="1"/>
  <c r="G194" i="7" s="1"/>
  <c r="G195" i="7" s="1"/>
  <c r="G196" i="7" s="1"/>
  <c r="G197" i="7" s="1"/>
  <c r="G198" i="7" s="1"/>
  <c r="G199" i="7" s="1"/>
  <c r="G200" i="7" s="1"/>
  <c r="G201" i="7" s="1"/>
  <c r="G202" i="7" s="1"/>
  <c r="G203" i="7" s="1"/>
  <c r="G204" i="7" s="1"/>
  <c r="G205" i="7" s="1"/>
  <c r="G206" i="7" s="1"/>
  <c r="G207" i="7" s="1"/>
  <c r="G208" i="7" s="1"/>
  <c r="G209" i="7" s="1"/>
  <c r="G210" i="7" s="1"/>
  <c r="G211" i="7" s="1"/>
  <c r="G212" i="7" s="1"/>
  <c r="G213" i="7" s="1"/>
  <c r="G214" i="7" s="1"/>
  <c r="G215" i="7" s="1"/>
  <c r="G216" i="7" s="1"/>
  <c r="G217" i="7" s="1"/>
  <c r="G218" i="7" s="1"/>
  <c r="G219" i="7" s="1"/>
  <c r="G220" i="7" s="1"/>
  <c r="G221" i="7" s="1"/>
  <c r="G222" i="7" s="1"/>
  <c r="G223" i="7" s="1"/>
  <c r="G224" i="7" s="1"/>
  <c r="G225" i="7" s="1"/>
  <c r="G226" i="7" s="1"/>
  <c r="G227" i="7" s="1"/>
  <c r="G228" i="7" s="1"/>
  <c r="G229" i="7" s="1"/>
  <c r="G230" i="7" s="1"/>
  <c r="G231" i="7" s="1"/>
  <c r="G232" i="7" s="1"/>
  <c r="G233" i="7" s="1"/>
  <c r="G234" i="7" s="1"/>
  <c r="G235" i="7" s="1"/>
  <c r="G236" i="7" s="1"/>
  <c r="G237" i="7" s="1"/>
  <c r="G238" i="7" s="1"/>
  <c r="G239" i="7" s="1"/>
  <c r="G240" i="7" s="1"/>
  <c r="G241" i="7" s="1"/>
  <c r="G242" i="7" s="1"/>
  <c r="G243" i="7" s="1"/>
  <c r="G244" i="7" s="1"/>
  <c r="G245" i="7" s="1"/>
  <c r="G246" i="7" s="1"/>
  <c r="G247" i="7" s="1"/>
  <c r="G248" i="7" s="1"/>
  <c r="G249" i="7" s="1"/>
  <c r="G250" i="7" s="1"/>
  <c r="G251" i="7" s="1"/>
  <c r="G252" i="7" s="1"/>
  <c r="G253" i="7" s="1"/>
  <c r="G254" i="7" s="1"/>
  <c r="G255" i="7" s="1"/>
  <c r="G256" i="7" s="1"/>
  <c r="G257" i="7" s="1"/>
  <c r="G258" i="7" s="1"/>
  <c r="G259" i="7" s="1"/>
  <c r="G260" i="7" s="1"/>
  <c r="G261" i="7" s="1"/>
  <c r="G262" i="7" s="1"/>
  <c r="G263" i="7" s="1"/>
  <c r="G264" i="7" s="1"/>
  <c r="G265" i="7" s="1"/>
  <c r="G266" i="7" s="1"/>
  <c r="G267" i="7" s="1"/>
  <c r="G268" i="7" s="1"/>
  <c r="G269" i="7" s="1"/>
  <c r="G270" i="7" s="1"/>
  <c r="G271" i="7" s="1"/>
  <c r="G272" i="7" s="1"/>
  <c r="G273" i="7" s="1"/>
  <c r="G274" i="7" s="1"/>
  <c r="G275" i="7" s="1"/>
  <c r="G276" i="7" s="1"/>
  <c r="G277" i="7" s="1"/>
  <c r="G278" i="7" s="1"/>
  <c r="G279" i="7" s="1"/>
  <c r="G280" i="7" s="1"/>
  <c r="G281" i="7" s="1"/>
  <c r="G282" i="7" s="1"/>
  <c r="G283" i="7" s="1"/>
  <c r="G284" i="7" s="1"/>
  <c r="G285" i="7" s="1"/>
  <c r="G286" i="7" s="1"/>
  <c r="G287" i="7" s="1"/>
  <c r="G288" i="7" s="1"/>
  <c r="G289" i="7" s="1"/>
  <c r="G290" i="7" s="1"/>
  <c r="G291" i="7" s="1"/>
  <c r="G292" i="7" s="1"/>
  <c r="G293" i="7" s="1"/>
  <c r="G294" i="7" s="1"/>
  <c r="G295" i="7" s="1"/>
  <c r="G296" i="7" s="1"/>
  <c r="G297" i="7" s="1"/>
  <c r="G298" i="7" s="1"/>
  <c r="G299" i="7" s="1"/>
  <c r="G300" i="7" s="1"/>
  <c r="G301" i="7" s="1"/>
  <c r="G302" i="7" s="1"/>
  <c r="G303" i="7" s="1"/>
  <c r="G304" i="7" s="1"/>
  <c r="G305" i="7" s="1"/>
  <c r="G306" i="7" s="1"/>
  <c r="G307" i="7" s="1"/>
  <c r="G308" i="7" s="1"/>
  <c r="G309" i="7" s="1"/>
  <c r="G310" i="7" s="1"/>
  <c r="G311" i="7" s="1"/>
  <c r="G312" i="7" s="1"/>
  <c r="G313" i="7" s="1"/>
  <c r="G314" i="7" s="1"/>
  <c r="G315" i="7" s="1"/>
  <c r="G316" i="7" s="1"/>
  <c r="G317" i="7" s="1"/>
  <c r="G318" i="7" s="1"/>
  <c r="G319" i="7" s="1"/>
  <c r="G320" i="7" s="1"/>
  <c r="G321" i="7" s="1"/>
  <c r="G322" i="7" s="1"/>
  <c r="G323" i="7" s="1"/>
  <c r="G324" i="7" s="1"/>
  <c r="G325" i="7" s="1"/>
  <c r="G326" i="7" s="1"/>
  <c r="G327" i="7" s="1"/>
  <c r="G328" i="7" s="1"/>
  <c r="G329" i="7" s="1"/>
  <c r="G330" i="7" s="1"/>
  <c r="G331" i="7" s="1"/>
  <c r="G332" i="7" s="1"/>
  <c r="G333" i="7" s="1"/>
  <c r="G334" i="7" s="1"/>
  <c r="G335" i="7" s="1"/>
  <c r="G336" i="7" s="1"/>
  <c r="G337" i="7" s="1"/>
  <c r="G338" i="7" s="1"/>
  <c r="G339" i="7" s="1"/>
  <c r="G340" i="7" s="1"/>
  <c r="G341" i="7" s="1"/>
  <c r="G342" i="7" s="1"/>
  <c r="G343" i="7" s="1"/>
  <c r="G344" i="7" s="1"/>
  <c r="G345" i="7" s="1"/>
  <c r="G346" i="7" s="1"/>
  <c r="G347" i="7" s="1"/>
  <c r="G348" i="7" s="1"/>
  <c r="G349" i="7" s="1"/>
  <c r="G350" i="7" s="1"/>
  <c r="G351" i="7" s="1"/>
  <c r="G352" i="7" s="1"/>
  <c r="G353" i="7" s="1"/>
  <c r="G354" i="7" s="1"/>
  <c r="G355" i="7" s="1"/>
  <c r="G356" i="7" s="1"/>
  <c r="G357" i="7" s="1"/>
  <c r="G358" i="7" s="1"/>
  <c r="G359" i="7" s="1"/>
  <c r="G360" i="7" s="1"/>
  <c r="G361" i="7" s="1"/>
  <c r="G362" i="7" s="1"/>
  <c r="G363" i="7" s="1"/>
  <c r="G364" i="7" s="1"/>
  <c r="G365" i="7" s="1"/>
  <c r="G366" i="7" s="1"/>
  <c r="G367" i="7" s="1"/>
  <c r="G368" i="7" s="1"/>
  <c r="G369" i="7" s="1"/>
  <c r="G370" i="7" s="1"/>
  <c r="G371" i="7" s="1"/>
  <c r="G372" i="7" s="1"/>
  <c r="G373" i="7" s="1"/>
  <c r="G374" i="7" s="1"/>
  <c r="G375" i="7" s="1"/>
  <c r="G376" i="7" s="1"/>
  <c r="G377" i="7" s="1"/>
  <c r="G378" i="7" s="1"/>
  <c r="G379" i="7" s="1"/>
  <c r="G380" i="7" s="1"/>
  <c r="G381" i="7" s="1"/>
  <c r="G382" i="7" s="1"/>
  <c r="G383" i="7" s="1"/>
  <c r="G384" i="7" s="1"/>
  <c r="G385" i="7" s="1"/>
  <c r="G386" i="7" s="1"/>
  <c r="G387" i="7" s="1"/>
  <c r="G388" i="7" s="1"/>
  <c r="G389" i="7" s="1"/>
  <c r="G390" i="7" s="1"/>
  <c r="G391" i="7" s="1"/>
  <c r="G392" i="7" s="1"/>
  <c r="G393" i="7" s="1"/>
  <c r="G394" i="7" s="1"/>
  <c r="G395" i="7" s="1"/>
  <c r="G396" i="7" s="1"/>
  <c r="G397" i="7" s="1"/>
  <c r="G398" i="7" s="1"/>
  <c r="G399" i="7" s="1"/>
  <c r="G400" i="7" s="1"/>
  <c r="G401" i="7" s="1"/>
  <c r="G402" i="7" s="1"/>
  <c r="G403" i="7" s="1"/>
  <c r="G404" i="7" s="1"/>
  <c r="G405" i="7" s="1"/>
  <c r="G406" i="7" s="1"/>
  <c r="G407" i="7" s="1"/>
  <c r="G408" i="7" s="1"/>
  <c r="G409" i="7" s="1"/>
  <c r="G410" i="7" s="1"/>
  <c r="G411" i="7" s="1"/>
  <c r="G412" i="7" s="1"/>
  <c r="G413" i="7" s="1"/>
  <c r="G414" i="7" s="1"/>
  <c r="G415" i="7" s="1"/>
  <c r="G416" i="7" s="1"/>
  <c r="G417" i="7" s="1"/>
  <c r="G418" i="7" s="1"/>
  <c r="G419" i="7" s="1"/>
  <c r="G420" i="7" s="1"/>
  <c r="G421" i="7" s="1"/>
  <c r="G422" i="7" s="1"/>
  <c r="G423" i="7" s="1"/>
  <c r="G424" i="7" s="1"/>
  <c r="G425" i="7" s="1"/>
  <c r="G426" i="7" s="1"/>
  <c r="G427" i="7" s="1"/>
  <c r="G428" i="7" s="1"/>
  <c r="G429" i="7" s="1"/>
  <c r="G430" i="7" s="1"/>
  <c r="G431" i="7" s="1"/>
  <c r="G432" i="7" s="1"/>
  <c r="G433" i="7" s="1"/>
  <c r="G434" i="7" s="1"/>
  <c r="G435" i="7" s="1"/>
  <c r="G436" i="7" s="1"/>
  <c r="G437" i="7" s="1"/>
  <c r="G438" i="7" s="1"/>
  <c r="G439" i="7" s="1"/>
  <c r="G440" i="7" s="1"/>
  <c r="G441" i="7" s="1"/>
  <c r="G442" i="7" s="1"/>
  <c r="G443" i="7" s="1"/>
  <c r="G444" i="7" s="1"/>
  <c r="G445" i="7" s="1"/>
  <c r="G446" i="7" s="1"/>
  <c r="G447" i="7" s="1"/>
  <c r="G448" i="7" s="1"/>
  <c r="G449" i="7" s="1"/>
  <c r="G450" i="7" s="1"/>
  <c r="G451" i="7" s="1"/>
  <c r="G452" i="7" s="1"/>
  <c r="G453" i="7" s="1"/>
  <c r="G454" i="7" s="1"/>
  <c r="G455" i="7" s="1"/>
  <c r="G456" i="7" s="1"/>
  <c r="G457" i="7" s="1"/>
  <c r="G458" i="7" s="1"/>
  <c r="G459" i="7" s="1"/>
  <c r="G460" i="7" s="1"/>
  <c r="G461" i="7" s="1"/>
  <c r="G462" i="7" s="1"/>
  <c r="G463" i="7" s="1"/>
  <c r="G464" i="7" s="1"/>
  <c r="G465" i="7" s="1"/>
  <c r="G466" i="7" s="1"/>
  <c r="G467" i="7" s="1"/>
  <c r="G468" i="7" s="1"/>
  <c r="G469" i="7" s="1"/>
  <c r="G470" i="7" s="1"/>
  <c r="G471" i="7" s="1"/>
  <c r="G472" i="7" s="1"/>
  <c r="G473" i="7" s="1"/>
  <c r="G474" i="7" s="1"/>
  <c r="G475" i="7" s="1"/>
  <c r="G476" i="7" s="1"/>
  <c r="G477" i="7" s="1"/>
  <c r="G478" i="7" s="1"/>
  <c r="G479" i="7" s="1"/>
  <c r="G480" i="7" s="1"/>
  <c r="G481" i="7" s="1"/>
  <c r="G482" i="7" s="1"/>
  <c r="G483" i="7" s="1"/>
  <c r="G484" i="7" s="1"/>
  <c r="G485" i="7" s="1"/>
  <c r="G486" i="7" s="1"/>
  <c r="G487" i="7" s="1"/>
  <c r="G488" i="7" s="1"/>
  <c r="G489" i="7" s="1"/>
  <c r="G490" i="7" s="1"/>
  <c r="G491" i="7" s="1"/>
  <c r="G492" i="7" s="1"/>
  <c r="G493" i="7" s="1"/>
  <c r="G494" i="7" s="1"/>
  <c r="G495" i="7" s="1"/>
  <c r="G496" i="7" s="1"/>
  <c r="G497" i="7" s="1"/>
  <c r="G498" i="7" s="1"/>
  <c r="G499" i="7" s="1"/>
  <c r="G500" i="7" s="1"/>
  <c r="G501" i="7" s="1"/>
  <c r="G502" i="7" s="1"/>
  <c r="G503" i="7" s="1"/>
  <c r="G504" i="7" s="1"/>
  <c r="G505" i="7" s="1"/>
  <c r="G506" i="7" s="1"/>
  <c r="G507" i="7" s="1"/>
  <c r="G508" i="7" s="1"/>
  <c r="G509" i="7" s="1"/>
  <c r="G510" i="7" s="1"/>
  <c r="G511" i="7" s="1"/>
  <c r="G512" i="7" s="1"/>
  <c r="G513" i="7" s="1"/>
  <c r="G514" i="7" s="1"/>
  <c r="G515" i="7" s="1"/>
  <c r="G516" i="7" s="1"/>
  <c r="G517" i="7" s="1"/>
  <c r="G518" i="7" s="1"/>
  <c r="G519" i="7" s="1"/>
  <c r="G520" i="7" s="1"/>
  <c r="G521" i="7" s="1"/>
  <c r="G522" i="7" s="1"/>
  <c r="G523" i="7" s="1"/>
  <c r="G524" i="7" s="1"/>
  <c r="G525" i="7" s="1"/>
  <c r="G526" i="7" s="1"/>
  <c r="G527" i="7" s="1"/>
  <c r="G528" i="7" s="1"/>
  <c r="G529" i="7" s="1"/>
  <c r="G530" i="7" s="1"/>
  <c r="G531" i="7" s="1"/>
  <c r="G532" i="7" s="1"/>
  <c r="G533" i="7" s="1"/>
  <c r="G534" i="7" s="1"/>
  <c r="G535" i="7" s="1"/>
  <c r="G536" i="7" s="1"/>
  <c r="G537" i="7" s="1"/>
  <c r="G538" i="7" s="1"/>
  <c r="G539" i="7" s="1"/>
  <c r="G540" i="7" s="1"/>
  <c r="G541" i="7" s="1"/>
  <c r="G542" i="7" s="1"/>
  <c r="G543" i="7" s="1"/>
  <c r="G544" i="7" s="1"/>
  <c r="G545" i="7" s="1"/>
  <c r="G546" i="7" s="1"/>
  <c r="G547" i="7" s="1"/>
  <c r="G548" i="7" s="1"/>
  <c r="G549" i="7" s="1"/>
  <c r="G550" i="7" s="1"/>
  <c r="G551" i="7" s="1"/>
  <c r="G552" i="7" s="1"/>
  <c r="G553" i="7" s="1"/>
  <c r="G554" i="7" s="1"/>
  <c r="G555" i="7" s="1"/>
  <c r="G556" i="7" s="1"/>
  <c r="G557" i="7" s="1"/>
  <c r="G558" i="7" s="1"/>
  <c r="G559" i="7" s="1"/>
  <c r="G560" i="7" s="1"/>
  <c r="G561" i="7" s="1"/>
  <c r="G562" i="7" s="1"/>
  <c r="G563" i="7" s="1"/>
  <c r="G564" i="7" s="1"/>
  <c r="G565" i="7" s="1"/>
  <c r="G566" i="7" s="1"/>
  <c r="G567" i="7" s="1"/>
  <c r="G568" i="7" s="1"/>
  <c r="G569" i="7" s="1"/>
  <c r="G570" i="7" s="1"/>
  <c r="G571" i="7" s="1"/>
  <c r="G572" i="7" s="1"/>
  <c r="G573" i="7" s="1"/>
  <c r="G574" i="7" s="1"/>
  <c r="G575" i="7" s="1"/>
  <c r="G576" i="7" s="1"/>
  <c r="G577" i="7" s="1"/>
  <c r="G578" i="7" s="1"/>
  <c r="G579" i="7" s="1"/>
  <c r="G580" i="7" s="1"/>
  <c r="G581" i="7" s="1"/>
  <c r="G582" i="7" s="1"/>
  <c r="G583" i="7" s="1"/>
  <c r="G584" i="7" s="1"/>
  <c r="G585" i="7" s="1"/>
  <c r="G586" i="7" s="1"/>
  <c r="G587" i="7" s="1"/>
  <c r="G588" i="7" s="1"/>
  <c r="G589" i="7" s="1"/>
  <c r="G590" i="7" s="1"/>
  <c r="G591" i="7" s="1"/>
  <c r="G592" i="7" s="1"/>
  <c r="G593" i="7" s="1"/>
  <c r="G594" i="7" s="1"/>
  <c r="G595" i="7" s="1"/>
  <c r="G596" i="7" s="1"/>
  <c r="G597" i="7" s="1"/>
  <c r="G598" i="7" s="1"/>
  <c r="G599" i="7" s="1"/>
  <c r="G600" i="7" s="1"/>
  <c r="G601" i="7" s="1"/>
  <c r="G602" i="7" s="1"/>
  <c r="G603" i="7" s="1"/>
  <c r="G604" i="7" s="1"/>
  <c r="G605" i="7" s="1"/>
  <c r="G606" i="7" s="1"/>
  <c r="G607" i="7" s="1"/>
  <c r="G608" i="7" s="1"/>
  <c r="G609" i="7" s="1"/>
  <c r="G610" i="7" s="1"/>
  <c r="G611" i="7" s="1"/>
  <c r="G612" i="7" s="1"/>
  <c r="G613" i="7" s="1"/>
  <c r="G614" i="7" s="1"/>
  <c r="G615" i="7" s="1"/>
  <c r="G616" i="7" s="1"/>
  <c r="G617" i="7" s="1"/>
  <c r="G618" i="7" s="1"/>
  <c r="G619" i="7" s="1"/>
  <c r="G620" i="7" s="1"/>
  <c r="G621" i="7" s="1"/>
  <c r="G622" i="7" s="1"/>
  <c r="G623" i="7" s="1"/>
  <c r="G624" i="7" s="1"/>
  <c r="G625" i="7" s="1"/>
  <c r="G626" i="7" s="1"/>
  <c r="G627" i="7" s="1"/>
  <c r="G628" i="7" s="1"/>
  <c r="G629" i="7" s="1"/>
  <c r="G630" i="7" s="1"/>
  <c r="G631" i="7" s="1"/>
  <c r="G632" i="7" s="1"/>
  <c r="G633" i="7" s="1"/>
  <c r="G634" i="7" s="1"/>
  <c r="G635" i="7" s="1"/>
  <c r="G636" i="7" s="1"/>
  <c r="G637" i="7" s="1"/>
  <c r="G638" i="7" s="1"/>
  <c r="G639" i="7" s="1"/>
  <c r="G640" i="7" s="1"/>
  <c r="G641" i="7" s="1"/>
  <c r="G642" i="7" s="1"/>
  <c r="G643" i="7" s="1"/>
  <c r="G644" i="7" s="1"/>
  <c r="G645" i="7" s="1"/>
  <c r="G646" i="7" s="1"/>
  <c r="G647" i="7" s="1"/>
  <c r="G648" i="7" s="1"/>
  <c r="G649" i="7" s="1"/>
  <c r="G650" i="7" s="1"/>
  <c r="G651" i="7" s="1"/>
  <c r="G652" i="7" s="1"/>
  <c r="G653" i="7" s="1"/>
  <c r="G654" i="7" s="1"/>
  <c r="G655" i="7" s="1"/>
  <c r="G656" i="7" s="1"/>
  <c r="G657" i="7" s="1"/>
  <c r="G658" i="7" s="1"/>
  <c r="G659" i="7" s="1"/>
  <c r="G660" i="7" s="1"/>
  <c r="G661" i="7" s="1"/>
  <c r="G662" i="7" s="1"/>
  <c r="G663" i="7" s="1"/>
  <c r="G664" i="7" s="1"/>
  <c r="G665" i="7" s="1"/>
  <c r="G666" i="7" s="1"/>
  <c r="G667" i="7" s="1"/>
  <c r="G668" i="7" s="1"/>
  <c r="G669" i="7" s="1"/>
  <c r="G670" i="7" s="1"/>
  <c r="G671" i="7" s="1"/>
  <c r="G672" i="7" s="1"/>
  <c r="G673" i="7" s="1"/>
  <c r="G674" i="7" s="1"/>
  <c r="G675" i="7" s="1"/>
  <c r="G676" i="7" s="1"/>
  <c r="G677" i="7" s="1"/>
  <c r="G678" i="7" s="1"/>
  <c r="G679" i="7" s="1"/>
  <c r="G680" i="7" s="1"/>
  <c r="G681" i="7" s="1"/>
  <c r="G682" i="7" s="1"/>
  <c r="G683" i="7" s="1"/>
  <c r="G684" i="7" s="1"/>
  <c r="G685" i="7" s="1"/>
  <c r="G686" i="7" s="1"/>
  <c r="G687" i="7" s="1"/>
  <c r="G688" i="7" s="1"/>
  <c r="G689" i="7" s="1"/>
  <c r="G690" i="7" s="1"/>
  <c r="G691" i="7" s="1"/>
  <c r="G692" i="7" s="1"/>
  <c r="G693" i="7" s="1"/>
  <c r="G694" i="7" s="1"/>
  <c r="G695" i="7" s="1"/>
  <c r="G696" i="7" s="1"/>
  <c r="G697" i="7" s="1"/>
  <c r="G698" i="7" s="1"/>
  <c r="G699" i="7" s="1"/>
  <c r="G700" i="7" s="1"/>
  <c r="G701" i="7" s="1"/>
  <c r="G702" i="7" s="1"/>
  <c r="G703" i="7" s="1"/>
  <c r="G704" i="7" s="1"/>
  <c r="G705" i="7" s="1"/>
  <c r="G706" i="7" s="1"/>
  <c r="G707" i="7" s="1"/>
  <c r="G708" i="7" s="1"/>
  <c r="G709" i="7" s="1"/>
  <c r="G710" i="7" s="1"/>
  <c r="G711" i="7" s="1"/>
  <c r="G712" i="7" s="1"/>
  <c r="G713" i="7" s="1"/>
  <c r="G714" i="7" s="1"/>
  <c r="G715" i="7" s="1"/>
  <c r="G716" i="7" s="1"/>
  <c r="G717" i="7" s="1"/>
  <c r="G718" i="7" s="1"/>
  <c r="G719" i="7" s="1"/>
  <c r="G720" i="7" s="1"/>
  <c r="G721" i="7" s="1"/>
  <c r="G722" i="7" s="1"/>
  <c r="G723" i="7" s="1"/>
  <c r="G724" i="7" s="1"/>
  <c r="G725" i="7" s="1"/>
  <c r="G726" i="7" s="1"/>
  <c r="G727" i="7" s="1"/>
  <c r="G728" i="7" s="1"/>
  <c r="G729" i="7" s="1"/>
  <c r="G730" i="7" s="1"/>
  <c r="G731" i="7" s="1"/>
  <c r="G732" i="7" s="1"/>
  <c r="G733" i="7" s="1"/>
  <c r="G734" i="7" s="1"/>
  <c r="G735" i="7" s="1"/>
  <c r="G736" i="7" s="1"/>
  <c r="G737" i="7" s="1"/>
  <c r="G738" i="7" s="1"/>
  <c r="G739" i="7" s="1"/>
  <c r="G740" i="7" s="1"/>
  <c r="G741" i="7" s="1"/>
  <c r="G742" i="7" s="1"/>
  <c r="G743" i="7" s="1"/>
  <c r="G744" i="7" s="1"/>
  <c r="G745" i="7" s="1"/>
  <c r="G746" i="7" s="1"/>
  <c r="G747" i="7" s="1"/>
  <c r="G748" i="7" s="1"/>
  <c r="G749" i="7" s="1"/>
  <c r="G750" i="7" s="1"/>
  <c r="G751" i="7" s="1"/>
  <c r="G752" i="7" s="1"/>
  <c r="G753" i="7" s="1"/>
  <c r="G754" i="7" s="1"/>
  <c r="G755" i="7" s="1"/>
  <c r="G756" i="7" s="1"/>
  <c r="G757" i="7" s="1"/>
  <c r="G758" i="7" s="1"/>
  <c r="G759" i="7" s="1"/>
  <c r="G760" i="7" s="1"/>
  <c r="G761" i="7" s="1"/>
  <c r="G762" i="7" s="1"/>
  <c r="G763" i="7" s="1"/>
  <c r="G764" i="7" s="1"/>
  <c r="G765" i="7" s="1"/>
  <c r="G766" i="7" s="1"/>
  <c r="G767" i="7" s="1"/>
  <c r="G768" i="7" s="1"/>
  <c r="G769" i="7" s="1"/>
  <c r="G770" i="7" s="1"/>
  <c r="G771" i="7" s="1"/>
  <c r="G772" i="7" s="1"/>
  <c r="G773" i="7" s="1"/>
  <c r="G774" i="7" s="1"/>
  <c r="G775" i="7" s="1"/>
  <c r="G776" i="7" s="1"/>
  <c r="G777" i="7" s="1"/>
  <c r="G778" i="7" s="1"/>
  <c r="G779" i="7" s="1"/>
  <c r="G780" i="7" s="1"/>
  <c r="G781" i="7" s="1"/>
  <c r="G782" i="7" s="1"/>
  <c r="G783" i="7" s="1"/>
  <c r="G784" i="7" s="1"/>
  <c r="G785" i="7" s="1"/>
  <c r="G786" i="7" s="1"/>
  <c r="G787" i="7" s="1"/>
  <c r="G788" i="7" s="1"/>
  <c r="G789" i="7" s="1"/>
  <c r="G790" i="7" s="1"/>
  <c r="G791" i="7" s="1"/>
  <c r="G792" i="7" s="1"/>
  <c r="G793" i="7" s="1"/>
  <c r="G794" i="7" s="1"/>
  <c r="G795" i="7" s="1"/>
  <c r="G796" i="7" s="1"/>
  <c r="G797" i="7" s="1"/>
  <c r="G798" i="7" s="1"/>
  <c r="G799" i="7" s="1"/>
  <c r="G800" i="7" s="1"/>
  <c r="G801" i="7" s="1"/>
  <c r="G802" i="7" s="1"/>
  <c r="G803" i="7" s="1"/>
  <c r="G804" i="7" s="1"/>
  <c r="G805" i="7" s="1"/>
  <c r="G806" i="7" s="1"/>
  <c r="G807" i="7" s="1"/>
  <c r="G808" i="7" s="1"/>
  <c r="G809" i="7" s="1"/>
  <c r="G810" i="7" s="1"/>
  <c r="G811" i="7" s="1"/>
  <c r="G812" i="7" s="1"/>
  <c r="G813" i="7" s="1"/>
  <c r="G814" i="7" s="1"/>
  <c r="G815" i="7" s="1"/>
  <c r="G47" i="7"/>
  <c r="G46" i="7" s="1"/>
  <c r="G45" i="7" s="1"/>
  <c r="G44" i="7" s="1"/>
  <c r="G43" i="7" s="1"/>
  <c r="G42" i="7" s="1"/>
  <c r="G41" i="7" s="1"/>
  <c r="G40" i="7" s="1"/>
  <c r="G39" i="7" s="1"/>
  <c r="G38" i="7" s="1"/>
  <c r="G37" i="7" s="1"/>
  <c r="G36" i="7" s="1"/>
  <c r="G35" i="7" s="1"/>
  <c r="G34" i="7" s="1"/>
  <c r="G33" i="7" s="1"/>
  <c r="G32" i="7" s="1"/>
  <c r="G31" i="7" s="1"/>
  <c r="G30" i="7" s="1"/>
  <c r="G29" i="7" s="1"/>
  <c r="G28" i="7" s="1"/>
  <c r="G27" i="7" s="1"/>
  <c r="G26" i="7" s="1"/>
  <c r="G25" i="7" s="1"/>
  <c r="G24" i="7" s="1"/>
  <c r="G23" i="7" s="1"/>
  <c r="G22" i="7" s="1"/>
  <c r="G21" i="7" s="1"/>
  <c r="G20" i="7" s="1"/>
  <c r="G19" i="7" s="1"/>
  <c r="G18" i="7" s="1"/>
  <c r="G17" i="7" s="1"/>
  <c r="G16" i="7" s="1"/>
  <c r="G15" i="7" s="1"/>
  <c r="G14" i="7" s="1"/>
  <c r="G13" i="7" s="1"/>
  <c r="G12" i="7" s="1"/>
  <c r="G11" i="7" s="1"/>
  <c r="G10" i="7" s="1"/>
  <c r="G9" i="7" s="1"/>
  <c r="G8" i="7" s="1"/>
  <c r="O8" i="7" s="1"/>
  <c r="K4" i="7"/>
  <c r="E16" i="17" l="1"/>
  <c r="G15" i="14"/>
  <c r="I15" i="14" s="1"/>
  <c r="J15" i="14" s="1"/>
  <c r="E15" i="17"/>
  <c r="E12" i="17" s="1"/>
  <c r="G14" i="14"/>
  <c r="I14" i="14" s="1"/>
  <c r="J14" i="14" s="1"/>
  <c r="G7" i="17"/>
  <c r="N8" i="17" s="1"/>
  <c r="P8" i="17"/>
  <c r="D3" i="14"/>
  <c r="O30" i="7"/>
  <c r="O44" i="7"/>
  <c r="O38" i="7"/>
  <c r="O41" i="7"/>
  <c r="O82" i="7"/>
  <c r="O36" i="7"/>
  <c r="O13" i="7"/>
  <c r="O97" i="7"/>
  <c r="O12" i="7"/>
  <c r="O77" i="7"/>
  <c r="O65" i="7"/>
  <c r="O69" i="7"/>
  <c r="O99" i="7"/>
  <c r="O72" i="7"/>
  <c r="O73" i="7"/>
  <c r="O90" i="7"/>
  <c r="O98" i="7"/>
  <c r="O80" i="7"/>
  <c r="O19" i="7"/>
  <c r="O21" i="7"/>
  <c r="O58" i="7"/>
  <c r="O55" i="7"/>
  <c r="O11" i="7"/>
  <c r="O74" i="7"/>
  <c r="O37" i="7"/>
  <c r="O47" i="7"/>
  <c r="O93" i="7"/>
  <c r="O25" i="7"/>
  <c r="O52" i="7"/>
  <c r="O42" i="7"/>
  <c r="O71" i="7"/>
  <c r="O50" i="7"/>
  <c r="O81" i="7"/>
  <c r="O68" i="7"/>
  <c r="O66" i="7"/>
  <c r="O10" i="7"/>
  <c r="O53" i="7"/>
  <c r="O76" i="7"/>
  <c r="O45" i="7"/>
  <c r="O29" i="7"/>
  <c r="O92" i="7"/>
  <c r="O32" i="7"/>
  <c r="O40" i="7"/>
  <c r="O64" i="7"/>
  <c r="O89" i="7"/>
  <c r="O63" i="7"/>
  <c r="O28" i="7"/>
  <c r="O17" i="7"/>
  <c r="O14" i="7"/>
  <c r="O16" i="7"/>
  <c r="O59" i="7"/>
  <c r="O84" i="7"/>
  <c r="O86" i="7"/>
  <c r="O33" i="7"/>
  <c r="O43" i="7"/>
  <c r="O24" i="7"/>
  <c r="O96" i="7"/>
  <c r="O31" i="7"/>
  <c r="O49" i="7"/>
  <c r="O85" i="7"/>
  <c r="O23" i="7"/>
  <c r="O35" i="7"/>
  <c r="O83" i="7"/>
  <c r="O51" i="7"/>
  <c r="O54" i="7"/>
  <c r="O15" i="7"/>
  <c r="O18" i="7"/>
  <c r="O62" i="7"/>
  <c r="O100" i="7"/>
  <c r="O94" i="7"/>
  <c r="O79" i="7"/>
  <c r="O56" i="7"/>
  <c r="O26" i="7"/>
  <c r="O60" i="7"/>
  <c r="O88" i="7"/>
  <c r="O46" i="7"/>
  <c r="O57" i="7"/>
  <c r="O75" i="7"/>
  <c r="O78" i="7"/>
  <c r="O61" i="7"/>
  <c r="O39" i="7"/>
  <c r="O91" i="7"/>
  <c r="O20" i="7"/>
  <c r="O34" i="7"/>
  <c r="O87" i="7"/>
  <c r="O27" i="7"/>
  <c r="O70" i="7"/>
  <c r="O9" i="7"/>
  <c r="O67" i="7"/>
  <c r="O22" i="7"/>
  <c r="O95" i="7"/>
  <c r="C3" i="14" l="1"/>
  <c r="E3" i="14" s="1"/>
  <c r="C6" i="14" s="1"/>
  <c r="D6" i="14" s="1"/>
  <c r="I11" i="11"/>
  <c r="K2" i="7" l="1"/>
  <c r="H48" i="7" s="1"/>
  <c r="F48" i="7" s="1"/>
  <c r="N48" i="7" s="1"/>
  <c r="D5" i="11"/>
  <c r="Q15" i="11" s="1"/>
  <c r="B1" i="18" l="1"/>
  <c r="AA6" i="18" s="1"/>
  <c r="AE7" i="18"/>
  <c r="H15" i="14"/>
  <c r="H20" i="14"/>
  <c r="H31" i="14"/>
  <c r="H46" i="14"/>
  <c r="H81" i="14"/>
  <c r="H90" i="14"/>
  <c r="H35" i="14"/>
  <c r="H72" i="14"/>
  <c r="H99" i="14"/>
  <c r="H50" i="14"/>
  <c r="H24" i="14"/>
  <c r="H52" i="14"/>
  <c r="H40" i="14"/>
  <c r="H23" i="14"/>
  <c r="H17" i="14"/>
  <c r="H67" i="14"/>
  <c r="H30" i="14"/>
  <c r="H47" i="14"/>
  <c r="H71" i="14"/>
  <c r="H45" i="14"/>
  <c r="H39" i="14"/>
  <c r="H26" i="14"/>
  <c r="H79" i="14"/>
  <c r="H75" i="14"/>
  <c r="H84" i="14"/>
  <c r="H60" i="14"/>
  <c r="H56" i="14"/>
  <c r="H68" i="14"/>
  <c r="H49" i="14"/>
  <c r="H73" i="14"/>
  <c r="H93" i="14"/>
  <c r="H91" i="14"/>
  <c r="H32" i="14"/>
  <c r="H85" i="14"/>
  <c r="H87" i="14"/>
  <c r="H54" i="14"/>
  <c r="H74" i="14"/>
  <c r="H77" i="14"/>
  <c r="H95" i="14"/>
  <c r="H83" i="14"/>
  <c r="H92" i="14"/>
  <c r="H65" i="14"/>
  <c r="H64" i="14"/>
  <c r="H44" i="14"/>
  <c r="H22" i="14"/>
  <c r="H100" i="14"/>
  <c r="H76" i="14"/>
  <c r="H59" i="14"/>
  <c r="H57" i="14"/>
  <c r="H33" i="14"/>
  <c r="H69" i="14"/>
  <c r="H70" i="14"/>
  <c r="H89" i="14"/>
  <c r="H78" i="14"/>
  <c r="H42" i="14"/>
  <c r="H19" i="14"/>
  <c r="H51" i="14"/>
  <c r="H48" i="14"/>
  <c r="H96" i="14"/>
  <c r="H34" i="14"/>
  <c r="H43" i="14"/>
  <c r="H21" i="14"/>
  <c r="H66" i="14"/>
  <c r="H18" i="14"/>
  <c r="H16" i="14"/>
  <c r="H25" i="14"/>
  <c r="H53" i="14"/>
  <c r="H38" i="14"/>
  <c r="H41" i="14"/>
  <c r="H36" i="14"/>
  <c r="H63" i="14"/>
  <c r="H29" i="14"/>
  <c r="H55" i="14"/>
  <c r="H61" i="14"/>
  <c r="H80" i="14"/>
  <c r="H98" i="14"/>
  <c r="H88" i="14"/>
  <c r="H62" i="14"/>
  <c r="H28" i="14"/>
  <c r="H82" i="14"/>
  <c r="H37" i="14"/>
  <c r="H86" i="14"/>
  <c r="H97" i="14"/>
  <c r="H94" i="14"/>
  <c r="H27" i="14"/>
  <c r="H58" i="14"/>
  <c r="H13" i="14"/>
  <c r="H14" i="14"/>
  <c r="Q99" i="11"/>
  <c r="R99" i="11" s="1"/>
  <c r="S99" i="11" s="1"/>
  <c r="Q93" i="11"/>
  <c r="R93" i="11" s="1"/>
  <c r="S93" i="11" s="1"/>
  <c r="Q77" i="11"/>
  <c r="R77" i="11" s="1"/>
  <c r="S77" i="11" s="1"/>
  <c r="Q63" i="11"/>
  <c r="R63" i="11" s="1"/>
  <c r="S63" i="11" s="1"/>
  <c r="Q62" i="11"/>
  <c r="R62" i="11" s="1"/>
  <c r="S62" i="11" s="1"/>
  <c r="Q61" i="11"/>
  <c r="R61" i="11" s="1"/>
  <c r="S61" i="11" s="1"/>
  <c r="Q47" i="11"/>
  <c r="R47" i="11" s="1"/>
  <c r="S47" i="11" s="1"/>
  <c r="Q46" i="11"/>
  <c r="R46" i="11" s="1"/>
  <c r="S46" i="11" s="1"/>
  <c r="Q45" i="11"/>
  <c r="R45" i="11" s="1"/>
  <c r="S45" i="11" s="1"/>
  <c r="Q97" i="11"/>
  <c r="R97" i="11" s="1"/>
  <c r="S97" i="11" s="1"/>
  <c r="Q81" i="11"/>
  <c r="R81" i="11" s="1"/>
  <c r="S81" i="11" s="1"/>
  <c r="Q65" i="11"/>
  <c r="R65" i="11" s="1"/>
  <c r="S65" i="11" s="1"/>
  <c r="Q49" i="11"/>
  <c r="R49" i="11" s="1"/>
  <c r="S49" i="11" s="1"/>
  <c r="Q33" i="11"/>
  <c r="R33" i="11" s="1"/>
  <c r="S33" i="11" s="1"/>
  <c r="Q37" i="11"/>
  <c r="R37" i="11" s="1"/>
  <c r="S37" i="11" s="1"/>
  <c r="Q98" i="11"/>
  <c r="R98" i="11" s="1"/>
  <c r="S98" i="11" s="1"/>
  <c r="Q85" i="11"/>
  <c r="R85" i="11" s="1"/>
  <c r="S85" i="11" s="1"/>
  <c r="Q69" i="11"/>
  <c r="R69" i="11" s="1"/>
  <c r="S69" i="11" s="1"/>
  <c r="Q53" i="11"/>
  <c r="R53" i="11" s="1"/>
  <c r="S53" i="11" s="1"/>
  <c r="Q91" i="11"/>
  <c r="R91" i="11" s="1"/>
  <c r="S91" i="11" s="1"/>
  <c r="Q90" i="11"/>
  <c r="R90" i="11" s="1"/>
  <c r="S90" i="11" s="1"/>
  <c r="Q89" i="11"/>
  <c r="R89" i="11" s="1"/>
  <c r="S89" i="11" s="1"/>
  <c r="Q74" i="11"/>
  <c r="R74" i="11" s="1"/>
  <c r="S74" i="11" s="1"/>
  <c r="Q41" i="11"/>
  <c r="R41" i="11" s="1"/>
  <c r="S41" i="11" s="1"/>
  <c r="Q57" i="11"/>
  <c r="R57" i="11" s="1"/>
  <c r="S57" i="11" s="1"/>
  <c r="Q43" i="11"/>
  <c r="R43" i="11" s="1"/>
  <c r="S43" i="11" s="1"/>
  <c r="Q75" i="11"/>
  <c r="R75" i="11" s="1"/>
  <c r="S75" i="11" s="1"/>
  <c r="Q58" i="11"/>
  <c r="R58" i="11" s="1"/>
  <c r="S58" i="11" s="1"/>
  <c r="Q73" i="11"/>
  <c r="R73" i="11" s="1"/>
  <c r="S73" i="11" s="1"/>
  <c r="Q59" i="11"/>
  <c r="R59" i="11" s="1"/>
  <c r="S59" i="11" s="1"/>
  <c r="Q42" i="11"/>
  <c r="R42" i="11" s="1"/>
  <c r="S42" i="11" s="1"/>
  <c r="Q66" i="11"/>
  <c r="R66" i="11" s="1"/>
  <c r="S66" i="11" s="1"/>
  <c r="Q83" i="11"/>
  <c r="R83" i="11" s="1"/>
  <c r="S83" i="11" s="1"/>
  <c r="Q95" i="11"/>
  <c r="R95" i="11" s="1"/>
  <c r="S95" i="11" s="1"/>
  <c r="Q52" i="11"/>
  <c r="R52" i="11" s="1"/>
  <c r="S52" i="11" s="1"/>
  <c r="Q84" i="11"/>
  <c r="R84" i="11" s="1"/>
  <c r="S84" i="11" s="1"/>
  <c r="Q100" i="11"/>
  <c r="R100" i="11" s="1"/>
  <c r="S100" i="11" s="1"/>
  <c r="Q55" i="11"/>
  <c r="R55" i="11" s="1"/>
  <c r="S55" i="11" s="1"/>
  <c r="Q36" i="11"/>
  <c r="R36" i="11" s="1"/>
  <c r="S36" i="11" s="1"/>
  <c r="Q64" i="11"/>
  <c r="R64" i="11" s="1"/>
  <c r="S64" i="11" s="1"/>
  <c r="Q96" i="11"/>
  <c r="R96" i="11" s="1"/>
  <c r="S96" i="11" s="1"/>
  <c r="Q60" i="11"/>
  <c r="R60" i="11" s="1"/>
  <c r="S60" i="11" s="1"/>
  <c r="Q92" i="11"/>
  <c r="R92" i="11" s="1"/>
  <c r="S92" i="11" s="1"/>
  <c r="Q39" i="11"/>
  <c r="R39" i="11" s="1"/>
  <c r="S39" i="11" s="1"/>
  <c r="Q50" i="11"/>
  <c r="R50" i="11" s="1"/>
  <c r="S50" i="11" s="1"/>
  <c r="Q67" i="11"/>
  <c r="R67" i="11" s="1"/>
  <c r="S67" i="11" s="1"/>
  <c r="Q72" i="11"/>
  <c r="R72" i="11" s="1"/>
  <c r="S72" i="11" s="1"/>
  <c r="Q35" i="11"/>
  <c r="R35" i="11" s="1"/>
  <c r="S35" i="11" s="1"/>
  <c r="Q70" i="11"/>
  <c r="R70" i="11" s="1"/>
  <c r="S70" i="11" s="1"/>
  <c r="Q71" i="11"/>
  <c r="R71" i="11" s="1"/>
  <c r="S71" i="11" s="1"/>
  <c r="Q86" i="11"/>
  <c r="R86" i="11" s="1"/>
  <c r="S86" i="11" s="1"/>
  <c r="Q48" i="11"/>
  <c r="R48" i="11" s="1"/>
  <c r="S48" i="11" s="1"/>
  <c r="Q80" i="11"/>
  <c r="R80" i="11" s="1"/>
  <c r="S80" i="11" s="1"/>
  <c r="Q44" i="11"/>
  <c r="R44" i="11" s="1"/>
  <c r="S44" i="11" s="1"/>
  <c r="Q76" i="11"/>
  <c r="R76" i="11" s="1"/>
  <c r="S76" i="11" s="1"/>
  <c r="Q40" i="11"/>
  <c r="R40" i="11" s="1"/>
  <c r="S40" i="11" s="1"/>
  <c r="Q34" i="11"/>
  <c r="R34" i="11" s="1"/>
  <c r="S34" i="11" s="1"/>
  <c r="Q54" i="11"/>
  <c r="R54" i="11" s="1"/>
  <c r="S54" i="11" s="1"/>
  <c r="Q82" i="11"/>
  <c r="R82" i="11" s="1"/>
  <c r="S82" i="11" s="1"/>
  <c r="Q94" i="11"/>
  <c r="R94" i="11" s="1"/>
  <c r="S94" i="11" s="1"/>
  <c r="Q56" i="11"/>
  <c r="R56" i="11" s="1"/>
  <c r="S56" i="11" s="1"/>
  <c r="Q38" i="11"/>
  <c r="R38" i="11" s="1"/>
  <c r="S38" i="11" s="1"/>
  <c r="Q51" i="11"/>
  <c r="R51" i="11" s="1"/>
  <c r="S51" i="11" s="1"/>
  <c r="Q78" i="11"/>
  <c r="R78" i="11" s="1"/>
  <c r="S78" i="11" s="1"/>
  <c r="Q79" i="11"/>
  <c r="R79" i="11" s="1"/>
  <c r="S79" i="11" s="1"/>
  <c r="Q87" i="11"/>
  <c r="R87" i="11" s="1"/>
  <c r="S87" i="11" s="1"/>
  <c r="Q88" i="11"/>
  <c r="R88" i="11" s="1"/>
  <c r="S88" i="11" s="1"/>
  <c r="Q68" i="11"/>
  <c r="R68" i="11" s="1"/>
  <c r="S68" i="11" s="1"/>
  <c r="Q25" i="11"/>
  <c r="R25" i="11" s="1"/>
  <c r="S25" i="11" s="1"/>
  <c r="Q28" i="11"/>
  <c r="R28" i="11" s="1"/>
  <c r="S28" i="11" s="1"/>
  <c r="P48" i="7"/>
  <c r="U87" i="7" s="1"/>
  <c r="L3" i="7"/>
  <c r="R7" i="7" s="1"/>
  <c r="I48" i="7"/>
  <c r="Q16" i="11"/>
  <c r="R16" i="11" s="1"/>
  <c r="S16" i="11" s="1"/>
  <c r="Q24" i="11"/>
  <c r="R24" i="11" s="1"/>
  <c r="S24" i="11" s="1"/>
  <c r="Q11" i="11"/>
  <c r="Q20" i="11"/>
  <c r="R20" i="11" s="1"/>
  <c r="S20" i="11" s="1"/>
  <c r="Q22" i="11"/>
  <c r="R22" i="11" s="1"/>
  <c r="S22" i="11" s="1"/>
  <c r="Q26" i="11"/>
  <c r="R26" i="11" s="1"/>
  <c r="S26" i="11" s="1"/>
  <c r="Q32" i="11"/>
  <c r="R32" i="11" s="1"/>
  <c r="S32" i="11" s="1"/>
  <c r="Q31" i="11"/>
  <c r="R31" i="11" s="1"/>
  <c r="S31" i="11" s="1"/>
  <c r="Q17" i="11"/>
  <c r="R17" i="11" s="1"/>
  <c r="S17" i="11" s="1"/>
  <c r="R15" i="11"/>
  <c r="S15" i="11" s="1"/>
  <c r="K5" i="13"/>
  <c r="Q30" i="11"/>
  <c r="R30" i="11" s="1"/>
  <c r="S30" i="11" s="1"/>
  <c r="Q14" i="11"/>
  <c r="Q12" i="11"/>
  <c r="F3" i="14"/>
  <c r="Q13" i="11"/>
  <c r="Q18" i="11"/>
  <c r="R18" i="11" s="1"/>
  <c r="S18" i="11" s="1"/>
  <c r="Q19" i="11"/>
  <c r="R19" i="11" s="1"/>
  <c r="S19" i="11" s="1"/>
  <c r="Q23" i="11"/>
  <c r="R23" i="11" s="1"/>
  <c r="S23" i="11" s="1"/>
  <c r="Q27" i="11"/>
  <c r="R27" i="11" s="1"/>
  <c r="S27" i="11" s="1"/>
  <c r="Q21" i="11"/>
  <c r="R21" i="11" s="1"/>
  <c r="S21" i="11" s="1"/>
  <c r="Q29" i="11"/>
  <c r="R29" i="11" s="1"/>
  <c r="S29" i="11" s="1"/>
  <c r="U6" i="18" l="1"/>
  <c r="V6" i="18" s="1"/>
  <c r="AH6" i="18" s="1"/>
  <c r="AC6" i="18"/>
  <c r="AA7" i="18"/>
  <c r="U7" i="18"/>
  <c r="V7" i="18" s="1"/>
  <c r="AG5" i="18"/>
  <c r="AF7" i="18"/>
  <c r="AA5" i="18"/>
  <c r="AG7" i="18"/>
  <c r="AE6" i="18"/>
  <c r="AC5" i="18"/>
  <c r="F3" i="17"/>
  <c r="AF5" i="18"/>
  <c r="AG6" i="18"/>
  <c r="AE5" i="18"/>
  <c r="AC7" i="18"/>
  <c r="AD7" i="18"/>
  <c r="AF6" i="18"/>
  <c r="U9" i="18"/>
  <c r="V9" i="18" s="1"/>
  <c r="AD6" i="18"/>
  <c r="AD5" i="18"/>
  <c r="U5" i="18"/>
  <c r="V5" i="18" s="1"/>
  <c r="AE8" i="18"/>
  <c r="AA8" i="18"/>
  <c r="AG8" i="18"/>
  <c r="AH8" i="18"/>
  <c r="AC8" i="18"/>
  <c r="AF8" i="18"/>
  <c r="AD8" i="18"/>
  <c r="U8" i="18"/>
  <c r="V8" i="18" s="1"/>
  <c r="AA12" i="18"/>
  <c r="AA16" i="18"/>
  <c r="AA20" i="18"/>
  <c r="AA24" i="18"/>
  <c r="AA28" i="18"/>
  <c r="AA32" i="18"/>
  <c r="AA36" i="18"/>
  <c r="AA40" i="18"/>
  <c r="AA44" i="18"/>
  <c r="AA48" i="18"/>
  <c r="AA52" i="18"/>
  <c r="AA56" i="18"/>
  <c r="AA60" i="18"/>
  <c r="AA64" i="18"/>
  <c r="AA68" i="18"/>
  <c r="AA72" i="18"/>
  <c r="AA76" i="18"/>
  <c r="AA80" i="18"/>
  <c r="AA84" i="18"/>
  <c r="AA88" i="18"/>
  <c r="AA92" i="18"/>
  <c r="AC9" i="18"/>
  <c r="AG9" i="18"/>
  <c r="AE10" i="18"/>
  <c r="AC11" i="18"/>
  <c r="AG11" i="18"/>
  <c r="AE12" i="18"/>
  <c r="AC13" i="18"/>
  <c r="AG13" i="18"/>
  <c r="AE14" i="18"/>
  <c r="AC15" i="18"/>
  <c r="AG15" i="18"/>
  <c r="AE16" i="18"/>
  <c r="AC17" i="18"/>
  <c r="AG17" i="18"/>
  <c r="AE18" i="18"/>
  <c r="AC19" i="18"/>
  <c r="AG19" i="18"/>
  <c r="AE20" i="18"/>
  <c r="AC21" i="18"/>
  <c r="AG21" i="18"/>
  <c r="AE22" i="18"/>
  <c r="AC23" i="18"/>
  <c r="AG23" i="18"/>
  <c r="AE24" i="18"/>
  <c r="AC25" i="18"/>
  <c r="AG25" i="18"/>
  <c r="AE26" i="18"/>
  <c r="AC27" i="18"/>
  <c r="AG27" i="18"/>
  <c r="AE28" i="18"/>
  <c r="AC29" i="18"/>
  <c r="AG29" i="18"/>
  <c r="AE30" i="18"/>
  <c r="AC31" i="18"/>
  <c r="AG31" i="18"/>
  <c r="AE32" i="18"/>
  <c r="AC33" i="18"/>
  <c r="AG33" i="18"/>
  <c r="AE34" i="18"/>
  <c r="AC35" i="18"/>
  <c r="AG35" i="18"/>
  <c r="AE36" i="18"/>
  <c r="AC37" i="18"/>
  <c r="AG37" i="18"/>
  <c r="AE38" i="18"/>
  <c r="AC39" i="18"/>
  <c r="AG39" i="18"/>
  <c r="AE40" i="18"/>
  <c r="AC41" i="18"/>
  <c r="AG41" i="18"/>
  <c r="AE42" i="18"/>
  <c r="AC43" i="18"/>
  <c r="AG43" i="18"/>
  <c r="AE44" i="18"/>
  <c r="AC45" i="18"/>
  <c r="AG45" i="18"/>
  <c r="AE46" i="18"/>
  <c r="AC47" i="18"/>
  <c r="AG47" i="18"/>
  <c r="AE48" i="18"/>
  <c r="AC49" i="18"/>
  <c r="AG49" i="18"/>
  <c r="AE50" i="18"/>
  <c r="AA9" i="18"/>
  <c r="AA13" i="18"/>
  <c r="AA17" i="18"/>
  <c r="AA21" i="18"/>
  <c r="AA25" i="18"/>
  <c r="AA29" i="18"/>
  <c r="AA33" i="18"/>
  <c r="AA37" i="18"/>
  <c r="AA41" i="18"/>
  <c r="AA45" i="18"/>
  <c r="AA49" i="18"/>
  <c r="AA53" i="18"/>
  <c r="AA57" i="18"/>
  <c r="AA61" i="18"/>
  <c r="AA65" i="18"/>
  <c r="AA69" i="18"/>
  <c r="AA73" i="18"/>
  <c r="AA77" i="18"/>
  <c r="AA81" i="18"/>
  <c r="AA85" i="18"/>
  <c r="AA89" i="18"/>
  <c r="AA93" i="18"/>
  <c r="AD9" i="18"/>
  <c r="AH9" i="18"/>
  <c r="AF10" i="18"/>
  <c r="AD11" i="18"/>
  <c r="AH11" i="18"/>
  <c r="AF12" i="18"/>
  <c r="AD13" i="18"/>
  <c r="AH13" i="18"/>
  <c r="AF14" i="18"/>
  <c r="AD15" i="18"/>
  <c r="AH15" i="18"/>
  <c r="AF16" i="18"/>
  <c r="AD17" i="18"/>
  <c r="AH17" i="18"/>
  <c r="AF18" i="18"/>
  <c r="AD19" i="18"/>
  <c r="AH19" i="18"/>
  <c r="AF20" i="18"/>
  <c r="AD21" i="18"/>
  <c r="AH21" i="18"/>
  <c r="AF22" i="18"/>
  <c r="AD23" i="18"/>
  <c r="AH23" i="18"/>
  <c r="AF24" i="18"/>
  <c r="AD25" i="18"/>
  <c r="AH25" i="18"/>
  <c r="AF26" i="18"/>
  <c r="AD27" i="18"/>
  <c r="AH27" i="18"/>
  <c r="AF28" i="18"/>
  <c r="AD29" i="18"/>
  <c r="AH29" i="18"/>
  <c r="AF30" i="18"/>
  <c r="AD31" i="18"/>
  <c r="AH31" i="18"/>
  <c r="AF32" i="18"/>
  <c r="AA10" i="18"/>
  <c r="AA14" i="18"/>
  <c r="AA18" i="18"/>
  <c r="AA22" i="18"/>
  <c r="AA26" i="18"/>
  <c r="AA30" i="18"/>
  <c r="AA34" i="18"/>
  <c r="AA38" i="18"/>
  <c r="AA42" i="18"/>
  <c r="AA46" i="18"/>
  <c r="AA50" i="18"/>
  <c r="AA54" i="18"/>
  <c r="AA58" i="18"/>
  <c r="AA62" i="18"/>
  <c r="AA66" i="18"/>
  <c r="AA70" i="18"/>
  <c r="AA74" i="18"/>
  <c r="AA78" i="18"/>
  <c r="AA82" i="18"/>
  <c r="AA86" i="18"/>
  <c r="AA90" i="18"/>
  <c r="AA94" i="18"/>
  <c r="AE9" i="18"/>
  <c r="AC10" i="18"/>
  <c r="AG10" i="18"/>
  <c r="AE11" i="18"/>
  <c r="AC12" i="18"/>
  <c r="AG12" i="18"/>
  <c r="AE13" i="18"/>
  <c r="AC14" i="18"/>
  <c r="AG14" i="18"/>
  <c r="AE15" i="18"/>
  <c r="AC16" i="18"/>
  <c r="AG16" i="18"/>
  <c r="AE17" i="18"/>
  <c r="AC18" i="18"/>
  <c r="AG18" i="18"/>
  <c r="AE19" i="18"/>
  <c r="AC20" i="18"/>
  <c r="AG20" i="18"/>
  <c r="AE21" i="18"/>
  <c r="AC22" i="18"/>
  <c r="AG22" i="18"/>
  <c r="AE23" i="18"/>
  <c r="AC24" i="18"/>
  <c r="AG24" i="18"/>
  <c r="AE25" i="18"/>
  <c r="AC26" i="18"/>
  <c r="AG26" i="18"/>
  <c r="AE27" i="18"/>
  <c r="AC28" i="18"/>
  <c r="AG28" i="18"/>
  <c r="AE29" i="18"/>
  <c r="AC30" i="18"/>
  <c r="AG30" i="18"/>
  <c r="AE31" i="18"/>
  <c r="AC32" i="18"/>
  <c r="AG32" i="18"/>
  <c r="AE33" i="18"/>
  <c r="AC34" i="18"/>
  <c r="AG34" i="18"/>
  <c r="AE35" i="18"/>
  <c r="AC36" i="18"/>
  <c r="AG36" i="18"/>
  <c r="AE37" i="18"/>
  <c r="AC38" i="18"/>
  <c r="AG38" i="18"/>
  <c r="AE39" i="18"/>
  <c r="AC40" i="18"/>
  <c r="AG40" i="18"/>
  <c r="AE41" i="18"/>
  <c r="AC42" i="18"/>
  <c r="AG42" i="18"/>
  <c r="AE43" i="18"/>
  <c r="AC44" i="18"/>
  <c r="AG44" i="18"/>
  <c r="AE45" i="18"/>
  <c r="AC46" i="18"/>
  <c r="AG46" i="18"/>
  <c r="AE47" i="18"/>
  <c r="AA11" i="18"/>
  <c r="AA27" i="18"/>
  <c r="AA43" i="18"/>
  <c r="AA59" i="18"/>
  <c r="AA75" i="18"/>
  <c r="AA91" i="18"/>
  <c r="AH10" i="18"/>
  <c r="AF13" i="18"/>
  <c r="AD16" i="18"/>
  <c r="AH18" i="18"/>
  <c r="AF21" i="18"/>
  <c r="AD24" i="18"/>
  <c r="AH26" i="18"/>
  <c r="AF29" i="18"/>
  <c r="AD32" i="18"/>
  <c r="AH33" i="18"/>
  <c r="AD35" i="18"/>
  <c r="AF36" i="18"/>
  <c r="AH37" i="18"/>
  <c r="AD39" i="18"/>
  <c r="AF40" i="18"/>
  <c r="AH41" i="18"/>
  <c r="AD43" i="18"/>
  <c r="AF44" i="18"/>
  <c r="AH45" i="18"/>
  <c r="AD47" i="18"/>
  <c r="AD48" i="18"/>
  <c r="AD49" i="18"/>
  <c r="AC50" i="18"/>
  <c r="AH50" i="18"/>
  <c r="AF51" i="18"/>
  <c r="AD52" i="18"/>
  <c r="AH52" i="18"/>
  <c r="AF53" i="18"/>
  <c r="AD54" i="18"/>
  <c r="AH54" i="18"/>
  <c r="AF55" i="18"/>
  <c r="AD56" i="18"/>
  <c r="AH56" i="18"/>
  <c r="AF57" i="18"/>
  <c r="AD58" i="18"/>
  <c r="AH58" i="18"/>
  <c r="AF59" i="18"/>
  <c r="AD60" i="18"/>
  <c r="AH60" i="18"/>
  <c r="AF61" i="18"/>
  <c r="AD62" i="18"/>
  <c r="AH62" i="18"/>
  <c r="AF63" i="18"/>
  <c r="AD64" i="18"/>
  <c r="AH64" i="18"/>
  <c r="AF65" i="18"/>
  <c r="AD66" i="18"/>
  <c r="AH66" i="18"/>
  <c r="AF67" i="18"/>
  <c r="AD68" i="18"/>
  <c r="AH68" i="18"/>
  <c r="AF69" i="18"/>
  <c r="AD70" i="18"/>
  <c r="AH70" i="18"/>
  <c r="AF71" i="18"/>
  <c r="AD72" i="18"/>
  <c r="AH72" i="18"/>
  <c r="AF73" i="18"/>
  <c r="AD74" i="18"/>
  <c r="AH74" i="18"/>
  <c r="AF75" i="18"/>
  <c r="AD76" i="18"/>
  <c r="AH76" i="18"/>
  <c r="AF77" i="18"/>
  <c r="AD78" i="18"/>
  <c r="AH78" i="18"/>
  <c r="AF79" i="18"/>
  <c r="AD80" i="18"/>
  <c r="AH80" i="18"/>
  <c r="AF81" i="18"/>
  <c r="AD82" i="18"/>
  <c r="AH82" i="18"/>
  <c r="AF83" i="18"/>
  <c r="AD84" i="18"/>
  <c r="AH84" i="18"/>
  <c r="AF85" i="18"/>
  <c r="AD86" i="18"/>
  <c r="AH86" i="18"/>
  <c r="AF87" i="18"/>
  <c r="AD88" i="18"/>
  <c r="AH88" i="18"/>
  <c r="AF89" i="18"/>
  <c r="AD90" i="18"/>
  <c r="AA15" i="18"/>
  <c r="AA31" i="18"/>
  <c r="AA47" i="18"/>
  <c r="AA63" i="18"/>
  <c r="AA79" i="18"/>
  <c r="AF11" i="18"/>
  <c r="AD14" i="18"/>
  <c r="AH16" i="18"/>
  <c r="AF19" i="18"/>
  <c r="AD22" i="18"/>
  <c r="AH24" i="18"/>
  <c r="AF27" i="18"/>
  <c r="AD30" i="18"/>
  <c r="AH32" i="18"/>
  <c r="AD34" i="18"/>
  <c r="AF35" i="18"/>
  <c r="AH36" i="18"/>
  <c r="AD38" i="18"/>
  <c r="AF39" i="18"/>
  <c r="AH40" i="18"/>
  <c r="AD42" i="18"/>
  <c r="AF43" i="18"/>
  <c r="AH44" i="18"/>
  <c r="AD46" i="18"/>
  <c r="AF47" i="18"/>
  <c r="AF48" i="18"/>
  <c r="AE49" i="18"/>
  <c r="AD50" i="18"/>
  <c r="AC51" i="18"/>
  <c r="AG51" i="18"/>
  <c r="AE52" i="18"/>
  <c r="AC53" i="18"/>
  <c r="AG53" i="18"/>
  <c r="AE54" i="18"/>
  <c r="AC55" i="18"/>
  <c r="AG55" i="18"/>
  <c r="AE56" i="18"/>
  <c r="AC57" i="18"/>
  <c r="AG57" i="18"/>
  <c r="AE58" i="18"/>
  <c r="AC59" i="18"/>
  <c r="AG59" i="18"/>
  <c r="AE60" i="18"/>
  <c r="AC61" i="18"/>
  <c r="AG61" i="18"/>
  <c r="AE62" i="18"/>
  <c r="AC63" i="18"/>
  <c r="AG63" i="18"/>
  <c r="AE64" i="18"/>
  <c r="AC65" i="18"/>
  <c r="AG65" i="18"/>
  <c r="AE66" i="18"/>
  <c r="AC67" i="18"/>
  <c r="AG67" i="18"/>
  <c r="AE68" i="18"/>
  <c r="AC69" i="18"/>
  <c r="AG69" i="18"/>
  <c r="AE70" i="18"/>
  <c r="AC71" i="18"/>
  <c r="AG71" i="18"/>
  <c r="AE72" i="18"/>
  <c r="AC73" i="18"/>
  <c r="AG73" i="18"/>
  <c r="AE74" i="18"/>
  <c r="AC75" i="18"/>
  <c r="AG75" i="18"/>
  <c r="AE76" i="18"/>
  <c r="AC77" i="18"/>
  <c r="AG77" i="18"/>
  <c r="AE78" i="18"/>
  <c r="AC79" i="18"/>
  <c r="AG79" i="18"/>
  <c r="AE80" i="18"/>
  <c r="AC81" i="18"/>
  <c r="AG81" i="18"/>
  <c r="AE82" i="18"/>
  <c r="AC83" i="18"/>
  <c r="AG83" i="18"/>
  <c r="AE84" i="18"/>
  <c r="AC85" i="18"/>
  <c r="AG85" i="18"/>
  <c r="AE86" i="18"/>
  <c r="AC87" i="18"/>
  <c r="AG87" i="18"/>
  <c r="AA19" i="18"/>
  <c r="AA35" i="18"/>
  <c r="AA51" i="18"/>
  <c r="AA67" i="18"/>
  <c r="AA83" i="18"/>
  <c r="AF9" i="18"/>
  <c r="AD12" i="18"/>
  <c r="AH14" i="18"/>
  <c r="AF17" i="18"/>
  <c r="AD20" i="18"/>
  <c r="AH22" i="18"/>
  <c r="AF25" i="18"/>
  <c r="AD28" i="18"/>
  <c r="AH30" i="18"/>
  <c r="AD33" i="18"/>
  <c r="AF34" i="18"/>
  <c r="AH35" i="18"/>
  <c r="AD37" i="18"/>
  <c r="AF38" i="18"/>
  <c r="AH39" i="18"/>
  <c r="AD41" i="18"/>
  <c r="AF42" i="18"/>
  <c r="AH43" i="18"/>
  <c r="AD45" i="18"/>
  <c r="AF46" i="18"/>
  <c r="AH47" i="18"/>
  <c r="AG48" i="18"/>
  <c r="AF49" i="18"/>
  <c r="AF50" i="18"/>
  <c r="AD51" i="18"/>
  <c r="AH51" i="18"/>
  <c r="AF52" i="18"/>
  <c r="AD53" i="18"/>
  <c r="AH53" i="18"/>
  <c r="AF54" i="18"/>
  <c r="AD55" i="18"/>
  <c r="AH55" i="18"/>
  <c r="AF56" i="18"/>
  <c r="AD57" i="18"/>
  <c r="AH57" i="18"/>
  <c r="AF58" i="18"/>
  <c r="AD59" i="18"/>
  <c r="AH59" i="18"/>
  <c r="AF60" i="18"/>
  <c r="AD61" i="18"/>
  <c r="AH61" i="18"/>
  <c r="AF62" i="18"/>
  <c r="AD63" i="18"/>
  <c r="AH63" i="18"/>
  <c r="AF64" i="18"/>
  <c r="AD65" i="18"/>
  <c r="AH65" i="18"/>
  <c r="AF66" i="18"/>
  <c r="AD67" i="18"/>
  <c r="AH67" i="18"/>
  <c r="AF68" i="18"/>
  <c r="AD69" i="18"/>
  <c r="AH69" i="18"/>
  <c r="AF70" i="18"/>
  <c r="AD71" i="18"/>
  <c r="AH71" i="18"/>
  <c r="AF72" i="18"/>
  <c r="AD73" i="18"/>
  <c r="AH73" i="18"/>
  <c r="AF74" i="18"/>
  <c r="AD75" i="18"/>
  <c r="AH75" i="18"/>
  <c r="AF76" i="18"/>
  <c r="AD77" i="18"/>
  <c r="AH77" i="18"/>
  <c r="AF78" i="18"/>
  <c r="AD79" i="18"/>
  <c r="AH79" i="18"/>
  <c r="AF80" i="18"/>
  <c r="AD81" i="18"/>
  <c r="AH81" i="18"/>
  <c r="AF82" i="18"/>
  <c r="AD83" i="18"/>
  <c r="AH83" i="18"/>
  <c r="AA23" i="18"/>
  <c r="AA39" i="18"/>
  <c r="AA55" i="18"/>
  <c r="AA71" i="18"/>
  <c r="AA87" i="18"/>
  <c r="AD10" i="18"/>
  <c r="AH12" i="18"/>
  <c r="AF15" i="18"/>
  <c r="AD18" i="18"/>
  <c r="AH20" i="18"/>
  <c r="AF23" i="18"/>
  <c r="AD26" i="18"/>
  <c r="AH28" i="18"/>
  <c r="AF31" i="18"/>
  <c r="AF33" i="18"/>
  <c r="AH34" i="18"/>
  <c r="AD36" i="18"/>
  <c r="AF37" i="18"/>
  <c r="AH38" i="18"/>
  <c r="AD40" i="18"/>
  <c r="AF41" i="18"/>
  <c r="AH42" i="18"/>
  <c r="AD44" i="18"/>
  <c r="AF45" i="18"/>
  <c r="AH46" i="18"/>
  <c r="AC48" i="18"/>
  <c r="AH48" i="18"/>
  <c r="AH49" i="18"/>
  <c r="AG50" i="18"/>
  <c r="AE51" i="18"/>
  <c r="AC52" i="18"/>
  <c r="AG52" i="18"/>
  <c r="AE53" i="18"/>
  <c r="AC54" i="18"/>
  <c r="AG54" i="18"/>
  <c r="AE55" i="18"/>
  <c r="AC56" i="18"/>
  <c r="AG56" i="18"/>
  <c r="AE57" i="18"/>
  <c r="AC58" i="18"/>
  <c r="AG58" i="18"/>
  <c r="AE59" i="18"/>
  <c r="AC60" i="18"/>
  <c r="AG60" i="18"/>
  <c r="AE61" i="18"/>
  <c r="AC62" i="18"/>
  <c r="AG62" i="18"/>
  <c r="AE63" i="18"/>
  <c r="AC64" i="18"/>
  <c r="AG64" i="18"/>
  <c r="AE65" i="18"/>
  <c r="AC66" i="18"/>
  <c r="AG66" i="18"/>
  <c r="AE69" i="18"/>
  <c r="AC72" i="18"/>
  <c r="AG74" i="18"/>
  <c r="AE77" i="18"/>
  <c r="AC80" i="18"/>
  <c r="AG82" i="18"/>
  <c r="AG84" i="18"/>
  <c r="AC86" i="18"/>
  <c r="AE87" i="18"/>
  <c r="AF88" i="18"/>
  <c r="AE89" i="18"/>
  <c r="AE90" i="18"/>
  <c r="AC91" i="18"/>
  <c r="AG91" i="18"/>
  <c r="AE92" i="18"/>
  <c r="AC93" i="18"/>
  <c r="AF94" i="18"/>
  <c r="AE67" i="18"/>
  <c r="AC70" i="18"/>
  <c r="AG72" i="18"/>
  <c r="AE75" i="18"/>
  <c r="AC78" i="18"/>
  <c r="AG80" i="18"/>
  <c r="AE83" i="18"/>
  <c r="AD85" i="18"/>
  <c r="AF86" i="18"/>
  <c r="AH87" i="18"/>
  <c r="AG88" i="18"/>
  <c r="AG89" i="18"/>
  <c r="AF90" i="18"/>
  <c r="AD91" i="18"/>
  <c r="AH91" i="18"/>
  <c r="AF92" i="18"/>
  <c r="AD93" i="18"/>
  <c r="AH93" i="18"/>
  <c r="AC68" i="18"/>
  <c r="AG70" i="18"/>
  <c r="AE73" i="18"/>
  <c r="AC76" i="18"/>
  <c r="AG78" i="18"/>
  <c r="AE81" i="18"/>
  <c r="AC84" i="18"/>
  <c r="AE85" i="18"/>
  <c r="AG86" i="18"/>
  <c r="AC88" i="18"/>
  <c r="AC89" i="18"/>
  <c r="AH89" i="18"/>
  <c r="AG90" i="18"/>
  <c r="AE91" i="18"/>
  <c r="AC92" i="18"/>
  <c r="AG92" i="18"/>
  <c r="AE93" i="18"/>
  <c r="AC94" i="18"/>
  <c r="AG94" i="18"/>
  <c r="AE94" i="18"/>
  <c r="AG68" i="18"/>
  <c r="AE71" i="18"/>
  <c r="AC74" i="18"/>
  <c r="AG76" i="18"/>
  <c r="AE79" i="18"/>
  <c r="AC82" i="18"/>
  <c r="AF84" i="18"/>
  <c r="AH85" i="18"/>
  <c r="AD87" i="18"/>
  <c r="AE88" i="18"/>
  <c r="AD89" i="18"/>
  <c r="AC90" i="18"/>
  <c r="AH90" i="18"/>
  <c r="AF91" i="18"/>
  <c r="AD92" i="18"/>
  <c r="AH92" i="18"/>
  <c r="AF93" i="18"/>
  <c r="AD94" i="18"/>
  <c r="AH94" i="18"/>
  <c r="AG93" i="18"/>
  <c r="H94" i="17"/>
  <c r="H92" i="17"/>
  <c r="H85" i="17"/>
  <c r="H78" i="17"/>
  <c r="H76" i="17"/>
  <c r="H69" i="17"/>
  <c r="H62" i="17"/>
  <c r="H60" i="17"/>
  <c r="H53" i="17"/>
  <c r="H46" i="17"/>
  <c r="H44" i="17"/>
  <c r="H37" i="17"/>
  <c r="H52" i="17"/>
  <c r="H38" i="17"/>
  <c r="H36" i="17"/>
  <c r="H97" i="17"/>
  <c r="H90" i="17"/>
  <c r="H88" i="17"/>
  <c r="H81" i="17"/>
  <c r="H74" i="17"/>
  <c r="H72" i="17"/>
  <c r="H65" i="17"/>
  <c r="H58" i="17"/>
  <c r="H56" i="17"/>
  <c r="H49" i="17"/>
  <c r="H42" i="17"/>
  <c r="H40" i="17"/>
  <c r="H93" i="17"/>
  <c r="H86" i="17"/>
  <c r="H84" i="17"/>
  <c r="H77" i="17"/>
  <c r="H70" i="17"/>
  <c r="H68" i="17"/>
  <c r="H61" i="17"/>
  <c r="H54" i="17"/>
  <c r="H45" i="17"/>
  <c r="H98" i="17"/>
  <c r="H96" i="17"/>
  <c r="H66" i="17"/>
  <c r="H64" i="17"/>
  <c r="H41" i="17"/>
  <c r="H82" i="17"/>
  <c r="H50" i="17"/>
  <c r="H73" i="17"/>
  <c r="H100" i="17"/>
  <c r="H80" i="17"/>
  <c r="H48" i="17"/>
  <c r="H89" i="17"/>
  <c r="H57" i="17"/>
  <c r="H51" i="17"/>
  <c r="H67" i="17"/>
  <c r="H83" i="17"/>
  <c r="H99" i="17"/>
  <c r="H47" i="17"/>
  <c r="H79" i="17"/>
  <c r="H39" i="17"/>
  <c r="H55" i="17"/>
  <c r="H71" i="17"/>
  <c r="H87" i="17"/>
  <c r="H43" i="17"/>
  <c r="H59" i="17"/>
  <c r="H75" i="17"/>
  <c r="H91" i="17"/>
  <c r="H63" i="17"/>
  <c r="H95" i="17"/>
  <c r="H35" i="17"/>
  <c r="H34" i="17"/>
  <c r="H32" i="17"/>
  <c r="H33" i="17"/>
  <c r="U19" i="7"/>
  <c r="U89" i="7"/>
  <c r="U81" i="7"/>
  <c r="U85" i="7"/>
  <c r="U99" i="7"/>
  <c r="U28" i="7"/>
  <c r="U94" i="7"/>
  <c r="U100" i="7"/>
  <c r="U18" i="7"/>
  <c r="U76" i="7"/>
  <c r="U8" i="7"/>
  <c r="U98" i="7"/>
  <c r="U48" i="7"/>
  <c r="U79" i="7"/>
  <c r="U54" i="7"/>
  <c r="U38" i="7"/>
  <c r="U84" i="7"/>
  <c r="U47" i="7"/>
  <c r="U44" i="7"/>
  <c r="U93" i="7"/>
  <c r="U41" i="7"/>
  <c r="U60" i="7"/>
  <c r="U9" i="7"/>
  <c r="U68" i="7"/>
  <c r="U25" i="7"/>
  <c r="U16" i="7"/>
  <c r="U82" i="7"/>
  <c r="U42" i="7"/>
  <c r="U33" i="7"/>
  <c r="U13" i="7"/>
  <c r="U92" i="7"/>
  <c r="U39" i="7"/>
  <c r="U75" i="7"/>
  <c r="U88" i="7"/>
  <c r="U32" i="7"/>
  <c r="U95" i="7"/>
  <c r="U58" i="7"/>
  <c r="U21" i="7"/>
  <c r="U46" i="7"/>
  <c r="U66" i="7"/>
  <c r="U70" i="7"/>
  <c r="U26" i="7"/>
  <c r="U73" i="7"/>
  <c r="U37" i="7"/>
  <c r="U67" i="7"/>
  <c r="U22" i="7"/>
  <c r="U17" i="7"/>
  <c r="U80" i="7"/>
  <c r="U36" i="7"/>
  <c r="U56" i="7"/>
  <c r="U40" i="7"/>
  <c r="U53" i="7"/>
  <c r="U61" i="7"/>
  <c r="U15" i="7"/>
  <c r="U12" i="7"/>
  <c r="U90" i="7"/>
  <c r="U96" i="7"/>
  <c r="U51" i="7"/>
  <c r="U59" i="7"/>
  <c r="U72" i="7"/>
  <c r="U20" i="7"/>
  <c r="U11" i="7"/>
  <c r="U45" i="7"/>
  <c r="U62" i="7"/>
  <c r="U64" i="7"/>
  <c r="U29" i="7"/>
  <c r="U71" i="7"/>
  <c r="U74" i="7"/>
  <c r="U14" i="7"/>
  <c r="V48" i="7"/>
  <c r="Q48" i="7"/>
  <c r="U49" i="7"/>
  <c r="R48" i="7"/>
  <c r="X48" i="7" s="1"/>
  <c r="U65" i="7"/>
  <c r="U57" i="7"/>
  <c r="U31" i="7"/>
  <c r="U50" i="7"/>
  <c r="U63" i="7"/>
  <c r="U55" i="7"/>
  <c r="U27" i="7"/>
  <c r="U83" i="7"/>
  <c r="U86" i="7"/>
  <c r="U91" i="7"/>
  <c r="U97" i="7"/>
  <c r="U43" i="7"/>
  <c r="U35" i="7"/>
  <c r="U24" i="7"/>
  <c r="U77" i="7"/>
  <c r="U10" i="7"/>
  <c r="U52" i="7"/>
  <c r="U34" i="7"/>
  <c r="U30" i="7"/>
  <c r="U69" i="7"/>
  <c r="U23" i="7"/>
  <c r="U78" i="7"/>
  <c r="V7" i="7"/>
  <c r="U7" i="7"/>
  <c r="N4" i="7"/>
  <c r="H28" i="17"/>
  <c r="H17" i="17"/>
  <c r="H19" i="17"/>
  <c r="H27" i="17"/>
  <c r="R14" i="11"/>
  <c r="S14" i="11" s="1"/>
  <c r="H20" i="17"/>
  <c r="H21" i="17"/>
  <c r="H30" i="17"/>
  <c r="H23" i="17"/>
  <c r="H29" i="17"/>
  <c r="H22" i="17"/>
  <c r="H18" i="17"/>
  <c r="H24" i="17"/>
  <c r="H26" i="17"/>
  <c r="H25" i="17"/>
  <c r="H31" i="17"/>
  <c r="H14" i="17"/>
  <c r="R11" i="11"/>
  <c r="S11" i="11" s="1"/>
  <c r="J14" i="17" s="1"/>
  <c r="N14" i="17" s="1"/>
  <c r="R13" i="11"/>
  <c r="S13" i="11" s="1"/>
  <c r="J16" i="17" s="1"/>
  <c r="H16" i="17"/>
  <c r="T23" i="13"/>
  <c r="U87" i="13"/>
  <c r="T57" i="13"/>
  <c r="T72" i="13"/>
  <c r="U55" i="13"/>
  <c r="T44" i="13"/>
  <c r="T24" i="13"/>
  <c r="U36" i="13"/>
  <c r="U54" i="13"/>
  <c r="T66" i="13"/>
  <c r="U51" i="13"/>
  <c r="T75" i="13"/>
  <c r="U76" i="13"/>
  <c r="T73" i="13"/>
  <c r="T68" i="13"/>
  <c r="U92" i="13"/>
  <c r="T13" i="13"/>
  <c r="U26" i="13"/>
  <c r="T32" i="13"/>
  <c r="T95" i="13"/>
  <c r="U44" i="13"/>
  <c r="U86" i="13"/>
  <c r="T29" i="13"/>
  <c r="U91" i="13"/>
  <c r="T56" i="13"/>
  <c r="T16" i="13"/>
  <c r="T8" i="13"/>
  <c r="U31" i="13"/>
  <c r="T59" i="13"/>
  <c r="U25" i="13"/>
  <c r="U18" i="13"/>
  <c r="T94" i="13"/>
  <c r="U50" i="13"/>
  <c r="T45" i="13"/>
  <c r="U69" i="13"/>
  <c r="T64" i="13"/>
  <c r="U93" i="13"/>
  <c r="T35" i="13"/>
  <c r="T85" i="13"/>
  <c r="U58" i="13"/>
  <c r="U95" i="13"/>
  <c r="T58" i="13"/>
  <c r="T10" i="13"/>
  <c r="T51" i="13"/>
  <c r="U66" i="13"/>
  <c r="U88" i="13"/>
  <c r="U59" i="13"/>
  <c r="T42" i="13"/>
  <c r="U30" i="13"/>
  <c r="U81" i="13"/>
  <c r="T89" i="13"/>
  <c r="T93" i="13"/>
  <c r="U79" i="13"/>
  <c r="U17" i="13"/>
  <c r="Q48" i="13"/>
  <c r="U42" i="13"/>
  <c r="U47" i="13"/>
  <c r="U32" i="13"/>
  <c r="U70" i="13"/>
  <c r="T86" i="13"/>
  <c r="T78" i="13"/>
  <c r="T34" i="13"/>
  <c r="U68" i="13"/>
  <c r="U12" i="13"/>
  <c r="U98" i="13"/>
  <c r="U96" i="13"/>
  <c r="U15" i="13"/>
  <c r="U20" i="13"/>
  <c r="T74" i="13"/>
  <c r="U75" i="13"/>
  <c r="Q52" i="13"/>
  <c r="M29" i="13"/>
  <c r="T30" i="13"/>
  <c r="Q10" i="13"/>
  <c r="M28" i="13"/>
  <c r="M22" i="13"/>
  <c r="M98" i="13"/>
  <c r="Q83" i="13"/>
  <c r="M46" i="13"/>
  <c r="M34" i="13"/>
  <c r="U90" i="13"/>
  <c r="T41" i="13"/>
  <c r="Q89" i="13"/>
  <c r="Q94" i="13"/>
  <c r="Q78" i="13"/>
  <c r="Q64" i="13"/>
  <c r="M61" i="13"/>
  <c r="Q12" i="13"/>
  <c r="M90" i="13"/>
  <c r="Q82" i="13"/>
  <c r="M35" i="13"/>
  <c r="Q65" i="13"/>
  <c r="T28" i="13"/>
  <c r="M77" i="13"/>
  <c r="M84" i="13"/>
  <c r="T62" i="13"/>
  <c r="Q16" i="13"/>
  <c r="T39" i="13"/>
  <c r="U38" i="13"/>
  <c r="Q13" i="13"/>
  <c r="U84" i="13"/>
  <c r="Q26" i="13"/>
  <c r="M79" i="13"/>
  <c r="Q11" i="13"/>
  <c r="Q91" i="13"/>
  <c r="U27" i="13"/>
  <c r="T87" i="13"/>
  <c r="U13" i="13"/>
  <c r="T36" i="13"/>
  <c r="U61" i="13"/>
  <c r="T79" i="13"/>
  <c r="T77" i="13"/>
  <c r="U94" i="13"/>
  <c r="T49" i="13"/>
  <c r="T96" i="13"/>
  <c r="T12" i="13"/>
  <c r="W12" i="13" s="1"/>
  <c r="T80" i="13"/>
  <c r="U64" i="13"/>
  <c r="X64" i="13" s="1"/>
  <c r="T90" i="13"/>
  <c r="U10" i="13"/>
  <c r="U73" i="13"/>
  <c r="U35" i="13"/>
  <c r="T55" i="13"/>
  <c r="U89" i="13"/>
  <c r="T92" i="13"/>
  <c r="U37" i="13"/>
  <c r="U77" i="13"/>
  <c r="U22" i="13"/>
  <c r="U24" i="13"/>
  <c r="U63" i="13"/>
  <c r="U21" i="13"/>
  <c r="T31" i="13"/>
  <c r="U83" i="13"/>
  <c r="T63" i="13"/>
  <c r="T52" i="13"/>
  <c r="W52" i="13" s="1"/>
  <c r="T100" i="13"/>
  <c r="U78" i="13"/>
  <c r="X78" i="13" s="1"/>
  <c r="U52" i="13"/>
  <c r="Q66" i="13"/>
  <c r="M83" i="13"/>
  <c r="M10" i="13"/>
  <c r="M51" i="13"/>
  <c r="M38" i="13"/>
  <c r="M58" i="13"/>
  <c r="Q46" i="13"/>
  <c r="Q40" i="13"/>
  <c r="Q31" i="13"/>
  <c r="Q57" i="13"/>
  <c r="Q51" i="13"/>
  <c r="U60" i="13"/>
  <c r="Q30" i="13"/>
  <c r="M40" i="13"/>
  <c r="Q22" i="13"/>
  <c r="Q24" i="13"/>
  <c r="M62" i="13"/>
  <c r="Q55" i="13"/>
  <c r="M54" i="13"/>
  <c r="T82" i="13"/>
  <c r="W82" i="13" s="1"/>
  <c r="Q67" i="13"/>
  <c r="Q62" i="13"/>
  <c r="Q80" i="13"/>
  <c r="T22" i="13"/>
  <c r="Q87" i="13"/>
  <c r="M49" i="13"/>
  <c r="M75" i="13"/>
  <c r="M74" i="13"/>
  <c r="T14" i="13"/>
  <c r="U85" i="13"/>
  <c r="M48" i="13"/>
  <c r="M9" i="13"/>
  <c r="M53" i="13"/>
  <c r="M21" i="13"/>
  <c r="M57" i="13"/>
  <c r="T67" i="13"/>
  <c r="U97" i="13"/>
  <c r="T19" i="13"/>
  <c r="T99" i="13"/>
  <c r="T54" i="13"/>
  <c r="T26" i="13"/>
  <c r="U100" i="13"/>
  <c r="U71" i="13"/>
  <c r="U46" i="13"/>
  <c r="M72" i="13"/>
  <c r="M99" i="13"/>
  <c r="Q56" i="13"/>
  <c r="Q20" i="13"/>
  <c r="M27" i="13"/>
  <c r="T97" i="13"/>
  <c r="Q59" i="13"/>
  <c r="U56" i="13"/>
  <c r="M44" i="13"/>
  <c r="M86" i="13"/>
  <c r="Q41" i="13"/>
  <c r="M8" i="13"/>
  <c r="M20" i="13"/>
  <c r="Q36" i="13"/>
  <c r="T37" i="13"/>
  <c r="M60" i="13"/>
  <c r="Q19" i="13"/>
  <c r="M80" i="13"/>
  <c r="M76" i="13"/>
  <c r="Q33" i="13"/>
  <c r="Q53" i="13"/>
  <c r="Q29" i="13"/>
  <c r="U49" i="13"/>
  <c r="U16" i="13"/>
  <c r="M47" i="13"/>
  <c r="Q68" i="13"/>
  <c r="T40" i="13"/>
  <c r="M93" i="13"/>
  <c r="M18" i="13"/>
  <c r="Q86" i="13"/>
  <c r="Q69" i="13"/>
  <c r="U65" i="13"/>
  <c r="M59" i="13"/>
  <c r="Q39" i="13"/>
  <c r="M12" i="13"/>
  <c r="T11" i="13"/>
  <c r="Q74" i="13"/>
  <c r="M14" i="13"/>
  <c r="T65" i="13"/>
  <c r="M65" i="13"/>
  <c r="U62" i="13"/>
  <c r="T43" i="13"/>
  <c r="T47" i="13"/>
  <c r="T50" i="13"/>
  <c r="U67" i="13"/>
  <c r="X67" i="13" s="1"/>
  <c r="U34" i="13"/>
  <c r="U72" i="13"/>
  <c r="T53" i="13"/>
  <c r="U82" i="13"/>
  <c r="T69" i="13"/>
  <c r="Q92" i="13"/>
  <c r="M11" i="13"/>
  <c r="M96" i="13"/>
  <c r="Q73" i="13"/>
  <c r="T21" i="13"/>
  <c r="U40" i="13"/>
  <c r="X40" i="13" s="1"/>
  <c r="M19" i="13"/>
  <c r="M56" i="13"/>
  <c r="M95" i="13"/>
  <c r="M97" i="13"/>
  <c r="M87" i="13"/>
  <c r="M41" i="13"/>
  <c r="M67" i="13"/>
  <c r="Q77" i="13"/>
  <c r="U11" i="13"/>
  <c r="M45" i="13"/>
  <c r="U9" i="13"/>
  <c r="Q37" i="13"/>
  <c r="M82" i="13"/>
  <c r="M52" i="13"/>
  <c r="M91" i="13"/>
  <c r="M13" i="13"/>
  <c r="U33" i="13"/>
  <c r="U29" i="13"/>
  <c r="X29" i="13" s="1"/>
  <c r="M70" i="13"/>
  <c r="M85" i="13"/>
  <c r="Q50" i="13"/>
  <c r="M36" i="13"/>
  <c r="Q27" i="13"/>
  <c r="U43" i="13"/>
  <c r="Q43" i="13"/>
  <c r="Q60" i="13"/>
  <c r="M64" i="13"/>
  <c r="Q100" i="13"/>
  <c r="Q75" i="13"/>
  <c r="Q99" i="13"/>
  <c r="M100" i="13"/>
  <c r="M69" i="13"/>
  <c r="M66" i="13"/>
  <c r="Q95" i="13"/>
  <c r="T46" i="13"/>
  <c r="W46" i="13" s="1"/>
  <c r="T33" i="13"/>
  <c r="W33" i="13" s="1"/>
  <c r="T17" i="13"/>
  <c r="T83" i="13"/>
  <c r="T71" i="13"/>
  <c r="T98" i="13"/>
  <c r="U45" i="13"/>
  <c r="T76" i="13"/>
  <c r="T81" i="13"/>
  <c r="U74" i="13"/>
  <c r="M33" i="13"/>
  <c r="Q90" i="13"/>
  <c r="Q81" i="13"/>
  <c r="M88" i="13"/>
  <c r="M55" i="13"/>
  <c r="M15" i="13"/>
  <c r="T48" i="13"/>
  <c r="Q97" i="13"/>
  <c r="T88" i="13"/>
  <c r="M42" i="13"/>
  <c r="M39" i="13"/>
  <c r="Q85" i="13"/>
  <c r="U8" i="13"/>
  <c r="M17" i="13"/>
  <c r="T84" i="13"/>
  <c r="Q23" i="13"/>
  <c r="M16" i="13"/>
  <c r="Q47" i="13"/>
  <c r="M71" i="13"/>
  <c r="M92" i="13"/>
  <c r="Q61" i="13"/>
  <c r="Q84" i="13"/>
  <c r="T25" i="13"/>
  <c r="Q35" i="13"/>
  <c r="M24" i="13"/>
  <c r="Q17" i="13"/>
  <c r="Q58" i="13"/>
  <c r="Q63" i="13"/>
  <c r="Q54" i="13"/>
  <c r="Q70" i="13"/>
  <c r="Q9" i="13"/>
  <c r="Q98" i="13"/>
  <c r="Q49" i="13"/>
  <c r="M23" i="13"/>
  <c r="M78" i="13"/>
  <c r="M31" i="13"/>
  <c r="Q42" i="13"/>
  <c r="M94" i="13"/>
  <c r="Q76" i="13"/>
  <c r="M43" i="13"/>
  <c r="U14" i="13"/>
  <c r="T18" i="13"/>
  <c r="U19" i="13"/>
  <c r="T27" i="13"/>
  <c r="T61" i="13"/>
  <c r="W61" i="13" s="1"/>
  <c r="T15" i="13"/>
  <c r="U80" i="13"/>
  <c r="X80" i="13" s="1"/>
  <c r="U99" i="13"/>
  <c r="U23" i="13"/>
  <c r="M32" i="13"/>
  <c r="Q93" i="13"/>
  <c r="Q25" i="13"/>
  <c r="T20" i="13"/>
  <c r="Q44" i="13"/>
  <c r="T70" i="13"/>
  <c r="M50" i="13"/>
  <c r="Q21" i="13"/>
  <c r="Q32" i="13"/>
  <c r="Q14" i="13"/>
  <c r="M89" i="13"/>
  <c r="Q15" i="13"/>
  <c r="Q71" i="13"/>
  <c r="M37" i="13"/>
  <c r="U41" i="13"/>
  <c r="Q96" i="13"/>
  <c r="U57" i="13"/>
  <c r="X57" i="13" s="1"/>
  <c r="Q88" i="13"/>
  <c r="M26" i="13"/>
  <c r="Q38" i="13"/>
  <c r="Q8" i="13"/>
  <c r="U48" i="13"/>
  <c r="T38" i="13"/>
  <c r="T91" i="13"/>
  <c r="Q79" i="13"/>
  <c r="Q28" i="13"/>
  <c r="T60" i="13"/>
  <c r="U39" i="13"/>
  <c r="Q18" i="13"/>
  <c r="Q34" i="13"/>
  <c r="M73" i="13"/>
  <c r="M63" i="13"/>
  <c r="M68" i="13"/>
  <c r="M25" i="13"/>
  <c r="M81" i="13"/>
  <c r="U53" i="13"/>
  <c r="X53" i="13" s="1"/>
  <c r="Q45" i="13"/>
  <c r="Q72" i="13"/>
  <c r="U28" i="13"/>
  <c r="M30" i="13"/>
  <c r="T9" i="13"/>
  <c r="H15" i="17"/>
  <c r="R12" i="11"/>
  <c r="S12" i="11" s="1"/>
  <c r="J15" i="17" s="1"/>
  <c r="N15" i="17" s="1"/>
  <c r="I47" i="7"/>
  <c r="I49" i="7"/>
  <c r="T48" i="7"/>
  <c r="N16" i="17" l="1"/>
  <c r="AH7" i="18"/>
  <c r="V1" i="18"/>
  <c r="AH5" i="18"/>
  <c r="X13" i="13"/>
  <c r="J97" i="17"/>
  <c r="J90" i="17"/>
  <c r="J88" i="17"/>
  <c r="J81" i="17"/>
  <c r="J74" i="17"/>
  <c r="J72" i="17"/>
  <c r="J65" i="17"/>
  <c r="J58" i="17"/>
  <c r="J56" i="17"/>
  <c r="J49" i="17"/>
  <c r="J42" i="17"/>
  <c r="J40" i="17"/>
  <c r="J41" i="17"/>
  <c r="J93" i="17"/>
  <c r="J86" i="17"/>
  <c r="J84" i="17"/>
  <c r="J77" i="17"/>
  <c r="J70" i="17"/>
  <c r="J68" i="17"/>
  <c r="J61" i="17"/>
  <c r="J54" i="17"/>
  <c r="J52" i="17"/>
  <c r="J45" i="17"/>
  <c r="J38" i="17"/>
  <c r="J36" i="17"/>
  <c r="J100" i="17"/>
  <c r="J98" i="17"/>
  <c r="J96" i="17"/>
  <c r="J89" i="17"/>
  <c r="J82" i="17"/>
  <c r="J80" i="17"/>
  <c r="J73" i="17"/>
  <c r="J66" i="17"/>
  <c r="J64" i="17"/>
  <c r="J57" i="17"/>
  <c r="J50" i="17"/>
  <c r="J48" i="17"/>
  <c r="J85" i="17"/>
  <c r="J78" i="17"/>
  <c r="J53" i="17"/>
  <c r="J46" i="17"/>
  <c r="J60" i="17"/>
  <c r="J94" i="17"/>
  <c r="J69" i="17"/>
  <c r="J62" i="17"/>
  <c r="J37" i="17"/>
  <c r="J92" i="17"/>
  <c r="J44" i="17"/>
  <c r="J76" i="17"/>
  <c r="J83" i="17"/>
  <c r="J67" i="17"/>
  <c r="J99" i="17"/>
  <c r="J63" i="17"/>
  <c r="J95" i="17"/>
  <c r="J59" i="17"/>
  <c r="J91" i="17"/>
  <c r="J55" i="17"/>
  <c r="J51" i="17"/>
  <c r="J79" i="17"/>
  <c r="J47" i="17"/>
  <c r="J75" i="17"/>
  <c r="J39" i="17"/>
  <c r="J71" i="17"/>
  <c r="J43" i="17"/>
  <c r="J87" i="17"/>
  <c r="J33" i="17"/>
  <c r="J34" i="17"/>
  <c r="J32" i="17"/>
  <c r="J35" i="17"/>
  <c r="W48" i="7"/>
  <c r="X52" i="13"/>
  <c r="X48" i="13"/>
  <c r="X19" i="13"/>
  <c r="W48" i="13"/>
  <c r="X89" i="13"/>
  <c r="W40" i="13"/>
  <c r="X83" i="13"/>
  <c r="W83" i="13"/>
  <c r="X10" i="13"/>
  <c r="W20" i="13"/>
  <c r="X82" i="13"/>
  <c r="W26" i="13"/>
  <c r="Y48" i="7"/>
  <c r="W65" i="13"/>
  <c r="X11" i="13"/>
  <c r="W11" i="13"/>
  <c r="X65" i="13"/>
  <c r="X74" i="13"/>
  <c r="X43" i="13"/>
  <c r="W53" i="13"/>
  <c r="W67" i="13"/>
  <c r="W15" i="13"/>
  <c r="W43" i="13"/>
  <c r="W19" i="13"/>
  <c r="W31" i="13"/>
  <c r="W38" i="13"/>
  <c r="W9" i="13"/>
  <c r="W69" i="13"/>
  <c r="X22" i="13"/>
  <c r="W76" i="13"/>
  <c r="X39" i="13"/>
  <c r="W91" i="13"/>
  <c r="X62" i="13"/>
  <c r="X28" i="13"/>
  <c r="W60" i="13"/>
  <c r="X41" i="13"/>
  <c r="X99" i="13"/>
  <c r="W27" i="13"/>
  <c r="W50" i="13"/>
  <c r="X16" i="13"/>
  <c r="X56" i="13"/>
  <c r="X46" i="13"/>
  <c r="W22" i="13"/>
  <c r="W18" i="13"/>
  <c r="X34" i="13"/>
  <c r="W97" i="13"/>
  <c r="X100" i="13"/>
  <c r="X85" i="13"/>
  <c r="W100" i="13"/>
  <c r="W77" i="13"/>
  <c r="W62" i="13"/>
  <c r="X20" i="13"/>
  <c r="X12" i="13"/>
  <c r="W86" i="13"/>
  <c r="X42" i="13"/>
  <c r="W93" i="13"/>
  <c r="W42" i="13"/>
  <c r="W51" i="13"/>
  <c r="X58" i="13"/>
  <c r="W64" i="13"/>
  <c r="W94" i="13"/>
  <c r="X31" i="13"/>
  <c r="X91" i="13"/>
  <c r="W95" i="13"/>
  <c r="X92" i="13"/>
  <c r="W75" i="13"/>
  <c r="X36" i="13"/>
  <c r="W72" i="13"/>
  <c r="I50" i="7"/>
  <c r="H49" i="7"/>
  <c r="F49" i="7" s="1"/>
  <c r="I46" i="7"/>
  <c r="H47" i="7"/>
  <c r="F47" i="7" s="1"/>
  <c r="X23" i="13"/>
  <c r="X14" i="13"/>
  <c r="X8" i="13"/>
  <c r="W88" i="13"/>
  <c r="X45" i="13"/>
  <c r="W17" i="13"/>
  <c r="X33" i="13"/>
  <c r="X97" i="13"/>
  <c r="W14" i="13"/>
  <c r="X21" i="13"/>
  <c r="X77" i="13"/>
  <c r="W55" i="13"/>
  <c r="W90" i="13"/>
  <c r="W96" i="13"/>
  <c r="W79" i="13"/>
  <c r="W87" i="13"/>
  <c r="X38" i="13"/>
  <c r="X15" i="13"/>
  <c r="X68" i="13"/>
  <c r="X70" i="13"/>
  <c r="S63" i="13"/>
  <c r="V63" i="13" s="1"/>
  <c r="S60" i="13"/>
  <c r="V60" i="13" s="1"/>
  <c r="S8" i="13"/>
  <c r="V8" i="13" s="1"/>
  <c r="S70" i="13"/>
  <c r="V70" i="13" s="1"/>
  <c r="S93" i="13"/>
  <c r="V93" i="13" s="1"/>
  <c r="S76" i="13"/>
  <c r="V76" i="13" s="1"/>
  <c r="S34" i="13"/>
  <c r="V34" i="13" s="1"/>
  <c r="S32" i="13"/>
  <c r="V32" i="13" s="1"/>
  <c r="S79" i="13"/>
  <c r="V79" i="13" s="1"/>
  <c r="S16" i="13"/>
  <c r="V16" i="13" s="1"/>
  <c r="S45" i="13"/>
  <c r="V45" i="13" s="1"/>
  <c r="S12" i="13"/>
  <c r="V12" i="13" s="1"/>
  <c r="S21" i="13"/>
  <c r="V21" i="13" s="1"/>
  <c r="S13" i="13"/>
  <c r="V13" i="13" s="1"/>
  <c r="S86" i="13"/>
  <c r="V86" i="13" s="1"/>
  <c r="S83" i="13"/>
  <c r="V83" i="13" s="1"/>
  <c r="S91" i="13"/>
  <c r="V91" i="13" s="1"/>
  <c r="S37" i="13"/>
  <c r="V37" i="13" s="1"/>
  <c r="S67" i="13"/>
  <c r="V67" i="13" s="1"/>
  <c r="S65" i="13"/>
  <c r="V65" i="13" s="1"/>
  <c r="S30" i="13"/>
  <c r="V30" i="13" s="1"/>
  <c r="S46" i="13"/>
  <c r="V46" i="13" s="1"/>
  <c r="S73" i="13"/>
  <c r="V73" i="13" s="1"/>
  <c r="S74" i="13"/>
  <c r="V74" i="13" s="1"/>
  <c r="S17" i="13"/>
  <c r="V17" i="13" s="1"/>
  <c r="S82" i="13"/>
  <c r="V82" i="13" s="1"/>
  <c r="S62" i="13"/>
  <c r="V62" i="13" s="1"/>
  <c r="S96" i="13"/>
  <c r="V96" i="13" s="1"/>
  <c r="S78" i="13"/>
  <c r="V78" i="13" s="1"/>
  <c r="S52" i="13"/>
  <c r="V52" i="13" s="1"/>
  <c r="S43" i="13"/>
  <c r="V43" i="13" s="1"/>
  <c r="S50" i="13"/>
  <c r="V50" i="13" s="1"/>
  <c r="S66" i="13"/>
  <c r="V66" i="13" s="1"/>
  <c r="S38" i="13"/>
  <c r="V38" i="13" s="1"/>
  <c r="S28" i="13"/>
  <c r="V28" i="13" s="1"/>
  <c r="S19" i="13"/>
  <c r="V19" i="13" s="1"/>
  <c r="S97" i="13"/>
  <c r="V97" i="13" s="1"/>
  <c r="S90" i="13"/>
  <c r="V90" i="13" s="1"/>
  <c r="S59" i="13"/>
  <c r="V59" i="13" s="1"/>
  <c r="S99" i="13"/>
  <c r="V99" i="13" s="1"/>
  <c r="S15" i="13"/>
  <c r="V15" i="13" s="1"/>
  <c r="S48" i="13"/>
  <c r="V48" i="13" s="1"/>
  <c r="S9" i="13"/>
  <c r="V9" i="13" s="1"/>
  <c r="S68" i="13"/>
  <c r="V68" i="13" s="1"/>
  <c r="S88" i="13"/>
  <c r="V88" i="13" s="1"/>
  <c r="S58" i="13"/>
  <c r="V58" i="13" s="1"/>
  <c r="S94" i="13"/>
  <c r="V94" i="13" s="1"/>
  <c r="S24" i="13"/>
  <c r="V24" i="13" s="1"/>
  <c r="S87" i="13"/>
  <c r="V87" i="13" s="1"/>
  <c r="S39" i="13"/>
  <c r="V39" i="13" s="1"/>
  <c r="S44" i="13"/>
  <c r="V44" i="13" s="1"/>
  <c r="S71" i="13"/>
  <c r="V71" i="13" s="1"/>
  <c r="S61" i="13"/>
  <c r="V61" i="13" s="1"/>
  <c r="S84" i="13"/>
  <c r="V84" i="13" s="1"/>
  <c r="S29" i="13"/>
  <c r="V29" i="13" s="1"/>
  <c r="S47" i="13"/>
  <c r="V47" i="13" s="1"/>
  <c r="S56" i="13"/>
  <c r="V56" i="13" s="1"/>
  <c r="S85" i="13"/>
  <c r="V85" i="13" s="1"/>
  <c r="S11" i="13"/>
  <c r="V11" i="13" s="1"/>
  <c r="S35" i="13"/>
  <c r="V35" i="13" s="1"/>
  <c r="S49" i="13"/>
  <c r="V49" i="13" s="1"/>
  <c r="S18" i="13"/>
  <c r="V18" i="13" s="1"/>
  <c r="S81" i="13"/>
  <c r="V81" i="13" s="1"/>
  <c r="S33" i="13"/>
  <c r="V33" i="13" s="1"/>
  <c r="S80" i="13"/>
  <c r="V80" i="13" s="1"/>
  <c r="S36" i="13"/>
  <c r="V36" i="13" s="1"/>
  <c r="S72" i="13"/>
  <c r="V72" i="13" s="1"/>
  <c r="S54" i="13"/>
  <c r="V54" i="13" s="1"/>
  <c r="S98" i="13"/>
  <c r="V98" i="13" s="1"/>
  <c r="S25" i="13"/>
  <c r="V25" i="13" s="1"/>
  <c r="S95" i="13"/>
  <c r="V95" i="13" s="1"/>
  <c r="S89" i="13"/>
  <c r="V89" i="13" s="1"/>
  <c r="S41" i="13"/>
  <c r="V41" i="13" s="1"/>
  <c r="S75" i="13"/>
  <c r="V75" i="13" s="1"/>
  <c r="S100" i="13"/>
  <c r="V100" i="13" s="1"/>
  <c r="S57" i="13"/>
  <c r="V57" i="13" s="1"/>
  <c r="S51" i="13"/>
  <c r="V51" i="13" s="1"/>
  <c r="S55" i="13"/>
  <c r="V55" i="13" s="1"/>
  <c r="S77" i="13"/>
  <c r="V77" i="13" s="1"/>
  <c r="S92" i="13"/>
  <c r="V92" i="13" s="1"/>
  <c r="S27" i="13"/>
  <c r="V27" i="13" s="1"/>
  <c r="S22" i="13"/>
  <c r="V22" i="13" s="1"/>
  <c r="S10" i="13"/>
  <c r="V10" i="13" s="1"/>
  <c r="S23" i="13"/>
  <c r="V23" i="13" s="1"/>
  <c r="S42" i="13"/>
  <c r="V42" i="13" s="1"/>
  <c r="S20" i="13"/>
  <c r="V20" i="13" s="1"/>
  <c r="S31" i="13"/>
  <c r="V31" i="13" s="1"/>
  <c r="S69" i="13"/>
  <c r="V69" i="13" s="1"/>
  <c r="S40" i="13"/>
  <c r="V40" i="13" s="1"/>
  <c r="S26" i="13"/>
  <c r="V26" i="13" s="1"/>
  <c r="S53" i="13"/>
  <c r="V53" i="13" s="1"/>
  <c r="S64" i="13"/>
  <c r="V64" i="13" s="1"/>
  <c r="S14" i="13"/>
  <c r="V14" i="13" s="1"/>
  <c r="W89" i="13"/>
  <c r="X59" i="13"/>
  <c r="W10" i="13"/>
  <c r="W85" i="13"/>
  <c r="X69" i="13"/>
  <c r="X18" i="13"/>
  <c r="W8" i="13"/>
  <c r="W29" i="13"/>
  <c r="W32" i="13"/>
  <c r="W68" i="13"/>
  <c r="X51" i="13"/>
  <c r="W24" i="13"/>
  <c r="W57" i="13"/>
  <c r="W98" i="13"/>
  <c r="W54" i="13"/>
  <c r="X60" i="13"/>
  <c r="W63" i="13"/>
  <c r="X63" i="13"/>
  <c r="X37" i="13"/>
  <c r="X35" i="13"/>
  <c r="W49" i="13"/>
  <c r="X61" i="13"/>
  <c r="X27" i="13"/>
  <c r="W39" i="13"/>
  <c r="W41" i="13"/>
  <c r="X75" i="13"/>
  <c r="X96" i="13"/>
  <c r="W34" i="13"/>
  <c r="X32" i="13"/>
  <c r="X17" i="13"/>
  <c r="X81" i="13"/>
  <c r="X88" i="13"/>
  <c r="W58" i="13"/>
  <c r="W35" i="13"/>
  <c r="W45" i="13"/>
  <c r="X25" i="13"/>
  <c r="W16" i="13"/>
  <c r="X86" i="13"/>
  <c r="X26" i="13"/>
  <c r="W73" i="13"/>
  <c r="W66" i="13"/>
  <c r="W44" i="13"/>
  <c r="X87" i="13"/>
  <c r="W70" i="13"/>
  <c r="W25" i="13"/>
  <c r="W84" i="13"/>
  <c r="W81" i="13"/>
  <c r="W71" i="13"/>
  <c r="X9" i="13"/>
  <c r="W21" i="13"/>
  <c r="X72" i="13"/>
  <c r="W47" i="13"/>
  <c r="X49" i="13"/>
  <c r="W37" i="13"/>
  <c r="X71" i="13"/>
  <c r="W99" i="13"/>
  <c r="X24" i="13"/>
  <c r="W92" i="13"/>
  <c r="X73" i="13"/>
  <c r="W80" i="13"/>
  <c r="X94" i="13"/>
  <c r="W36" i="13"/>
  <c r="X84" i="13"/>
  <c r="W28" i="13"/>
  <c r="X90" i="13"/>
  <c r="W30" i="13"/>
  <c r="W74" i="13"/>
  <c r="X98" i="13"/>
  <c r="W78" i="13"/>
  <c r="X47" i="13"/>
  <c r="X79" i="13"/>
  <c r="X30" i="13"/>
  <c r="X66" i="13"/>
  <c r="X95" i="13"/>
  <c r="X93" i="13"/>
  <c r="X50" i="13"/>
  <c r="W59" i="13"/>
  <c r="W56" i="13"/>
  <c r="X44" i="13"/>
  <c r="W13" i="13"/>
  <c r="X76" i="13"/>
  <c r="X54" i="13"/>
  <c r="X55" i="13"/>
  <c r="W23" i="13"/>
  <c r="H12" i="17"/>
  <c r="J24" i="17"/>
  <c r="J20" i="17"/>
  <c r="J31" i="17"/>
  <c r="J21" i="17"/>
  <c r="J27" i="17"/>
  <c r="J18" i="17"/>
  <c r="N18" i="17" s="1"/>
  <c r="J30" i="17"/>
  <c r="J22" i="17"/>
  <c r="J26" i="17"/>
  <c r="J29" i="17"/>
  <c r="J17" i="17"/>
  <c r="N17" i="17" s="1"/>
  <c r="J23" i="17"/>
  <c r="J28" i="17"/>
  <c r="J25" i="17"/>
  <c r="J19" i="17"/>
  <c r="AH1" i="18" l="1"/>
  <c r="G1" i="17"/>
  <c r="F1" i="17" s="1"/>
  <c r="P47" i="7"/>
  <c r="N47" i="7"/>
  <c r="I51" i="7"/>
  <c r="H50" i="7"/>
  <c r="F50" i="7" s="1"/>
  <c r="H46" i="7"/>
  <c r="F46" i="7" s="1"/>
  <c r="I45" i="7"/>
  <c r="P49" i="7"/>
  <c r="N49" i="7"/>
  <c r="V49" i="7" l="1"/>
  <c r="T49" i="7"/>
  <c r="P50" i="7"/>
  <c r="N50" i="7"/>
  <c r="R49" i="7"/>
  <c r="X49" i="7" s="1"/>
  <c r="Q49" i="7"/>
  <c r="I52" i="7"/>
  <c r="H51" i="7"/>
  <c r="F51" i="7" s="1"/>
  <c r="I44" i="7"/>
  <c r="H45" i="7"/>
  <c r="F45" i="7" s="1"/>
  <c r="V47" i="7"/>
  <c r="T47" i="7"/>
  <c r="P46" i="7"/>
  <c r="N46" i="7"/>
  <c r="R47" i="7"/>
  <c r="X47" i="7" s="1"/>
  <c r="Q47" i="7"/>
  <c r="W49" i="7" l="1"/>
  <c r="W47" i="7"/>
  <c r="P51" i="7"/>
  <c r="N51" i="7"/>
  <c r="V50" i="7"/>
  <c r="T50" i="7"/>
  <c r="Y47" i="7"/>
  <c r="H52" i="7"/>
  <c r="F52" i="7" s="1"/>
  <c r="I53" i="7"/>
  <c r="R50" i="7"/>
  <c r="X50" i="7" s="1"/>
  <c r="Q50" i="7"/>
  <c r="V46" i="7"/>
  <c r="T46" i="7"/>
  <c r="N45" i="7"/>
  <c r="P45" i="7"/>
  <c r="R46" i="7"/>
  <c r="X46" i="7" s="1"/>
  <c r="Q46" i="7"/>
  <c r="H44" i="7"/>
  <c r="F44" i="7" s="1"/>
  <c r="I43" i="7"/>
  <c r="Y49" i="7"/>
  <c r="W46" i="7" l="1"/>
  <c r="N44" i="7"/>
  <c r="P44" i="7"/>
  <c r="T45" i="7"/>
  <c r="V45" i="7"/>
  <c r="W50" i="7"/>
  <c r="I54" i="7"/>
  <c r="H53" i="7"/>
  <c r="F53" i="7" s="1"/>
  <c r="Y50" i="7"/>
  <c r="Y46" i="7"/>
  <c r="P52" i="7"/>
  <c r="N52" i="7"/>
  <c r="T51" i="7"/>
  <c r="V51" i="7"/>
  <c r="I42" i="7"/>
  <c r="H43" i="7"/>
  <c r="F43" i="7" s="1"/>
  <c r="R45" i="7"/>
  <c r="X45" i="7" s="1"/>
  <c r="Q45" i="7"/>
  <c r="R51" i="7"/>
  <c r="X51" i="7" s="1"/>
  <c r="Q51" i="7"/>
  <c r="W51" i="7" l="1"/>
  <c r="Y51" i="7"/>
  <c r="Y45" i="7"/>
  <c r="P43" i="7"/>
  <c r="N43" i="7"/>
  <c r="T52" i="7"/>
  <c r="V52" i="7"/>
  <c r="P53" i="7"/>
  <c r="N53" i="7"/>
  <c r="W45" i="7"/>
  <c r="I41" i="7"/>
  <c r="H42" i="7"/>
  <c r="F42" i="7" s="1"/>
  <c r="Q52" i="7"/>
  <c r="R52" i="7"/>
  <c r="X52" i="7" s="1"/>
  <c r="H54" i="7"/>
  <c r="F54" i="7" s="1"/>
  <c r="I55" i="7"/>
  <c r="Q44" i="7"/>
  <c r="R44" i="7"/>
  <c r="X44" i="7" s="1"/>
  <c r="V44" i="7"/>
  <c r="T44" i="7"/>
  <c r="W44" i="7" l="1"/>
  <c r="Y44" i="7"/>
  <c r="Y52" i="7"/>
  <c r="P42" i="7"/>
  <c r="N42" i="7"/>
  <c r="P54" i="7"/>
  <c r="N54" i="7"/>
  <c r="I40" i="7"/>
  <c r="H41" i="7"/>
  <c r="F41" i="7" s="1"/>
  <c r="W52" i="7"/>
  <c r="I56" i="7"/>
  <c r="H55" i="7"/>
  <c r="F55" i="7" s="1"/>
  <c r="V53" i="7"/>
  <c r="T53" i="7"/>
  <c r="V43" i="7"/>
  <c r="T43" i="7"/>
  <c r="R53" i="7"/>
  <c r="X53" i="7" s="1"/>
  <c r="Q53" i="7"/>
  <c r="R43" i="7"/>
  <c r="X43" i="7" s="1"/>
  <c r="Q43" i="7"/>
  <c r="W43" i="7" l="1"/>
  <c r="Y53" i="7"/>
  <c r="N55" i="7"/>
  <c r="P55" i="7"/>
  <c r="Y43" i="7"/>
  <c r="H56" i="7"/>
  <c r="F56" i="7" s="1"/>
  <c r="I57" i="7"/>
  <c r="T54" i="7"/>
  <c r="V54" i="7"/>
  <c r="H40" i="7"/>
  <c r="F40" i="7" s="1"/>
  <c r="I39" i="7"/>
  <c r="W53" i="7"/>
  <c r="R54" i="7"/>
  <c r="X54" i="7" s="1"/>
  <c r="Q54" i="7"/>
  <c r="P41" i="7"/>
  <c r="N41" i="7"/>
  <c r="V42" i="7"/>
  <c r="T42" i="7"/>
  <c r="R42" i="7"/>
  <c r="X42" i="7" s="1"/>
  <c r="Q42" i="7"/>
  <c r="Y42" i="7" l="1"/>
  <c r="Y54" i="7"/>
  <c r="W42" i="7"/>
  <c r="P56" i="7"/>
  <c r="N56" i="7"/>
  <c r="V41" i="7"/>
  <c r="T41" i="7"/>
  <c r="W54" i="7"/>
  <c r="Q55" i="7"/>
  <c r="R55" i="7"/>
  <c r="X55" i="7" s="1"/>
  <c r="R41" i="7"/>
  <c r="X41" i="7" s="1"/>
  <c r="Q41" i="7"/>
  <c r="I38" i="7"/>
  <c r="H39" i="7"/>
  <c r="F39" i="7" s="1"/>
  <c r="H57" i="7"/>
  <c r="F57" i="7" s="1"/>
  <c r="I58" i="7"/>
  <c r="T55" i="7"/>
  <c r="V55" i="7"/>
  <c r="N40" i="7"/>
  <c r="P40" i="7"/>
  <c r="Y55" i="7" l="1"/>
  <c r="R40" i="7"/>
  <c r="X40" i="7" s="1"/>
  <c r="Q40" i="7"/>
  <c r="I59" i="7"/>
  <c r="H58" i="7"/>
  <c r="F58" i="7" s="1"/>
  <c r="Q56" i="7"/>
  <c r="R56" i="7"/>
  <c r="X56" i="7" s="1"/>
  <c r="V40" i="7"/>
  <c r="T40" i="7"/>
  <c r="P57" i="7"/>
  <c r="N57" i="7"/>
  <c r="W41" i="7"/>
  <c r="Y41" i="7"/>
  <c r="P39" i="7"/>
  <c r="N39" i="7"/>
  <c r="W55" i="7"/>
  <c r="I37" i="7"/>
  <c r="H38" i="7"/>
  <c r="F38" i="7" s="1"/>
  <c r="V56" i="7"/>
  <c r="Y56" i="7" s="1"/>
  <c r="T56" i="7"/>
  <c r="I36" i="7" l="1"/>
  <c r="H37" i="7"/>
  <c r="F37" i="7" s="1"/>
  <c r="W40" i="7"/>
  <c r="N58" i="7"/>
  <c r="P58" i="7"/>
  <c r="Q39" i="7"/>
  <c r="R39" i="7"/>
  <c r="X39" i="7" s="1"/>
  <c r="Q57" i="7"/>
  <c r="R57" i="7"/>
  <c r="X57" i="7" s="1"/>
  <c r="W56" i="7"/>
  <c r="Y40" i="7"/>
  <c r="I60" i="7"/>
  <c r="H59" i="7"/>
  <c r="F59" i="7" s="1"/>
  <c r="V39" i="7"/>
  <c r="T39" i="7"/>
  <c r="V57" i="7"/>
  <c r="T57" i="7"/>
  <c r="N38" i="7"/>
  <c r="P38" i="7"/>
  <c r="W39" i="7" l="1"/>
  <c r="W57" i="7"/>
  <c r="Y57" i="7"/>
  <c r="H60" i="7"/>
  <c r="F60" i="7" s="1"/>
  <c r="I61" i="7"/>
  <c r="T58" i="7"/>
  <c r="V58" i="7"/>
  <c r="R38" i="7"/>
  <c r="X38" i="7" s="1"/>
  <c r="Q38" i="7"/>
  <c r="V38" i="7"/>
  <c r="T38" i="7"/>
  <c r="Y39" i="7"/>
  <c r="N37" i="7"/>
  <c r="P37" i="7"/>
  <c r="N59" i="7"/>
  <c r="P59" i="7"/>
  <c r="R58" i="7"/>
  <c r="X58" i="7" s="1"/>
  <c r="Q58" i="7"/>
  <c r="H36" i="7"/>
  <c r="F36" i="7" s="1"/>
  <c r="I35" i="7"/>
  <c r="W38" i="7" l="1"/>
  <c r="Y58" i="7"/>
  <c r="Y38" i="7"/>
  <c r="T59" i="7"/>
  <c r="V59" i="7"/>
  <c r="R37" i="7"/>
  <c r="X37" i="7" s="1"/>
  <c r="Q37" i="7"/>
  <c r="W58" i="7"/>
  <c r="V37" i="7"/>
  <c r="T37" i="7"/>
  <c r="I62" i="7"/>
  <c r="H61" i="7"/>
  <c r="F61" i="7" s="1"/>
  <c r="N36" i="7"/>
  <c r="P36" i="7"/>
  <c r="I34" i="7"/>
  <c r="H35" i="7"/>
  <c r="F35" i="7" s="1"/>
  <c r="Q59" i="7"/>
  <c r="R59" i="7"/>
  <c r="X59" i="7" s="1"/>
  <c r="N60" i="7"/>
  <c r="P60" i="7"/>
  <c r="W37" i="7" l="1"/>
  <c r="Y37" i="7"/>
  <c r="T60" i="7"/>
  <c r="V60" i="7"/>
  <c r="I33" i="7"/>
  <c r="H34" i="7"/>
  <c r="F34" i="7" s="1"/>
  <c r="I63" i="7"/>
  <c r="H62" i="7"/>
  <c r="F62" i="7" s="1"/>
  <c r="R36" i="7"/>
  <c r="X36" i="7" s="1"/>
  <c r="Q36" i="7"/>
  <c r="V36" i="7"/>
  <c r="T36" i="7"/>
  <c r="Y59" i="7"/>
  <c r="R60" i="7"/>
  <c r="X60" i="7" s="1"/>
  <c r="Q60" i="7"/>
  <c r="P35" i="7"/>
  <c r="N35" i="7"/>
  <c r="P61" i="7"/>
  <c r="N61" i="7"/>
  <c r="W59" i="7"/>
  <c r="W36" i="7" l="1"/>
  <c r="Q61" i="7"/>
  <c r="R61" i="7"/>
  <c r="X61" i="7" s="1"/>
  <c r="N34" i="7"/>
  <c r="P34" i="7"/>
  <c r="V35" i="7"/>
  <c r="T35" i="7"/>
  <c r="I32" i="7"/>
  <c r="H33" i="7"/>
  <c r="F33" i="7" s="1"/>
  <c r="R35" i="7"/>
  <c r="X35" i="7" s="1"/>
  <c r="Q35" i="7"/>
  <c r="P62" i="7"/>
  <c r="N62" i="7"/>
  <c r="Y60" i="7"/>
  <c r="V61" i="7"/>
  <c r="T61" i="7"/>
  <c r="Y36" i="7"/>
  <c r="H63" i="7"/>
  <c r="F63" i="7" s="1"/>
  <c r="I64" i="7"/>
  <c r="W60" i="7"/>
  <c r="Y61" i="7" l="1"/>
  <c r="W35" i="7"/>
  <c r="W61" i="7"/>
  <c r="T62" i="7"/>
  <c r="V62" i="7"/>
  <c r="N33" i="7"/>
  <c r="P33" i="7"/>
  <c r="Q34" i="7"/>
  <c r="R34" i="7"/>
  <c r="X34" i="7" s="1"/>
  <c r="R62" i="7"/>
  <c r="X62" i="7" s="1"/>
  <c r="Q62" i="7"/>
  <c r="I31" i="7"/>
  <c r="H32" i="7"/>
  <c r="F32" i="7" s="1"/>
  <c r="V34" i="7"/>
  <c r="T34" i="7"/>
  <c r="H64" i="7"/>
  <c r="F64" i="7" s="1"/>
  <c r="I65" i="7"/>
  <c r="P63" i="7"/>
  <c r="N63" i="7"/>
  <c r="Y35" i="7"/>
  <c r="W34" i="7" l="1"/>
  <c r="Y62" i="7"/>
  <c r="T63" i="7"/>
  <c r="V63" i="7"/>
  <c r="R33" i="7"/>
  <c r="X33" i="7" s="1"/>
  <c r="Q33" i="7"/>
  <c r="Q63" i="7"/>
  <c r="R63" i="7"/>
  <c r="X63" i="7" s="1"/>
  <c r="Y34" i="7"/>
  <c r="V33" i="7"/>
  <c r="T33" i="7"/>
  <c r="I66" i="7"/>
  <c r="H65" i="7"/>
  <c r="F65" i="7" s="1"/>
  <c r="P32" i="7"/>
  <c r="N32" i="7"/>
  <c r="P64" i="7"/>
  <c r="N64" i="7"/>
  <c r="I30" i="7"/>
  <c r="H31" i="7"/>
  <c r="F31" i="7" s="1"/>
  <c r="W62" i="7"/>
  <c r="Y33" i="7" l="1"/>
  <c r="I29" i="7"/>
  <c r="H30" i="7"/>
  <c r="F30" i="7" s="1"/>
  <c r="R32" i="7"/>
  <c r="X32" i="7" s="1"/>
  <c r="Q32" i="7"/>
  <c r="T64" i="7"/>
  <c r="V64" i="7"/>
  <c r="N65" i="7"/>
  <c r="P65" i="7"/>
  <c r="R64" i="7"/>
  <c r="X64" i="7" s="1"/>
  <c r="Q64" i="7"/>
  <c r="H66" i="7"/>
  <c r="F66" i="7" s="1"/>
  <c r="I67" i="7"/>
  <c r="Y63" i="7"/>
  <c r="N31" i="7"/>
  <c r="P31" i="7"/>
  <c r="V32" i="7"/>
  <c r="T32" i="7"/>
  <c r="W33" i="7"/>
  <c r="W63" i="7"/>
  <c r="W32" i="7" l="1"/>
  <c r="Y32" i="7"/>
  <c r="I68" i="7"/>
  <c r="H67" i="7"/>
  <c r="F67" i="7" s="1"/>
  <c r="R65" i="7"/>
  <c r="X65" i="7" s="1"/>
  <c r="Q65" i="7"/>
  <c r="R31" i="7"/>
  <c r="X31" i="7" s="1"/>
  <c r="Q31" i="7"/>
  <c r="N66" i="7"/>
  <c r="P66" i="7"/>
  <c r="T65" i="7"/>
  <c r="V65" i="7"/>
  <c r="V31" i="7"/>
  <c r="T31" i="7"/>
  <c r="Y64" i="7"/>
  <c r="N30" i="7"/>
  <c r="P30" i="7"/>
  <c r="W64" i="7"/>
  <c r="I28" i="7"/>
  <c r="H29" i="7"/>
  <c r="F29" i="7" s="1"/>
  <c r="Y65" i="7" l="1"/>
  <c r="W65" i="7"/>
  <c r="N29" i="7"/>
  <c r="P29" i="7"/>
  <c r="V30" i="7"/>
  <c r="T30" i="7"/>
  <c r="W31" i="7"/>
  <c r="Q66" i="7"/>
  <c r="R66" i="7"/>
  <c r="X66" i="7" s="1"/>
  <c r="N67" i="7"/>
  <c r="P67" i="7"/>
  <c r="H28" i="7"/>
  <c r="F28" i="7" s="1"/>
  <c r="I27" i="7"/>
  <c r="H68" i="7"/>
  <c r="F68" i="7" s="1"/>
  <c r="I69" i="7"/>
  <c r="R30" i="7"/>
  <c r="X30" i="7" s="1"/>
  <c r="Q30" i="7"/>
  <c r="Y31" i="7"/>
  <c r="V66" i="7"/>
  <c r="T66" i="7"/>
  <c r="W66" i="7" l="1"/>
  <c r="Y66" i="7"/>
  <c r="N68" i="7"/>
  <c r="P68" i="7"/>
  <c r="V67" i="7"/>
  <c r="T67" i="7"/>
  <c r="W30" i="7"/>
  <c r="P28" i="7"/>
  <c r="N28" i="7"/>
  <c r="I70" i="7"/>
  <c r="H69" i="7"/>
  <c r="F69" i="7" s="1"/>
  <c r="V29" i="7"/>
  <c r="T29" i="7"/>
  <c r="H27" i="7"/>
  <c r="F27" i="7" s="1"/>
  <c r="I26" i="7"/>
  <c r="Y30" i="7"/>
  <c r="R29" i="7"/>
  <c r="X29" i="7" s="1"/>
  <c r="Q29" i="7"/>
  <c r="R67" i="7"/>
  <c r="X67" i="7" s="1"/>
  <c r="Q67" i="7"/>
  <c r="Y29" i="7" l="1"/>
  <c r="N27" i="7"/>
  <c r="P27" i="7"/>
  <c r="H70" i="7"/>
  <c r="F70" i="7" s="1"/>
  <c r="I71" i="7"/>
  <c r="W67" i="7"/>
  <c r="N69" i="7"/>
  <c r="P69" i="7"/>
  <c r="V68" i="7"/>
  <c r="T68" i="7"/>
  <c r="W29" i="7"/>
  <c r="T28" i="7"/>
  <c r="V28" i="7"/>
  <c r="Y67" i="7"/>
  <c r="Q28" i="7"/>
  <c r="R28" i="7"/>
  <c r="X28" i="7" s="1"/>
  <c r="R68" i="7"/>
  <c r="X68" i="7" s="1"/>
  <c r="Q68" i="7"/>
  <c r="I25" i="7"/>
  <c r="H26" i="7"/>
  <c r="F26" i="7" s="1"/>
  <c r="Y28" i="7" l="1"/>
  <c r="W68" i="7"/>
  <c r="I24" i="7"/>
  <c r="H25" i="7"/>
  <c r="F25" i="7" s="1"/>
  <c r="V27" i="7"/>
  <c r="T27" i="7"/>
  <c r="Y68" i="7"/>
  <c r="I72" i="7"/>
  <c r="H71" i="7"/>
  <c r="F71" i="7" s="1"/>
  <c r="N26" i="7"/>
  <c r="P26" i="7"/>
  <c r="W28" i="7"/>
  <c r="R69" i="7"/>
  <c r="X69" i="7" s="1"/>
  <c r="Q69" i="7"/>
  <c r="N70" i="7"/>
  <c r="P70" i="7"/>
  <c r="T69" i="7"/>
  <c r="V69" i="7"/>
  <c r="Q27" i="7"/>
  <c r="R27" i="7"/>
  <c r="X27" i="7" s="1"/>
  <c r="W69" i="7" l="1"/>
  <c r="Y27" i="7"/>
  <c r="Y69" i="7"/>
  <c r="V26" i="7"/>
  <c r="T26" i="7"/>
  <c r="W27" i="7"/>
  <c r="P71" i="7"/>
  <c r="N71" i="7"/>
  <c r="N25" i="7"/>
  <c r="P25" i="7"/>
  <c r="R70" i="7"/>
  <c r="X70" i="7" s="1"/>
  <c r="Q70" i="7"/>
  <c r="I73" i="7"/>
  <c r="H72" i="7"/>
  <c r="F72" i="7" s="1"/>
  <c r="T70" i="7"/>
  <c r="V70" i="7"/>
  <c r="Q26" i="7"/>
  <c r="R26" i="7"/>
  <c r="X26" i="7" s="1"/>
  <c r="H24" i="7"/>
  <c r="F24" i="7" s="1"/>
  <c r="I23" i="7"/>
  <c r="Y70" i="7" l="1"/>
  <c r="Y26" i="7"/>
  <c r="P24" i="7"/>
  <c r="N24" i="7"/>
  <c r="P72" i="7"/>
  <c r="N72" i="7"/>
  <c r="R25" i="7"/>
  <c r="X25" i="7" s="1"/>
  <c r="Q25" i="7"/>
  <c r="H23" i="7"/>
  <c r="F23" i="7" s="1"/>
  <c r="I22" i="7"/>
  <c r="V71" i="7"/>
  <c r="T71" i="7"/>
  <c r="W70" i="7"/>
  <c r="Q71" i="7"/>
  <c r="R71" i="7"/>
  <c r="X71" i="7" s="1"/>
  <c r="I74" i="7"/>
  <c r="H73" i="7"/>
  <c r="F73" i="7" s="1"/>
  <c r="V25" i="7"/>
  <c r="T25" i="7"/>
  <c r="W26" i="7"/>
  <c r="W25" i="7" l="1"/>
  <c r="W71" i="7"/>
  <c r="Y71" i="7"/>
  <c r="Q24" i="7"/>
  <c r="R24" i="7"/>
  <c r="X24" i="7" s="1"/>
  <c r="Y25" i="7"/>
  <c r="I21" i="7"/>
  <c r="H22" i="7"/>
  <c r="F22" i="7" s="1"/>
  <c r="V72" i="7"/>
  <c r="T72" i="7"/>
  <c r="P73" i="7"/>
  <c r="N73" i="7"/>
  <c r="N23" i="7"/>
  <c r="P23" i="7"/>
  <c r="Q72" i="7"/>
  <c r="R72" i="7"/>
  <c r="X72" i="7" s="1"/>
  <c r="H74" i="7"/>
  <c r="F74" i="7" s="1"/>
  <c r="I75" i="7"/>
  <c r="T24" i="7"/>
  <c r="V24" i="7"/>
  <c r="Y24" i="7" l="1"/>
  <c r="W24" i="7"/>
  <c r="V73" i="7"/>
  <c r="T73" i="7"/>
  <c r="Q73" i="7"/>
  <c r="R73" i="7"/>
  <c r="X73" i="7" s="1"/>
  <c r="I76" i="7"/>
  <c r="H75" i="7"/>
  <c r="F75" i="7" s="1"/>
  <c r="Q23" i="7"/>
  <c r="R23" i="7"/>
  <c r="X23" i="7" s="1"/>
  <c r="W72" i="7"/>
  <c r="N22" i="7"/>
  <c r="P22" i="7"/>
  <c r="I20" i="7"/>
  <c r="H21" i="7"/>
  <c r="F21" i="7" s="1"/>
  <c r="P74" i="7"/>
  <c r="N74" i="7"/>
  <c r="V23" i="7"/>
  <c r="T23" i="7"/>
  <c r="Y72" i="7"/>
  <c r="Y23" i="7" l="1"/>
  <c r="W23" i="7"/>
  <c r="Y73" i="7"/>
  <c r="W73" i="7"/>
  <c r="P75" i="7"/>
  <c r="N75" i="7"/>
  <c r="I19" i="7"/>
  <c r="H20" i="7"/>
  <c r="F20" i="7" s="1"/>
  <c r="R74" i="7"/>
  <c r="X74" i="7" s="1"/>
  <c r="Q74" i="7"/>
  <c r="H76" i="7"/>
  <c r="F76" i="7" s="1"/>
  <c r="I77" i="7"/>
  <c r="V74" i="7"/>
  <c r="T74" i="7"/>
  <c r="R22" i="7"/>
  <c r="X22" i="7" s="1"/>
  <c r="Q22" i="7"/>
  <c r="T22" i="7"/>
  <c r="V22" i="7"/>
  <c r="P21" i="7"/>
  <c r="N21" i="7"/>
  <c r="Y74" i="7" l="1"/>
  <c r="W22" i="7"/>
  <c r="Y22" i="7"/>
  <c r="W74" i="7"/>
  <c r="V21" i="7"/>
  <c r="T21" i="7"/>
  <c r="I78" i="7"/>
  <c r="H77" i="7"/>
  <c r="F77" i="7" s="1"/>
  <c r="N20" i="7"/>
  <c r="P20" i="7"/>
  <c r="R75" i="7"/>
  <c r="X75" i="7" s="1"/>
  <c r="Q75" i="7"/>
  <c r="Q21" i="7"/>
  <c r="R21" i="7"/>
  <c r="X21" i="7" s="1"/>
  <c r="P76" i="7"/>
  <c r="N76" i="7"/>
  <c r="I18" i="7"/>
  <c r="H19" i="7"/>
  <c r="F19" i="7" s="1"/>
  <c r="V75" i="7"/>
  <c r="T75" i="7"/>
  <c r="Y75" i="7" l="1"/>
  <c r="W75" i="7"/>
  <c r="V76" i="7"/>
  <c r="T76" i="7"/>
  <c r="N77" i="7"/>
  <c r="P77" i="7"/>
  <c r="Q76" i="7"/>
  <c r="R76" i="7"/>
  <c r="X76" i="7" s="1"/>
  <c r="H78" i="7"/>
  <c r="F78" i="7" s="1"/>
  <c r="I79" i="7"/>
  <c r="W21" i="7"/>
  <c r="N19" i="7"/>
  <c r="P19" i="7"/>
  <c r="Q20" i="7"/>
  <c r="R20" i="7"/>
  <c r="X20" i="7" s="1"/>
  <c r="I17" i="7"/>
  <c r="H18" i="7"/>
  <c r="F18" i="7" s="1"/>
  <c r="V20" i="7"/>
  <c r="T20" i="7"/>
  <c r="Y21" i="7"/>
  <c r="Y76" i="7" l="1"/>
  <c r="Y20" i="7"/>
  <c r="P18" i="7"/>
  <c r="N18" i="7"/>
  <c r="Q19" i="7"/>
  <c r="R19" i="7"/>
  <c r="X19" i="7" s="1"/>
  <c r="P78" i="7"/>
  <c r="N78" i="7"/>
  <c r="V77" i="7"/>
  <c r="T77" i="7"/>
  <c r="W20" i="7"/>
  <c r="I80" i="7"/>
  <c r="H79" i="7"/>
  <c r="F79" i="7" s="1"/>
  <c r="R77" i="7"/>
  <c r="X77" i="7" s="1"/>
  <c r="Q77" i="7"/>
  <c r="H17" i="7"/>
  <c r="F17" i="7" s="1"/>
  <c r="I16" i="7"/>
  <c r="V19" i="7"/>
  <c r="T19" i="7"/>
  <c r="W76" i="7"/>
  <c r="Y19" i="7" l="1"/>
  <c r="W19" i="7"/>
  <c r="I15" i="7"/>
  <c r="H16" i="7"/>
  <c r="F16" i="7" s="1"/>
  <c r="N79" i="7"/>
  <c r="P79" i="7"/>
  <c r="Y77" i="7"/>
  <c r="W77" i="7"/>
  <c r="P17" i="7"/>
  <c r="N17" i="7"/>
  <c r="H80" i="7"/>
  <c r="F80" i="7" s="1"/>
  <c r="I81" i="7"/>
  <c r="T78" i="7"/>
  <c r="V78" i="7"/>
  <c r="V18" i="7"/>
  <c r="T18" i="7"/>
  <c r="Q78" i="7"/>
  <c r="R78" i="7"/>
  <c r="X78" i="7" s="1"/>
  <c r="Q18" i="7"/>
  <c r="R18" i="7"/>
  <c r="X18" i="7" s="1"/>
  <c r="T17" i="7" l="1"/>
  <c r="V17" i="7"/>
  <c r="Q79" i="7"/>
  <c r="R79" i="7"/>
  <c r="X79" i="7" s="1"/>
  <c r="Y78" i="7"/>
  <c r="W78" i="7"/>
  <c r="R17" i="7"/>
  <c r="X17" i="7" s="1"/>
  <c r="Q17" i="7"/>
  <c r="V79" i="7"/>
  <c r="T79" i="7"/>
  <c r="W18" i="7"/>
  <c r="H81" i="7"/>
  <c r="F81" i="7" s="1"/>
  <c r="I82" i="7"/>
  <c r="P16" i="7"/>
  <c r="N16" i="7"/>
  <c r="Y18" i="7"/>
  <c r="P80" i="7"/>
  <c r="N80" i="7"/>
  <c r="H15" i="7"/>
  <c r="F15" i="7" s="1"/>
  <c r="I14" i="7"/>
  <c r="W79" i="7" l="1"/>
  <c r="Y17" i="7"/>
  <c r="Y79" i="7"/>
  <c r="W17" i="7"/>
  <c r="I13" i="7"/>
  <c r="H14" i="7"/>
  <c r="F14" i="7" s="1"/>
  <c r="N81" i="7"/>
  <c r="P81" i="7"/>
  <c r="N15" i="7"/>
  <c r="P15" i="7"/>
  <c r="V16" i="7"/>
  <c r="T16" i="7"/>
  <c r="V80" i="7"/>
  <c r="T80" i="7"/>
  <c r="R16" i="7"/>
  <c r="X16" i="7" s="1"/>
  <c r="Q16" i="7"/>
  <c r="R80" i="7"/>
  <c r="X80" i="7" s="1"/>
  <c r="Q80" i="7"/>
  <c r="I83" i="7"/>
  <c r="H82" i="7"/>
  <c r="F82" i="7" s="1"/>
  <c r="W80" i="7" l="1"/>
  <c r="P82" i="7"/>
  <c r="N82" i="7"/>
  <c r="W16" i="7"/>
  <c r="R81" i="7"/>
  <c r="X81" i="7" s="1"/>
  <c r="Q81" i="7"/>
  <c r="I84" i="7"/>
  <c r="H83" i="7"/>
  <c r="F83" i="7" s="1"/>
  <c r="Y16" i="7"/>
  <c r="V81" i="7"/>
  <c r="T81" i="7"/>
  <c r="Q15" i="7"/>
  <c r="R15" i="7"/>
  <c r="X15" i="7" s="1"/>
  <c r="P14" i="7"/>
  <c r="N14" i="7"/>
  <c r="Y80" i="7"/>
  <c r="V15" i="7"/>
  <c r="T15" i="7"/>
  <c r="I12" i="7"/>
  <c r="H13" i="7"/>
  <c r="F13" i="7" s="1"/>
  <c r="Y15" i="7" l="1"/>
  <c r="P13" i="7"/>
  <c r="N13" i="7"/>
  <c r="N83" i="7"/>
  <c r="P83" i="7"/>
  <c r="I11" i="7"/>
  <c r="H12" i="7"/>
  <c r="F12" i="7" s="1"/>
  <c r="V14" i="7"/>
  <c r="T14" i="7"/>
  <c r="W81" i="7"/>
  <c r="I85" i="7"/>
  <c r="H84" i="7"/>
  <c r="F84" i="7" s="1"/>
  <c r="V82" i="7"/>
  <c r="T82" i="7"/>
  <c r="W15" i="7"/>
  <c r="R14" i="7"/>
  <c r="X14" i="7" s="1"/>
  <c r="Q14" i="7"/>
  <c r="Y81" i="7"/>
  <c r="R82" i="7"/>
  <c r="X82" i="7" s="1"/>
  <c r="Q82" i="7"/>
  <c r="Y82" i="7" l="1"/>
  <c r="W14" i="7"/>
  <c r="Q83" i="7"/>
  <c r="R83" i="7"/>
  <c r="X83" i="7" s="1"/>
  <c r="P84" i="7"/>
  <c r="N84" i="7"/>
  <c r="Y14" i="7"/>
  <c r="V83" i="7"/>
  <c r="T83" i="7"/>
  <c r="I86" i="7"/>
  <c r="H85" i="7"/>
  <c r="F85" i="7" s="1"/>
  <c r="N12" i="7"/>
  <c r="P12" i="7"/>
  <c r="T13" i="7"/>
  <c r="V13" i="7"/>
  <c r="W82" i="7"/>
  <c r="H11" i="7"/>
  <c r="F11" i="7" s="1"/>
  <c r="I10" i="7"/>
  <c r="Q13" i="7"/>
  <c r="R13" i="7"/>
  <c r="X13" i="7" s="1"/>
  <c r="Y83" i="7" l="1"/>
  <c r="W83" i="7"/>
  <c r="Y13" i="7"/>
  <c r="P11" i="7"/>
  <c r="N11" i="7"/>
  <c r="Q12" i="7"/>
  <c r="R12" i="7"/>
  <c r="X12" i="7" s="1"/>
  <c r="Q84" i="7"/>
  <c r="R84" i="7"/>
  <c r="X84" i="7" s="1"/>
  <c r="T12" i="7"/>
  <c r="V12" i="7"/>
  <c r="N85" i="7"/>
  <c r="P85" i="7"/>
  <c r="I9" i="7"/>
  <c r="H10" i="7"/>
  <c r="F10" i="7" s="1"/>
  <c r="W13" i="7"/>
  <c r="H86" i="7"/>
  <c r="F86" i="7" s="1"/>
  <c r="I87" i="7"/>
  <c r="V84" i="7"/>
  <c r="T84" i="7"/>
  <c r="Y12" i="7" l="1"/>
  <c r="Y84" i="7"/>
  <c r="W12" i="7"/>
  <c r="N10" i="7"/>
  <c r="P10" i="7"/>
  <c r="H87" i="7"/>
  <c r="F87" i="7" s="1"/>
  <c r="I88" i="7"/>
  <c r="H9" i="7"/>
  <c r="F9" i="7" s="1"/>
  <c r="I8" i="7"/>
  <c r="H8" i="7" s="1"/>
  <c r="F8" i="7" s="1"/>
  <c r="P86" i="7"/>
  <c r="N86" i="7"/>
  <c r="Q85" i="7"/>
  <c r="R85" i="7"/>
  <c r="X85" i="7" s="1"/>
  <c r="T11" i="7"/>
  <c r="V11" i="7"/>
  <c r="W84" i="7"/>
  <c r="T85" i="7"/>
  <c r="V85" i="7"/>
  <c r="R11" i="7"/>
  <c r="X11" i="7" s="1"/>
  <c r="Q11" i="7"/>
  <c r="W85" i="7" l="1"/>
  <c r="N8" i="7"/>
  <c r="P8" i="7"/>
  <c r="T10" i="7"/>
  <c r="V10" i="7"/>
  <c r="Y11" i="7"/>
  <c r="V86" i="7"/>
  <c r="T86" i="7"/>
  <c r="H88" i="7"/>
  <c r="F88" i="7" s="1"/>
  <c r="I89" i="7"/>
  <c r="R10" i="7"/>
  <c r="X10" i="7" s="1"/>
  <c r="Q10" i="7"/>
  <c r="N9" i="7"/>
  <c r="P9" i="7"/>
  <c r="Y85" i="7"/>
  <c r="W11" i="7"/>
  <c r="Q86" i="7"/>
  <c r="R86" i="7"/>
  <c r="X86" i="7" s="1"/>
  <c r="P87" i="7"/>
  <c r="N87" i="7"/>
  <c r="Y86" i="7" l="1"/>
  <c r="H89" i="7"/>
  <c r="F89" i="7" s="1"/>
  <c r="I90" i="7"/>
  <c r="V8" i="7"/>
  <c r="T8" i="7"/>
  <c r="V9" i="7"/>
  <c r="T9" i="7"/>
  <c r="N88" i="7"/>
  <c r="P88" i="7"/>
  <c r="Y10" i="7"/>
  <c r="R87" i="7"/>
  <c r="X87" i="7" s="1"/>
  <c r="Q87" i="7"/>
  <c r="Q9" i="7"/>
  <c r="R9" i="7"/>
  <c r="X9" i="7" s="1"/>
  <c r="V87" i="7"/>
  <c r="T87" i="7"/>
  <c r="W86" i="7"/>
  <c r="W10" i="7"/>
  <c r="Q8" i="7"/>
  <c r="R8" i="7"/>
  <c r="X8" i="7" s="1"/>
  <c r="Y87" i="7" l="1"/>
  <c r="W9" i="7"/>
  <c r="P89" i="7"/>
  <c r="N89" i="7"/>
  <c r="Q88" i="7"/>
  <c r="R88" i="7"/>
  <c r="X88" i="7" s="1"/>
  <c r="W8" i="7"/>
  <c r="Y9" i="7"/>
  <c r="W87" i="7"/>
  <c r="T88" i="7"/>
  <c r="V88" i="7"/>
  <c r="Y8" i="7"/>
  <c r="I91" i="7"/>
  <c r="H90" i="7"/>
  <c r="F90" i="7" s="1"/>
  <c r="W88" i="7" l="1"/>
  <c r="Y88" i="7"/>
  <c r="R89" i="7"/>
  <c r="X89" i="7" s="1"/>
  <c r="Q89" i="7"/>
  <c r="T89" i="7"/>
  <c r="V89" i="7"/>
  <c r="P90" i="7"/>
  <c r="N90" i="7"/>
  <c r="I92" i="7"/>
  <c r="H91" i="7"/>
  <c r="F91" i="7" s="1"/>
  <c r="V90" i="7" l="1"/>
  <c r="T90" i="7"/>
  <c r="N91" i="7"/>
  <c r="P91" i="7"/>
  <c r="Y89" i="7"/>
  <c r="Q90" i="7"/>
  <c r="R90" i="7"/>
  <c r="X90" i="7" s="1"/>
  <c r="I93" i="7"/>
  <c r="H92" i="7"/>
  <c r="F92" i="7" s="1"/>
  <c r="W89" i="7"/>
  <c r="W90" i="7" l="1"/>
  <c r="Y90" i="7"/>
  <c r="P92" i="7"/>
  <c r="N92" i="7"/>
  <c r="I94" i="7"/>
  <c r="H93" i="7"/>
  <c r="F93" i="7" s="1"/>
  <c r="Q91" i="7"/>
  <c r="R91" i="7"/>
  <c r="X91" i="7" s="1"/>
  <c r="V91" i="7"/>
  <c r="T91" i="7"/>
  <c r="Q92" i="7" l="1"/>
  <c r="R92" i="7"/>
  <c r="X92" i="7" s="1"/>
  <c r="W91" i="7"/>
  <c r="P93" i="7"/>
  <c r="N93" i="7"/>
  <c r="V92" i="7"/>
  <c r="T92" i="7"/>
  <c r="Y91" i="7"/>
  <c r="I95" i="7"/>
  <c r="H94" i="7"/>
  <c r="F94" i="7" s="1"/>
  <c r="Y92" i="7" l="1"/>
  <c r="P94" i="7"/>
  <c r="N94" i="7"/>
  <c r="R93" i="7"/>
  <c r="X93" i="7" s="1"/>
  <c r="Q93" i="7"/>
  <c r="H95" i="7"/>
  <c r="F95" i="7" s="1"/>
  <c r="I96" i="7"/>
  <c r="V93" i="7"/>
  <c r="T93" i="7"/>
  <c r="W92" i="7"/>
  <c r="Y93" i="7" l="1"/>
  <c r="W93" i="7"/>
  <c r="V94" i="7"/>
  <c r="T94" i="7"/>
  <c r="R94" i="7"/>
  <c r="X94" i="7" s="1"/>
  <c r="Q94" i="7"/>
  <c r="I97" i="7"/>
  <c r="H96" i="7"/>
  <c r="F96" i="7" s="1"/>
  <c r="P95" i="7"/>
  <c r="N95" i="7"/>
  <c r="W94" i="7" l="1"/>
  <c r="Y94" i="7"/>
  <c r="N96" i="7"/>
  <c r="P96" i="7"/>
  <c r="V95" i="7"/>
  <c r="T95" i="7"/>
  <c r="I98" i="7"/>
  <c r="H97" i="7"/>
  <c r="F97" i="7" s="1"/>
  <c r="Q95" i="7"/>
  <c r="R95" i="7"/>
  <c r="X95" i="7" s="1"/>
  <c r="Q96" i="7" l="1"/>
  <c r="R96" i="7"/>
  <c r="X96" i="7" s="1"/>
  <c r="I99" i="7"/>
  <c r="H98" i="7"/>
  <c r="F98" i="7" s="1"/>
  <c r="W95" i="7"/>
  <c r="N97" i="7"/>
  <c r="P97" i="7"/>
  <c r="V96" i="7"/>
  <c r="T96" i="7"/>
  <c r="Y95" i="7"/>
  <c r="W96" i="7" l="1"/>
  <c r="Y96" i="7"/>
  <c r="N98" i="7"/>
  <c r="P98" i="7"/>
  <c r="V97" i="7"/>
  <c r="T97" i="7"/>
  <c r="Q97" i="7"/>
  <c r="R97" i="7"/>
  <c r="X97" i="7" s="1"/>
  <c r="H99" i="7"/>
  <c r="F99" i="7" s="1"/>
  <c r="I100" i="7"/>
  <c r="W97" i="7" l="1"/>
  <c r="Y97" i="7"/>
  <c r="I101" i="7"/>
  <c r="H100" i="7"/>
  <c r="F100" i="7" s="1"/>
  <c r="R98" i="7"/>
  <c r="X98" i="7" s="1"/>
  <c r="Q98" i="7"/>
  <c r="N99" i="7"/>
  <c r="P99" i="7"/>
  <c r="V98" i="7"/>
  <c r="T98" i="7"/>
  <c r="Y98" i="7" l="1"/>
  <c r="W98" i="7"/>
  <c r="R99" i="7"/>
  <c r="X99" i="7" s="1"/>
  <c r="Q99" i="7"/>
  <c r="P100" i="7"/>
  <c r="N100" i="7"/>
  <c r="V99" i="7"/>
  <c r="T99" i="7"/>
  <c r="H101" i="7"/>
  <c r="F101" i="7" s="1"/>
  <c r="I102" i="7"/>
  <c r="Y99" i="7" l="1"/>
  <c r="W99" i="7"/>
  <c r="V100" i="7"/>
  <c r="T100" i="7"/>
  <c r="R100" i="7"/>
  <c r="X100" i="7" s="1"/>
  <c r="Q100" i="7"/>
  <c r="I103" i="7"/>
  <c r="H102" i="7"/>
  <c r="F102" i="7" s="1"/>
  <c r="W100" i="7" l="1"/>
  <c r="Y100" i="7"/>
  <c r="H103" i="7"/>
  <c r="F103" i="7" s="1"/>
  <c r="I104" i="7"/>
  <c r="H104" i="7" l="1"/>
  <c r="F104" i="7" s="1"/>
  <c r="I105" i="7"/>
  <c r="I106" i="7" l="1"/>
  <c r="H105" i="7"/>
  <c r="F105" i="7" s="1"/>
  <c r="I107" i="7" l="1"/>
  <c r="H106" i="7"/>
  <c r="F106" i="7" s="1"/>
  <c r="I108" i="7" l="1"/>
  <c r="H107" i="7"/>
  <c r="F107" i="7" s="1"/>
  <c r="I109" i="7" l="1"/>
  <c r="H108" i="7"/>
  <c r="F108" i="7" s="1"/>
  <c r="I110" i="7" l="1"/>
  <c r="H109" i="7"/>
  <c r="F109" i="7" s="1"/>
  <c r="H110" i="7" l="1"/>
  <c r="F110" i="7" s="1"/>
  <c r="I111" i="7"/>
  <c r="H111" i="7" l="1"/>
  <c r="F111" i="7" s="1"/>
  <c r="I112" i="7"/>
  <c r="H112" i="7" l="1"/>
  <c r="F112" i="7" s="1"/>
  <c r="I113" i="7"/>
  <c r="I114" i="7" l="1"/>
  <c r="H113" i="7"/>
  <c r="F113" i="7" s="1"/>
  <c r="I115" i="7" l="1"/>
  <c r="H114" i="7"/>
  <c r="F114" i="7" s="1"/>
  <c r="H115" i="7" l="1"/>
  <c r="F115" i="7" s="1"/>
  <c r="I116" i="7"/>
  <c r="H116" i="7" l="1"/>
  <c r="F116" i="7" s="1"/>
  <c r="I117" i="7"/>
  <c r="I118" i="7" l="1"/>
  <c r="H117" i="7"/>
  <c r="F117" i="7" s="1"/>
  <c r="I119" i="7" l="1"/>
  <c r="H118" i="7"/>
  <c r="F118" i="7" s="1"/>
  <c r="I120" i="7" l="1"/>
  <c r="H119" i="7"/>
  <c r="F119" i="7" s="1"/>
  <c r="H120" i="7" l="1"/>
  <c r="F120" i="7" s="1"/>
  <c r="I121" i="7"/>
  <c r="I122" i="7" l="1"/>
  <c r="H121" i="7"/>
  <c r="F121" i="7" s="1"/>
  <c r="H122" i="7" l="1"/>
  <c r="F122" i="7" s="1"/>
  <c r="I123" i="7"/>
  <c r="I124" i="7" l="1"/>
  <c r="H123" i="7"/>
  <c r="F123" i="7" s="1"/>
  <c r="H124" i="7" l="1"/>
  <c r="F124" i="7" s="1"/>
  <c r="I125" i="7"/>
  <c r="I126" i="7" l="1"/>
  <c r="H125" i="7"/>
  <c r="F125" i="7" s="1"/>
  <c r="I127" i="7" l="1"/>
  <c r="H126" i="7"/>
  <c r="F126" i="7" s="1"/>
  <c r="I128" i="7" l="1"/>
  <c r="H127" i="7"/>
  <c r="F127" i="7" s="1"/>
  <c r="I129" i="7" l="1"/>
  <c r="H128" i="7"/>
  <c r="F128" i="7" s="1"/>
  <c r="I130" i="7" l="1"/>
  <c r="H129" i="7"/>
  <c r="F129" i="7" s="1"/>
  <c r="I131" i="7" l="1"/>
  <c r="H130" i="7"/>
  <c r="F130" i="7" s="1"/>
  <c r="I132" i="7" l="1"/>
  <c r="H131" i="7"/>
  <c r="F131" i="7" s="1"/>
  <c r="I133" i="7" l="1"/>
  <c r="H132" i="7"/>
  <c r="F132" i="7" s="1"/>
  <c r="I134" i="7" l="1"/>
  <c r="H133" i="7"/>
  <c r="F133" i="7" s="1"/>
  <c r="I135" i="7" l="1"/>
  <c r="H134" i="7"/>
  <c r="F134" i="7" s="1"/>
  <c r="I136" i="7" l="1"/>
  <c r="H135" i="7"/>
  <c r="F135" i="7" s="1"/>
  <c r="H136" i="7" l="1"/>
  <c r="F136" i="7" s="1"/>
  <c r="I137" i="7"/>
  <c r="I138" i="7" l="1"/>
  <c r="H137" i="7"/>
  <c r="F137" i="7" s="1"/>
  <c r="I139" i="7" l="1"/>
  <c r="H138" i="7"/>
  <c r="F138" i="7" s="1"/>
  <c r="I140" i="7" l="1"/>
  <c r="H139" i="7"/>
  <c r="F139" i="7" s="1"/>
  <c r="H140" i="7" l="1"/>
  <c r="F140" i="7" s="1"/>
  <c r="I141" i="7"/>
  <c r="I142" i="7" l="1"/>
  <c r="H141" i="7"/>
  <c r="F141" i="7" s="1"/>
  <c r="I143" i="7" l="1"/>
  <c r="H142" i="7"/>
  <c r="F142" i="7" s="1"/>
  <c r="I144" i="7" l="1"/>
  <c r="H143" i="7"/>
  <c r="F143" i="7" s="1"/>
  <c r="I145" i="7" l="1"/>
  <c r="H144" i="7"/>
  <c r="F144" i="7" s="1"/>
  <c r="H145" i="7" l="1"/>
  <c r="F145" i="7" s="1"/>
  <c r="I146" i="7"/>
  <c r="I147" i="7" l="1"/>
  <c r="H146" i="7"/>
  <c r="F146" i="7" s="1"/>
  <c r="H147" i="7" l="1"/>
  <c r="F147" i="7" s="1"/>
  <c r="I148" i="7"/>
  <c r="I149" i="7" l="1"/>
  <c r="H148" i="7"/>
  <c r="F148" i="7" s="1"/>
  <c r="I150" i="7" l="1"/>
  <c r="H149" i="7"/>
  <c r="F149" i="7" s="1"/>
  <c r="I151" i="7" l="1"/>
  <c r="H150" i="7"/>
  <c r="F150" i="7" s="1"/>
  <c r="H151" i="7" l="1"/>
  <c r="F151" i="7" s="1"/>
  <c r="I152" i="7"/>
  <c r="H152" i="7" l="1"/>
  <c r="F152" i="7" s="1"/>
  <c r="I153" i="7"/>
  <c r="I154" i="7" l="1"/>
  <c r="H153" i="7"/>
  <c r="F153" i="7" s="1"/>
  <c r="I155" i="7" l="1"/>
  <c r="H154" i="7"/>
  <c r="F154" i="7" s="1"/>
  <c r="I156" i="7" l="1"/>
  <c r="H155" i="7"/>
  <c r="F155" i="7" s="1"/>
  <c r="H156" i="7" l="1"/>
  <c r="F156" i="7" s="1"/>
  <c r="I157" i="7"/>
  <c r="I158" i="7" l="1"/>
  <c r="H157" i="7"/>
  <c r="F157" i="7" s="1"/>
  <c r="I159" i="7" l="1"/>
  <c r="H158" i="7"/>
  <c r="F158" i="7" s="1"/>
  <c r="I160" i="7" l="1"/>
  <c r="H159" i="7"/>
  <c r="F159" i="7" s="1"/>
  <c r="H160" i="7" l="1"/>
  <c r="F160" i="7" s="1"/>
  <c r="I161" i="7"/>
  <c r="I162" i="7" l="1"/>
  <c r="H161" i="7"/>
  <c r="F161" i="7" s="1"/>
  <c r="H162" i="7" l="1"/>
  <c r="F162" i="7" s="1"/>
  <c r="I163" i="7"/>
  <c r="I164" i="7" l="1"/>
  <c r="H163" i="7"/>
  <c r="F163" i="7" s="1"/>
  <c r="H164" i="7" l="1"/>
  <c r="F164" i="7" s="1"/>
  <c r="I165" i="7"/>
  <c r="I166" i="7" l="1"/>
  <c r="H165" i="7"/>
  <c r="F165" i="7" s="1"/>
  <c r="I167" i="7" l="1"/>
  <c r="H166" i="7"/>
  <c r="F166" i="7" s="1"/>
  <c r="H167" i="7" l="1"/>
  <c r="F167" i="7" s="1"/>
  <c r="I168" i="7"/>
  <c r="H168" i="7" l="1"/>
  <c r="F168" i="7" s="1"/>
  <c r="I169" i="7"/>
  <c r="H169" i="7" l="1"/>
  <c r="F169" i="7" s="1"/>
  <c r="I170" i="7"/>
  <c r="I171" i="7" l="1"/>
  <c r="H170" i="7"/>
  <c r="F170" i="7" s="1"/>
  <c r="H171" i="7" l="1"/>
  <c r="F171" i="7" s="1"/>
  <c r="I172" i="7"/>
  <c r="I173" i="7" l="1"/>
  <c r="H172" i="7"/>
  <c r="F172" i="7" s="1"/>
  <c r="I174" i="7" l="1"/>
  <c r="H173" i="7"/>
  <c r="F173" i="7" s="1"/>
  <c r="I175" i="7" l="1"/>
  <c r="H174" i="7"/>
  <c r="F174" i="7" s="1"/>
  <c r="I176" i="7" l="1"/>
  <c r="H175" i="7"/>
  <c r="F175" i="7" s="1"/>
  <c r="I177" i="7" l="1"/>
  <c r="H176" i="7"/>
  <c r="F176" i="7" s="1"/>
  <c r="H177" i="7" l="1"/>
  <c r="F177" i="7" s="1"/>
  <c r="I178" i="7"/>
  <c r="H178" i="7" l="1"/>
  <c r="F178" i="7" s="1"/>
  <c r="I179" i="7"/>
  <c r="I180" i="7" l="1"/>
  <c r="H179" i="7"/>
  <c r="F179" i="7" s="1"/>
  <c r="H180" i="7" l="1"/>
  <c r="F180" i="7" s="1"/>
  <c r="I181" i="7"/>
  <c r="I182" i="7" l="1"/>
  <c r="H181" i="7"/>
  <c r="F181" i="7" s="1"/>
  <c r="H182" i="7" l="1"/>
  <c r="F182" i="7" s="1"/>
  <c r="I183" i="7"/>
  <c r="I184" i="7" l="1"/>
  <c r="H183" i="7"/>
  <c r="F183" i="7" s="1"/>
  <c r="H184" i="7" l="1"/>
  <c r="F184" i="7" s="1"/>
  <c r="I185" i="7"/>
  <c r="I186" i="7" l="1"/>
  <c r="H185" i="7"/>
  <c r="F185" i="7" s="1"/>
  <c r="I187" i="7" l="1"/>
  <c r="H186" i="7"/>
  <c r="F186" i="7" s="1"/>
  <c r="H187" i="7" l="1"/>
  <c r="F187" i="7" s="1"/>
  <c r="I188" i="7"/>
  <c r="I189" i="7" l="1"/>
  <c r="H188" i="7"/>
  <c r="F188" i="7" s="1"/>
  <c r="I190" i="7" l="1"/>
  <c r="H189" i="7"/>
  <c r="F189" i="7" s="1"/>
  <c r="I191" i="7" l="1"/>
  <c r="H190" i="7"/>
  <c r="F190" i="7" s="1"/>
  <c r="H191" i="7" l="1"/>
  <c r="F191" i="7" s="1"/>
  <c r="I192" i="7"/>
  <c r="H192" i="7" l="1"/>
  <c r="F192" i="7" s="1"/>
  <c r="I193" i="7"/>
  <c r="H193" i="7" l="1"/>
  <c r="F193" i="7" s="1"/>
  <c r="I194" i="7"/>
  <c r="I195" i="7" l="1"/>
  <c r="H194" i="7"/>
  <c r="F194" i="7" s="1"/>
  <c r="I196" i="7" l="1"/>
  <c r="H195" i="7"/>
  <c r="F195" i="7" s="1"/>
  <c r="H196" i="7" l="1"/>
  <c r="F196" i="7" s="1"/>
  <c r="I197" i="7"/>
  <c r="I198" i="7" l="1"/>
  <c r="H197" i="7"/>
  <c r="F197" i="7" s="1"/>
  <c r="H198" i="7" l="1"/>
  <c r="F198" i="7" s="1"/>
  <c r="I199" i="7"/>
  <c r="H199" i="7" l="1"/>
  <c r="F199" i="7" s="1"/>
  <c r="I200" i="7"/>
  <c r="H200" i="7" l="1"/>
  <c r="F200" i="7" s="1"/>
  <c r="I201" i="7"/>
  <c r="I202" i="7" l="1"/>
  <c r="H201" i="7"/>
  <c r="F201" i="7" s="1"/>
  <c r="I203" i="7" l="1"/>
  <c r="H202" i="7"/>
  <c r="F202" i="7" s="1"/>
  <c r="H203" i="7" l="1"/>
  <c r="F203" i="7" s="1"/>
  <c r="I204" i="7"/>
  <c r="I205" i="7" l="1"/>
  <c r="H204" i="7"/>
  <c r="F204" i="7" s="1"/>
  <c r="H205" i="7" l="1"/>
  <c r="F205" i="7" s="1"/>
  <c r="I206" i="7"/>
  <c r="H206" i="7" l="1"/>
  <c r="F206" i="7" s="1"/>
  <c r="I207" i="7"/>
  <c r="H207" i="7" l="1"/>
  <c r="F207" i="7" s="1"/>
  <c r="I208" i="7"/>
  <c r="H208" i="7" l="1"/>
  <c r="F208" i="7" s="1"/>
  <c r="I209" i="7"/>
  <c r="I210" i="7" l="1"/>
  <c r="H209" i="7"/>
  <c r="F209" i="7" s="1"/>
  <c r="H210" i="7" l="1"/>
  <c r="F210" i="7" s="1"/>
  <c r="I211" i="7"/>
  <c r="I212" i="7" l="1"/>
  <c r="H211" i="7"/>
  <c r="F211" i="7" s="1"/>
  <c r="I213" i="7" l="1"/>
  <c r="H212" i="7"/>
  <c r="F212" i="7" s="1"/>
  <c r="I214" i="7" l="1"/>
  <c r="H213" i="7"/>
  <c r="F213" i="7" s="1"/>
  <c r="H214" i="7" l="1"/>
  <c r="F214" i="7" s="1"/>
  <c r="I215" i="7"/>
  <c r="H215" i="7" l="1"/>
  <c r="F215" i="7" s="1"/>
  <c r="I216" i="7"/>
  <c r="H216" i="7" l="1"/>
  <c r="F216" i="7" s="1"/>
  <c r="I217" i="7"/>
  <c r="I218" i="7" l="1"/>
  <c r="H217" i="7"/>
  <c r="F217" i="7" s="1"/>
  <c r="I219" i="7" l="1"/>
  <c r="H218" i="7"/>
  <c r="F218" i="7" s="1"/>
  <c r="H219" i="7" l="1"/>
  <c r="F219" i="7" s="1"/>
  <c r="I220" i="7"/>
  <c r="I221" i="7" l="1"/>
  <c r="H220" i="7"/>
  <c r="F220" i="7" s="1"/>
  <c r="I222" i="7" l="1"/>
  <c r="H221" i="7"/>
  <c r="F221" i="7" s="1"/>
  <c r="H222" i="7" l="1"/>
  <c r="F222" i="7" s="1"/>
  <c r="I223" i="7"/>
  <c r="I224" i="7" l="1"/>
  <c r="H223" i="7"/>
  <c r="F223" i="7" s="1"/>
  <c r="H224" i="7" l="1"/>
  <c r="F224" i="7" s="1"/>
  <c r="I225" i="7"/>
  <c r="I226" i="7" l="1"/>
  <c r="H225" i="7"/>
  <c r="F225" i="7" s="1"/>
  <c r="H226" i="7" l="1"/>
  <c r="F226" i="7" s="1"/>
  <c r="I227" i="7"/>
  <c r="I228" i="7" l="1"/>
  <c r="H227" i="7"/>
  <c r="F227" i="7" s="1"/>
  <c r="H228" i="7" l="1"/>
  <c r="F228" i="7" s="1"/>
  <c r="I229" i="7"/>
  <c r="I230" i="7" l="1"/>
  <c r="H229" i="7"/>
  <c r="F229" i="7" s="1"/>
  <c r="H230" i="7" l="1"/>
  <c r="F230" i="7" s="1"/>
  <c r="I231" i="7"/>
  <c r="I232" i="7" l="1"/>
  <c r="H231" i="7"/>
  <c r="F231" i="7" s="1"/>
  <c r="H232" i="7" l="1"/>
  <c r="F232" i="7" s="1"/>
  <c r="I233" i="7"/>
  <c r="I234" i="7" l="1"/>
  <c r="H233" i="7"/>
  <c r="F233" i="7" s="1"/>
  <c r="I235" i="7" l="1"/>
  <c r="H234" i="7"/>
  <c r="F234" i="7" s="1"/>
  <c r="H235" i="7" l="1"/>
  <c r="F235" i="7" s="1"/>
  <c r="I236" i="7"/>
  <c r="I237" i="7" l="1"/>
  <c r="H236" i="7"/>
  <c r="F236" i="7" s="1"/>
  <c r="I238" i="7" l="1"/>
  <c r="H237" i="7"/>
  <c r="F237" i="7" s="1"/>
  <c r="I239" i="7" l="1"/>
  <c r="H238" i="7"/>
  <c r="F238" i="7" s="1"/>
  <c r="I240" i="7" l="1"/>
  <c r="H239" i="7"/>
  <c r="F239" i="7" s="1"/>
  <c r="H240" i="7" l="1"/>
  <c r="F240" i="7" s="1"/>
  <c r="I241" i="7"/>
  <c r="I242" i="7" l="1"/>
  <c r="H241" i="7"/>
  <c r="F241" i="7" s="1"/>
  <c r="H242" i="7" l="1"/>
  <c r="F242" i="7" s="1"/>
  <c r="I243" i="7"/>
  <c r="I244" i="7" l="1"/>
  <c r="H243" i="7"/>
  <c r="F243" i="7" s="1"/>
  <c r="H244" i="7" l="1"/>
  <c r="F244" i="7" s="1"/>
  <c r="I245" i="7"/>
  <c r="I246" i="7" l="1"/>
  <c r="H245" i="7"/>
  <c r="F245" i="7" s="1"/>
  <c r="H246" i="7" l="1"/>
  <c r="F246" i="7" s="1"/>
  <c r="I247" i="7"/>
  <c r="H247" i="7" l="1"/>
  <c r="F247" i="7" s="1"/>
  <c r="I248" i="7"/>
  <c r="H248" i="7" l="1"/>
  <c r="F248" i="7" s="1"/>
  <c r="I249" i="7"/>
  <c r="I250" i="7" l="1"/>
  <c r="H249" i="7"/>
  <c r="F249" i="7" s="1"/>
  <c r="H250" i="7" l="1"/>
  <c r="F250" i="7" s="1"/>
  <c r="I251" i="7"/>
  <c r="H251" i="7" l="1"/>
  <c r="F251" i="7" s="1"/>
  <c r="I252" i="7"/>
  <c r="I253" i="7" l="1"/>
  <c r="H252" i="7"/>
  <c r="F252" i="7" s="1"/>
  <c r="I254" i="7" l="1"/>
  <c r="H253" i="7"/>
  <c r="F253" i="7" s="1"/>
  <c r="I255" i="7" l="1"/>
  <c r="H254" i="7"/>
  <c r="F254" i="7" s="1"/>
  <c r="H255" i="7" l="1"/>
  <c r="F255" i="7" s="1"/>
  <c r="I256" i="7"/>
  <c r="I257" i="7" l="1"/>
  <c r="H256" i="7"/>
  <c r="F256" i="7" s="1"/>
  <c r="I258" i="7" l="1"/>
  <c r="H257" i="7"/>
  <c r="F257" i="7" s="1"/>
  <c r="H258" i="7" l="1"/>
  <c r="F258" i="7" s="1"/>
  <c r="I259" i="7"/>
  <c r="I260" i="7" l="1"/>
  <c r="H259" i="7"/>
  <c r="F259" i="7" s="1"/>
  <c r="I261" i="7" l="1"/>
  <c r="H260" i="7"/>
  <c r="F260" i="7" s="1"/>
  <c r="I262" i="7" l="1"/>
  <c r="H261" i="7"/>
  <c r="F261" i="7" s="1"/>
  <c r="H262" i="7" l="1"/>
  <c r="F262" i="7" s="1"/>
  <c r="I263" i="7"/>
  <c r="H263" i="7" l="1"/>
  <c r="F263" i="7" s="1"/>
  <c r="I264" i="7"/>
  <c r="I265" i="7" l="1"/>
  <c r="H264" i="7"/>
  <c r="F264" i="7" s="1"/>
  <c r="I266" i="7" l="1"/>
  <c r="H265" i="7"/>
  <c r="F265" i="7" s="1"/>
  <c r="I267" i="7" l="1"/>
  <c r="H266" i="7"/>
  <c r="F266" i="7" s="1"/>
  <c r="H267" i="7" l="1"/>
  <c r="F267" i="7" s="1"/>
  <c r="I268" i="7"/>
  <c r="I269" i="7" l="1"/>
  <c r="H268" i="7"/>
  <c r="F268" i="7" s="1"/>
  <c r="I270" i="7" l="1"/>
  <c r="H269" i="7"/>
  <c r="F269" i="7" s="1"/>
  <c r="I271" i="7" l="1"/>
  <c r="H270" i="7"/>
  <c r="F270" i="7" s="1"/>
  <c r="I272" i="7" l="1"/>
  <c r="H271" i="7"/>
  <c r="F271" i="7" s="1"/>
  <c r="H272" i="7" l="1"/>
  <c r="F272" i="7" s="1"/>
  <c r="I273" i="7"/>
  <c r="H273" i="7" l="1"/>
  <c r="F273" i="7" s="1"/>
  <c r="I274" i="7"/>
  <c r="I275" i="7" l="1"/>
  <c r="H274" i="7"/>
  <c r="F274" i="7" s="1"/>
  <c r="H275" i="7" l="1"/>
  <c r="F275" i="7" s="1"/>
  <c r="I276" i="7"/>
  <c r="H276" i="7" l="1"/>
  <c r="F276" i="7" s="1"/>
  <c r="I277" i="7"/>
  <c r="I278" i="7" l="1"/>
  <c r="H277" i="7"/>
  <c r="F277" i="7" s="1"/>
  <c r="H278" i="7" l="1"/>
  <c r="F278" i="7" s="1"/>
  <c r="I279" i="7"/>
  <c r="H279" i="7" l="1"/>
  <c r="F279" i="7" s="1"/>
  <c r="I280" i="7"/>
  <c r="H280" i="7" l="1"/>
  <c r="F280" i="7" s="1"/>
  <c r="I281" i="7"/>
  <c r="I282" i="7" l="1"/>
  <c r="H281" i="7"/>
  <c r="F281" i="7" s="1"/>
  <c r="I283" i="7" l="1"/>
  <c r="H282" i="7"/>
  <c r="F282" i="7" s="1"/>
  <c r="I284" i="7" l="1"/>
  <c r="H283" i="7"/>
  <c r="F283" i="7" s="1"/>
  <c r="H284" i="7" l="1"/>
  <c r="F284" i="7" s="1"/>
  <c r="I285" i="7"/>
  <c r="I286" i="7" l="1"/>
  <c r="H285" i="7"/>
  <c r="F285" i="7" s="1"/>
  <c r="H286" i="7" l="1"/>
  <c r="F286" i="7" s="1"/>
  <c r="I287" i="7"/>
  <c r="H287" i="7" l="1"/>
  <c r="F287" i="7" s="1"/>
  <c r="I288" i="7"/>
  <c r="H288" i="7" l="1"/>
  <c r="F288" i="7" s="1"/>
  <c r="I289" i="7"/>
  <c r="I290" i="7" l="1"/>
  <c r="H289" i="7"/>
  <c r="F289" i="7" s="1"/>
  <c r="H290" i="7" l="1"/>
  <c r="F290" i="7" s="1"/>
  <c r="I291" i="7"/>
  <c r="I292" i="7" l="1"/>
  <c r="H291" i="7"/>
  <c r="F291" i="7" s="1"/>
  <c r="H292" i="7" l="1"/>
  <c r="F292" i="7" s="1"/>
  <c r="I293" i="7"/>
  <c r="I294" i="7" l="1"/>
  <c r="H293" i="7"/>
  <c r="F293" i="7" s="1"/>
  <c r="H294" i="7" l="1"/>
  <c r="F294" i="7" s="1"/>
  <c r="I295" i="7"/>
  <c r="H295" i="7" l="1"/>
  <c r="F295" i="7" s="1"/>
  <c r="I296" i="7"/>
  <c r="H296" i="7" l="1"/>
  <c r="F296" i="7" s="1"/>
  <c r="I297" i="7"/>
  <c r="I298" i="7" l="1"/>
  <c r="H297" i="7"/>
  <c r="F297" i="7" s="1"/>
  <c r="I299" i="7" l="1"/>
  <c r="H298" i="7"/>
  <c r="F298" i="7" s="1"/>
  <c r="H299" i="7" l="1"/>
  <c r="F299" i="7" s="1"/>
  <c r="I300" i="7"/>
  <c r="H300" i="7" l="1"/>
  <c r="F300" i="7" s="1"/>
  <c r="I301" i="7"/>
  <c r="I302" i="7" l="1"/>
  <c r="H301" i="7"/>
  <c r="F301" i="7" s="1"/>
  <c r="H302" i="7" l="1"/>
  <c r="F302" i="7" s="1"/>
  <c r="I303" i="7"/>
  <c r="H303" i="7" l="1"/>
  <c r="F303" i="7" s="1"/>
  <c r="I304" i="7"/>
  <c r="H304" i="7" l="1"/>
  <c r="F304" i="7" s="1"/>
  <c r="I305" i="7"/>
  <c r="H305" i="7" l="1"/>
  <c r="F305" i="7" s="1"/>
  <c r="I306" i="7"/>
  <c r="H306" i="7" l="1"/>
  <c r="F306" i="7" s="1"/>
  <c r="I307" i="7"/>
  <c r="I308" i="7" l="1"/>
  <c r="H307" i="7"/>
  <c r="F307" i="7" s="1"/>
  <c r="I309" i="7" l="1"/>
  <c r="H308" i="7"/>
  <c r="F308" i="7" s="1"/>
  <c r="I310" i="7" l="1"/>
  <c r="H309" i="7"/>
  <c r="F309" i="7" s="1"/>
  <c r="H310" i="7" l="1"/>
  <c r="F310" i="7" s="1"/>
  <c r="I311" i="7"/>
  <c r="H311" i="7" l="1"/>
  <c r="F311" i="7" s="1"/>
  <c r="I312" i="7"/>
  <c r="H312" i="7" l="1"/>
  <c r="F312" i="7" s="1"/>
  <c r="I313" i="7"/>
  <c r="I314" i="7" l="1"/>
  <c r="H313" i="7"/>
  <c r="F313" i="7" s="1"/>
  <c r="I315" i="7" l="1"/>
  <c r="H314" i="7"/>
  <c r="F314" i="7" s="1"/>
  <c r="H315" i="7" l="1"/>
  <c r="F315" i="7" s="1"/>
  <c r="I316" i="7"/>
  <c r="I317" i="7" l="1"/>
  <c r="H316" i="7"/>
  <c r="F316" i="7" s="1"/>
  <c r="H317" i="7" l="1"/>
  <c r="F317" i="7" s="1"/>
  <c r="I318" i="7"/>
  <c r="H318" i="7" l="1"/>
  <c r="F318" i="7" s="1"/>
  <c r="I319" i="7"/>
  <c r="H319" i="7" l="1"/>
  <c r="F319" i="7" s="1"/>
  <c r="I320" i="7"/>
  <c r="I321" i="7" l="1"/>
  <c r="H320" i="7"/>
  <c r="F320" i="7" s="1"/>
  <c r="I322" i="7" l="1"/>
  <c r="H321" i="7"/>
  <c r="F321" i="7" s="1"/>
  <c r="I323" i="7" l="1"/>
  <c r="H322" i="7"/>
  <c r="F322" i="7" s="1"/>
  <c r="H323" i="7" l="1"/>
  <c r="F323" i="7" s="1"/>
  <c r="I324" i="7"/>
  <c r="H324" i="7" l="1"/>
  <c r="F324" i="7" s="1"/>
  <c r="I325" i="7"/>
  <c r="I326" i="7" l="1"/>
  <c r="H325" i="7"/>
  <c r="F325" i="7" s="1"/>
  <c r="H326" i="7" l="1"/>
  <c r="F326" i="7" s="1"/>
  <c r="I327" i="7"/>
  <c r="H327" i="7" l="1"/>
  <c r="F327" i="7" s="1"/>
  <c r="I328" i="7"/>
  <c r="I329" i="7" l="1"/>
  <c r="H328" i="7"/>
  <c r="F328" i="7" s="1"/>
  <c r="I330" i="7" l="1"/>
  <c r="H329" i="7"/>
  <c r="F329" i="7" s="1"/>
  <c r="I331" i="7" l="1"/>
  <c r="H330" i="7"/>
  <c r="F330" i="7" s="1"/>
  <c r="H331" i="7" l="1"/>
  <c r="F331" i="7" s="1"/>
  <c r="I332" i="7"/>
  <c r="H332" i="7" l="1"/>
  <c r="F332" i="7" s="1"/>
  <c r="I333" i="7"/>
  <c r="H333" i="7" l="1"/>
  <c r="F333" i="7" s="1"/>
  <c r="I334" i="7"/>
  <c r="H334" i="7" l="1"/>
  <c r="F334" i="7" s="1"/>
  <c r="I335" i="7"/>
  <c r="I336" i="7" l="1"/>
  <c r="H335" i="7"/>
  <c r="F335" i="7" s="1"/>
  <c r="I337" i="7" l="1"/>
  <c r="H336" i="7"/>
  <c r="F336" i="7" s="1"/>
  <c r="I338" i="7" l="1"/>
  <c r="H337" i="7"/>
  <c r="F337" i="7" s="1"/>
  <c r="I339" i="7" l="1"/>
  <c r="H338" i="7"/>
  <c r="F338" i="7" s="1"/>
  <c r="H339" i="7" l="1"/>
  <c r="F339" i="7" s="1"/>
  <c r="I340" i="7"/>
  <c r="I341" i="7" l="1"/>
  <c r="H340" i="7"/>
  <c r="F340" i="7" s="1"/>
  <c r="I342" i="7" l="1"/>
  <c r="H341" i="7"/>
  <c r="F341" i="7" s="1"/>
  <c r="H342" i="7" l="1"/>
  <c r="F342" i="7" s="1"/>
  <c r="I343" i="7"/>
  <c r="H343" i="7" l="1"/>
  <c r="F343" i="7" s="1"/>
  <c r="I344" i="7"/>
  <c r="I345" i="7" l="1"/>
  <c r="H344" i="7"/>
  <c r="F344" i="7" s="1"/>
  <c r="H345" i="7" l="1"/>
  <c r="F345" i="7" s="1"/>
  <c r="I346" i="7"/>
  <c r="H346" i="7" l="1"/>
  <c r="F346" i="7" s="1"/>
  <c r="I347" i="7"/>
  <c r="H347" i="7" l="1"/>
  <c r="F347" i="7" s="1"/>
  <c r="I348" i="7"/>
  <c r="I349" i="7" l="1"/>
  <c r="H348" i="7"/>
  <c r="F348" i="7" s="1"/>
  <c r="I350" i="7" l="1"/>
  <c r="H349" i="7"/>
  <c r="F349" i="7" s="1"/>
  <c r="H350" i="7" l="1"/>
  <c r="F350" i="7" s="1"/>
  <c r="I351" i="7"/>
  <c r="I352" i="7" l="1"/>
  <c r="H351" i="7"/>
  <c r="F351" i="7" s="1"/>
  <c r="H352" i="7" l="1"/>
  <c r="F352" i="7" s="1"/>
  <c r="I353" i="7"/>
  <c r="I354" i="7" l="1"/>
  <c r="H353" i="7"/>
  <c r="F353" i="7" s="1"/>
  <c r="I355" i="7" l="1"/>
  <c r="H354" i="7"/>
  <c r="F354" i="7" s="1"/>
  <c r="H355" i="7" l="1"/>
  <c r="F355" i="7" s="1"/>
  <c r="I356" i="7"/>
  <c r="I357" i="7" l="1"/>
  <c r="H356" i="7"/>
  <c r="F356" i="7" s="1"/>
  <c r="H357" i="7" l="1"/>
  <c r="F357" i="7" s="1"/>
  <c r="I358" i="7"/>
  <c r="I359" i="7" l="1"/>
  <c r="H358" i="7"/>
  <c r="F358" i="7" s="1"/>
  <c r="H359" i="7" l="1"/>
  <c r="F359" i="7" s="1"/>
  <c r="I360" i="7"/>
  <c r="H360" i="7" l="1"/>
  <c r="F360" i="7" s="1"/>
  <c r="I361" i="7"/>
  <c r="H361" i="7" l="1"/>
  <c r="F361" i="7" s="1"/>
  <c r="I362" i="7"/>
  <c r="I363" i="7" l="1"/>
  <c r="H362" i="7"/>
  <c r="F362" i="7" s="1"/>
  <c r="H363" i="7" l="1"/>
  <c r="F363" i="7" s="1"/>
  <c r="I364" i="7"/>
  <c r="H364" i="7" l="1"/>
  <c r="F364" i="7" s="1"/>
  <c r="I365" i="7"/>
  <c r="I366" i="7" l="1"/>
  <c r="H365" i="7"/>
  <c r="F365" i="7" s="1"/>
  <c r="H366" i="7" l="1"/>
  <c r="F366" i="7" s="1"/>
  <c r="I367" i="7"/>
  <c r="I368" i="7" l="1"/>
  <c r="H367" i="7"/>
  <c r="F367" i="7" s="1"/>
  <c r="I369" i="7" l="1"/>
  <c r="H368" i="7"/>
  <c r="F368" i="7" s="1"/>
  <c r="I370" i="7" l="1"/>
  <c r="H369" i="7"/>
  <c r="F369" i="7" s="1"/>
  <c r="I371" i="7" l="1"/>
  <c r="H370" i="7"/>
  <c r="F370" i="7" s="1"/>
  <c r="H371" i="7" l="1"/>
  <c r="F371" i="7" s="1"/>
  <c r="I372" i="7"/>
  <c r="I373" i="7" l="1"/>
  <c r="H372" i="7"/>
  <c r="F372" i="7" s="1"/>
  <c r="I374" i="7" l="1"/>
  <c r="H373" i="7"/>
  <c r="F373" i="7" s="1"/>
  <c r="H374" i="7" l="1"/>
  <c r="F374" i="7" s="1"/>
  <c r="I375" i="7"/>
  <c r="I376" i="7" l="1"/>
  <c r="H375" i="7"/>
  <c r="F375" i="7" s="1"/>
  <c r="I377" i="7" l="1"/>
  <c r="H376" i="7"/>
  <c r="F376" i="7" s="1"/>
  <c r="I378" i="7" l="1"/>
  <c r="H377" i="7"/>
  <c r="F377" i="7" s="1"/>
  <c r="H378" i="7" l="1"/>
  <c r="F378" i="7" s="1"/>
  <c r="I379" i="7"/>
  <c r="I380" i="7" l="1"/>
  <c r="H379" i="7"/>
  <c r="F379" i="7" s="1"/>
  <c r="H380" i="7" l="1"/>
  <c r="F380" i="7" s="1"/>
  <c r="I381" i="7"/>
  <c r="I382" i="7" l="1"/>
  <c r="H381" i="7"/>
  <c r="F381" i="7" s="1"/>
  <c r="H382" i="7" l="1"/>
  <c r="F382" i="7" s="1"/>
  <c r="I383" i="7"/>
  <c r="H383" i="7" l="1"/>
  <c r="F383" i="7" s="1"/>
  <c r="I384" i="7"/>
  <c r="H384" i="7" l="1"/>
  <c r="F384" i="7" s="1"/>
  <c r="I385" i="7"/>
  <c r="I386" i="7" l="1"/>
  <c r="H385" i="7"/>
  <c r="F385" i="7" s="1"/>
  <c r="I387" i="7" l="1"/>
  <c r="H386" i="7"/>
  <c r="F386" i="7" s="1"/>
  <c r="I388" i="7" l="1"/>
  <c r="H387" i="7"/>
  <c r="F387" i="7" s="1"/>
  <c r="I389" i="7" l="1"/>
  <c r="H388" i="7"/>
  <c r="F388" i="7" s="1"/>
  <c r="I390" i="7" l="1"/>
  <c r="H389" i="7"/>
  <c r="F389" i="7" s="1"/>
  <c r="I391" i="7" l="1"/>
  <c r="H390" i="7"/>
  <c r="F390" i="7" s="1"/>
  <c r="I392" i="7" l="1"/>
  <c r="H391" i="7"/>
  <c r="F391" i="7" s="1"/>
  <c r="I393" i="7" l="1"/>
  <c r="H392" i="7"/>
  <c r="F392" i="7" s="1"/>
  <c r="I394" i="7" l="1"/>
  <c r="H393" i="7"/>
  <c r="F393" i="7" s="1"/>
  <c r="I395" i="7" l="1"/>
  <c r="H394" i="7"/>
  <c r="F394" i="7" s="1"/>
  <c r="I396" i="7" l="1"/>
  <c r="H395" i="7"/>
  <c r="F395" i="7" s="1"/>
  <c r="I397" i="7" l="1"/>
  <c r="H396" i="7"/>
  <c r="F396" i="7" s="1"/>
  <c r="I398" i="7" l="1"/>
  <c r="H397" i="7"/>
  <c r="F397" i="7" s="1"/>
  <c r="I399" i="7" l="1"/>
  <c r="H398" i="7"/>
  <c r="F398" i="7" s="1"/>
  <c r="I400" i="7" l="1"/>
  <c r="H399" i="7"/>
  <c r="F399" i="7" s="1"/>
  <c r="H400" i="7" l="1"/>
  <c r="F400" i="7" s="1"/>
  <c r="I401" i="7"/>
  <c r="I402" i="7" l="1"/>
  <c r="H401" i="7"/>
  <c r="F401" i="7" s="1"/>
  <c r="I403" i="7" l="1"/>
  <c r="H402" i="7"/>
  <c r="F402" i="7" s="1"/>
  <c r="H403" i="7" l="1"/>
  <c r="F403" i="7" s="1"/>
  <c r="I404" i="7"/>
  <c r="I405" i="7" l="1"/>
  <c r="H404" i="7"/>
  <c r="F404" i="7" s="1"/>
  <c r="I406" i="7" l="1"/>
  <c r="H405" i="7"/>
  <c r="F405" i="7" s="1"/>
  <c r="I407" i="7" l="1"/>
  <c r="H406" i="7"/>
  <c r="F406" i="7" s="1"/>
  <c r="I408" i="7" l="1"/>
  <c r="H407" i="7"/>
  <c r="F407" i="7" s="1"/>
  <c r="H408" i="7" l="1"/>
  <c r="F408" i="7" s="1"/>
  <c r="I409" i="7"/>
  <c r="I410" i="7" l="1"/>
  <c r="H409" i="7"/>
  <c r="F409" i="7" s="1"/>
  <c r="I411" i="7" l="1"/>
  <c r="H410" i="7"/>
  <c r="F410" i="7" s="1"/>
  <c r="H411" i="7" l="1"/>
  <c r="F411" i="7" s="1"/>
  <c r="I412" i="7"/>
  <c r="I413" i="7" l="1"/>
  <c r="H412" i="7"/>
  <c r="F412" i="7" s="1"/>
  <c r="I414" i="7" l="1"/>
  <c r="H413" i="7"/>
  <c r="F413" i="7" s="1"/>
  <c r="I415" i="7" l="1"/>
  <c r="H414" i="7"/>
  <c r="F414" i="7" s="1"/>
  <c r="I416" i="7" l="1"/>
  <c r="H415" i="7"/>
  <c r="F415" i="7" s="1"/>
  <c r="H416" i="7" l="1"/>
  <c r="F416" i="7" s="1"/>
  <c r="I417" i="7"/>
  <c r="I418" i="7" l="1"/>
  <c r="H417" i="7"/>
  <c r="F417" i="7" s="1"/>
  <c r="I419" i="7" l="1"/>
  <c r="H418" i="7"/>
  <c r="F418" i="7" s="1"/>
  <c r="H419" i="7" l="1"/>
  <c r="F419" i="7" s="1"/>
  <c r="I420" i="7"/>
  <c r="I421" i="7" l="1"/>
  <c r="H420" i="7"/>
  <c r="F420" i="7" s="1"/>
  <c r="I422" i="7" l="1"/>
  <c r="H421" i="7"/>
  <c r="F421" i="7" s="1"/>
  <c r="I423" i="7" l="1"/>
  <c r="H422" i="7"/>
  <c r="F422" i="7" s="1"/>
  <c r="H423" i="7" l="1"/>
  <c r="F423" i="7" s="1"/>
  <c r="I424" i="7"/>
  <c r="H424" i="7" l="1"/>
  <c r="F424" i="7" s="1"/>
  <c r="I425" i="7"/>
  <c r="I426" i="7" l="1"/>
  <c r="H425" i="7"/>
  <c r="F425" i="7" s="1"/>
  <c r="I427" i="7" l="1"/>
  <c r="H426" i="7"/>
  <c r="F426" i="7" s="1"/>
  <c r="H427" i="7" l="1"/>
  <c r="F427" i="7" s="1"/>
  <c r="I428" i="7"/>
  <c r="I429" i="7" l="1"/>
  <c r="H428" i="7"/>
  <c r="F428" i="7" s="1"/>
  <c r="I430" i="7" l="1"/>
  <c r="H429" i="7"/>
  <c r="F429" i="7" s="1"/>
  <c r="I431" i="7" l="1"/>
  <c r="H430" i="7"/>
  <c r="F430" i="7" s="1"/>
  <c r="I432" i="7" l="1"/>
  <c r="H431" i="7"/>
  <c r="F431" i="7" s="1"/>
  <c r="H432" i="7" l="1"/>
  <c r="F432" i="7" s="1"/>
  <c r="I433" i="7"/>
  <c r="I434" i="7" l="1"/>
  <c r="H433" i="7"/>
  <c r="F433" i="7" s="1"/>
  <c r="I435" i="7" l="1"/>
  <c r="H434" i="7"/>
  <c r="F434" i="7" s="1"/>
  <c r="H435" i="7" l="1"/>
  <c r="F435" i="7" s="1"/>
  <c r="I436" i="7"/>
  <c r="I437" i="7" l="1"/>
  <c r="H436" i="7"/>
  <c r="F436" i="7" s="1"/>
  <c r="I438" i="7" l="1"/>
  <c r="H437" i="7"/>
  <c r="F437" i="7" s="1"/>
  <c r="I439" i="7" l="1"/>
  <c r="H438" i="7"/>
  <c r="F438" i="7" s="1"/>
  <c r="I440" i="7" l="1"/>
  <c r="H439" i="7"/>
  <c r="F439" i="7" s="1"/>
  <c r="H440" i="7" l="1"/>
  <c r="F440" i="7" s="1"/>
  <c r="I441" i="7"/>
  <c r="I442" i="7" l="1"/>
  <c r="H441" i="7"/>
  <c r="F441" i="7" s="1"/>
  <c r="I443" i="7" l="1"/>
  <c r="H442" i="7"/>
  <c r="F442" i="7" s="1"/>
  <c r="H443" i="7" l="1"/>
  <c r="F443" i="7" s="1"/>
  <c r="I444" i="7"/>
  <c r="I445" i="7" l="1"/>
  <c r="H444" i="7"/>
  <c r="F444" i="7" s="1"/>
  <c r="I446" i="7" l="1"/>
  <c r="H445" i="7"/>
  <c r="F445" i="7" s="1"/>
  <c r="I447" i="7" l="1"/>
  <c r="H446" i="7"/>
  <c r="F446" i="7" s="1"/>
  <c r="I448" i="7" l="1"/>
  <c r="H447" i="7"/>
  <c r="F447" i="7" s="1"/>
  <c r="H448" i="7" l="1"/>
  <c r="F448" i="7" s="1"/>
  <c r="I449" i="7"/>
  <c r="I450" i="7" l="1"/>
  <c r="H449" i="7"/>
  <c r="F449" i="7" s="1"/>
  <c r="I451" i="7" l="1"/>
  <c r="H450" i="7"/>
  <c r="F450" i="7" s="1"/>
  <c r="H451" i="7" l="1"/>
  <c r="F451" i="7" s="1"/>
  <c r="I452" i="7"/>
  <c r="I453" i="7" l="1"/>
  <c r="H452" i="7"/>
  <c r="F452" i="7" s="1"/>
  <c r="I454" i="7" l="1"/>
  <c r="H453" i="7"/>
  <c r="F453" i="7" s="1"/>
  <c r="I455" i="7" l="1"/>
  <c r="H454" i="7"/>
  <c r="F454" i="7" s="1"/>
  <c r="I456" i="7" l="1"/>
  <c r="H455" i="7"/>
  <c r="F455" i="7" s="1"/>
  <c r="H456" i="7" l="1"/>
  <c r="F456" i="7" s="1"/>
  <c r="I457" i="7"/>
  <c r="I458" i="7" l="1"/>
  <c r="H457" i="7"/>
  <c r="F457" i="7" s="1"/>
  <c r="H458" i="7" l="1"/>
  <c r="F458" i="7" s="1"/>
  <c r="I459" i="7"/>
  <c r="H459" i="7" l="1"/>
  <c r="F459" i="7" s="1"/>
  <c r="I460" i="7"/>
  <c r="I461" i="7" l="1"/>
  <c r="H460" i="7"/>
  <c r="F460" i="7" s="1"/>
  <c r="I462" i="7" l="1"/>
  <c r="H461" i="7"/>
  <c r="F461" i="7" s="1"/>
  <c r="I463" i="7" l="1"/>
  <c r="H462" i="7"/>
  <c r="F462" i="7" s="1"/>
  <c r="I464" i="7" l="1"/>
  <c r="H463" i="7"/>
  <c r="F463" i="7" s="1"/>
  <c r="H464" i="7" l="1"/>
  <c r="F464" i="7" s="1"/>
  <c r="I465" i="7"/>
  <c r="I466" i="7" l="1"/>
  <c r="H465" i="7"/>
  <c r="F465" i="7" s="1"/>
  <c r="H466" i="7" l="1"/>
  <c r="F466" i="7" s="1"/>
  <c r="I467" i="7"/>
  <c r="I468" i="7" l="1"/>
  <c r="H467" i="7"/>
  <c r="F467" i="7" s="1"/>
  <c r="I469" i="7" l="1"/>
  <c r="H468" i="7"/>
  <c r="F468" i="7" s="1"/>
  <c r="I470" i="7" l="1"/>
  <c r="H469" i="7"/>
  <c r="F469" i="7" s="1"/>
  <c r="I471" i="7" l="1"/>
  <c r="H470" i="7"/>
  <c r="F470" i="7" s="1"/>
  <c r="I472" i="7" l="1"/>
  <c r="H471" i="7"/>
  <c r="F471" i="7" s="1"/>
  <c r="H472" i="7" l="1"/>
  <c r="F472" i="7" s="1"/>
  <c r="I473" i="7"/>
  <c r="I474" i="7" l="1"/>
  <c r="H473" i="7"/>
  <c r="F473" i="7" s="1"/>
  <c r="I475" i="7" l="1"/>
  <c r="H474" i="7"/>
  <c r="F474" i="7" s="1"/>
  <c r="H475" i="7" l="1"/>
  <c r="F475" i="7" s="1"/>
  <c r="I476" i="7"/>
  <c r="I477" i="7" l="1"/>
  <c r="H476" i="7"/>
  <c r="F476" i="7" s="1"/>
  <c r="I478" i="7" l="1"/>
  <c r="H477" i="7"/>
  <c r="F477" i="7" s="1"/>
  <c r="H478" i="7" l="1"/>
  <c r="F478" i="7" s="1"/>
  <c r="I479" i="7"/>
  <c r="I480" i="7" l="1"/>
  <c r="H479" i="7"/>
  <c r="F479" i="7" s="1"/>
  <c r="I481" i="7" l="1"/>
  <c r="H480" i="7"/>
  <c r="F480" i="7" s="1"/>
  <c r="H481" i="7" l="1"/>
  <c r="F481" i="7" s="1"/>
  <c r="I482" i="7"/>
  <c r="H482" i="7" l="1"/>
  <c r="F482" i="7" s="1"/>
  <c r="I483" i="7"/>
  <c r="I484" i="7" l="1"/>
  <c r="H483" i="7"/>
  <c r="F483" i="7" s="1"/>
  <c r="I485" i="7" l="1"/>
  <c r="H484" i="7"/>
  <c r="F484" i="7" s="1"/>
  <c r="H485" i="7" l="1"/>
  <c r="F485" i="7" s="1"/>
  <c r="I486" i="7"/>
  <c r="I487" i="7" l="1"/>
  <c r="H486" i="7"/>
  <c r="F486" i="7" s="1"/>
  <c r="H487" i="7" l="1"/>
  <c r="F487" i="7" s="1"/>
  <c r="I488" i="7"/>
  <c r="I489" i="7" l="1"/>
  <c r="H488" i="7"/>
  <c r="F488" i="7" s="1"/>
  <c r="H489" i="7" l="1"/>
  <c r="F489" i="7" s="1"/>
  <c r="I490" i="7"/>
  <c r="I491" i="7" l="1"/>
  <c r="H490" i="7"/>
  <c r="F490" i="7" s="1"/>
  <c r="H491" i="7" l="1"/>
  <c r="F491" i="7" s="1"/>
  <c r="I492" i="7"/>
  <c r="I493" i="7" l="1"/>
  <c r="H492" i="7"/>
  <c r="F492" i="7" s="1"/>
  <c r="I494" i="7" l="1"/>
  <c r="H493" i="7"/>
  <c r="F493" i="7" s="1"/>
  <c r="H494" i="7" l="1"/>
  <c r="F494" i="7" s="1"/>
  <c r="I495" i="7"/>
  <c r="I496" i="7" l="1"/>
  <c r="H495" i="7"/>
  <c r="F495" i="7" s="1"/>
  <c r="I497" i="7" l="1"/>
  <c r="H496" i="7"/>
  <c r="F496" i="7" s="1"/>
  <c r="I498" i="7" l="1"/>
  <c r="H497" i="7"/>
  <c r="F497" i="7" s="1"/>
  <c r="H498" i="7" l="1"/>
  <c r="F498" i="7" s="1"/>
  <c r="I499" i="7"/>
  <c r="H499" i="7" l="1"/>
  <c r="F499" i="7" s="1"/>
  <c r="I500" i="7"/>
  <c r="I501" i="7" l="1"/>
  <c r="H500" i="7"/>
  <c r="F500" i="7" s="1"/>
  <c r="H501" i="7" l="1"/>
  <c r="F501" i="7" s="1"/>
  <c r="I502" i="7"/>
  <c r="I503" i="7" l="1"/>
  <c r="H502" i="7"/>
  <c r="F502" i="7" s="1"/>
  <c r="H503" i="7" l="1"/>
  <c r="F503" i="7" s="1"/>
  <c r="I504" i="7"/>
  <c r="I505" i="7" l="1"/>
  <c r="H504" i="7"/>
  <c r="F504" i="7" s="1"/>
  <c r="H505" i="7" l="1"/>
  <c r="F505" i="7" s="1"/>
  <c r="I506" i="7"/>
  <c r="H506" i="7" l="1"/>
  <c r="F506" i="7" s="1"/>
  <c r="I507" i="7"/>
  <c r="H507" i="7" l="1"/>
  <c r="F507" i="7" s="1"/>
  <c r="I508" i="7"/>
  <c r="I509" i="7" l="1"/>
  <c r="H508" i="7"/>
  <c r="F508" i="7" s="1"/>
  <c r="I510" i="7" l="1"/>
  <c r="H509" i="7"/>
  <c r="F509" i="7" s="1"/>
  <c r="H510" i="7" l="1"/>
  <c r="F510" i="7" s="1"/>
  <c r="I511" i="7"/>
  <c r="I512" i="7" l="1"/>
  <c r="H511" i="7"/>
  <c r="F511" i="7" s="1"/>
  <c r="H512" i="7" l="1"/>
  <c r="F512" i="7" s="1"/>
  <c r="I513" i="7"/>
  <c r="H513" i="7" l="1"/>
  <c r="F513" i="7" s="1"/>
  <c r="I514" i="7"/>
  <c r="I515" i="7" l="1"/>
  <c r="H514" i="7"/>
  <c r="F514" i="7" s="1"/>
  <c r="I516" i="7" l="1"/>
  <c r="H515" i="7"/>
  <c r="F515" i="7" s="1"/>
  <c r="I517" i="7" l="1"/>
  <c r="H516" i="7"/>
  <c r="F516" i="7" s="1"/>
  <c r="H517" i="7" l="1"/>
  <c r="F517" i="7" s="1"/>
  <c r="I518" i="7"/>
  <c r="I519" i="7" l="1"/>
  <c r="H518" i="7"/>
  <c r="F518" i="7" s="1"/>
  <c r="H519" i="7" l="1"/>
  <c r="F519" i="7" s="1"/>
  <c r="I520" i="7"/>
  <c r="I521" i="7" l="1"/>
  <c r="H520" i="7"/>
  <c r="F520" i="7" s="1"/>
  <c r="H521" i="7" l="1"/>
  <c r="F521" i="7" s="1"/>
  <c r="I522" i="7"/>
  <c r="I523" i="7" l="1"/>
  <c r="H522" i="7"/>
  <c r="F522" i="7" s="1"/>
  <c r="H523" i="7" l="1"/>
  <c r="F523" i="7" s="1"/>
  <c r="I524" i="7"/>
  <c r="I525" i="7" l="1"/>
  <c r="H524" i="7"/>
  <c r="F524" i="7" s="1"/>
  <c r="I526" i="7" l="1"/>
  <c r="H525" i="7"/>
  <c r="F525" i="7" s="1"/>
  <c r="H526" i="7" l="1"/>
  <c r="F526" i="7" s="1"/>
  <c r="I527" i="7"/>
  <c r="I528" i="7" l="1"/>
  <c r="H527" i="7"/>
  <c r="F527" i="7" s="1"/>
  <c r="I529" i="7" l="1"/>
  <c r="H528" i="7"/>
  <c r="F528" i="7" s="1"/>
  <c r="I530" i="7" l="1"/>
  <c r="H529" i="7"/>
  <c r="F529" i="7" s="1"/>
  <c r="H530" i="7" l="1"/>
  <c r="F530" i="7" s="1"/>
  <c r="I531" i="7"/>
  <c r="H531" i="7" l="1"/>
  <c r="F531" i="7" s="1"/>
  <c r="I532" i="7"/>
  <c r="I533" i="7" l="1"/>
  <c r="H532" i="7"/>
  <c r="F532" i="7" s="1"/>
  <c r="H533" i="7" l="1"/>
  <c r="F533" i="7" s="1"/>
  <c r="I534" i="7"/>
  <c r="I535" i="7" l="1"/>
  <c r="H534" i="7"/>
  <c r="F534" i="7" s="1"/>
  <c r="H535" i="7" l="1"/>
  <c r="F535" i="7" s="1"/>
  <c r="I536" i="7"/>
  <c r="I537" i="7" l="1"/>
  <c r="H536" i="7"/>
  <c r="F536" i="7" s="1"/>
  <c r="H537" i="7" l="1"/>
  <c r="F537" i="7" s="1"/>
  <c r="I538" i="7"/>
  <c r="H538" i="7" l="1"/>
  <c r="F538" i="7" s="1"/>
  <c r="I539" i="7"/>
  <c r="H539" i="7" l="1"/>
  <c r="F539" i="7" s="1"/>
  <c r="I540" i="7"/>
  <c r="I541" i="7" l="1"/>
  <c r="H540" i="7"/>
  <c r="F540" i="7" s="1"/>
  <c r="I542" i="7" l="1"/>
  <c r="H541" i="7"/>
  <c r="F541" i="7" s="1"/>
  <c r="H542" i="7" l="1"/>
  <c r="F542" i="7" s="1"/>
  <c r="I543" i="7"/>
  <c r="I544" i="7" l="1"/>
  <c r="H543" i="7"/>
  <c r="F543" i="7" s="1"/>
  <c r="I545" i="7" l="1"/>
  <c r="H544" i="7"/>
  <c r="F544" i="7" s="1"/>
  <c r="H545" i="7" l="1"/>
  <c r="F545" i="7" s="1"/>
  <c r="I546" i="7"/>
  <c r="H546" i="7" l="1"/>
  <c r="F546" i="7" s="1"/>
  <c r="I547" i="7"/>
  <c r="I548" i="7" l="1"/>
  <c r="H547" i="7"/>
  <c r="F547" i="7" s="1"/>
  <c r="I549" i="7" l="1"/>
  <c r="H548" i="7"/>
  <c r="F548" i="7" s="1"/>
  <c r="H549" i="7" l="1"/>
  <c r="F549" i="7" s="1"/>
  <c r="I550" i="7"/>
  <c r="I551" i="7" l="1"/>
  <c r="H550" i="7"/>
  <c r="F550" i="7" s="1"/>
  <c r="H551" i="7" l="1"/>
  <c r="F551" i="7" s="1"/>
  <c r="I552" i="7"/>
  <c r="I553" i="7" l="1"/>
  <c r="H552" i="7"/>
  <c r="F552" i="7" s="1"/>
  <c r="H553" i="7" l="1"/>
  <c r="F553" i="7" s="1"/>
  <c r="I554" i="7"/>
  <c r="I555" i="7" l="1"/>
  <c r="H554" i="7"/>
  <c r="F554" i="7" s="1"/>
  <c r="H555" i="7" l="1"/>
  <c r="F555" i="7" s="1"/>
  <c r="I556" i="7"/>
  <c r="I557" i="7" l="1"/>
  <c r="H556" i="7"/>
  <c r="F556" i="7" s="1"/>
  <c r="I558" i="7" l="1"/>
  <c r="H557" i="7"/>
  <c r="F557" i="7" s="1"/>
  <c r="H558" i="7" l="1"/>
  <c r="F558" i="7" s="1"/>
  <c r="I559" i="7"/>
  <c r="I560" i="7" l="1"/>
  <c r="H559" i="7"/>
  <c r="F559" i="7" s="1"/>
  <c r="I561" i="7" l="1"/>
  <c r="H560" i="7"/>
  <c r="F560" i="7" s="1"/>
  <c r="I562" i="7" l="1"/>
  <c r="H561" i="7"/>
  <c r="F561" i="7" s="1"/>
  <c r="H562" i="7" l="1"/>
  <c r="F562" i="7" s="1"/>
  <c r="I563" i="7"/>
  <c r="H563" i="7" l="1"/>
  <c r="F563" i="7" s="1"/>
  <c r="I564" i="7"/>
  <c r="I565" i="7" l="1"/>
  <c r="H564" i="7"/>
  <c r="F564" i="7" s="1"/>
  <c r="H565" i="7" l="1"/>
  <c r="F565" i="7" s="1"/>
  <c r="I566" i="7"/>
  <c r="I567" i="7" l="1"/>
  <c r="H566" i="7"/>
  <c r="F566" i="7" s="1"/>
  <c r="H567" i="7" l="1"/>
  <c r="F567" i="7" s="1"/>
  <c r="I568" i="7"/>
  <c r="I569" i="7" l="1"/>
  <c r="H568" i="7"/>
  <c r="F568" i="7" s="1"/>
  <c r="H569" i="7" l="1"/>
  <c r="F569" i="7" s="1"/>
  <c r="I570" i="7"/>
  <c r="H570" i="7" l="1"/>
  <c r="F570" i="7" s="1"/>
  <c r="I571" i="7"/>
  <c r="H571" i="7" l="1"/>
  <c r="F571" i="7" s="1"/>
  <c r="I572" i="7"/>
  <c r="I573" i="7" l="1"/>
  <c r="H572" i="7"/>
  <c r="F572" i="7" s="1"/>
  <c r="I574" i="7" l="1"/>
  <c r="H573" i="7"/>
  <c r="F573" i="7" s="1"/>
  <c r="H574" i="7" l="1"/>
  <c r="F574" i="7" s="1"/>
  <c r="I575" i="7"/>
  <c r="I576" i="7" l="1"/>
  <c r="H575" i="7"/>
  <c r="F575" i="7" s="1"/>
  <c r="I577" i="7" l="1"/>
  <c r="H576" i="7"/>
  <c r="F576" i="7" s="1"/>
  <c r="H577" i="7" l="1"/>
  <c r="F577" i="7" s="1"/>
  <c r="I578" i="7"/>
  <c r="H578" i="7" l="1"/>
  <c r="F578" i="7" s="1"/>
  <c r="I579" i="7"/>
  <c r="H579" i="7" l="1"/>
  <c r="F579" i="7" s="1"/>
  <c r="I580" i="7"/>
  <c r="I581" i="7" l="1"/>
  <c r="H580" i="7"/>
  <c r="F580" i="7" s="1"/>
  <c r="H581" i="7" l="1"/>
  <c r="F581" i="7" s="1"/>
  <c r="I582" i="7"/>
  <c r="I583" i="7" l="1"/>
  <c r="H582" i="7"/>
  <c r="F582" i="7" s="1"/>
  <c r="H583" i="7" l="1"/>
  <c r="F583" i="7" s="1"/>
  <c r="I584" i="7"/>
  <c r="I585" i="7" l="1"/>
  <c r="H584" i="7"/>
  <c r="F584" i="7" s="1"/>
  <c r="H585" i="7" l="1"/>
  <c r="F585" i="7" s="1"/>
  <c r="I586" i="7"/>
  <c r="H586" i="7" l="1"/>
  <c r="F586" i="7" s="1"/>
  <c r="I587" i="7"/>
  <c r="I588" i="7" l="1"/>
  <c r="H587" i="7"/>
  <c r="F587" i="7" s="1"/>
  <c r="I589" i="7" l="1"/>
  <c r="H588" i="7"/>
  <c r="F588" i="7" s="1"/>
  <c r="I590" i="7" l="1"/>
  <c r="H589" i="7"/>
  <c r="F589" i="7" s="1"/>
  <c r="H590" i="7" l="1"/>
  <c r="F590" i="7" s="1"/>
  <c r="I591" i="7"/>
  <c r="I592" i="7" l="1"/>
  <c r="H591" i="7"/>
  <c r="F591" i="7" s="1"/>
  <c r="I593" i="7" l="1"/>
  <c r="H592" i="7"/>
  <c r="F592" i="7" s="1"/>
  <c r="H593" i="7" l="1"/>
  <c r="F593" i="7" s="1"/>
  <c r="I594" i="7"/>
  <c r="H594" i="7" l="1"/>
  <c r="F594" i="7" s="1"/>
  <c r="I595" i="7"/>
  <c r="H595" i="7" l="1"/>
  <c r="F595" i="7" s="1"/>
  <c r="I596" i="7"/>
  <c r="H596" i="7" l="1"/>
  <c r="F596" i="7" s="1"/>
  <c r="I597" i="7"/>
  <c r="H597" i="7" l="1"/>
  <c r="F597" i="7" s="1"/>
  <c r="I598" i="7"/>
  <c r="H598" i="7" l="1"/>
  <c r="F598" i="7" s="1"/>
  <c r="I599" i="7"/>
  <c r="H599" i="7" l="1"/>
  <c r="F599" i="7" s="1"/>
  <c r="I600" i="7"/>
  <c r="H600" i="7" l="1"/>
  <c r="F600" i="7" s="1"/>
  <c r="I601" i="7"/>
  <c r="H601" i="7" l="1"/>
  <c r="F601" i="7" s="1"/>
  <c r="I602" i="7"/>
  <c r="I603" i="7" l="1"/>
  <c r="H602" i="7"/>
  <c r="F602" i="7" s="1"/>
  <c r="H603" i="7" l="1"/>
  <c r="F603" i="7" s="1"/>
  <c r="I604" i="7"/>
  <c r="H604" i="7" l="1"/>
  <c r="F604" i="7" s="1"/>
  <c r="I605" i="7"/>
  <c r="I606" i="7" l="1"/>
  <c r="H605" i="7"/>
  <c r="F605" i="7" s="1"/>
  <c r="H606" i="7" l="1"/>
  <c r="F606" i="7" s="1"/>
  <c r="I607" i="7"/>
  <c r="I608" i="7" l="1"/>
  <c r="H607" i="7"/>
  <c r="F607" i="7" s="1"/>
  <c r="H608" i="7" l="1"/>
  <c r="F608" i="7" s="1"/>
  <c r="I609" i="7"/>
  <c r="H609" i="7" l="1"/>
  <c r="F609" i="7" s="1"/>
  <c r="I610" i="7"/>
  <c r="I611" i="7" l="1"/>
  <c r="H610" i="7"/>
  <c r="F610" i="7" s="1"/>
  <c r="H611" i="7" l="1"/>
  <c r="F611" i="7" s="1"/>
  <c r="I612" i="7"/>
  <c r="H612" i="7" l="1"/>
  <c r="F612" i="7" s="1"/>
  <c r="I613" i="7"/>
  <c r="I614" i="7" l="1"/>
  <c r="H613" i="7"/>
  <c r="F613" i="7" s="1"/>
  <c r="I615" i="7" l="1"/>
  <c r="H614" i="7"/>
  <c r="F614" i="7" s="1"/>
  <c r="I616" i="7" l="1"/>
  <c r="H615" i="7"/>
  <c r="F615" i="7" s="1"/>
  <c r="H616" i="7" l="1"/>
  <c r="F616" i="7" s="1"/>
  <c r="I617" i="7"/>
  <c r="I618" i="7" l="1"/>
  <c r="H617" i="7"/>
  <c r="F617" i="7" s="1"/>
  <c r="I619" i="7" l="1"/>
  <c r="H618" i="7"/>
  <c r="F618" i="7" s="1"/>
  <c r="I620" i="7" l="1"/>
  <c r="H619" i="7"/>
  <c r="F619" i="7" s="1"/>
  <c r="I621" i="7" l="1"/>
  <c r="H620" i="7"/>
  <c r="F620" i="7" s="1"/>
  <c r="I622" i="7" l="1"/>
  <c r="H621" i="7"/>
  <c r="F621" i="7" s="1"/>
  <c r="I623" i="7" l="1"/>
  <c r="H622" i="7"/>
  <c r="F622" i="7" s="1"/>
  <c r="I624" i="7" l="1"/>
  <c r="H623" i="7"/>
  <c r="F623" i="7" s="1"/>
  <c r="H624" i="7" l="1"/>
  <c r="F624" i="7" s="1"/>
  <c r="I625" i="7"/>
  <c r="H625" i="7" l="1"/>
  <c r="F625" i="7" s="1"/>
  <c r="I626" i="7"/>
  <c r="H626" i="7" l="1"/>
  <c r="F626" i="7" s="1"/>
  <c r="I627" i="7"/>
  <c r="I628" i="7" l="1"/>
  <c r="H627" i="7"/>
  <c r="F627" i="7" s="1"/>
  <c r="H628" i="7" l="1"/>
  <c r="F628" i="7" s="1"/>
  <c r="I629" i="7"/>
  <c r="H629" i="7" l="1"/>
  <c r="F629" i="7" s="1"/>
  <c r="I630" i="7"/>
  <c r="H630" i="7" l="1"/>
  <c r="F630" i="7" s="1"/>
  <c r="I631" i="7"/>
  <c r="H631" i="7" l="1"/>
  <c r="F631" i="7" s="1"/>
  <c r="I632" i="7"/>
  <c r="I633" i="7" l="1"/>
  <c r="H632" i="7"/>
  <c r="F632" i="7" s="1"/>
  <c r="H633" i="7" l="1"/>
  <c r="F633" i="7" s="1"/>
  <c r="I634" i="7"/>
  <c r="I635" i="7" l="1"/>
  <c r="H634" i="7"/>
  <c r="F634" i="7" s="1"/>
  <c r="I636" i="7" l="1"/>
  <c r="H635" i="7"/>
  <c r="F635" i="7" s="1"/>
  <c r="H636" i="7" l="1"/>
  <c r="F636" i="7" s="1"/>
  <c r="I637" i="7"/>
  <c r="I638" i="7" l="1"/>
  <c r="H637" i="7"/>
  <c r="F637" i="7" s="1"/>
  <c r="I639" i="7" l="1"/>
  <c r="H638" i="7"/>
  <c r="F638" i="7" s="1"/>
  <c r="I640" i="7" l="1"/>
  <c r="H639" i="7"/>
  <c r="F639" i="7" s="1"/>
  <c r="H640" i="7" l="1"/>
  <c r="F640" i="7" s="1"/>
  <c r="I641" i="7"/>
  <c r="H641" i="7" l="1"/>
  <c r="F641" i="7" s="1"/>
  <c r="I642" i="7"/>
  <c r="H642" i="7" l="1"/>
  <c r="F642" i="7" s="1"/>
  <c r="I643" i="7"/>
  <c r="H643" i="7" l="1"/>
  <c r="F643" i="7" s="1"/>
  <c r="I644" i="7"/>
  <c r="I645" i="7" l="1"/>
  <c r="H644" i="7"/>
  <c r="F644" i="7" s="1"/>
  <c r="H645" i="7" l="1"/>
  <c r="F645" i="7" s="1"/>
  <c r="I646" i="7"/>
  <c r="I647" i="7" l="1"/>
  <c r="H646" i="7"/>
  <c r="F646" i="7" s="1"/>
  <c r="I648" i="7" l="1"/>
  <c r="H647" i="7"/>
  <c r="F647" i="7" s="1"/>
  <c r="H648" i="7" l="1"/>
  <c r="F648" i="7" s="1"/>
  <c r="I649" i="7"/>
  <c r="H649" i="7" l="1"/>
  <c r="F649" i="7" s="1"/>
  <c r="I650" i="7"/>
  <c r="H650" i="7" l="1"/>
  <c r="F650" i="7" s="1"/>
  <c r="I651" i="7"/>
  <c r="I652" i="7" l="1"/>
  <c r="H651" i="7"/>
  <c r="F651" i="7" s="1"/>
  <c r="H652" i="7" l="1"/>
  <c r="F652" i="7" s="1"/>
  <c r="I653" i="7"/>
  <c r="I654" i="7" l="1"/>
  <c r="H653" i="7"/>
  <c r="F653" i="7" s="1"/>
  <c r="H654" i="7" l="1"/>
  <c r="F654" i="7" s="1"/>
  <c r="I655" i="7"/>
  <c r="I656" i="7" l="1"/>
  <c r="H655" i="7"/>
  <c r="F655" i="7" s="1"/>
  <c r="H656" i="7" l="1"/>
  <c r="F656" i="7" s="1"/>
  <c r="I657" i="7"/>
  <c r="I658" i="7" l="1"/>
  <c r="H657" i="7"/>
  <c r="F657" i="7" s="1"/>
  <c r="I659" i="7" l="1"/>
  <c r="H658" i="7"/>
  <c r="F658" i="7" s="1"/>
  <c r="H659" i="7" l="1"/>
  <c r="F659" i="7" s="1"/>
  <c r="I660" i="7"/>
  <c r="I661" i="7" l="1"/>
  <c r="H660" i="7"/>
  <c r="F660" i="7" s="1"/>
  <c r="I662" i="7" l="1"/>
  <c r="H661" i="7"/>
  <c r="F661" i="7" s="1"/>
  <c r="I663" i="7" l="1"/>
  <c r="H662" i="7"/>
  <c r="F662" i="7" s="1"/>
  <c r="I664" i="7" l="1"/>
  <c r="H663" i="7"/>
  <c r="F663" i="7" s="1"/>
  <c r="I665" i="7" l="1"/>
  <c r="H664" i="7"/>
  <c r="F664" i="7" s="1"/>
  <c r="I666" i="7" l="1"/>
  <c r="H665" i="7"/>
  <c r="F665" i="7" s="1"/>
  <c r="I667" i="7" l="1"/>
  <c r="H666" i="7"/>
  <c r="F666" i="7" s="1"/>
  <c r="H667" i="7" l="1"/>
  <c r="F667" i="7" s="1"/>
  <c r="I668" i="7"/>
  <c r="I669" i="7" l="1"/>
  <c r="H668" i="7"/>
  <c r="F668" i="7" s="1"/>
  <c r="I670" i="7" l="1"/>
  <c r="H669" i="7"/>
  <c r="F669" i="7" s="1"/>
  <c r="I671" i="7" l="1"/>
  <c r="H670" i="7"/>
  <c r="F670" i="7" s="1"/>
  <c r="I672" i="7" l="1"/>
  <c r="H671" i="7"/>
  <c r="F671" i="7" s="1"/>
  <c r="H672" i="7" l="1"/>
  <c r="F672" i="7" s="1"/>
  <c r="I673" i="7"/>
  <c r="H673" i="7" l="1"/>
  <c r="F673" i="7" s="1"/>
  <c r="I674" i="7"/>
  <c r="I675" i="7" l="1"/>
  <c r="H674" i="7"/>
  <c r="F674" i="7" s="1"/>
  <c r="I676" i="7" l="1"/>
  <c r="H675" i="7"/>
  <c r="F675" i="7" s="1"/>
  <c r="I677" i="7" l="1"/>
  <c r="H676" i="7"/>
  <c r="F676" i="7" s="1"/>
  <c r="I678" i="7" l="1"/>
  <c r="H677" i="7"/>
  <c r="F677" i="7" s="1"/>
  <c r="I679" i="7" l="1"/>
  <c r="H678" i="7"/>
  <c r="F678" i="7" s="1"/>
  <c r="I680" i="7" l="1"/>
  <c r="H679" i="7"/>
  <c r="F679" i="7" s="1"/>
  <c r="H680" i="7" l="1"/>
  <c r="F680" i="7" s="1"/>
  <c r="I681" i="7"/>
  <c r="H681" i="7" l="1"/>
  <c r="F681" i="7" s="1"/>
  <c r="I682" i="7"/>
  <c r="I683" i="7" l="1"/>
  <c r="H682" i="7"/>
  <c r="F682" i="7" s="1"/>
  <c r="I684" i="7" l="1"/>
  <c r="H683" i="7"/>
  <c r="F683" i="7" s="1"/>
  <c r="I685" i="7" l="1"/>
  <c r="H684" i="7"/>
  <c r="F684" i="7" s="1"/>
  <c r="I686" i="7" l="1"/>
  <c r="H685" i="7"/>
  <c r="F685" i="7" s="1"/>
  <c r="H686" i="7" l="1"/>
  <c r="F686" i="7" s="1"/>
  <c r="I687" i="7"/>
  <c r="I688" i="7" l="1"/>
  <c r="H687" i="7"/>
  <c r="F687" i="7" s="1"/>
  <c r="H688" i="7" l="1"/>
  <c r="F688" i="7" s="1"/>
  <c r="I689" i="7"/>
  <c r="H689" i="7" l="1"/>
  <c r="F689" i="7" s="1"/>
  <c r="I690" i="7"/>
  <c r="I691" i="7" l="1"/>
  <c r="H690" i="7"/>
  <c r="F690" i="7" s="1"/>
  <c r="I692" i="7" l="1"/>
  <c r="H691" i="7"/>
  <c r="F691" i="7" s="1"/>
  <c r="I693" i="7" l="1"/>
  <c r="H692" i="7"/>
  <c r="F692" i="7" s="1"/>
  <c r="I694" i="7" l="1"/>
  <c r="H693" i="7"/>
  <c r="F693" i="7" s="1"/>
  <c r="H694" i="7" l="1"/>
  <c r="F694" i="7" s="1"/>
  <c r="I695" i="7"/>
  <c r="I696" i="7" l="1"/>
  <c r="H695" i="7"/>
  <c r="F695" i="7" s="1"/>
  <c r="H696" i="7" l="1"/>
  <c r="F696" i="7" s="1"/>
  <c r="I697" i="7"/>
  <c r="H697" i="7" l="1"/>
  <c r="F697" i="7" s="1"/>
  <c r="I698" i="7"/>
  <c r="I699" i="7" l="1"/>
  <c r="H698" i="7"/>
  <c r="F698" i="7" s="1"/>
  <c r="I700" i="7" l="1"/>
  <c r="H699" i="7"/>
  <c r="F699" i="7" s="1"/>
  <c r="I701" i="7" l="1"/>
  <c r="H700" i="7"/>
  <c r="F700" i="7" s="1"/>
  <c r="I702" i="7" l="1"/>
  <c r="H701" i="7"/>
  <c r="F701" i="7" s="1"/>
  <c r="I703" i="7" l="1"/>
  <c r="H702" i="7"/>
  <c r="F702" i="7" s="1"/>
  <c r="H703" i="7" l="1"/>
  <c r="F703" i="7" s="1"/>
  <c r="I704" i="7"/>
  <c r="I705" i="7" l="1"/>
  <c r="H704" i="7"/>
  <c r="F704" i="7" s="1"/>
  <c r="I706" i="7" l="1"/>
  <c r="H705" i="7"/>
  <c r="F705" i="7" s="1"/>
  <c r="H706" i="7" l="1"/>
  <c r="F706" i="7" s="1"/>
  <c r="I707" i="7"/>
  <c r="H707" i="7" l="1"/>
  <c r="F707" i="7" s="1"/>
  <c r="I708" i="7"/>
  <c r="I709" i="7" l="1"/>
  <c r="H708" i="7"/>
  <c r="F708" i="7" s="1"/>
  <c r="I710" i="7" l="1"/>
  <c r="H709" i="7"/>
  <c r="F709" i="7" s="1"/>
  <c r="H710" i="7" l="1"/>
  <c r="F710" i="7" s="1"/>
  <c r="I711" i="7"/>
  <c r="H711" i="7" l="1"/>
  <c r="F711" i="7" s="1"/>
  <c r="I712" i="7"/>
  <c r="I713" i="7" l="1"/>
  <c r="H712" i="7"/>
  <c r="F712" i="7" s="1"/>
  <c r="H713" i="7" l="1"/>
  <c r="F713" i="7" s="1"/>
  <c r="I714" i="7"/>
  <c r="H714" i="7" l="1"/>
  <c r="F714" i="7" s="1"/>
  <c r="I715" i="7"/>
  <c r="I716" i="7" l="1"/>
  <c r="H715" i="7"/>
  <c r="F715" i="7" s="1"/>
  <c r="H716" i="7" l="1"/>
  <c r="F716" i="7" s="1"/>
  <c r="I717" i="7"/>
  <c r="I718" i="7" l="1"/>
  <c r="H717" i="7"/>
  <c r="F717" i="7" s="1"/>
  <c r="I719" i="7" l="1"/>
  <c r="H718" i="7"/>
  <c r="F718" i="7" s="1"/>
  <c r="H719" i="7" l="1"/>
  <c r="F719" i="7" s="1"/>
  <c r="I720" i="7"/>
  <c r="I721" i="7" l="1"/>
  <c r="H720" i="7"/>
  <c r="F720" i="7" s="1"/>
  <c r="I722" i="7" l="1"/>
  <c r="H721" i="7"/>
  <c r="F721" i="7" s="1"/>
  <c r="I723" i="7" l="1"/>
  <c r="H722" i="7"/>
  <c r="F722" i="7" s="1"/>
  <c r="H723" i="7" l="1"/>
  <c r="F723" i="7" s="1"/>
  <c r="I724" i="7"/>
  <c r="I725" i="7" l="1"/>
  <c r="H724" i="7"/>
  <c r="F724" i="7" s="1"/>
  <c r="I726" i="7" l="1"/>
  <c r="H725" i="7"/>
  <c r="F725" i="7" s="1"/>
  <c r="H726" i="7" l="1"/>
  <c r="F726" i="7" s="1"/>
  <c r="I727" i="7"/>
  <c r="I728" i="7" l="1"/>
  <c r="H727" i="7"/>
  <c r="F727" i="7" s="1"/>
  <c r="H728" i="7" l="1"/>
  <c r="F728" i="7" s="1"/>
  <c r="I729" i="7"/>
  <c r="H729" i="7" l="1"/>
  <c r="F729" i="7" s="1"/>
  <c r="I730" i="7"/>
  <c r="H730" i="7" l="1"/>
  <c r="F730" i="7" s="1"/>
  <c r="I731" i="7"/>
  <c r="I732" i="7" l="1"/>
  <c r="H731" i="7"/>
  <c r="F731" i="7" s="1"/>
  <c r="H732" i="7" l="1"/>
  <c r="F732" i="7" s="1"/>
  <c r="I733" i="7"/>
  <c r="I734" i="7" l="1"/>
  <c r="H733" i="7"/>
  <c r="F733" i="7" s="1"/>
  <c r="H734" i="7" l="1"/>
  <c r="F734" i="7" s="1"/>
  <c r="I735" i="7"/>
  <c r="H735" i="7" l="1"/>
  <c r="F735" i="7" s="1"/>
  <c r="I736" i="7"/>
  <c r="I737" i="7" l="1"/>
  <c r="H736" i="7"/>
  <c r="F736" i="7" s="1"/>
  <c r="H737" i="7" l="1"/>
  <c r="F737" i="7" s="1"/>
  <c r="I738" i="7"/>
  <c r="I739" i="7" l="1"/>
  <c r="H738" i="7"/>
  <c r="F738" i="7" s="1"/>
  <c r="I740" i="7" l="1"/>
  <c r="H739" i="7"/>
  <c r="F739" i="7" s="1"/>
  <c r="H740" i="7" l="1"/>
  <c r="F740" i="7" s="1"/>
  <c r="I741" i="7"/>
  <c r="H741" i="7" l="1"/>
  <c r="F741" i="7" s="1"/>
  <c r="I742" i="7"/>
  <c r="H742" i="7" l="1"/>
  <c r="F742" i="7" s="1"/>
  <c r="I743" i="7"/>
  <c r="I744" i="7" l="1"/>
  <c r="H743" i="7"/>
  <c r="F743" i="7" s="1"/>
  <c r="I745" i="7" l="1"/>
  <c r="H744" i="7"/>
  <c r="F744" i="7" s="1"/>
  <c r="I746" i="7" l="1"/>
  <c r="H745" i="7"/>
  <c r="F745" i="7" s="1"/>
  <c r="H746" i="7" l="1"/>
  <c r="F746" i="7" s="1"/>
  <c r="I747" i="7"/>
  <c r="I748" i="7" l="1"/>
  <c r="H747" i="7"/>
  <c r="F747" i="7" s="1"/>
  <c r="I749" i="7" l="1"/>
  <c r="H748" i="7"/>
  <c r="F748" i="7" s="1"/>
  <c r="I750" i="7" l="1"/>
  <c r="H749" i="7"/>
  <c r="F749" i="7" s="1"/>
  <c r="I751" i="7" l="1"/>
  <c r="H750" i="7"/>
  <c r="F750" i="7" s="1"/>
  <c r="H751" i="7" l="1"/>
  <c r="F751" i="7" s="1"/>
  <c r="I752" i="7"/>
  <c r="I753" i="7" l="1"/>
  <c r="H752" i="7"/>
  <c r="F752" i="7" s="1"/>
  <c r="H753" i="7" l="1"/>
  <c r="F753" i="7" s="1"/>
  <c r="I754" i="7"/>
  <c r="H754" i="7" l="1"/>
  <c r="F754" i="7" s="1"/>
  <c r="I755" i="7"/>
  <c r="H755" i="7" l="1"/>
  <c r="F755" i="7" s="1"/>
  <c r="I756" i="7"/>
  <c r="H756" i="7" l="1"/>
  <c r="F756" i="7" s="1"/>
  <c r="I757" i="7"/>
  <c r="I758" i="7" l="1"/>
  <c r="H757" i="7"/>
  <c r="F757" i="7" s="1"/>
  <c r="I759" i="7" l="1"/>
  <c r="H758" i="7"/>
  <c r="F758" i="7" s="1"/>
  <c r="I760" i="7" l="1"/>
  <c r="H759" i="7"/>
  <c r="F759" i="7" s="1"/>
  <c r="H760" i="7" l="1"/>
  <c r="F760" i="7" s="1"/>
  <c r="I761" i="7"/>
  <c r="H761" i="7" l="1"/>
  <c r="F761" i="7" s="1"/>
  <c r="I762" i="7"/>
  <c r="H762" i="7" l="1"/>
  <c r="F762" i="7" s="1"/>
  <c r="I763" i="7"/>
  <c r="I764" i="7" l="1"/>
  <c r="H763" i="7"/>
  <c r="F763" i="7" s="1"/>
  <c r="I765" i="7" l="1"/>
  <c r="H764" i="7"/>
  <c r="F764" i="7" s="1"/>
  <c r="I766" i="7" l="1"/>
  <c r="H765" i="7"/>
  <c r="F765" i="7" s="1"/>
  <c r="I767" i="7" l="1"/>
  <c r="H766" i="7"/>
  <c r="F766" i="7" s="1"/>
  <c r="H767" i="7" l="1"/>
  <c r="F767" i="7" s="1"/>
  <c r="I768" i="7"/>
  <c r="I769" i="7" l="1"/>
  <c r="H768" i="7"/>
  <c r="F768" i="7" s="1"/>
  <c r="H769" i="7" l="1"/>
  <c r="F769" i="7" s="1"/>
  <c r="I770" i="7"/>
  <c r="I771" i="7" l="1"/>
  <c r="H770" i="7"/>
  <c r="F770" i="7" s="1"/>
  <c r="H771" i="7" l="1"/>
  <c r="F771" i="7" s="1"/>
  <c r="I772" i="7"/>
  <c r="I773" i="7" l="1"/>
  <c r="H772" i="7"/>
  <c r="F772" i="7" s="1"/>
  <c r="I774" i="7" l="1"/>
  <c r="H773" i="7"/>
  <c r="F773" i="7" s="1"/>
  <c r="H774" i="7" l="1"/>
  <c r="F774" i="7" s="1"/>
  <c r="I775" i="7"/>
  <c r="I776" i="7" l="1"/>
  <c r="H775" i="7"/>
  <c r="F775" i="7" s="1"/>
  <c r="H776" i="7" l="1"/>
  <c r="F776" i="7" s="1"/>
  <c r="I777" i="7"/>
  <c r="H777" i="7" l="1"/>
  <c r="F777" i="7" s="1"/>
  <c r="I778" i="7"/>
  <c r="H778" i="7" l="1"/>
  <c r="F778" i="7" s="1"/>
  <c r="I779" i="7"/>
  <c r="I780" i="7" l="1"/>
  <c r="H779" i="7"/>
  <c r="F779" i="7" s="1"/>
  <c r="I781" i="7" l="1"/>
  <c r="H780" i="7"/>
  <c r="F780" i="7" s="1"/>
  <c r="I782" i="7" l="1"/>
  <c r="H781" i="7"/>
  <c r="F781" i="7" s="1"/>
  <c r="I783" i="7" l="1"/>
  <c r="H782" i="7"/>
  <c r="F782" i="7" s="1"/>
  <c r="I784" i="7" l="1"/>
  <c r="H783" i="7"/>
  <c r="F783" i="7" s="1"/>
  <c r="I785" i="7" l="1"/>
  <c r="H784" i="7"/>
  <c r="F784" i="7" s="1"/>
  <c r="H785" i="7" l="1"/>
  <c r="F785" i="7" s="1"/>
  <c r="I786" i="7"/>
  <c r="H786" i="7" l="1"/>
  <c r="F786" i="7" s="1"/>
  <c r="I787" i="7"/>
  <c r="I788" i="7" l="1"/>
  <c r="H787" i="7"/>
  <c r="F787" i="7" s="1"/>
  <c r="H788" i="7" l="1"/>
  <c r="F788" i="7" s="1"/>
  <c r="I789" i="7"/>
  <c r="I790" i="7" l="1"/>
  <c r="H789" i="7"/>
  <c r="F789" i="7" s="1"/>
  <c r="I791" i="7" l="1"/>
  <c r="H790" i="7"/>
  <c r="F790" i="7" s="1"/>
  <c r="I792" i="7" l="1"/>
  <c r="H791" i="7"/>
  <c r="F791" i="7" s="1"/>
  <c r="I793" i="7" l="1"/>
  <c r="H792" i="7"/>
  <c r="F792" i="7" s="1"/>
  <c r="I794" i="7" l="1"/>
  <c r="H793" i="7"/>
  <c r="F793" i="7" s="1"/>
  <c r="H794" i="7" l="1"/>
  <c r="F794" i="7" s="1"/>
  <c r="I795" i="7"/>
  <c r="H795" i="7" l="1"/>
  <c r="F795" i="7" s="1"/>
  <c r="I796" i="7"/>
  <c r="I797" i="7" l="1"/>
  <c r="H796" i="7"/>
  <c r="F796" i="7" s="1"/>
  <c r="H797" i="7" l="1"/>
  <c r="F797" i="7" s="1"/>
  <c r="I798" i="7"/>
  <c r="I799" i="7" l="1"/>
  <c r="H798" i="7"/>
  <c r="F798" i="7" s="1"/>
  <c r="I800" i="7" l="1"/>
  <c r="H799" i="7"/>
  <c r="F799" i="7" s="1"/>
  <c r="I801" i="7" l="1"/>
  <c r="H800" i="7"/>
  <c r="F800" i="7" s="1"/>
  <c r="I802" i="7" l="1"/>
  <c r="H801" i="7"/>
  <c r="F801" i="7" s="1"/>
  <c r="H802" i="7" l="1"/>
  <c r="F802" i="7" s="1"/>
  <c r="I803" i="7"/>
  <c r="H803" i="7" l="1"/>
  <c r="F803" i="7" s="1"/>
  <c r="I804" i="7"/>
  <c r="I805" i="7" l="1"/>
  <c r="H804" i="7"/>
  <c r="F804" i="7" s="1"/>
  <c r="I806" i="7" l="1"/>
  <c r="H805" i="7"/>
  <c r="F805" i="7" s="1"/>
  <c r="I807" i="7" l="1"/>
  <c r="H806" i="7"/>
  <c r="F806" i="7" s="1"/>
  <c r="I808" i="7" l="1"/>
  <c r="H807" i="7"/>
  <c r="F807" i="7" s="1"/>
  <c r="I809" i="7" l="1"/>
  <c r="H808" i="7"/>
  <c r="F808" i="7" s="1"/>
  <c r="H809" i="7" l="1"/>
  <c r="F809" i="7" s="1"/>
  <c r="I810" i="7"/>
  <c r="H810" i="7" l="1"/>
  <c r="F810" i="7" s="1"/>
  <c r="I811" i="7"/>
  <c r="H811" i="7" l="1"/>
  <c r="F811" i="7" s="1"/>
  <c r="I812" i="7"/>
  <c r="I813" i="7" l="1"/>
  <c r="H812" i="7"/>
  <c r="F812" i="7" s="1"/>
  <c r="H813" i="7" l="1"/>
  <c r="F813" i="7" s="1"/>
  <c r="I814" i="7"/>
  <c r="H814" i="7" l="1"/>
  <c r="F814" i="7" s="1"/>
  <c r="I815" i="7"/>
  <c r="H815" i="7" s="1"/>
  <c r="F815" i="7" s="1"/>
</calcChain>
</file>

<file path=xl/sharedStrings.xml><?xml version="1.0" encoding="utf-8"?>
<sst xmlns="http://schemas.openxmlformats.org/spreadsheetml/2006/main" count="498" uniqueCount="193">
  <si>
    <t>Pooling</t>
  </si>
  <si>
    <t>Sum Product</t>
  </si>
  <si>
    <t>Increase in FSN pool per row</t>
  </si>
  <si>
    <t>FSN pool  Size</t>
  </si>
  <si>
    <t>ENTRY</t>
  </si>
  <si>
    <t>FSN To Pool</t>
  </si>
  <si>
    <t>FSN Price</t>
  </si>
  <si>
    <t>* EXCLUDING USDT REWARDS AND TRANSACTION FEES</t>
  </si>
  <si>
    <t>USDT Pool Size</t>
  </si>
  <si>
    <t>Price FSN</t>
  </si>
  <si>
    <t>Holding (converted to USD)</t>
  </si>
  <si>
    <t>50/50 HODL</t>
  </si>
  <si>
    <t>Hodling Vs Pooling</t>
  </si>
  <si>
    <t>FSN</t>
  </si>
  <si>
    <t>USDT</t>
  </si>
  <si>
    <t>Equivaent FSN</t>
  </si>
  <si>
    <t>EquivaentUSD</t>
  </si>
  <si>
    <t>FSN Vs Stable Coin (aUSDT)</t>
  </si>
  <si>
    <t>Drops</t>
  </si>
  <si>
    <t>If You Held Fusion</t>
  </si>
  <si>
    <t>If You Held USDT</t>
  </si>
  <si>
    <t>Notes</t>
  </si>
  <si>
    <t>FSN Balance Change</t>
  </si>
  <si>
    <t>USDT Balance Change</t>
  </si>
  <si>
    <t>USDT Value Change</t>
  </si>
  <si>
    <t>FSN Equivalent Change</t>
  </si>
  <si>
    <t>Equivalent USD Balance</t>
  </si>
  <si>
    <t>Holding FSN</t>
  </si>
  <si>
    <t>Holding USD</t>
  </si>
  <si>
    <t>Equivalent FSN Balance</t>
  </si>
  <si>
    <t>FSN Rises In Price</t>
  </si>
  <si>
    <t>Rises</t>
  </si>
  <si>
    <t>Constant</t>
  </si>
  <si>
    <t>FSN Drops In Price</t>
  </si>
  <si>
    <t>*Best option would have been to hold FSN  if Fusion rises excluding rewards from pooling</t>
  </si>
  <si>
    <t>*Best option would have been to hold USD  if Fusion drops excluding rewards from pooling</t>
  </si>
  <si>
    <t>* Exiting the pool at a lower FSN price and converting to Fusion would increase your fusion stack from the equivalent fusion stack at the start</t>
  </si>
  <si>
    <t>Loss in USD but gain in FSN if all converted to Fusion</t>
  </si>
  <si>
    <t>Best Option (excluding Rewards)</t>
  </si>
  <si>
    <t>Hold FSN</t>
  </si>
  <si>
    <t>Hold USDT</t>
  </si>
  <si>
    <t>Held Fusion</t>
  </si>
  <si>
    <t>Held USDT</t>
  </si>
  <si>
    <t>held USDT</t>
  </si>
  <si>
    <t>* Profit is still made from pooling compared to initial balance</t>
  </si>
  <si>
    <t>Profit</t>
  </si>
  <si>
    <t>Profit/ Loss in USD</t>
  </si>
  <si>
    <t>Most Profit</t>
  </si>
  <si>
    <t>Loss</t>
  </si>
  <si>
    <t>Highest Loss</t>
  </si>
  <si>
    <t>Loss In FSN equivalent but Gain in USD</t>
  </si>
  <si>
    <t>Check FSN Price</t>
  </si>
  <si>
    <t>USDT Total Equivalent</t>
  </si>
  <si>
    <t>Fusion Total Equivalent</t>
  </si>
  <si>
    <t>Pooling Rewards</t>
  </si>
  <si>
    <t>Additional</t>
  </si>
  <si>
    <t>Pooling Provides a balanced risk against holding FSN, potentially less profit than holding fusion if it rises but less of a loss if fusion drops</t>
  </si>
  <si>
    <t>ANY</t>
  </si>
  <si>
    <t>ANY Balance Change</t>
  </si>
  <si>
    <t>ANY Total Equivalent</t>
  </si>
  <si>
    <t>ANY to FSN</t>
  </si>
  <si>
    <t>Loss in ANY but gain in FSN if all converted to Fusion</t>
  </si>
  <si>
    <t>Loss In FSN equivalent but Gain in ANY equivalent</t>
  </si>
  <si>
    <t>Check ANY:FSN Price</t>
  </si>
  <si>
    <t>Equivaent ANY</t>
  </si>
  <si>
    <t>FSN  Equivalent</t>
  </si>
  <si>
    <t>ANY  Equivalent</t>
  </si>
  <si>
    <t>HELD FSN convert to ANY</t>
  </si>
  <si>
    <t>If You Held ANY</t>
  </si>
  <si>
    <t>Held ANY</t>
  </si>
  <si>
    <t>HELD ANY (Convert to FSN)</t>
  </si>
  <si>
    <t>ANY: FSN Ratio goes up</t>
  </si>
  <si>
    <t>Equivalent ANY Balance</t>
  </si>
  <si>
    <t>Holding ANY</t>
  </si>
  <si>
    <t>ANY: FSN Ratio goes down</t>
  </si>
  <si>
    <t>Most Loss</t>
  </si>
  <si>
    <t>*Best option would have been to hold ANY  if ANY:FSN rises excluding rewards from pooling</t>
  </si>
  <si>
    <t>*Best option would have been to hold FSN if ANY:FSN ratio drops excluding rewards from pooling</t>
  </si>
  <si>
    <t>* Exiting the pool at a lower ANY:FSN ratio and converting to ANY would increase your ANY stack from the equivalent ANY stack at the start</t>
  </si>
  <si>
    <t>Assume a fixed FSN price in USD</t>
  </si>
  <si>
    <t>Equivalent Fusion chart can be taken as profit assuming a constant fusion price</t>
  </si>
  <si>
    <t>aUSDT</t>
  </si>
  <si>
    <t>Coin 1</t>
  </si>
  <si>
    <t>Coin 2</t>
  </si>
  <si>
    <t>Coin 1 Pool Size</t>
  </si>
  <si>
    <t>Coin 2 Pool Size</t>
  </si>
  <si>
    <t>Weighting</t>
  </si>
  <si>
    <t>aETH</t>
  </si>
  <si>
    <t>Product</t>
  </si>
  <si>
    <t>Trading Volume in FSN</t>
  </si>
  <si>
    <t>Pool</t>
  </si>
  <si>
    <t>Other</t>
  </si>
  <si>
    <t>XXX:FSN Ratio</t>
  </si>
  <si>
    <t>Your Pool Share</t>
  </si>
  <si>
    <t>ANY Rewards</t>
  </si>
  <si>
    <t>Trafing fee rewards</t>
  </si>
  <si>
    <t>ANY to FSN Price Ratio</t>
  </si>
  <si>
    <t>Daily Rewards</t>
  </si>
  <si>
    <t>Daily % Return</t>
  </si>
  <si>
    <t>APY</t>
  </si>
  <si>
    <t>Daily ANY to LP</t>
  </si>
  <si>
    <t>Pool Coins</t>
  </si>
  <si>
    <t>Total Equivalent FSN Pooling</t>
  </si>
  <si>
    <t>Daily % Returns</t>
  </si>
  <si>
    <t>Your XXX Pooled</t>
  </si>
  <si>
    <t>ANY Reward % to pool</t>
  </si>
  <si>
    <t>Your Daily ANY Rewards</t>
  </si>
  <si>
    <t>Your % of pool</t>
  </si>
  <si>
    <t>Holding (converted to USD at current FSN price)</t>
  </si>
  <si>
    <t>Current FSN Price</t>
  </si>
  <si>
    <t>* Based on FSN/aUSDT Pool</t>
  </si>
  <si>
    <t>To be updated by user</t>
  </si>
  <si>
    <t>Total Rewards (In FSN equivalent)</t>
  </si>
  <si>
    <t>* until awn</t>
  </si>
  <si>
    <t>Basic Data</t>
  </si>
  <si>
    <t>Total Pool Size (FSN half)</t>
  </si>
  <si>
    <t>Any per fsn rewards</t>
  </si>
  <si>
    <t>Basic Stats (24 hours)</t>
  </si>
  <si>
    <t>DAILY ANY Per Pool</t>
  </si>
  <si>
    <t>$ daily per pool</t>
  </si>
  <si>
    <t>Total Pool Rewards</t>
  </si>
  <si>
    <t>Total Trading Volume</t>
  </si>
  <si>
    <t>Daily Rewards total (In FSN equivalent)</t>
  </si>
  <si>
    <t>Daily USD at Current Fusion Price</t>
  </si>
  <si>
    <t>$ rewards at current FSN Price</t>
  </si>
  <si>
    <t>Daily %</t>
  </si>
  <si>
    <t>Total</t>
  </si>
  <si>
    <t>Already In Pool?</t>
  </si>
  <si>
    <t>Y</t>
  </si>
  <si>
    <t>N</t>
  </si>
  <si>
    <t>Your FSN Pooled</t>
  </si>
  <si>
    <t>FSN from Exchange</t>
  </si>
  <si>
    <t>Coin 2 From Exchange</t>
  </si>
  <si>
    <t>* This adds your pooled tokens to pool size if not pooled already</t>
  </si>
  <si>
    <t>Y if already in pool, N if you plan to add</t>
  </si>
  <si>
    <t>To update</t>
  </si>
  <si>
    <t>FSN-aUSDT</t>
  </si>
  <si>
    <t>FSN-aETH</t>
  </si>
  <si>
    <t>FSN-ANY</t>
  </si>
  <si>
    <t>Your Pooling</t>
  </si>
  <si>
    <t>Best over all pool Currently</t>
  </si>
  <si>
    <t>*For rewards (not potential impermanent loss)</t>
  </si>
  <si>
    <t>POOL (Dropdown)</t>
  </si>
  <si>
    <t>XXX</t>
  </si>
  <si>
    <t>Current Ratio</t>
  </si>
  <si>
    <t>Entry Ratio</t>
  </si>
  <si>
    <t>Entry Tokens</t>
  </si>
  <si>
    <t>Cross Product Entry</t>
  </si>
  <si>
    <t>Cross Product Now</t>
  </si>
  <si>
    <t>Equivalent Fusion Now</t>
  </si>
  <si>
    <t>Equivalent Starting Fusion</t>
  </si>
  <si>
    <t>Current Fusion Price</t>
  </si>
  <si>
    <t>USD Gain/ Loss</t>
  </si>
  <si>
    <t>Gain/Loss</t>
  </si>
  <si>
    <t>Pairing Token</t>
  </si>
  <si>
    <t>Token Gain/Loss</t>
  </si>
  <si>
    <t>USD Entry</t>
  </si>
  <si>
    <t>USD Current</t>
  </si>
  <si>
    <t>Estimated Current Tokens</t>
  </si>
  <si>
    <t>FSN Gain/Loss</t>
  </si>
  <si>
    <t>XXX Gain/Loss</t>
  </si>
  <si>
    <t>USD Gain/Loss</t>
  </si>
  <si>
    <t>Pool Summary</t>
  </si>
  <si>
    <t>FSN Entered</t>
  </si>
  <si>
    <t>XXX Entered</t>
  </si>
  <si>
    <t>FSN Current</t>
  </si>
  <si>
    <t>XXX Current</t>
  </si>
  <si>
    <t>-</t>
  </si>
  <si>
    <t>FSN Price Entry (manual entry, or calculated if FSN USDT)</t>
  </si>
  <si>
    <t>* Click to copy data from Impermanent loss tab if required</t>
  </si>
  <si>
    <t>ENTER your current Pool Data</t>
  </si>
  <si>
    <t>* daily rewards not included</t>
  </si>
  <si>
    <t>Your LP Volume Rewards (FSN)</t>
  </si>
  <si>
    <t>Daily volume rewards per pool (FSN)</t>
  </si>
  <si>
    <t>&lt;dropdown menu for selecting Pool</t>
  </si>
  <si>
    <t>Volume Rewards in LP (In FSN)</t>
  </si>
  <si>
    <t>Approximate Swap Trading Rewards (for 100 FSN Swap)</t>
  </si>
  <si>
    <t>* estimated based on total daily volume however rewards are on a 100 block basis</t>
  </si>
  <si>
    <t>UNI</t>
  </si>
  <si>
    <t>ANY Ratio</t>
  </si>
  <si>
    <t>Total Rewards</t>
  </si>
  <si>
    <t>Non ANY pool</t>
  </si>
  <si>
    <t>ANY Pool</t>
  </si>
  <si>
    <t>FSN-UNI</t>
  </si>
  <si>
    <t>Daily ANY per 100 FSN pooled</t>
  </si>
  <si>
    <t>ANY Per 100 FSN</t>
  </si>
  <si>
    <t>Any Rewards (non ANY pool)</t>
  </si>
  <si>
    <t>Any Rewards (Any Pool)</t>
  </si>
  <si>
    <t>aBTC</t>
  </si>
  <si>
    <t>Liquidity Promo</t>
  </si>
  <si>
    <t>FSN-aBTC</t>
  </si>
  <si>
    <t>If Promo on a pool</t>
  </si>
  <si>
    <t>Promo Multiplier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</si>
</sst>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7" formatCode="&quot;$&quot;#,##0.00_);\(&quot;$&quot;#,##0.00\)"/>
    <numFmt numFmtId="43" formatCode="_(* #,##0.00_);_(* \(#,##0.00\);_(* &quot;-&quot;??_);_(@_)"/>
    <numFmt numFmtId="164" formatCode="_-* #,##0.00_-;\-* #,##0.00_-;_-* &quot;-&quot;??_-;_-@_-"/>
    <numFmt numFmtId="165" formatCode="_-* #,##0_-;\-* #,##0_-;_-* &quot;-&quot;??_-;_-@_-"/>
    <numFmt numFmtId="166" formatCode="0.0%"/>
    <numFmt numFmtId="167" formatCode="[$$-409]#,##0.00"/>
    <numFmt numFmtId="168" formatCode="[$$-409]#,##0"/>
    <numFmt numFmtId="169" formatCode="0.000000"/>
    <numFmt numFmtId="170" formatCode="0.0"/>
    <numFmt numFmtId="171" formatCode="0.00000"/>
    <numFmt numFmtId="172" formatCode="0.000"/>
    <numFmt numFmtId="173" formatCode="0.00000000"/>
    <numFmt numFmtId="174" formatCode="&quot;$&quot;#,##0.00"/>
    <numFmt numFmtId="175" formatCode="&quot;$&quot;#,##0"/>
    <numFmt numFmtId="176" formatCode="_(* #,##0_);_(* \(#,##0\);_(* &quot;-&quot;??_);_(@_)"/>
    <numFmt numFmtId="177" formatCode="0.0E+00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6"/>
      <color rgb="FFC0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charset val="1"/>
    </font>
    <font>
      <sz val="36"/>
      <color rgb="FFFF0000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9"/>
      <color rgb="FF062536"/>
      <name val="Manrope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rgb="FFFFFF00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1" fillId="0" borderId="0"/>
    <xf numFmtId="9" fontId="11" fillId="0" borderId="0" applyBorder="0" applyProtection="0"/>
  </cellStyleXfs>
  <cellXfs count="158">
    <xf numFmtId="0" fontId="0" fillId="0" borderId="0" xfId="0"/>
    <xf numFmtId="9" fontId="0" fillId="0" borderId="0" xfId="1" applyFont="1"/>
    <xf numFmtId="9" fontId="0" fillId="0" borderId="0" xfId="0" applyNumberFormat="1"/>
    <xf numFmtId="1" fontId="0" fillId="0" borderId="0" xfId="0" applyNumberFormat="1"/>
    <xf numFmtId="165" fontId="0" fillId="0" borderId="0" xfId="2" applyNumberFormat="1" applyFont="1"/>
    <xf numFmtId="2" fontId="0" fillId="0" borderId="0" xfId="0" applyNumberFormat="1"/>
    <xf numFmtId="165" fontId="0" fillId="0" borderId="0" xfId="0" applyNumberFormat="1"/>
    <xf numFmtId="1" fontId="0" fillId="0" borderId="0" xfId="1" applyNumberFormat="1" applyFont="1"/>
    <xf numFmtId="165" fontId="0" fillId="0" borderId="1" xfId="0" applyNumberFormat="1" applyBorder="1"/>
    <xf numFmtId="165" fontId="0" fillId="0" borderId="0" xfId="0" applyNumberFormat="1" applyBorder="1"/>
    <xf numFmtId="165" fontId="2" fillId="0" borderId="1" xfId="0" applyNumberFormat="1" applyFont="1" applyBorder="1"/>
    <xf numFmtId="165" fontId="2" fillId="2" borderId="1" xfId="0" applyNumberFormat="1" applyFont="1" applyFill="1" applyBorder="1"/>
    <xf numFmtId="165" fontId="3" fillId="0" borderId="0" xfId="0" applyNumberFormat="1" applyFont="1"/>
    <xf numFmtId="165" fontId="0" fillId="4" borderId="1" xfId="0" applyNumberFormat="1" applyFill="1" applyBorder="1"/>
    <xf numFmtId="165" fontId="2" fillId="4" borderId="1" xfId="0" applyNumberFormat="1" applyFont="1" applyFill="1" applyBorder="1"/>
    <xf numFmtId="0" fontId="0" fillId="4" borderId="0" xfId="0" applyFill="1"/>
    <xf numFmtId="1" fontId="0" fillId="4" borderId="0" xfId="0" applyNumberFormat="1" applyFill="1"/>
    <xf numFmtId="0" fontId="6" fillId="0" borderId="1" xfId="0" applyFont="1" applyBorder="1"/>
    <xf numFmtId="1" fontId="7" fillId="0" borderId="1" xfId="0" applyNumberFormat="1" applyFont="1" applyBorder="1"/>
    <xf numFmtId="165" fontId="2" fillId="2" borderId="0" xfId="2" applyNumberFormat="1" applyFont="1" applyFill="1"/>
    <xf numFmtId="1" fontId="2" fillId="2" borderId="0" xfId="0" applyNumberFormat="1" applyFont="1" applyFill="1"/>
    <xf numFmtId="165" fontId="2" fillId="2" borderId="0" xfId="0" applyNumberFormat="1" applyFont="1" applyFill="1"/>
    <xf numFmtId="165" fontId="5" fillId="2" borderId="0" xfId="0" applyNumberFormat="1" applyFont="1" applyFill="1"/>
    <xf numFmtId="165" fontId="2" fillId="2" borderId="0" xfId="0" applyNumberFormat="1" applyFont="1" applyFill="1" applyBorder="1"/>
    <xf numFmtId="0" fontId="4" fillId="2" borderId="0" xfId="0" applyFont="1" applyFill="1"/>
    <xf numFmtId="0" fontId="4" fillId="5" borderId="0" xfId="0" applyFont="1" applyFill="1"/>
    <xf numFmtId="166" fontId="5" fillId="5" borderId="1" xfId="1" applyNumberFormat="1" applyFont="1" applyFill="1" applyBorder="1"/>
    <xf numFmtId="0" fontId="2" fillId="0" borderId="1" xfId="0" applyFont="1" applyBorder="1"/>
    <xf numFmtId="165" fontId="0" fillId="0" borderId="1" xfId="0" applyNumberFormat="1" applyFill="1" applyBorder="1"/>
    <xf numFmtId="165" fontId="2" fillId="0" borderId="1" xfId="0" applyNumberFormat="1" applyFont="1" applyFill="1" applyBorder="1"/>
    <xf numFmtId="167" fontId="2" fillId="0" borderId="1" xfId="0" applyNumberFormat="1" applyFont="1" applyBorder="1"/>
    <xf numFmtId="167" fontId="2" fillId="2" borderId="1" xfId="0" applyNumberFormat="1" applyFont="1" applyFill="1" applyBorder="1"/>
    <xf numFmtId="167" fontId="2" fillId="0" borderId="1" xfId="0" applyNumberFormat="1" applyFont="1" applyFill="1" applyBorder="1"/>
    <xf numFmtId="164" fontId="0" fillId="0" borderId="0" xfId="0" applyNumberFormat="1"/>
    <xf numFmtId="165" fontId="8" fillId="0" borderId="0" xfId="0" applyNumberFormat="1" applyFont="1"/>
    <xf numFmtId="168" fontId="2" fillId="0" borderId="1" xfId="0" applyNumberFormat="1" applyFont="1" applyBorder="1"/>
    <xf numFmtId="168" fontId="2" fillId="2" borderId="1" xfId="0" applyNumberFormat="1" applyFont="1" applyFill="1" applyBorder="1"/>
    <xf numFmtId="168" fontId="2" fillId="0" borderId="1" xfId="0" applyNumberFormat="1" applyFont="1" applyFill="1" applyBorder="1"/>
    <xf numFmtId="168" fontId="0" fillId="0" borderId="1" xfId="0" applyNumberFormat="1" applyBorder="1"/>
    <xf numFmtId="9" fontId="0" fillId="2" borderId="0" xfId="1" applyFont="1" applyFill="1"/>
    <xf numFmtId="0" fontId="0" fillId="0" borderId="1" xfId="0" applyBorder="1"/>
    <xf numFmtId="169" fontId="0" fillId="0" borderId="0" xfId="0" applyNumberFormat="1"/>
    <xf numFmtId="9" fontId="0" fillId="0" borderId="1" xfId="1" applyFont="1" applyBorder="1"/>
    <xf numFmtId="9" fontId="0" fillId="0" borderId="1" xfId="0" applyNumberFormat="1" applyBorder="1"/>
    <xf numFmtId="0" fontId="0" fillId="0" borderId="2" xfId="0" applyBorder="1"/>
    <xf numFmtId="0" fontId="0" fillId="0" borderId="1" xfId="0" applyBorder="1" applyAlignment="1">
      <alignment horizontal="center"/>
    </xf>
    <xf numFmtId="0" fontId="0" fillId="0" borderId="3" xfId="0" applyBorder="1"/>
    <xf numFmtId="0" fontId="6" fillId="0" borderId="0" xfId="0" applyFont="1"/>
    <xf numFmtId="0" fontId="0" fillId="3" borderId="1" xfId="0" applyFill="1" applyBorder="1" applyAlignment="1">
      <alignment horizontal="center"/>
    </xf>
    <xf numFmtId="0" fontId="6" fillId="0" borderId="0" xfId="0" applyFont="1" applyFill="1" applyBorder="1"/>
    <xf numFmtId="0" fontId="0" fillId="3" borderId="6" xfId="0" applyFill="1" applyBorder="1" applyAlignment="1">
      <alignment horizontal="center"/>
    </xf>
    <xf numFmtId="0" fontId="0" fillId="9" borderId="1" xfId="0" applyFill="1" applyBorder="1"/>
    <xf numFmtId="0" fontId="0" fillId="0" borderId="7" xfId="0" applyFill="1" applyBorder="1"/>
    <xf numFmtId="0" fontId="0" fillId="2" borderId="0" xfId="0" applyFill="1"/>
    <xf numFmtId="0" fontId="3" fillId="0" borderId="0" xfId="0" applyFont="1"/>
    <xf numFmtId="0" fontId="0" fillId="0" borderId="0" xfId="0" applyFill="1"/>
    <xf numFmtId="10" fontId="0" fillId="0" borderId="1" xfId="0" applyNumberFormat="1" applyBorder="1"/>
    <xf numFmtId="1" fontId="0" fillId="0" borderId="1" xfId="0" applyNumberFormat="1" applyBorder="1"/>
    <xf numFmtId="10" fontId="0" fillId="0" borderId="1" xfId="1" applyNumberFormat="1" applyFont="1" applyBorder="1"/>
    <xf numFmtId="173" fontId="0" fillId="0" borderId="0" xfId="0" applyNumberFormat="1"/>
    <xf numFmtId="171" fontId="0" fillId="0" borderId="0" xfId="0" applyNumberFormat="1"/>
    <xf numFmtId="2" fontId="0" fillId="0" borderId="1" xfId="0" applyNumberFormat="1" applyBorder="1"/>
    <xf numFmtId="170" fontId="0" fillId="0" borderId="1" xfId="0" applyNumberFormat="1" applyBorder="1"/>
    <xf numFmtId="0" fontId="9" fillId="12" borderId="1" xfId="0" applyFont="1" applyFill="1" applyBorder="1"/>
    <xf numFmtId="0" fontId="9" fillId="0" borderId="0" xfId="0" applyFont="1"/>
    <xf numFmtId="0" fontId="9" fillId="12" borderId="0" xfId="0" applyFont="1" applyFill="1"/>
    <xf numFmtId="4" fontId="2" fillId="0" borderId="1" xfId="0" applyNumberFormat="1" applyFont="1" applyBorder="1"/>
    <xf numFmtId="4" fontId="2" fillId="2" borderId="1" xfId="0" applyNumberFormat="1" applyFont="1" applyFill="1" applyBorder="1"/>
    <xf numFmtId="4" fontId="2" fillId="0" borderId="1" xfId="0" applyNumberFormat="1" applyFont="1" applyFill="1" applyBorder="1"/>
    <xf numFmtId="3" fontId="0" fillId="0" borderId="1" xfId="0" applyNumberFormat="1" applyBorder="1"/>
    <xf numFmtId="0" fontId="0" fillId="0" borderId="1" xfId="0" applyFill="1" applyBorder="1"/>
    <xf numFmtId="174" fontId="0" fillId="0" borderId="0" xfId="0" applyNumberFormat="1"/>
    <xf numFmtId="174" fontId="0" fillId="0" borderId="1" xfId="0" applyNumberFormat="1" applyBorder="1"/>
    <xf numFmtId="175" fontId="0" fillId="0" borderId="1" xfId="0" applyNumberFormat="1" applyBorder="1"/>
    <xf numFmtId="0" fontId="0" fillId="2" borderId="1" xfId="0" applyFill="1" applyBorder="1"/>
    <xf numFmtId="3" fontId="0" fillId="10" borderId="1" xfId="0" applyNumberFormat="1" applyFill="1" applyBorder="1"/>
    <xf numFmtId="2" fontId="0" fillId="2" borderId="0" xfId="0" applyNumberFormat="1" applyFill="1"/>
    <xf numFmtId="175" fontId="0" fillId="2" borderId="1" xfId="0" applyNumberFormat="1" applyFill="1" applyBorder="1"/>
    <xf numFmtId="165" fontId="0" fillId="2" borderId="0" xfId="0" applyNumberFormat="1" applyFill="1"/>
    <xf numFmtId="9" fontId="0" fillId="2" borderId="0" xfId="0" applyNumberFormat="1" applyFill="1"/>
    <xf numFmtId="0" fontId="0" fillId="0" borderId="3" xfId="0" applyFill="1" applyBorder="1"/>
    <xf numFmtId="0" fontId="0" fillId="11" borderId="1" xfId="0" applyFill="1" applyBorder="1"/>
    <xf numFmtId="7" fontId="0" fillId="0" borderId="1" xfId="0" applyNumberFormat="1" applyBorder="1"/>
    <xf numFmtId="43" fontId="0" fillId="0" borderId="0" xfId="0" applyNumberFormat="1"/>
    <xf numFmtId="176" fontId="0" fillId="0" borderId="0" xfId="0" applyNumberFormat="1"/>
    <xf numFmtId="0" fontId="9" fillId="12" borderId="0" xfId="0" applyFont="1" applyFill="1" applyBorder="1"/>
    <xf numFmtId="0" fontId="0" fillId="0" borderId="0" xfId="0" applyFill="1" applyBorder="1"/>
    <xf numFmtId="177" fontId="0" fillId="0" borderId="1" xfId="0" applyNumberFormat="1" applyBorder="1"/>
    <xf numFmtId="172" fontId="2" fillId="0" borderId="1" xfId="0" applyNumberFormat="1" applyFont="1" applyBorder="1"/>
    <xf numFmtId="0" fontId="0" fillId="4" borderId="1" xfId="0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9" fontId="0" fillId="0" borderId="0" xfId="1" applyFont="1" applyFill="1" applyBorder="1"/>
    <xf numFmtId="0" fontId="0" fillId="13" borderId="1" xfId="0" applyFill="1" applyBorder="1"/>
    <xf numFmtId="174" fontId="2" fillId="0" borderId="1" xfId="1" applyNumberFormat="1" applyFont="1" applyBorder="1"/>
    <xf numFmtId="0" fontId="9" fillId="12" borderId="2" xfId="0" applyFont="1" applyFill="1" applyBorder="1"/>
    <xf numFmtId="174" fontId="2" fillId="0" borderId="1" xfId="0" applyNumberFormat="1" applyFont="1" applyBorder="1"/>
    <xf numFmtId="0" fontId="4" fillId="0" borderId="0" xfId="0" applyFont="1" applyFill="1"/>
    <xf numFmtId="1" fontId="0" fillId="14" borderId="1" xfId="0" applyNumberFormat="1" applyFill="1" applyBorder="1" applyAlignment="1">
      <alignment horizontal="center"/>
    </xf>
    <xf numFmtId="175" fontId="2" fillId="14" borderId="1" xfId="0" applyNumberFormat="1" applyFont="1" applyFill="1" applyBorder="1" applyAlignment="1">
      <alignment horizontal="center"/>
    </xf>
    <xf numFmtId="0" fontId="2" fillId="13" borderId="1" xfId="0" applyFont="1" applyFill="1" applyBorder="1"/>
    <xf numFmtId="175" fontId="2" fillId="0" borderId="1" xfId="0" applyNumberFormat="1" applyFont="1" applyBorder="1"/>
    <xf numFmtId="0" fontId="2" fillId="0" borderId="0" xfId="0" applyFont="1"/>
    <xf numFmtId="0" fontId="0" fillId="14" borderId="1" xfId="0" applyFill="1" applyBorder="1" applyAlignment="1"/>
    <xf numFmtId="3" fontId="11" fillId="15" borderId="1" xfId="3" applyNumberFormat="1" applyFill="1" applyBorder="1"/>
    <xf numFmtId="0" fontId="0" fillId="3" borderId="1" xfId="0" applyFill="1" applyBorder="1" applyAlignment="1">
      <alignment horizontal="center" vertical="center" wrapText="1"/>
    </xf>
    <xf numFmtId="9" fontId="0" fillId="0" borderId="1" xfId="1" applyFont="1" applyFill="1" applyBorder="1"/>
    <xf numFmtId="0" fontId="3" fillId="0" borderId="0" xfId="0" applyFont="1" applyFill="1"/>
    <xf numFmtId="0" fontId="0" fillId="4" borderId="1" xfId="0" applyFill="1" applyBorder="1" applyAlignment="1">
      <alignment horizontal="center" vertical="center" wrapText="1"/>
    </xf>
    <xf numFmtId="164" fontId="3" fillId="0" borderId="0" xfId="0" applyNumberFormat="1" applyFont="1"/>
    <xf numFmtId="0" fontId="12" fillId="7" borderId="0" xfId="0" applyFont="1" applyFill="1"/>
    <xf numFmtId="0" fontId="9" fillId="0" borderId="0" xfId="0" applyFont="1" applyFill="1"/>
    <xf numFmtId="0" fontId="0" fillId="0" borderId="0" xfId="0" applyAlignment="1"/>
    <xf numFmtId="0" fontId="0" fillId="16" borderId="1" xfId="0" applyFill="1" applyBorder="1"/>
    <xf numFmtId="0" fontId="2" fillId="17" borderId="1" xfId="0" applyFont="1" applyFill="1" applyBorder="1"/>
    <xf numFmtId="174" fontId="0" fillId="3" borderId="1" xfId="0" applyNumberFormat="1" applyFill="1" applyBorder="1"/>
    <xf numFmtId="170" fontId="0" fillId="17" borderId="1" xfId="0" applyNumberFormat="1" applyFill="1" applyBorder="1"/>
    <xf numFmtId="174" fontId="0" fillId="2" borderId="1" xfId="0" applyNumberFormat="1" applyFill="1" applyBorder="1"/>
    <xf numFmtId="174" fontId="0" fillId="3" borderId="3" xfId="0" applyNumberFormat="1" applyFill="1" applyBorder="1"/>
    <xf numFmtId="174" fontId="0" fillId="2" borderId="3" xfId="0" applyNumberFormat="1" applyFill="1" applyBorder="1"/>
    <xf numFmtId="0" fontId="0" fillId="0" borderId="5" xfId="0" applyBorder="1"/>
    <xf numFmtId="0" fontId="9" fillId="12" borderId="1" xfId="0" applyFont="1" applyFill="1" applyBorder="1" applyAlignment="1">
      <alignment horizontal="center"/>
    </xf>
    <xf numFmtId="0" fontId="9" fillId="12" borderId="1" xfId="0" applyFont="1" applyFill="1" applyBorder="1" applyAlignment="1"/>
    <xf numFmtId="0" fontId="0" fillId="16" borderId="3" xfId="0" applyFill="1" applyBorder="1" applyAlignment="1">
      <alignment horizontal="center" vertical="center" wrapText="1"/>
    </xf>
    <xf numFmtId="0" fontId="0" fillId="16" borderId="1" xfId="0" applyFill="1" applyBorder="1" applyAlignment="1">
      <alignment horizontal="center" vertical="center" wrapText="1"/>
    </xf>
    <xf numFmtId="0" fontId="0" fillId="16" borderId="5" xfId="0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" fontId="0" fillId="2" borderId="1" xfId="0" applyNumberFormat="1" applyFill="1" applyBorder="1"/>
    <xf numFmtId="0" fontId="15" fillId="0" borderId="0" xfId="0" applyFont="1"/>
    <xf numFmtId="0" fontId="13" fillId="5" borderId="0" xfId="0" applyFont="1" applyFill="1" applyAlignment="1">
      <alignment wrapText="1"/>
    </xf>
    <xf numFmtId="164" fontId="0" fillId="0" borderId="1" xfId="0" applyNumberFormat="1" applyBorder="1"/>
    <xf numFmtId="164" fontId="2" fillId="2" borderId="1" xfId="0" applyNumberFormat="1" applyFont="1" applyFill="1" applyBorder="1"/>
    <xf numFmtId="164" fontId="0" fillId="0" borderId="1" xfId="0" applyNumberFormat="1" applyFill="1" applyBorder="1"/>
    <xf numFmtId="170" fontId="0" fillId="2" borderId="1" xfId="0" applyNumberFormat="1" applyFill="1" applyBorder="1"/>
    <xf numFmtId="172" fontId="0" fillId="0" borderId="1" xfId="0" applyNumberFormat="1" applyBorder="1"/>
    <xf numFmtId="0" fontId="16" fillId="0" borderId="0" xfId="0" applyFont="1"/>
    <xf numFmtId="3" fontId="0" fillId="2" borderId="1" xfId="0" applyNumberFormat="1" applyFill="1" applyBorder="1"/>
    <xf numFmtId="9" fontId="0" fillId="2" borderId="1" xfId="1" applyFont="1" applyFill="1" applyBorder="1"/>
    <xf numFmtId="166" fontId="2" fillId="0" borderId="1" xfId="1" applyNumberFormat="1" applyFont="1" applyBorder="1"/>
    <xf numFmtId="0" fontId="0" fillId="4" borderId="1" xfId="0" applyFill="1" applyBorder="1"/>
    <xf numFmtId="0" fontId="17" fillId="0" borderId="0" xfId="0" applyFont="1"/>
    <xf numFmtId="1" fontId="17" fillId="0" borderId="0" xfId="0" applyNumberFormat="1" applyFont="1"/>
    <xf numFmtId="3" fontId="0" fillId="10" borderId="3" xfId="0" applyNumberFormat="1" applyFill="1" applyBorder="1"/>
    <xf numFmtId="0" fontId="0" fillId="7" borderId="1" xfId="0" applyFill="1" applyBorder="1" applyAlignment="1">
      <alignment horizontal="center"/>
    </xf>
    <xf numFmtId="0" fontId="0" fillId="14" borderId="3" xfId="0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0" fontId="0" fillId="4" borderId="1" xfId="0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/>
    </xf>
    <xf numFmtId="0" fontId="9" fillId="12" borderId="1" xfId="0" applyFont="1" applyFill="1" applyBorder="1" applyAlignment="1">
      <alignment horizontal="center"/>
    </xf>
    <xf numFmtId="165" fontId="2" fillId="3" borderId="1" xfId="0" applyNumberFormat="1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172" fontId="0" fillId="0" borderId="1" xfId="0" applyNumberFormat="1" applyFill="1" applyBorder="1"/>
  </cellXfs>
  <cellStyles count="5">
    <cellStyle name="Comma" xfId="2" builtinId="3"/>
    <cellStyle name="Normal" xfId="0" builtinId="0"/>
    <cellStyle name="Normal 2" xfId="3" xr:uid="{D8C04E7A-0AF8-4FE7-B0BD-5A6A53E3F850}"/>
    <cellStyle name="Percent" xfId="1" builtinId="5"/>
    <cellStyle name="Percent 2" xfId="4" xr:uid="{5AD92A85-9345-4440-B419-0622B7940680}"/>
  </cellStyles>
  <dxfs count="8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'FSN_XXX Graph'!$N$4</c:f>
          <c:strCache>
            <c:ptCount val="1"/>
            <c:pt idx="0">
              <c:v> Starting Balance is 100 FSN and 9.472 UNI - equivalent of 200 FSN or 18.944 UNI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'FSN_XXX Graph'!$Q$7</c:f>
              <c:strCache>
                <c:ptCount val="1"/>
                <c:pt idx="0">
                  <c:v> Equivalent USD Pooling at current FSN Price </c:v>
                </c:pt>
              </c:strCache>
            </c:strRef>
          </c:tx>
          <c:spPr>
            <a:ln w="698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'FSN_XXX Graph'!$N$8:$N$100</c:f>
              <c:numCache>
                <c:formatCode>#,##0.00</c:formatCode>
                <c:ptCount val="93"/>
                <c:pt idx="0">
                  <c:v>51.472048315012039</c:v>
                </c:pt>
                <c:pt idx="1">
                  <c:v>49.473325946762806</c:v>
                </c:pt>
                <c:pt idx="2">
                  <c:v>47.552216404039612</c:v>
                </c:pt>
                <c:pt idx="3">
                  <c:v>45.705705886235691</c:v>
                </c:pt>
                <c:pt idx="4">
                  <c:v>43.930897622294978</c:v>
                </c:pt>
                <c:pt idx="5">
                  <c:v>42.225007326311967</c:v>
                </c:pt>
                <c:pt idx="6">
                  <c:v>40.585358829596267</c:v>
                </c:pt>
                <c:pt idx="7">
                  <c:v>39.00937988234935</c:v>
                </c:pt>
                <c:pt idx="8">
                  <c:v>37.494598118367321</c:v>
                </c:pt>
                <c:pt idx="9">
                  <c:v>36.038637176439174</c:v>
                </c:pt>
                <c:pt idx="10">
                  <c:v>34.639212972355992</c:v>
                </c:pt>
                <c:pt idx="11">
                  <c:v>33.294130115682421</c:v>
                </c:pt>
                <c:pt idx="12">
                  <c:v>32.00127846566938</c:v>
                </c:pt>
                <c:pt idx="13">
                  <c:v>30.758629820904826</c:v>
                </c:pt>
                <c:pt idx="14">
                  <c:v>29.564234737509441</c:v>
                </c:pt>
                <c:pt idx="15">
                  <c:v>28.416219470885657</c:v>
                </c:pt>
                <c:pt idx="16">
                  <c:v>27.312783036222275</c:v>
                </c:pt>
                <c:pt idx="17">
                  <c:v>26.252194383143291</c:v>
                </c:pt>
                <c:pt idx="18">
                  <c:v>25.232789680068528</c:v>
                </c:pt>
                <c:pt idx="19">
                  <c:v>24.252969704025876</c:v>
                </c:pt>
                <c:pt idx="20">
                  <c:v>23.311197331820338</c:v>
                </c:pt>
                <c:pt idx="21">
                  <c:v>22.405995128623932</c:v>
                </c:pt>
                <c:pt idx="22">
                  <c:v>21.5359430302037</c:v>
                </c:pt>
                <c:pt idx="23">
                  <c:v>20.699676115151576</c:v>
                </c:pt>
                <c:pt idx="24">
                  <c:v>19.895882463621277</c:v>
                </c:pt>
                <c:pt idx="25">
                  <c:v>19.123301099213062</c:v>
                </c:pt>
                <c:pt idx="26">
                  <c:v>18.380720010777644</c:v>
                </c:pt>
                <c:pt idx="27">
                  <c:v>17.6669742510358</c:v>
                </c:pt>
                <c:pt idx="28">
                  <c:v>16.980944109030951</c:v>
                </c:pt>
                <c:pt idx="29">
                  <c:v>16.321553353547628</c:v>
                </c:pt>
                <c:pt idx="30">
                  <c:v>15.687767544740124</c:v>
                </c:pt>
                <c:pt idx="31">
                  <c:v>15.078592411322687</c:v>
                </c:pt>
                <c:pt idx="32">
                  <c:v>14.493072290775361</c:v>
                </c:pt>
                <c:pt idx="33">
                  <c:v>13.930288630118572</c:v>
                </c:pt>
                <c:pt idx="34">
                  <c:v>13.389358544904432</c:v>
                </c:pt>
                <c:pt idx="35">
                  <c:v>12.869433434164199</c:v>
                </c:pt>
                <c:pt idx="36">
                  <c:v>12.369697649138983</c:v>
                </c:pt>
                <c:pt idx="37">
                  <c:v>11.889367213705288</c:v>
                </c:pt>
                <c:pt idx="38">
                  <c:v>11.427688594487975</c:v>
                </c:pt>
                <c:pt idx="39">
                  <c:v>10.983937518731231</c:v>
                </c:pt>
                <c:pt idx="40">
                  <c:v>10.557417838073079</c:v>
                </c:pt>
                <c:pt idx="41">
                  <c:v>10.139344091685384</c:v>
                </c:pt>
                <c:pt idx="42">
                  <c:v>9.7378260656546409</c:v>
                </c:pt>
                <c:pt idx="43">
                  <c:v>9.3522081534547148</c:v>
                </c:pt>
                <c:pt idx="44">
                  <c:v>8.9818607105779087</c:v>
                </c:pt>
                <c:pt idx="45">
                  <c:v>8.6261790264390239</c:v>
                </c:pt>
                <c:pt idx="46">
                  <c:v>8.2845823369920364</c:v>
                </c:pt>
                <c:pt idx="47">
                  <c:v>7.956512876447154</c:v>
                </c:pt>
                <c:pt idx="48">
                  <c:v>7.6414349665398458</c:v>
                </c:pt>
                <c:pt idx="49">
                  <c:v>7.3388341418648677</c:v>
                </c:pt>
                <c:pt idx="50">
                  <c:v>7.0482163098470183</c:v>
                </c:pt>
                <c:pt idx="51">
                  <c:v>6.7691069439770768</c:v>
                </c:pt>
                <c:pt idx="52">
                  <c:v>6.5010503089955849</c:v>
                </c:pt>
                <c:pt idx="53">
                  <c:v>6.2436087167593595</c:v>
                </c:pt>
                <c:pt idx="54">
                  <c:v>5.9963618115756878</c:v>
                </c:pt>
                <c:pt idx="55">
                  <c:v>5.75890588383729</c:v>
                </c:pt>
                <c:pt idx="56">
                  <c:v>5.5308532108373338</c:v>
                </c:pt>
                <c:pt idx="57">
                  <c:v>5.311831423688175</c:v>
                </c:pt>
                <c:pt idx="58">
                  <c:v>5.1014828993101231</c:v>
                </c:pt>
                <c:pt idx="59">
                  <c:v>4.8994641764974434</c:v>
                </c:pt>
                <c:pt idx="60">
                  <c:v>4.7054453951081436</c:v>
                </c:pt>
                <c:pt idx="61">
                  <c:v>4.5191097574618615</c:v>
                </c:pt>
                <c:pt idx="62">
                  <c:v>4.3401530110663717</c:v>
                </c:pt>
                <c:pt idx="63">
                  <c:v>4.168282951828143</c:v>
                </c:pt>
                <c:pt idx="64">
                  <c:v>4.0032189469357489</c:v>
                </c:pt>
                <c:pt idx="65">
                  <c:v>3.8446914766370925</c:v>
                </c:pt>
                <c:pt idx="66">
                  <c:v>3.6924416941622629</c:v>
                </c:pt>
                <c:pt idx="67">
                  <c:v>3.5462210030734371</c:v>
                </c:pt>
                <c:pt idx="68">
                  <c:v>3.4057906513517291</c:v>
                </c:pt>
                <c:pt idx="69">
                  <c:v>3.2709213415582008</c:v>
                </c:pt>
                <c:pt idx="70">
                  <c:v>3.1413928564324967</c:v>
                </c:pt>
                <c:pt idx="71">
                  <c:v>3.0169936993177693</c:v>
                </c:pt>
                <c:pt idx="72">
                  <c:v>2.8975207488247854</c:v>
                </c:pt>
                <c:pt idx="73">
                  <c:v>2.7827789271713237</c:v>
                </c:pt>
                <c:pt idx="74">
                  <c:v>2.6725808816553394</c:v>
                </c:pt>
                <c:pt idx="75">
                  <c:v>2.5667466787417883</c:v>
                </c:pt>
                <c:pt idx="76">
                  <c:v>2.4651035102636136</c:v>
                </c:pt>
                <c:pt idx="77">
                  <c:v>2.3674854112571744</c:v>
                </c:pt>
                <c:pt idx="78">
                  <c:v>2.27373298897139</c:v>
                </c:pt>
                <c:pt idx="79">
                  <c:v>2.1836931626081229</c:v>
                </c:pt>
                <c:pt idx="80">
                  <c:v>2.0972189133688417</c:v>
                </c:pt>
                <c:pt idx="81">
                  <c:v>2.0141690443994356</c:v>
                </c:pt>
                <c:pt idx="82">
                  <c:v>1.9344079502412186</c:v>
                </c:pt>
                <c:pt idx="83">
                  <c:v>1.8578053954116658</c:v>
                </c:pt>
                <c:pt idx="84">
                  <c:v>1.7842363017533638</c:v>
                </c:pt>
                <c:pt idx="85">
                  <c:v>1.7135805442039305</c:v>
                </c:pt>
                <c:pt idx="86">
                  <c:v>1.6457227546534547</c:v>
                </c:pt>
                <c:pt idx="87">
                  <c:v>1.5805521335691781</c:v>
                </c:pt>
                <c:pt idx="88">
                  <c:v>1.5179622690798387</c:v>
                </c:pt>
                <c:pt idx="89">
                  <c:v>1.4578509632242769</c:v>
                </c:pt>
                <c:pt idx="90">
                  <c:v>1.4001200650805956</c:v>
                </c:pt>
                <c:pt idx="91">
                  <c:v>1.3446753105034042</c:v>
                </c:pt>
                <c:pt idx="92">
                  <c:v>1.2914261682074692</c:v>
                </c:pt>
              </c:numCache>
            </c:numRef>
          </c:cat>
          <c:val>
            <c:numRef>
              <c:f>'FSN_XXX Graph'!$Q$8:$Q$100</c:f>
              <c:numCache>
                <c:formatCode>_-* #,##0_-;\-* #,##0_-;_-* "-"??_-;_-@_-</c:formatCode>
                <c:ptCount val="93"/>
                <c:pt idx="0">
                  <c:v>168.37164649988665</c:v>
                </c:pt>
                <c:pt idx="1">
                  <c:v>165.07024166655555</c:v>
                </c:pt>
                <c:pt idx="2">
                  <c:v>161.83357026132899</c:v>
                </c:pt>
                <c:pt idx="3">
                  <c:v>158.66036300130293</c:v>
                </c:pt>
                <c:pt idx="4">
                  <c:v>155.54937549147346</c:v>
                </c:pt>
                <c:pt idx="5">
                  <c:v>152.49938773673867</c:v>
                </c:pt>
                <c:pt idx="6">
                  <c:v>149.50920366346926</c:v>
                </c:pt>
                <c:pt idx="7">
                  <c:v>146.5776506504601</c:v>
                </c:pt>
                <c:pt idx="8">
                  <c:v>143.7035790690785</c:v>
                </c:pt>
                <c:pt idx="9">
                  <c:v>140.8858618324299</c:v>
                </c:pt>
                <c:pt idx="10">
                  <c:v>138.12339395336267</c:v>
                </c:pt>
                <c:pt idx="11">
                  <c:v>135.41509211113987</c:v>
                </c:pt>
                <c:pt idx="12">
                  <c:v>132.75989422660771</c:v>
                </c:pt>
                <c:pt idx="13">
                  <c:v>130.15675904569383</c:v>
                </c:pt>
                <c:pt idx="14">
                  <c:v>127.60466573107237</c:v>
                </c:pt>
                <c:pt idx="15">
                  <c:v>125.10261346183565</c:v>
                </c:pt>
                <c:pt idx="16">
                  <c:v>122.64962104101534</c:v>
                </c:pt>
                <c:pt idx="17">
                  <c:v>120.24472651079937</c:v>
                </c:pt>
                <c:pt idx="18">
                  <c:v>117.88698677529351</c:v>
                </c:pt>
                <c:pt idx="19">
                  <c:v>115.57547723067989</c:v>
                </c:pt>
                <c:pt idx="20">
                  <c:v>113.30929140262737</c:v>
                </c:pt>
                <c:pt idx="21">
                  <c:v>111.08754059081113</c:v>
                </c:pt>
                <c:pt idx="22">
                  <c:v>108.90935352040307</c:v>
                </c:pt>
                <c:pt idx="23">
                  <c:v>106.77387600039516</c:v>
                </c:pt>
                <c:pt idx="24">
                  <c:v>104.6802705886227</c:v>
                </c:pt>
                <c:pt idx="25">
                  <c:v>102.62771626335558</c:v>
                </c:pt>
                <c:pt idx="26">
                  <c:v>100.615408101329</c:v>
                </c:pt>
                <c:pt idx="27">
                  <c:v>98.642556962087255</c:v>
                </c:pt>
                <c:pt idx="28">
                  <c:v>96.708389178516924</c:v>
                </c:pt>
                <c:pt idx="29">
                  <c:v>94.812146253447963</c:v>
                </c:pt>
                <c:pt idx="30">
                  <c:v>92.953084562203884</c:v>
                </c:pt>
                <c:pt idx="31">
                  <c:v>91.130475060984182</c:v>
                </c:pt>
                <c:pt idx="32">
                  <c:v>89.34360300096489</c:v>
                </c:pt>
                <c:pt idx="33">
                  <c:v>87.591767648004804</c:v>
                </c:pt>
                <c:pt idx="34">
                  <c:v>85.874282007847839</c:v>
                </c:pt>
                <c:pt idx="35">
                  <c:v>84.190472556713573</c:v>
                </c:pt>
                <c:pt idx="36">
                  <c:v>82.539678977170169</c:v>
                </c:pt>
                <c:pt idx="37">
                  <c:v>80.921253899186425</c:v>
                </c:pt>
                <c:pt idx="38">
                  <c:v>79.334562646261219</c:v>
                </c:pt>
                <c:pt idx="39">
                  <c:v>77.778982986530593</c:v>
                </c:pt>
                <c:pt idx="40">
                  <c:v>76.253904888755471</c:v>
                </c:pt>
                <c:pt idx="41">
                  <c:v>74.728826790980364</c:v>
                </c:pt>
                <c:pt idx="42">
                  <c:v>73.234250255160745</c:v>
                </c:pt>
                <c:pt idx="43">
                  <c:v>71.769565250057525</c:v>
                </c:pt>
                <c:pt idx="44">
                  <c:v>70.334173945056378</c:v>
                </c:pt>
                <c:pt idx="45">
                  <c:v>68.927490466155263</c:v>
                </c:pt>
                <c:pt idx="46">
                  <c:v>67.548940656832158</c:v>
                </c:pt>
                <c:pt idx="47">
                  <c:v>66.197961843695509</c:v>
                </c:pt>
                <c:pt idx="48">
                  <c:v>64.874002606821591</c:v>
                </c:pt>
                <c:pt idx="49">
                  <c:v>63.57652255468517</c:v>
                </c:pt>
                <c:pt idx="50">
                  <c:v>62.304992103591452</c:v>
                </c:pt>
                <c:pt idx="51">
                  <c:v>61.058892261519638</c:v>
                </c:pt>
                <c:pt idx="52">
                  <c:v>59.837714416289238</c:v>
                </c:pt>
                <c:pt idx="53">
                  <c:v>58.640960127963446</c:v>
                </c:pt>
                <c:pt idx="54">
                  <c:v>57.468140925404185</c:v>
                </c:pt>
                <c:pt idx="55">
                  <c:v>56.318778106896097</c:v>
                </c:pt>
                <c:pt idx="56">
                  <c:v>55.192402544758167</c:v>
                </c:pt>
                <c:pt idx="57">
                  <c:v>54.088554493863008</c:v>
                </c:pt>
                <c:pt idx="58">
                  <c:v>53.006783403985743</c:v>
                </c:pt>
                <c:pt idx="59">
                  <c:v>51.946647735906033</c:v>
                </c:pt>
                <c:pt idx="60">
                  <c:v>50.90771478118792</c:v>
                </c:pt>
                <c:pt idx="61">
                  <c:v>49.889560485564161</c:v>
                </c:pt>
                <c:pt idx="62">
                  <c:v>48.891769275852873</c:v>
                </c:pt>
                <c:pt idx="63">
                  <c:v>47.913933890335812</c:v>
                </c:pt>
                <c:pt idx="64">
                  <c:v>46.955655212529095</c:v>
                </c:pt>
                <c:pt idx="65">
                  <c:v>46.016542108278514</c:v>
                </c:pt>
                <c:pt idx="66">
                  <c:v>45.096211266112945</c:v>
                </c:pt>
                <c:pt idx="67">
                  <c:v>44.194287040790677</c:v>
                </c:pt>
                <c:pt idx="68">
                  <c:v>43.310401299974863</c:v>
                </c:pt>
                <c:pt idx="69">
                  <c:v>42.444193273975365</c:v>
                </c:pt>
                <c:pt idx="70">
                  <c:v>41.595309408495865</c:v>
                </c:pt>
                <c:pt idx="71">
                  <c:v>40.763403220325941</c:v>
                </c:pt>
                <c:pt idx="72">
                  <c:v>39.948135155919424</c:v>
                </c:pt>
                <c:pt idx="73">
                  <c:v>39.149172452801032</c:v>
                </c:pt>
                <c:pt idx="74">
                  <c:v>38.366189003745014</c:v>
                </c:pt>
                <c:pt idx="75">
                  <c:v>37.598865223670117</c:v>
                </c:pt>
                <c:pt idx="76">
                  <c:v>36.846887919196718</c:v>
                </c:pt>
                <c:pt idx="77">
                  <c:v>36.109950160812787</c:v>
                </c:pt>
                <c:pt idx="78">
                  <c:v>35.387751157596526</c:v>
                </c:pt>
                <c:pt idx="79">
                  <c:v>34.679996134444593</c:v>
                </c:pt>
                <c:pt idx="80">
                  <c:v>33.986396211755704</c:v>
                </c:pt>
                <c:pt idx="81">
                  <c:v>33.306668287520594</c:v>
                </c:pt>
                <c:pt idx="82">
                  <c:v>32.640534921770183</c:v>
                </c:pt>
                <c:pt idx="83">
                  <c:v>31.987724223334769</c:v>
                </c:pt>
                <c:pt idx="84">
                  <c:v>31.347969738868077</c:v>
                </c:pt>
                <c:pt idx="85">
                  <c:v>30.721010344090718</c:v>
                </c:pt>
                <c:pt idx="86">
                  <c:v>30.106590137208897</c:v>
                </c:pt>
                <c:pt idx="87">
                  <c:v>29.504458334464722</c:v>
                </c:pt>
                <c:pt idx="88">
                  <c:v>28.91436916777543</c:v>
                </c:pt>
                <c:pt idx="89">
                  <c:v>28.336081784419921</c:v>
                </c:pt>
                <c:pt idx="90">
                  <c:v>27.769360148731522</c:v>
                </c:pt>
                <c:pt idx="91">
                  <c:v>27.213972945756893</c:v>
                </c:pt>
                <c:pt idx="92">
                  <c:v>26.669693486841751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17-46C0-BCD5-DA2D70D73064}"/>
            </c:ext>
          </c:extLst>
        </c:ser>
        <c:ser>
          <c:idx val="1"/>
          <c:order val="1"/>
          <c:tx>
            <c:strRef>
              <c:f>'FSN_XXX Graph'!$S$7</c:f>
              <c:strCache>
                <c:ptCount val="1"/>
                <c:pt idx="0">
                  <c:v> HODL 200 FSN (at current fsn price) </c:v>
                </c:pt>
              </c:strCache>
            </c:strRef>
          </c:tx>
          <c:spPr>
            <a:ln w="508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'FSN_XXX Graph'!$N$8:$N$100</c:f>
              <c:numCache>
                <c:formatCode>#,##0.00</c:formatCode>
                <c:ptCount val="93"/>
                <c:pt idx="0">
                  <c:v>51.472048315012039</c:v>
                </c:pt>
                <c:pt idx="1">
                  <c:v>49.473325946762806</c:v>
                </c:pt>
                <c:pt idx="2">
                  <c:v>47.552216404039612</c:v>
                </c:pt>
                <c:pt idx="3">
                  <c:v>45.705705886235691</c:v>
                </c:pt>
                <c:pt idx="4">
                  <c:v>43.930897622294978</c:v>
                </c:pt>
                <c:pt idx="5">
                  <c:v>42.225007326311967</c:v>
                </c:pt>
                <c:pt idx="6">
                  <c:v>40.585358829596267</c:v>
                </c:pt>
                <c:pt idx="7">
                  <c:v>39.00937988234935</c:v>
                </c:pt>
                <c:pt idx="8">
                  <c:v>37.494598118367321</c:v>
                </c:pt>
                <c:pt idx="9">
                  <c:v>36.038637176439174</c:v>
                </c:pt>
                <c:pt idx="10">
                  <c:v>34.639212972355992</c:v>
                </c:pt>
                <c:pt idx="11">
                  <c:v>33.294130115682421</c:v>
                </c:pt>
                <c:pt idx="12">
                  <c:v>32.00127846566938</c:v>
                </c:pt>
                <c:pt idx="13">
                  <c:v>30.758629820904826</c:v>
                </c:pt>
                <c:pt idx="14">
                  <c:v>29.564234737509441</c:v>
                </c:pt>
                <c:pt idx="15">
                  <c:v>28.416219470885657</c:v>
                </c:pt>
                <c:pt idx="16">
                  <c:v>27.312783036222275</c:v>
                </c:pt>
                <c:pt idx="17">
                  <c:v>26.252194383143291</c:v>
                </c:pt>
                <c:pt idx="18">
                  <c:v>25.232789680068528</c:v>
                </c:pt>
                <c:pt idx="19">
                  <c:v>24.252969704025876</c:v>
                </c:pt>
                <c:pt idx="20">
                  <c:v>23.311197331820338</c:v>
                </c:pt>
                <c:pt idx="21">
                  <c:v>22.405995128623932</c:v>
                </c:pt>
                <c:pt idx="22">
                  <c:v>21.5359430302037</c:v>
                </c:pt>
                <c:pt idx="23">
                  <c:v>20.699676115151576</c:v>
                </c:pt>
                <c:pt idx="24">
                  <c:v>19.895882463621277</c:v>
                </c:pt>
                <c:pt idx="25">
                  <c:v>19.123301099213062</c:v>
                </c:pt>
                <c:pt idx="26">
                  <c:v>18.380720010777644</c:v>
                </c:pt>
                <c:pt idx="27">
                  <c:v>17.6669742510358</c:v>
                </c:pt>
                <c:pt idx="28">
                  <c:v>16.980944109030951</c:v>
                </c:pt>
                <c:pt idx="29">
                  <c:v>16.321553353547628</c:v>
                </c:pt>
                <c:pt idx="30">
                  <c:v>15.687767544740124</c:v>
                </c:pt>
                <c:pt idx="31">
                  <c:v>15.078592411322687</c:v>
                </c:pt>
                <c:pt idx="32">
                  <c:v>14.493072290775361</c:v>
                </c:pt>
                <c:pt idx="33">
                  <c:v>13.930288630118572</c:v>
                </c:pt>
                <c:pt idx="34">
                  <c:v>13.389358544904432</c:v>
                </c:pt>
                <c:pt idx="35">
                  <c:v>12.869433434164199</c:v>
                </c:pt>
                <c:pt idx="36">
                  <c:v>12.369697649138983</c:v>
                </c:pt>
                <c:pt idx="37">
                  <c:v>11.889367213705288</c:v>
                </c:pt>
                <c:pt idx="38">
                  <c:v>11.427688594487975</c:v>
                </c:pt>
                <c:pt idx="39">
                  <c:v>10.983937518731231</c:v>
                </c:pt>
                <c:pt idx="40">
                  <c:v>10.557417838073079</c:v>
                </c:pt>
                <c:pt idx="41">
                  <c:v>10.139344091685384</c:v>
                </c:pt>
                <c:pt idx="42">
                  <c:v>9.7378260656546409</c:v>
                </c:pt>
                <c:pt idx="43">
                  <c:v>9.3522081534547148</c:v>
                </c:pt>
                <c:pt idx="44">
                  <c:v>8.9818607105779087</c:v>
                </c:pt>
                <c:pt idx="45">
                  <c:v>8.6261790264390239</c:v>
                </c:pt>
                <c:pt idx="46">
                  <c:v>8.2845823369920364</c:v>
                </c:pt>
                <c:pt idx="47">
                  <c:v>7.956512876447154</c:v>
                </c:pt>
                <c:pt idx="48">
                  <c:v>7.6414349665398458</c:v>
                </c:pt>
                <c:pt idx="49">
                  <c:v>7.3388341418648677</c:v>
                </c:pt>
                <c:pt idx="50">
                  <c:v>7.0482163098470183</c:v>
                </c:pt>
                <c:pt idx="51">
                  <c:v>6.7691069439770768</c:v>
                </c:pt>
                <c:pt idx="52">
                  <c:v>6.5010503089955849</c:v>
                </c:pt>
                <c:pt idx="53">
                  <c:v>6.2436087167593595</c:v>
                </c:pt>
                <c:pt idx="54">
                  <c:v>5.9963618115756878</c:v>
                </c:pt>
                <c:pt idx="55">
                  <c:v>5.75890588383729</c:v>
                </c:pt>
                <c:pt idx="56">
                  <c:v>5.5308532108373338</c:v>
                </c:pt>
                <c:pt idx="57">
                  <c:v>5.311831423688175</c:v>
                </c:pt>
                <c:pt idx="58">
                  <c:v>5.1014828993101231</c:v>
                </c:pt>
                <c:pt idx="59">
                  <c:v>4.8994641764974434</c:v>
                </c:pt>
                <c:pt idx="60">
                  <c:v>4.7054453951081436</c:v>
                </c:pt>
                <c:pt idx="61">
                  <c:v>4.5191097574618615</c:v>
                </c:pt>
                <c:pt idx="62">
                  <c:v>4.3401530110663717</c:v>
                </c:pt>
                <c:pt idx="63">
                  <c:v>4.168282951828143</c:v>
                </c:pt>
                <c:pt idx="64">
                  <c:v>4.0032189469357489</c:v>
                </c:pt>
                <c:pt idx="65">
                  <c:v>3.8446914766370925</c:v>
                </c:pt>
                <c:pt idx="66">
                  <c:v>3.6924416941622629</c:v>
                </c:pt>
                <c:pt idx="67">
                  <c:v>3.5462210030734371</c:v>
                </c:pt>
                <c:pt idx="68">
                  <c:v>3.4057906513517291</c:v>
                </c:pt>
                <c:pt idx="69">
                  <c:v>3.2709213415582008</c:v>
                </c:pt>
                <c:pt idx="70">
                  <c:v>3.1413928564324967</c:v>
                </c:pt>
                <c:pt idx="71">
                  <c:v>3.0169936993177693</c:v>
                </c:pt>
                <c:pt idx="72">
                  <c:v>2.8975207488247854</c:v>
                </c:pt>
                <c:pt idx="73">
                  <c:v>2.7827789271713237</c:v>
                </c:pt>
                <c:pt idx="74">
                  <c:v>2.6725808816553394</c:v>
                </c:pt>
                <c:pt idx="75">
                  <c:v>2.5667466787417883</c:v>
                </c:pt>
                <c:pt idx="76">
                  <c:v>2.4651035102636136</c:v>
                </c:pt>
                <c:pt idx="77">
                  <c:v>2.3674854112571744</c:v>
                </c:pt>
                <c:pt idx="78">
                  <c:v>2.27373298897139</c:v>
                </c:pt>
                <c:pt idx="79">
                  <c:v>2.1836931626081229</c:v>
                </c:pt>
                <c:pt idx="80">
                  <c:v>2.0972189133688417</c:v>
                </c:pt>
                <c:pt idx="81">
                  <c:v>2.0141690443994356</c:v>
                </c:pt>
                <c:pt idx="82">
                  <c:v>1.9344079502412186</c:v>
                </c:pt>
                <c:pt idx="83">
                  <c:v>1.8578053954116658</c:v>
                </c:pt>
                <c:pt idx="84">
                  <c:v>1.7842363017533638</c:v>
                </c:pt>
                <c:pt idx="85">
                  <c:v>1.7135805442039305</c:v>
                </c:pt>
                <c:pt idx="86">
                  <c:v>1.6457227546534547</c:v>
                </c:pt>
                <c:pt idx="87">
                  <c:v>1.5805521335691781</c:v>
                </c:pt>
                <c:pt idx="88">
                  <c:v>1.5179622690798387</c:v>
                </c:pt>
                <c:pt idx="89">
                  <c:v>1.4578509632242769</c:v>
                </c:pt>
                <c:pt idx="90">
                  <c:v>1.4001200650805956</c:v>
                </c:pt>
                <c:pt idx="91">
                  <c:v>1.3446753105034042</c:v>
                </c:pt>
                <c:pt idx="92">
                  <c:v>1.2914261682074692</c:v>
                </c:pt>
              </c:numCache>
            </c:numRef>
          </c:cat>
          <c:val>
            <c:numRef>
              <c:f>'FSN_XXX Graph'!$S$8:$S$100</c:f>
              <c:numCache>
                <c:formatCode>"$"#,##0</c:formatCode>
                <c:ptCount val="93"/>
                <c:pt idx="0">
                  <c:v>76.253904888755471</c:v>
                </c:pt>
                <c:pt idx="1">
                  <c:v>76.253904888755471</c:v>
                </c:pt>
                <c:pt idx="2">
                  <c:v>76.253904888755471</c:v>
                </c:pt>
                <c:pt idx="3">
                  <c:v>76.253904888755471</c:v>
                </c:pt>
                <c:pt idx="4">
                  <c:v>76.253904888755471</c:v>
                </c:pt>
                <c:pt idx="5">
                  <c:v>76.253904888755471</c:v>
                </c:pt>
                <c:pt idx="6">
                  <c:v>76.253904888755471</c:v>
                </c:pt>
                <c:pt idx="7">
                  <c:v>76.253904888755471</c:v>
                </c:pt>
                <c:pt idx="8">
                  <c:v>76.253904888755471</c:v>
                </c:pt>
                <c:pt idx="9">
                  <c:v>76.253904888755471</c:v>
                </c:pt>
                <c:pt idx="10">
                  <c:v>76.253904888755471</c:v>
                </c:pt>
                <c:pt idx="11">
                  <c:v>76.253904888755471</c:v>
                </c:pt>
                <c:pt idx="12">
                  <c:v>76.253904888755471</c:v>
                </c:pt>
                <c:pt idx="13">
                  <c:v>76.253904888755471</c:v>
                </c:pt>
                <c:pt idx="14">
                  <c:v>76.253904888755471</c:v>
                </c:pt>
                <c:pt idx="15">
                  <c:v>76.253904888755471</c:v>
                </c:pt>
                <c:pt idx="16">
                  <c:v>76.253904888755471</c:v>
                </c:pt>
                <c:pt idx="17">
                  <c:v>76.253904888755471</c:v>
                </c:pt>
                <c:pt idx="18">
                  <c:v>76.253904888755471</c:v>
                </c:pt>
                <c:pt idx="19">
                  <c:v>76.253904888755471</c:v>
                </c:pt>
                <c:pt idx="20">
                  <c:v>76.253904888755471</c:v>
                </c:pt>
                <c:pt idx="21">
                  <c:v>76.253904888755471</c:v>
                </c:pt>
                <c:pt idx="22">
                  <c:v>76.253904888755471</c:v>
                </c:pt>
                <c:pt idx="23">
                  <c:v>76.253904888755471</c:v>
                </c:pt>
                <c:pt idx="24">
                  <c:v>76.253904888755471</c:v>
                </c:pt>
                <c:pt idx="25">
                  <c:v>76.253904888755471</c:v>
                </c:pt>
                <c:pt idx="26">
                  <c:v>76.253904888755471</c:v>
                </c:pt>
                <c:pt idx="27">
                  <c:v>76.253904888755471</c:v>
                </c:pt>
                <c:pt idx="28">
                  <c:v>76.253904888755471</c:v>
                </c:pt>
                <c:pt idx="29">
                  <c:v>76.253904888755471</c:v>
                </c:pt>
                <c:pt idx="30">
                  <c:v>76.253904888755471</c:v>
                </c:pt>
                <c:pt idx="31">
                  <c:v>76.253904888755471</c:v>
                </c:pt>
                <c:pt idx="32">
                  <c:v>76.253904888755471</c:v>
                </c:pt>
                <c:pt idx="33">
                  <c:v>76.253904888755471</c:v>
                </c:pt>
                <c:pt idx="34">
                  <c:v>76.253904888755471</c:v>
                </c:pt>
                <c:pt idx="35">
                  <c:v>76.253904888755471</c:v>
                </c:pt>
                <c:pt idx="36">
                  <c:v>76.253904888755471</c:v>
                </c:pt>
                <c:pt idx="37">
                  <c:v>76.253904888755471</c:v>
                </c:pt>
                <c:pt idx="38">
                  <c:v>76.253904888755471</c:v>
                </c:pt>
                <c:pt idx="39">
                  <c:v>76.253904888755471</c:v>
                </c:pt>
                <c:pt idx="40">
                  <c:v>76.253904888755471</c:v>
                </c:pt>
                <c:pt idx="41">
                  <c:v>76.253904888755471</c:v>
                </c:pt>
                <c:pt idx="42">
                  <c:v>76.253904888755471</c:v>
                </c:pt>
                <c:pt idx="43">
                  <c:v>76.253904888755471</c:v>
                </c:pt>
                <c:pt idx="44">
                  <c:v>76.253904888755471</c:v>
                </c:pt>
                <c:pt idx="45">
                  <c:v>76.253904888755471</c:v>
                </c:pt>
                <c:pt idx="46">
                  <c:v>76.253904888755471</c:v>
                </c:pt>
                <c:pt idx="47">
                  <c:v>76.253904888755471</c:v>
                </c:pt>
                <c:pt idx="48">
                  <c:v>76.253904888755471</c:v>
                </c:pt>
                <c:pt idx="49">
                  <c:v>76.253904888755471</c:v>
                </c:pt>
                <c:pt idx="50">
                  <c:v>76.253904888755471</c:v>
                </c:pt>
                <c:pt idx="51">
                  <c:v>76.253904888755471</c:v>
                </c:pt>
                <c:pt idx="52">
                  <c:v>76.253904888755471</c:v>
                </c:pt>
                <c:pt idx="53">
                  <c:v>76.253904888755471</c:v>
                </c:pt>
                <c:pt idx="54">
                  <c:v>76.253904888755471</c:v>
                </c:pt>
                <c:pt idx="55">
                  <c:v>76.253904888755471</c:v>
                </c:pt>
                <c:pt idx="56">
                  <c:v>76.253904888755471</c:v>
                </c:pt>
                <c:pt idx="57">
                  <c:v>76.253904888755471</c:v>
                </c:pt>
                <c:pt idx="58">
                  <c:v>76.253904888755471</c:v>
                </c:pt>
                <c:pt idx="59">
                  <c:v>76.253904888755471</c:v>
                </c:pt>
                <c:pt idx="60">
                  <c:v>76.253904888755471</c:v>
                </c:pt>
                <c:pt idx="61">
                  <c:v>76.253904888755471</c:v>
                </c:pt>
                <c:pt idx="62">
                  <c:v>76.253904888755471</c:v>
                </c:pt>
                <c:pt idx="63">
                  <c:v>76.253904888755471</c:v>
                </c:pt>
                <c:pt idx="64">
                  <c:v>76.253904888755471</c:v>
                </c:pt>
                <c:pt idx="65">
                  <c:v>76.253904888755471</c:v>
                </c:pt>
                <c:pt idx="66">
                  <c:v>76.253904888755471</c:v>
                </c:pt>
                <c:pt idx="67">
                  <c:v>76.253904888755471</c:v>
                </c:pt>
                <c:pt idx="68">
                  <c:v>76.253904888755471</c:v>
                </c:pt>
                <c:pt idx="69">
                  <c:v>76.253904888755471</c:v>
                </c:pt>
                <c:pt idx="70">
                  <c:v>76.253904888755471</c:v>
                </c:pt>
                <c:pt idx="71">
                  <c:v>76.253904888755471</c:v>
                </c:pt>
                <c:pt idx="72">
                  <c:v>76.253904888755471</c:v>
                </c:pt>
                <c:pt idx="73">
                  <c:v>76.253904888755471</c:v>
                </c:pt>
                <c:pt idx="74">
                  <c:v>76.253904888755471</c:v>
                </c:pt>
                <c:pt idx="75">
                  <c:v>76.253904888755471</c:v>
                </c:pt>
                <c:pt idx="76">
                  <c:v>76.253904888755471</c:v>
                </c:pt>
                <c:pt idx="77">
                  <c:v>76.253904888755471</c:v>
                </c:pt>
                <c:pt idx="78">
                  <c:v>76.253904888755471</c:v>
                </c:pt>
                <c:pt idx="79">
                  <c:v>76.253904888755471</c:v>
                </c:pt>
                <c:pt idx="80">
                  <c:v>76.253904888755471</c:v>
                </c:pt>
                <c:pt idx="81">
                  <c:v>76.253904888755471</c:v>
                </c:pt>
                <c:pt idx="82">
                  <c:v>76.253904888755471</c:v>
                </c:pt>
                <c:pt idx="83">
                  <c:v>76.253904888755471</c:v>
                </c:pt>
                <c:pt idx="84">
                  <c:v>76.253904888755471</c:v>
                </c:pt>
                <c:pt idx="85">
                  <c:v>76.253904888755471</c:v>
                </c:pt>
                <c:pt idx="86">
                  <c:v>76.253904888755471</c:v>
                </c:pt>
                <c:pt idx="87">
                  <c:v>76.253904888755471</c:v>
                </c:pt>
                <c:pt idx="88">
                  <c:v>76.253904888755471</c:v>
                </c:pt>
                <c:pt idx="89">
                  <c:v>76.253904888755471</c:v>
                </c:pt>
                <c:pt idx="90">
                  <c:v>76.253904888755471</c:v>
                </c:pt>
                <c:pt idx="91">
                  <c:v>76.253904888755471</c:v>
                </c:pt>
                <c:pt idx="92">
                  <c:v>76.253904888755471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17-46C0-BCD5-DA2D70D73064}"/>
            </c:ext>
          </c:extLst>
        </c:ser>
        <c:ser>
          <c:idx val="2"/>
          <c:order val="2"/>
          <c:tx>
            <c:strRef>
              <c:f>'FSN_XXX Graph'!$T$7</c:f>
              <c:strCache>
                <c:ptCount val="1"/>
                <c:pt idx="0">
                  <c:v> HODL 18.944 UNI (at current fsn price)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'FSN_XXX Graph'!$N$8:$N$100</c:f>
              <c:numCache>
                <c:formatCode>#,##0.00</c:formatCode>
                <c:ptCount val="93"/>
                <c:pt idx="0">
                  <c:v>51.472048315012039</c:v>
                </c:pt>
                <c:pt idx="1">
                  <c:v>49.473325946762806</c:v>
                </c:pt>
                <c:pt idx="2">
                  <c:v>47.552216404039612</c:v>
                </c:pt>
                <c:pt idx="3">
                  <c:v>45.705705886235691</c:v>
                </c:pt>
                <c:pt idx="4">
                  <c:v>43.930897622294978</c:v>
                </c:pt>
                <c:pt idx="5">
                  <c:v>42.225007326311967</c:v>
                </c:pt>
                <c:pt idx="6">
                  <c:v>40.585358829596267</c:v>
                </c:pt>
                <c:pt idx="7">
                  <c:v>39.00937988234935</c:v>
                </c:pt>
                <c:pt idx="8">
                  <c:v>37.494598118367321</c:v>
                </c:pt>
                <c:pt idx="9">
                  <c:v>36.038637176439174</c:v>
                </c:pt>
                <c:pt idx="10">
                  <c:v>34.639212972355992</c:v>
                </c:pt>
                <c:pt idx="11">
                  <c:v>33.294130115682421</c:v>
                </c:pt>
                <c:pt idx="12">
                  <c:v>32.00127846566938</c:v>
                </c:pt>
                <c:pt idx="13">
                  <c:v>30.758629820904826</c:v>
                </c:pt>
                <c:pt idx="14">
                  <c:v>29.564234737509441</c:v>
                </c:pt>
                <c:pt idx="15">
                  <c:v>28.416219470885657</c:v>
                </c:pt>
                <c:pt idx="16">
                  <c:v>27.312783036222275</c:v>
                </c:pt>
                <c:pt idx="17">
                  <c:v>26.252194383143291</c:v>
                </c:pt>
                <c:pt idx="18">
                  <c:v>25.232789680068528</c:v>
                </c:pt>
                <c:pt idx="19">
                  <c:v>24.252969704025876</c:v>
                </c:pt>
                <c:pt idx="20">
                  <c:v>23.311197331820338</c:v>
                </c:pt>
                <c:pt idx="21">
                  <c:v>22.405995128623932</c:v>
                </c:pt>
                <c:pt idx="22">
                  <c:v>21.5359430302037</c:v>
                </c:pt>
                <c:pt idx="23">
                  <c:v>20.699676115151576</c:v>
                </c:pt>
                <c:pt idx="24">
                  <c:v>19.895882463621277</c:v>
                </c:pt>
                <c:pt idx="25">
                  <c:v>19.123301099213062</c:v>
                </c:pt>
                <c:pt idx="26">
                  <c:v>18.380720010777644</c:v>
                </c:pt>
                <c:pt idx="27">
                  <c:v>17.6669742510358</c:v>
                </c:pt>
                <c:pt idx="28">
                  <c:v>16.980944109030951</c:v>
                </c:pt>
                <c:pt idx="29">
                  <c:v>16.321553353547628</c:v>
                </c:pt>
                <c:pt idx="30">
                  <c:v>15.687767544740124</c:v>
                </c:pt>
                <c:pt idx="31">
                  <c:v>15.078592411322687</c:v>
                </c:pt>
                <c:pt idx="32">
                  <c:v>14.493072290775361</c:v>
                </c:pt>
                <c:pt idx="33">
                  <c:v>13.930288630118572</c:v>
                </c:pt>
                <c:pt idx="34">
                  <c:v>13.389358544904432</c:v>
                </c:pt>
                <c:pt idx="35">
                  <c:v>12.869433434164199</c:v>
                </c:pt>
                <c:pt idx="36">
                  <c:v>12.369697649138983</c:v>
                </c:pt>
                <c:pt idx="37">
                  <c:v>11.889367213705288</c:v>
                </c:pt>
                <c:pt idx="38">
                  <c:v>11.427688594487975</c:v>
                </c:pt>
                <c:pt idx="39">
                  <c:v>10.983937518731231</c:v>
                </c:pt>
                <c:pt idx="40">
                  <c:v>10.557417838073079</c:v>
                </c:pt>
                <c:pt idx="41">
                  <c:v>10.139344091685384</c:v>
                </c:pt>
                <c:pt idx="42">
                  <c:v>9.7378260656546409</c:v>
                </c:pt>
                <c:pt idx="43">
                  <c:v>9.3522081534547148</c:v>
                </c:pt>
                <c:pt idx="44">
                  <c:v>8.9818607105779087</c:v>
                </c:pt>
                <c:pt idx="45">
                  <c:v>8.6261790264390239</c:v>
                </c:pt>
                <c:pt idx="46">
                  <c:v>8.2845823369920364</c:v>
                </c:pt>
                <c:pt idx="47">
                  <c:v>7.956512876447154</c:v>
                </c:pt>
                <c:pt idx="48">
                  <c:v>7.6414349665398458</c:v>
                </c:pt>
                <c:pt idx="49">
                  <c:v>7.3388341418648677</c:v>
                </c:pt>
                <c:pt idx="50">
                  <c:v>7.0482163098470183</c:v>
                </c:pt>
                <c:pt idx="51">
                  <c:v>6.7691069439770768</c:v>
                </c:pt>
                <c:pt idx="52">
                  <c:v>6.5010503089955849</c:v>
                </c:pt>
                <c:pt idx="53">
                  <c:v>6.2436087167593595</c:v>
                </c:pt>
                <c:pt idx="54">
                  <c:v>5.9963618115756878</c:v>
                </c:pt>
                <c:pt idx="55">
                  <c:v>5.75890588383729</c:v>
                </c:pt>
                <c:pt idx="56">
                  <c:v>5.5308532108373338</c:v>
                </c:pt>
                <c:pt idx="57">
                  <c:v>5.311831423688175</c:v>
                </c:pt>
                <c:pt idx="58">
                  <c:v>5.1014828993101231</c:v>
                </c:pt>
                <c:pt idx="59">
                  <c:v>4.8994641764974434</c:v>
                </c:pt>
                <c:pt idx="60">
                  <c:v>4.7054453951081436</c:v>
                </c:pt>
                <c:pt idx="61">
                  <c:v>4.5191097574618615</c:v>
                </c:pt>
                <c:pt idx="62">
                  <c:v>4.3401530110663717</c:v>
                </c:pt>
                <c:pt idx="63">
                  <c:v>4.168282951828143</c:v>
                </c:pt>
                <c:pt idx="64">
                  <c:v>4.0032189469357489</c:v>
                </c:pt>
                <c:pt idx="65">
                  <c:v>3.8446914766370925</c:v>
                </c:pt>
                <c:pt idx="66">
                  <c:v>3.6924416941622629</c:v>
                </c:pt>
                <c:pt idx="67">
                  <c:v>3.5462210030734371</c:v>
                </c:pt>
                <c:pt idx="68">
                  <c:v>3.4057906513517291</c:v>
                </c:pt>
                <c:pt idx="69">
                  <c:v>3.2709213415582008</c:v>
                </c:pt>
                <c:pt idx="70">
                  <c:v>3.1413928564324967</c:v>
                </c:pt>
                <c:pt idx="71">
                  <c:v>3.0169936993177693</c:v>
                </c:pt>
                <c:pt idx="72">
                  <c:v>2.8975207488247854</c:v>
                </c:pt>
                <c:pt idx="73">
                  <c:v>2.7827789271713237</c:v>
                </c:pt>
                <c:pt idx="74">
                  <c:v>2.6725808816553394</c:v>
                </c:pt>
                <c:pt idx="75">
                  <c:v>2.5667466787417883</c:v>
                </c:pt>
                <c:pt idx="76">
                  <c:v>2.4651035102636136</c:v>
                </c:pt>
                <c:pt idx="77">
                  <c:v>2.3674854112571744</c:v>
                </c:pt>
                <c:pt idx="78">
                  <c:v>2.27373298897139</c:v>
                </c:pt>
                <c:pt idx="79">
                  <c:v>2.1836931626081229</c:v>
                </c:pt>
                <c:pt idx="80">
                  <c:v>2.0972189133688417</c:v>
                </c:pt>
                <c:pt idx="81">
                  <c:v>2.0141690443994356</c:v>
                </c:pt>
                <c:pt idx="82">
                  <c:v>1.9344079502412186</c:v>
                </c:pt>
                <c:pt idx="83">
                  <c:v>1.8578053954116658</c:v>
                </c:pt>
                <c:pt idx="84">
                  <c:v>1.7842363017533638</c:v>
                </c:pt>
                <c:pt idx="85">
                  <c:v>1.7135805442039305</c:v>
                </c:pt>
                <c:pt idx="86">
                  <c:v>1.6457227546534547</c:v>
                </c:pt>
                <c:pt idx="87">
                  <c:v>1.5805521335691781</c:v>
                </c:pt>
                <c:pt idx="88">
                  <c:v>1.5179622690798387</c:v>
                </c:pt>
                <c:pt idx="89">
                  <c:v>1.4578509632242769</c:v>
                </c:pt>
                <c:pt idx="90">
                  <c:v>1.4001200650805956</c:v>
                </c:pt>
                <c:pt idx="91">
                  <c:v>1.3446753105034042</c:v>
                </c:pt>
                <c:pt idx="92">
                  <c:v>1.2914261682074692</c:v>
                </c:pt>
              </c:numCache>
            </c:numRef>
          </c:cat>
          <c:val>
            <c:numRef>
              <c:f>'FSN_XXX Graph'!$T$8:$T$100</c:f>
              <c:numCache>
                <c:formatCode>"$"#,##0</c:formatCode>
                <c:ptCount val="93"/>
                <c:pt idx="0">
                  <c:v>371.77127369988875</c:v>
                </c:pt>
                <c:pt idx="1">
                  <c:v>357.33494204141545</c:v>
                </c:pt>
                <c:pt idx="2">
                  <c:v>343.45919073569348</c:v>
                </c:pt>
                <c:pt idx="3">
                  <c:v>330.12225176441126</c:v>
                </c:pt>
                <c:pt idx="4">
                  <c:v>317.3032023879386</c:v>
                </c:pt>
                <c:pt idx="5">
                  <c:v>304.98193232212469</c:v>
                </c:pt>
                <c:pt idx="6">
                  <c:v>293.13911218966223</c:v>
                </c:pt>
                <c:pt idx="7">
                  <c:v>281.75616319652272</c:v>
                </c:pt>
                <c:pt idx="8">
                  <c:v>270.8152279858927</c:v>
                </c:pt>
                <c:pt idx="9">
                  <c:v>260.29914262388763</c:v>
                </c:pt>
                <c:pt idx="10">
                  <c:v>250.19140967309463</c:v>
                </c:pt>
                <c:pt idx="11">
                  <c:v>240.47617231170187</c:v>
                </c:pt>
                <c:pt idx="12">
                  <c:v>231.13818945761423</c:v>
                </c:pt>
                <c:pt idx="13">
                  <c:v>222.16281185852964</c:v>
                </c:pt>
                <c:pt idx="14">
                  <c:v>213.53595911046676</c:v>
                </c:pt>
                <c:pt idx="15">
                  <c:v>205.24409756869161</c:v>
                </c:pt>
                <c:pt idx="16">
                  <c:v>197.27421911638945</c:v>
                </c:pt>
                <c:pt idx="17">
                  <c:v>189.61382075777536</c:v>
                </c:pt>
                <c:pt idx="18">
                  <c:v>182.25088500362881</c:v>
                </c:pt>
                <c:pt idx="19">
                  <c:v>175.17386101848209</c:v>
                </c:pt>
                <c:pt idx="20">
                  <c:v>168.37164649988671</c:v>
                </c:pt>
                <c:pt idx="21">
                  <c:v>161.83357026132899</c:v>
                </c:pt>
                <c:pt idx="22">
                  <c:v>155.54937549147346</c:v>
                </c:pt>
                <c:pt idx="23">
                  <c:v>149.50920366346926</c:v>
                </c:pt>
                <c:pt idx="24">
                  <c:v>143.70357906907853</c:v>
                </c:pt>
                <c:pt idx="25">
                  <c:v>138.12339395336261</c:v>
                </c:pt>
                <c:pt idx="26">
                  <c:v>132.75989422660766</c:v>
                </c:pt>
                <c:pt idx="27">
                  <c:v>127.60466573107234</c:v>
                </c:pt>
                <c:pt idx="28">
                  <c:v>122.64962104101534</c:v>
                </c:pt>
                <c:pt idx="29">
                  <c:v>117.88698677529351</c:v>
                </c:pt>
                <c:pt idx="30">
                  <c:v>113.30929140262734</c:v>
                </c:pt>
                <c:pt idx="31">
                  <c:v>108.90935352040304</c:v>
                </c:pt>
                <c:pt idx="32">
                  <c:v>104.68027058862268</c:v>
                </c:pt>
                <c:pt idx="33">
                  <c:v>100.615408101329</c:v>
                </c:pt>
                <c:pt idx="34">
                  <c:v>96.70838917851691</c:v>
                </c:pt>
                <c:pt idx="35">
                  <c:v>92.95308456220387</c:v>
                </c:pt>
                <c:pt idx="36">
                  <c:v>89.343603000964876</c:v>
                </c:pt>
                <c:pt idx="37">
                  <c:v>85.874282007847825</c:v>
                </c:pt>
                <c:pt idx="38">
                  <c:v>82.539678977170169</c:v>
                </c:pt>
                <c:pt idx="39">
                  <c:v>79.33456264626119</c:v>
                </c:pt>
                <c:pt idx="40">
                  <c:v>76.253904888755457</c:v>
                </c:pt>
                <c:pt idx="41">
                  <c:v>73.234250255160745</c:v>
                </c:pt>
                <c:pt idx="42">
                  <c:v>70.334173945056364</c:v>
                </c:pt>
                <c:pt idx="43">
                  <c:v>67.548940656832116</c:v>
                </c:pt>
                <c:pt idx="44">
                  <c:v>64.874002606821577</c:v>
                </c:pt>
                <c:pt idx="45">
                  <c:v>62.304992103591438</c:v>
                </c:pt>
                <c:pt idx="46">
                  <c:v>59.837714416289202</c:v>
                </c:pt>
                <c:pt idx="47">
                  <c:v>57.468140925404171</c:v>
                </c:pt>
                <c:pt idx="48">
                  <c:v>55.19240254475816</c:v>
                </c:pt>
                <c:pt idx="49">
                  <c:v>53.006783403985729</c:v>
                </c:pt>
                <c:pt idx="50">
                  <c:v>50.907714781187899</c:v>
                </c:pt>
                <c:pt idx="51">
                  <c:v>48.891769275852859</c:v>
                </c:pt>
                <c:pt idx="52">
                  <c:v>46.955655212529081</c:v>
                </c:pt>
                <c:pt idx="53">
                  <c:v>45.096211266112931</c:v>
                </c:pt>
                <c:pt idx="54">
                  <c:v>43.310401299974849</c:v>
                </c:pt>
                <c:pt idx="55">
                  <c:v>41.595309408495844</c:v>
                </c:pt>
                <c:pt idx="56">
                  <c:v>39.94813515591941</c:v>
                </c:pt>
                <c:pt idx="57">
                  <c:v>38.366189003744999</c:v>
                </c:pt>
                <c:pt idx="58">
                  <c:v>36.846887919196696</c:v>
                </c:pt>
                <c:pt idx="59">
                  <c:v>35.387751157596512</c:v>
                </c:pt>
                <c:pt idx="60">
                  <c:v>33.986396211755682</c:v>
                </c:pt>
                <c:pt idx="61">
                  <c:v>32.640534921770168</c:v>
                </c:pt>
                <c:pt idx="62">
                  <c:v>31.347969738868066</c:v>
                </c:pt>
                <c:pt idx="63">
                  <c:v>30.106590137208887</c:v>
                </c:pt>
                <c:pt idx="64">
                  <c:v>28.914369167775416</c:v>
                </c:pt>
                <c:pt idx="65">
                  <c:v>27.769360148731504</c:v>
                </c:pt>
                <c:pt idx="66">
                  <c:v>26.66969348684173</c:v>
                </c:pt>
                <c:pt idx="67">
                  <c:v>25.613573624762797</c:v>
                </c:pt>
                <c:pt idx="68">
                  <c:v>24.599276109222192</c:v>
                </c:pt>
                <c:pt idx="69">
                  <c:v>23.625144775296995</c:v>
                </c:pt>
                <c:pt idx="70">
                  <c:v>22.689589042195237</c:v>
                </c:pt>
                <c:pt idx="71">
                  <c:v>21.791081316124302</c:v>
                </c:pt>
                <c:pt idx="72">
                  <c:v>20.928154496005778</c:v>
                </c:pt>
                <c:pt idx="73">
                  <c:v>20.099399577963947</c:v>
                </c:pt>
                <c:pt idx="74">
                  <c:v>19.303463354676577</c:v>
                </c:pt>
                <c:pt idx="75">
                  <c:v>18.539046205831387</c:v>
                </c:pt>
                <c:pt idx="76">
                  <c:v>17.804899976080463</c:v>
                </c:pt>
                <c:pt idx="77">
                  <c:v>17.099825937027678</c:v>
                </c:pt>
                <c:pt idx="78">
                  <c:v>16.422672829921382</c:v>
                </c:pt>
                <c:pt idx="79">
                  <c:v>15.772334985856492</c:v>
                </c:pt>
                <c:pt idx="80">
                  <c:v>15.147750520416579</c:v>
                </c:pt>
                <c:pt idx="81">
                  <c:v>14.547899599808083</c:v>
                </c:pt>
                <c:pt idx="82">
                  <c:v>13.971802775655686</c:v>
                </c:pt>
                <c:pt idx="83">
                  <c:v>13.418519385739717</c:v>
                </c:pt>
                <c:pt idx="84">
                  <c:v>12.887146018064424</c:v>
                </c:pt>
                <c:pt idx="85">
                  <c:v>12.376815035749074</c:v>
                </c:pt>
                <c:pt idx="86">
                  <c:v>11.88669316033341</c:v>
                </c:pt>
                <c:pt idx="87">
                  <c:v>11.415980111184208</c:v>
                </c:pt>
                <c:pt idx="88">
                  <c:v>10.963907298781312</c:v>
                </c:pt>
                <c:pt idx="89">
                  <c:v>10.529736569749572</c:v>
                </c:pt>
                <c:pt idx="90">
                  <c:v>10.11275900158749</c:v>
                </c:pt>
                <c:pt idx="91">
                  <c:v>9.7122937451246258</c:v>
                </c:pt>
                <c:pt idx="92">
                  <c:v>9.3276869128176898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417-46C0-BCD5-DA2D70D73064}"/>
            </c:ext>
          </c:extLst>
        </c:ser>
        <c:ser>
          <c:idx val="3"/>
          <c:order val="3"/>
          <c:tx>
            <c:strRef>
              <c:f>'FSN_XXX Graph'!$U$7</c:f>
              <c:strCache>
                <c:ptCount val="1"/>
                <c:pt idx="0">
                  <c:v> HODL 100 FSN&amp; 9.472 UNI (at current fsn price)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'FSN_XXX Graph'!$N$8:$N$100</c:f>
              <c:numCache>
                <c:formatCode>#,##0.00</c:formatCode>
                <c:ptCount val="93"/>
                <c:pt idx="0">
                  <c:v>51.472048315012039</c:v>
                </c:pt>
                <c:pt idx="1">
                  <c:v>49.473325946762806</c:v>
                </c:pt>
                <c:pt idx="2">
                  <c:v>47.552216404039612</c:v>
                </c:pt>
                <c:pt idx="3">
                  <c:v>45.705705886235691</c:v>
                </c:pt>
                <c:pt idx="4">
                  <c:v>43.930897622294978</c:v>
                </c:pt>
                <c:pt idx="5">
                  <c:v>42.225007326311967</c:v>
                </c:pt>
                <c:pt idx="6">
                  <c:v>40.585358829596267</c:v>
                </c:pt>
                <c:pt idx="7">
                  <c:v>39.00937988234935</c:v>
                </c:pt>
                <c:pt idx="8">
                  <c:v>37.494598118367321</c:v>
                </c:pt>
                <c:pt idx="9">
                  <c:v>36.038637176439174</c:v>
                </c:pt>
                <c:pt idx="10">
                  <c:v>34.639212972355992</c:v>
                </c:pt>
                <c:pt idx="11">
                  <c:v>33.294130115682421</c:v>
                </c:pt>
                <c:pt idx="12">
                  <c:v>32.00127846566938</c:v>
                </c:pt>
                <c:pt idx="13">
                  <c:v>30.758629820904826</c:v>
                </c:pt>
                <c:pt idx="14">
                  <c:v>29.564234737509441</c:v>
                </c:pt>
                <c:pt idx="15">
                  <c:v>28.416219470885657</c:v>
                </c:pt>
                <c:pt idx="16">
                  <c:v>27.312783036222275</c:v>
                </c:pt>
                <c:pt idx="17">
                  <c:v>26.252194383143291</c:v>
                </c:pt>
                <c:pt idx="18">
                  <c:v>25.232789680068528</c:v>
                </c:pt>
                <c:pt idx="19">
                  <c:v>24.252969704025876</c:v>
                </c:pt>
                <c:pt idx="20">
                  <c:v>23.311197331820338</c:v>
                </c:pt>
                <c:pt idx="21">
                  <c:v>22.405995128623932</c:v>
                </c:pt>
                <c:pt idx="22">
                  <c:v>21.5359430302037</c:v>
                </c:pt>
                <c:pt idx="23">
                  <c:v>20.699676115151576</c:v>
                </c:pt>
                <c:pt idx="24">
                  <c:v>19.895882463621277</c:v>
                </c:pt>
                <c:pt idx="25">
                  <c:v>19.123301099213062</c:v>
                </c:pt>
                <c:pt idx="26">
                  <c:v>18.380720010777644</c:v>
                </c:pt>
                <c:pt idx="27">
                  <c:v>17.6669742510358</c:v>
                </c:pt>
                <c:pt idx="28">
                  <c:v>16.980944109030951</c:v>
                </c:pt>
                <c:pt idx="29">
                  <c:v>16.321553353547628</c:v>
                </c:pt>
                <c:pt idx="30">
                  <c:v>15.687767544740124</c:v>
                </c:pt>
                <c:pt idx="31">
                  <c:v>15.078592411322687</c:v>
                </c:pt>
                <c:pt idx="32">
                  <c:v>14.493072290775361</c:v>
                </c:pt>
                <c:pt idx="33">
                  <c:v>13.930288630118572</c:v>
                </c:pt>
                <c:pt idx="34">
                  <c:v>13.389358544904432</c:v>
                </c:pt>
                <c:pt idx="35">
                  <c:v>12.869433434164199</c:v>
                </c:pt>
                <c:pt idx="36">
                  <c:v>12.369697649138983</c:v>
                </c:pt>
                <c:pt idx="37">
                  <c:v>11.889367213705288</c:v>
                </c:pt>
                <c:pt idx="38">
                  <c:v>11.427688594487975</c:v>
                </c:pt>
                <c:pt idx="39">
                  <c:v>10.983937518731231</c:v>
                </c:pt>
                <c:pt idx="40">
                  <c:v>10.557417838073079</c:v>
                </c:pt>
                <c:pt idx="41">
                  <c:v>10.139344091685384</c:v>
                </c:pt>
                <c:pt idx="42">
                  <c:v>9.7378260656546409</c:v>
                </c:pt>
                <c:pt idx="43">
                  <c:v>9.3522081534547148</c:v>
                </c:pt>
                <c:pt idx="44">
                  <c:v>8.9818607105779087</c:v>
                </c:pt>
                <c:pt idx="45">
                  <c:v>8.6261790264390239</c:v>
                </c:pt>
                <c:pt idx="46">
                  <c:v>8.2845823369920364</c:v>
                </c:pt>
                <c:pt idx="47">
                  <c:v>7.956512876447154</c:v>
                </c:pt>
                <c:pt idx="48">
                  <c:v>7.6414349665398458</c:v>
                </c:pt>
                <c:pt idx="49">
                  <c:v>7.3388341418648677</c:v>
                </c:pt>
                <c:pt idx="50">
                  <c:v>7.0482163098470183</c:v>
                </c:pt>
                <c:pt idx="51">
                  <c:v>6.7691069439770768</c:v>
                </c:pt>
                <c:pt idx="52">
                  <c:v>6.5010503089955849</c:v>
                </c:pt>
                <c:pt idx="53">
                  <c:v>6.2436087167593595</c:v>
                </c:pt>
                <c:pt idx="54">
                  <c:v>5.9963618115756878</c:v>
                </c:pt>
                <c:pt idx="55">
                  <c:v>5.75890588383729</c:v>
                </c:pt>
                <c:pt idx="56">
                  <c:v>5.5308532108373338</c:v>
                </c:pt>
                <c:pt idx="57">
                  <c:v>5.311831423688175</c:v>
                </c:pt>
                <c:pt idx="58">
                  <c:v>5.1014828993101231</c:v>
                </c:pt>
                <c:pt idx="59">
                  <c:v>4.8994641764974434</c:v>
                </c:pt>
                <c:pt idx="60">
                  <c:v>4.7054453951081436</c:v>
                </c:pt>
                <c:pt idx="61">
                  <c:v>4.5191097574618615</c:v>
                </c:pt>
                <c:pt idx="62">
                  <c:v>4.3401530110663717</c:v>
                </c:pt>
                <c:pt idx="63">
                  <c:v>4.168282951828143</c:v>
                </c:pt>
                <c:pt idx="64">
                  <c:v>4.0032189469357489</c:v>
                </c:pt>
                <c:pt idx="65">
                  <c:v>3.8446914766370925</c:v>
                </c:pt>
                <c:pt idx="66">
                  <c:v>3.6924416941622629</c:v>
                </c:pt>
                <c:pt idx="67">
                  <c:v>3.5462210030734371</c:v>
                </c:pt>
                <c:pt idx="68">
                  <c:v>3.4057906513517291</c:v>
                </c:pt>
                <c:pt idx="69">
                  <c:v>3.2709213415582008</c:v>
                </c:pt>
                <c:pt idx="70">
                  <c:v>3.1413928564324967</c:v>
                </c:pt>
                <c:pt idx="71">
                  <c:v>3.0169936993177693</c:v>
                </c:pt>
                <c:pt idx="72">
                  <c:v>2.8975207488247854</c:v>
                </c:pt>
                <c:pt idx="73">
                  <c:v>2.7827789271713237</c:v>
                </c:pt>
                <c:pt idx="74">
                  <c:v>2.6725808816553394</c:v>
                </c:pt>
                <c:pt idx="75">
                  <c:v>2.5667466787417883</c:v>
                </c:pt>
                <c:pt idx="76">
                  <c:v>2.4651035102636136</c:v>
                </c:pt>
                <c:pt idx="77">
                  <c:v>2.3674854112571744</c:v>
                </c:pt>
                <c:pt idx="78">
                  <c:v>2.27373298897139</c:v>
                </c:pt>
                <c:pt idx="79">
                  <c:v>2.1836931626081229</c:v>
                </c:pt>
                <c:pt idx="80">
                  <c:v>2.0972189133688417</c:v>
                </c:pt>
                <c:pt idx="81">
                  <c:v>2.0141690443994356</c:v>
                </c:pt>
                <c:pt idx="82">
                  <c:v>1.9344079502412186</c:v>
                </c:pt>
                <c:pt idx="83">
                  <c:v>1.8578053954116658</c:v>
                </c:pt>
                <c:pt idx="84">
                  <c:v>1.7842363017533638</c:v>
                </c:pt>
                <c:pt idx="85">
                  <c:v>1.7135805442039305</c:v>
                </c:pt>
                <c:pt idx="86">
                  <c:v>1.6457227546534547</c:v>
                </c:pt>
                <c:pt idx="87">
                  <c:v>1.5805521335691781</c:v>
                </c:pt>
                <c:pt idx="88">
                  <c:v>1.5179622690798387</c:v>
                </c:pt>
                <c:pt idx="89">
                  <c:v>1.4578509632242769</c:v>
                </c:pt>
                <c:pt idx="90">
                  <c:v>1.4001200650805956</c:v>
                </c:pt>
                <c:pt idx="91">
                  <c:v>1.3446753105034042</c:v>
                </c:pt>
                <c:pt idx="92">
                  <c:v>1.2914261682074692</c:v>
                </c:pt>
              </c:numCache>
            </c:numRef>
          </c:cat>
          <c:val>
            <c:numRef>
              <c:f>'FSN_XXX Graph'!$U$8:$U$100</c:f>
              <c:numCache>
                <c:formatCode>"$"#,##0</c:formatCode>
                <c:ptCount val="93"/>
                <c:pt idx="0">
                  <c:v>224.01258929432211</c:v>
                </c:pt>
                <c:pt idx="1">
                  <c:v>216.79442346508546</c:v>
                </c:pt>
                <c:pt idx="2">
                  <c:v>209.85654781222448</c:v>
                </c:pt>
                <c:pt idx="3">
                  <c:v>203.18807832658339</c:v>
                </c:pt>
                <c:pt idx="4">
                  <c:v>196.77855363834703</c:v>
                </c:pt>
                <c:pt idx="5">
                  <c:v>190.61791860544008</c:v>
                </c:pt>
                <c:pt idx="6">
                  <c:v>184.69650853920885</c:v>
                </c:pt>
                <c:pt idx="7">
                  <c:v>179.0050340426391</c:v>
                </c:pt>
                <c:pt idx="8">
                  <c:v>173.53456643732409</c:v>
                </c:pt>
                <c:pt idx="9">
                  <c:v>168.27652375632155</c:v>
                </c:pt>
                <c:pt idx="10">
                  <c:v>163.22265728092503</c:v>
                </c:pt>
                <c:pt idx="11">
                  <c:v>158.36503860022867</c:v>
                </c:pt>
                <c:pt idx="12">
                  <c:v>153.69604717318487</c:v>
                </c:pt>
                <c:pt idx="13">
                  <c:v>149.20835837364257</c:v>
                </c:pt>
                <c:pt idx="14">
                  <c:v>144.89493199961112</c:v>
                </c:pt>
                <c:pt idx="15">
                  <c:v>140.74900122872353</c:v>
                </c:pt>
                <c:pt idx="16">
                  <c:v>136.76406200257244</c:v>
                </c:pt>
                <c:pt idx="17">
                  <c:v>132.9338628232654</c:v>
                </c:pt>
                <c:pt idx="18">
                  <c:v>129.25239494619214</c:v>
                </c:pt>
                <c:pt idx="19">
                  <c:v>125.71388295361879</c:v>
                </c:pt>
                <c:pt idx="20">
                  <c:v>122.31277569432109</c:v>
                </c:pt>
                <c:pt idx="21">
                  <c:v>119.04373757504223</c:v>
                </c:pt>
                <c:pt idx="22">
                  <c:v>115.90164019011446</c:v>
                </c:pt>
                <c:pt idx="23">
                  <c:v>112.88155427611237</c:v>
                </c:pt>
                <c:pt idx="24">
                  <c:v>109.978741978917</c:v>
                </c:pt>
                <c:pt idx="25">
                  <c:v>107.18864942105904</c:v>
                </c:pt>
                <c:pt idx="26">
                  <c:v>104.50689955768156</c:v>
                </c:pt>
                <c:pt idx="27">
                  <c:v>101.92928530991392</c:v>
                </c:pt>
                <c:pt idx="28">
                  <c:v>99.45176296488539</c:v>
                </c:pt>
                <c:pt idx="29">
                  <c:v>97.07044583202449</c:v>
                </c:pt>
                <c:pt idx="30">
                  <c:v>94.781598145691405</c:v>
                </c:pt>
                <c:pt idx="31">
                  <c:v>92.581629204579258</c:v>
                </c:pt>
                <c:pt idx="32">
                  <c:v>90.467087738689074</c:v>
                </c:pt>
                <c:pt idx="33">
                  <c:v>88.434656495042233</c:v>
                </c:pt>
                <c:pt idx="34">
                  <c:v>86.481147033636191</c:v>
                </c:pt>
                <c:pt idx="35">
                  <c:v>84.603494725479678</c:v>
                </c:pt>
                <c:pt idx="36">
                  <c:v>82.798753944860181</c:v>
                </c:pt>
                <c:pt idx="37">
                  <c:v>81.064093448301648</c:v>
                </c:pt>
                <c:pt idx="38">
                  <c:v>79.396791932962813</c:v>
                </c:pt>
                <c:pt idx="39">
                  <c:v>77.794233767508331</c:v>
                </c:pt>
                <c:pt idx="40">
                  <c:v>76.253904888755471</c:v>
                </c:pt>
                <c:pt idx="41">
                  <c:v>74.744077571958115</c:v>
                </c:pt>
                <c:pt idx="42">
                  <c:v>73.294039416905918</c:v>
                </c:pt>
                <c:pt idx="43">
                  <c:v>71.901422772793794</c:v>
                </c:pt>
                <c:pt idx="44">
                  <c:v>70.563953747788517</c:v>
                </c:pt>
                <c:pt idx="45">
                  <c:v>69.279448496173458</c:v>
                </c:pt>
                <c:pt idx="46">
                  <c:v>68.045809652522337</c:v>
                </c:pt>
                <c:pt idx="47">
                  <c:v>66.861022907079828</c:v>
                </c:pt>
                <c:pt idx="48">
                  <c:v>65.723153716756812</c:v>
                </c:pt>
                <c:pt idx="49">
                  <c:v>64.630344146370604</c:v>
                </c:pt>
                <c:pt idx="50">
                  <c:v>63.580809834971689</c:v>
                </c:pt>
                <c:pt idx="51">
                  <c:v>62.572837082304169</c:v>
                </c:pt>
                <c:pt idx="52">
                  <c:v>61.604780050642276</c:v>
                </c:pt>
                <c:pt idx="53">
                  <c:v>60.675058077434201</c:v>
                </c:pt>
                <c:pt idx="54">
                  <c:v>59.782153094365164</c:v>
                </c:pt>
                <c:pt idx="55">
                  <c:v>58.924607148625654</c:v>
                </c:pt>
                <c:pt idx="56">
                  <c:v>58.101020022337444</c:v>
                </c:pt>
                <c:pt idx="57">
                  <c:v>57.310046946250239</c:v>
                </c:pt>
                <c:pt idx="58">
                  <c:v>56.55039640397608</c:v>
                </c:pt>
                <c:pt idx="59">
                  <c:v>55.820828023175991</c:v>
                </c:pt>
                <c:pt idx="60">
                  <c:v>55.120150550255588</c:v>
                </c:pt>
                <c:pt idx="61">
                  <c:v>54.44721990526282</c:v>
                </c:pt>
                <c:pt idx="62">
                  <c:v>53.800937313811779</c:v>
                </c:pt>
                <c:pt idx="63">
                  <c:v>53.180247512982177</c:v>
                </c:pt>
                <c:pt idx="64">
                  <c:v>52.584137028265452</c:v>
                </c:pt>
                <c:pt idx="65">
                  <c:v>52.01163251874349</c:v>
                </c:pt>
                <c:pt idx="66">
                  <c:v>51.461799187798597</c:v>
                </c:pt>
                <c:pt idx="67">
                  <c:v>50.933739256759139</c:v>
                </c:pt>
                <c:pt idx="68">
                  <c:v>50.42659049898883</c:v>
                </c:pt>
                <c:pt idx="69">
                  <c:v>49.93952483202623</c:v>
                </c:pt>
                <c:pt idx="70">
                  <c:v>49.471746965475361</c:v>
                </c:pt>
                <c:pt idx="71">
                  <c:v>49.022493102439888</c:v>
                </c:pt>
                <c:pt idx="72">
                  <c:v>48.59102969238063</c:v>
                </c:pt>
                <c:pt idx="73">
                  <c:v>48.176652233359711</c:v>
                </c:pt>
                <c:pt idx="74">
                  <c:v>47.778684121716026</c:v>
                </c:pt>
                <c:pt idx="75">
                  <c:v>47.396475547293434</c:v>
                </c:pt>
                <c:pt idx="76">
                  <c:v>47.029402432417974</c:v>
                </c:pt>
                <c:pt idx="77">
                  <c:v>46.67686541289158</c:v>
                </c:pt>
                <c:pt idx="78">
                  <c:v>46.338288859338427</c:v>
                </c:pt>
                <c:pt idx="79">
                  <c:v>46.01311993730598</c:v>
                </c:pt>
                <c:pt idx="80">
                  <c:v>45.700827704586025</c:v>
                </c:pt>
                <c:pt idx="81">
                  <c:v>45.400902244281781</c:v>
                </c:pt>
                <c:pt idx="82">
                  <c:v>45.11285383220558</c:v>
                </c:pt>
                <c:pt idx="83">
                  <c:v>44.836212137247593</c:v>
                </c:pt>
                <c:pt idx="84">
                  <c:v>44.57052545340995</c:v>
                </c:pt>
                <c:pt idx="85">
                  <c:v>44.315359962252273</c:v>
                </c:pt>
                <c:pt idx="86">
                  <c:v>44.07029902454444</c:v>
                </c:pt>
                <c:pt idx="87">
                  <c:v>43.834942499969841</c:v>
                </c:pt>
                <c:pt idx="88">
                  <c:v>43.608906093768397</c:v>
                </c:pt>
                <c:pt idx="89">
                  <c:v>43.391820729252522</c:v>
                </c:pt>
                <c:pt idx="90">
                  <c:v>43.183331945171481</c:v>
                </c:pt>
                <c:pt idx="91">
                  <c:v>42.983099316940049</c:v>
                </c:pt>
                <c:pt idx="92">
                  <c:v>42.790795900786584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417-46C0-BCD5-DA2D70D73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8126960"/>
        <c:axId val="328124992"/>
      </c:lineChart>
      <c:catAx>
        <c:axId val="328126960"/>
        <c:scaling>
          <c:orientation val="maxMin"/>
        </c:scaling>
        <c:delete val="0"/>
        <c:axPos val="b"/>
        <c:title>
          <c:tx>
            <c:strRef>
              <c:f>'FSN_XXX Graph'!$F$7</c:f>
              <c:strCache>
                <c:ptCount val="1"/>
                <c:pt idx="0">
                  <c:v>UNI:FSN Ratio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3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124992"/>
        <c:crosses val="autoZero"/>
        <c:auto val="1"/>
        <c:lblAlgn val="ctr"/>
        <c:lblOffset val="100"/>
        <c:noMultiLvlLbl val="0"/>
      </c:catAx>
      <c:valAx>
        <c:axId val="3281249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 b="1"/>
                  <a:t>Holdings Value (Based on current FSN Price)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126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FSN_aUSDT!$N$4</c:f>
          <c:strCache>
            <c:ptCount val="1"/>
            <c:pt idx="0">
              <c:v> Starting Balance is 1000 FSN and 381.3 aUSDT - equivalent of 2000 FSN or 762.5 aUSDT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FSN_aUSDT!$R$7</c:f>
              <c:strCache>
                <c:ptCount val="1"/>
                <c:pt idx="0">
                  <c:v> Equivalent USDT Pooling1000 FSN &amp; 381 aUSDT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FSN_aUSDT!$N$8:$N$100</c:f>
              <c:numCache>
                <c:formatCode>[$$-409]#,##0.00</c:formatCode>
                <c:ptCount val="93"/>
                <c:pt idx="0">
                  <c:v>2.8897670635472448</c:v>
                </c:pt>
                <c:pt idx="1">
                  <c:v>2.7470848147845994</c:v>
                </c:pt>
                <c:pt idx="2">
                  <c:v>2.6114475020546091</c:v>
                </c:pt>
                <c:pt idx="3">
                  <c:v>2.4825072816406624</c:v>
                </c:pt>
                <c:pt idx="4">
                  <c:v>2.3599334846096545</c:v>
                </c:pt>
                <c:pt idx="5">
                  <c:v>2.2434117688070532</c:v>
                </c:pt>
                <c:pt idx="6">
                  <c:v>2.1326433127222053</c:v>
                </c:pt>
                <c:pt idx="7">
                  <c:v>2.0273440491565458</c:v>
                </c:pt>
                <c:pt idx="8">
                  <c:v>1.9272439367294414</c:v>
                </c:pt>
                <c:pt idx="9">
                  <c:v>1.8320862673534251</c:v>
                </c:pt>
                <c:pt idx="10">
                  <c:v>1.7416270079028493</c:v>
                </c:pt>
                <c:pt idx="11">
                  <c:v>1.6556341743876457</c:v>
                </c:pt>
                <c:pt idx="12">
                  <c:v>1.5738872370272559</c:v>
                </c:pt>
                <c:pt idx="13">
                  <c:v>1.4961765546990351</c:v>
                </c:pt>
                <c:pt idx="14">
                  <c:v>1.4223028373107702</c:v>
                </c:pt>
                <c:pt idx="15">
                  <c:v>1.3520766347185507</c:v>
                </c:pt>
                <c:pt idx="16">
                  <c:v>1.2853178508793222</c:v>
                </c:pt>
                <c:pt idx="17">
                  <c:v>1.2218552819921558</c:v>
                </c:pt>
                <c:pt idx="18">
                  <c:v>1.1615261774437931</c:v>
                </c:pt>
                <c:pt idx="19">
                  <c:v>1.1041758224325058</c:v>
                </c:pt>
                <c:pt idx="20">
                  <c:v>1.0496571411999007</c:v>
                </c:pt>
                <c:pt idx="21">
                  <c:v>0.9978303198531554</c:v>
                </c:pt>
                <c:pt idx="22">
                  <c:v>0.94856244781040577</c:v>
                </c:pt>
                <c:pt idx="23">
                  <c:v>0.90172717694976701</c:v>
                </c:pt>
                <c:pt idx="24">
                  <c:v>0.85720439758787226</c:v>
                </c:pt>
                <c:pt idx="25">
                  <c:v>0.81487993045697105</c:v>
                </c:pt>
                <c:pt idx="26">
                  <c:v>0.7746452338906582</c:v>
                </c:pt>
                <c:pt idx="27">
                  <c:v>0.73639712546730685</c:v>
                </c:pt>
                <c:pt idx="28">
                  <c:v>0.70003751739735864</c:v>
                </c:pt>
                <c:pt idx="29">
                  <c:v>0.66547316497586395</c:v>
                </c:pt>
                <c:pt idx="30">
                  <c:v>0.63261542745518085</c:v>
                </c:pt>
                <c:pt idx="31">
                  <c:v>0.60138004072458118</c:v>
                </c:pt>
                <c:pt idx="32">
                  <c:v>0.57168690121380505</c:v>
                </c:pt>
                <c:pt idx="33">
                  <c:v>0.54345986046637329</c:v>
                </c:pt>
                <c:pt idx="34">
                  <c:v>0.51662652985584612</c:v>
                </c:pt>
                <c:pt idx="35">
                  <c:v>0.49111809494421377</c:v>
                </c:pt>
                <c:pt idx="36">
                  <c:v>0.46686913900634319</c:v>
                </c:pt>
                <c:pt idx="37">
                  <c:v>0.44381747526790494</c:v>
                </c:pt>
                <c:pt idx="38">
                  <c:v>0.42190398742655216</c:v>
                </c:pt>
                <c:pt idx="39">
                  <c:v>0.40107247804736607</c:v>
                </c:pt>
                <c:pt idx="40">
                  <c:v>0.38126952444377737</c:v>
                </c:pt>
                <c:pt idx="41">
                  <c:v>0.36289782219514816</c:v>
                </c:pt>
                <c:pt idx="42">
                  <c:v>0.34541137151233614</c:v>
                </c:pt>
                <c:pt idx="43">
                  <c:v>0.32876751601412135</c:v>
                </c:pt>
                <c:pt idx="44">
                  <c:v>0.31292565474276879</c:v>
                </c:pt>
                <c:pt idx="45">
                  <c:v>0.297847143122207</c:v>
                </c:pt>
                <c:pt idx="46">
                  <c:v>0.28349519868859691</c:v>
                </c:pt>
                <c:pt idx="47">
                  <c:v>0.26983481136332843</c:v>
                </c:pt>
                <c:pt idx="48">
                  <c:v>0.25683265804956906</c:v>
                </c:pt>
                <c:pt idx="49">
                  <c:v>0.24445702134402766</c:v>
                </c:pt>
                <c:pt idx="50">
                  <c:v>0.23267771216564209</c:v>
                </c:pt>
                <c:pt idx="51">
                  <c:v>0.22146599611244938</c:v>
                </c:pt>
                <c:pt idx="52">
                  <c:v>0.21079452336699528</c:v>
                </c:pt>
                <c:pt idx="53">
                  <c:v>0.2006372619792936</c:v>
                </c:pt>
                <c:pt idx="54">
                  <c:v>0.19096943436458641</c:v>
                </c:pt>
                <c:pt idx="55">
                  <c:v>0.18176745686099843</c:v>
                </c:pt>
                <c:pt idx="56">
                  <c:v>0.17300888219964158</c:v>
                </c:pt>
                <c:pt idx="57">
                  <c:v>0.1646723447468332</c:v>
                </c:pt>
                <c:pt idx="58">
                  <c:v>0.1567375083848502</c:v>
                </c:pt>
                <c:pt idx="59">
                  <c:v>0.14918501690408112</c:v>
                </c:pt>
                <c:pt idx="60">
                  <c:v>0.14199644678556206</c:v>
                </c:pt>
                <c:pt idx="61">
                  <c:v>0.13515426225871466</c:v>
                </c:pt>
                <c:pt idx="62">
                  <c:v>0.12864177252465409</c:v>
                </c:pt>
                <c:pt idx="63">
                  <c:v>0.12244309104071772</c:v>
                </c:pt>
                <c:pt idx="64">
                  <c:v>0.11654309676689378</c:v>
                </c:pt>
                <c:pt idx="65">
                  <c:v>0.11092739727961336</c:v>
                </c:pt>
                <c:pt idx="66">
                  <c:v>0.10558229366292766</c:v>
                </c:pt>
                <c:pt idx="67">
                  <c:v>0.10049474709142436</c:v>
                </c:pt>
                <c:pt idx="68">
                  <c:v>9.5652347023366446E-2</c:v>
                </c:pt>
                <c:pt idx="69">
                  <c:v>9.1043280926464201E-2</c:v>
                </c:pt>
                <c:pt idx="70">
                  <c:v>8.6656305462428779E-2</c:v>
                </c:pt>
                <c:pt idx="71">
                  <c:v>8.24807190600155E-2</c:v>
                </c:pt>
                <c:pt idx="72">
                  <c:v>7.8506335809651884E-2</c:v>
                </c:pt>
                <c:pt idx="73">
                  <c:v>7.472346061596849E-2</c:v>
                </c:pt>
                <c:pt idx="74">
                  <c:v>7.112286554762022E-2</c:v>
                </c:pt>
                <c:pt idx="75">
                  <c:v>6.7695767326705764E-2</c:v>
                </c:pt>
                <c:pt idx="76">
                  <c:v>6.4433805902872843E-2</c:v>
                </c:pt>
                <c:pt idx="77">
                  <c:v>6.1329024059843286E-2</c:v>
                </c:pt>
                <c:pt idx="78">
                  <c:v>5.8373848004609916E-2</c:v>
                </c:pt>
                <c:pt idx="79">
                  <c:v>5.5561068891954724E-2</c:v>
                </c:pt>
                <c:pt idx="80">
                  <c:v>5.2883825239219258E-2</c:v>
                </c:pt>
                <c:pt idx="81">
                  <c:v>5.0335586188430002E-2</c:v>
                </c:pt>
                <c:pt idx="82">
                  <c:v>4.7910135574948248E-2</c:v>
                </c:pt>
                <c:pt idx="83">
                  <c:v>4.5601556763781803E-2</c:v>
                </c:pt>
                <c:pt idx="84">
                  <c:v>4.3404218216568057E-2</c:v>
                </c:pt>
                <c:pt idx="85">
                  <c:v>4.1312759754020767E-2</c:v>
                </c:pt>
                <c:pt idx="86">
                  <c:v>3.9322079480329113E-2</c:v>
                </c:pt>
                <c:pt idx="87">
                  <c:v>3.7427321337612486E-2</c:v>
                </c:pt>
                <c:pt idx="88">
                  <c:v>3.5623863260071387E-2</c:v>
                </c:pt>
                <c:pt idx="89">
                  <c:v>3.3907305898937666E-2</c:v>
                </c:pt>
                <c:pt idx="90">
                  <c:v>3.227346189071998E-2</c:v>
                </c:pt>
                <c:pt idx="91">
                  <c:v>3.0718345642565117E-2</c:v>
                </c:pt>
                <c:pt idx="92">
                  <c:v>2.9238163609818079E-2</c:v>
                </c:pt>
              </c:numCache>
            </c:numRef>
          </c:cat>
          <c:val>
            <c:numRef>
              <c:f>FSN_aUSDT!$R$8:$R$100</c:f>
              <c:numCache>
                <c:formatCode>[$$-409]#,##0</c:formatCode>
                <c:ptCount val="93"/>
                <c:pt idx="0">
                  <c:v>2099.3142823998023</c:v>
                </c:pt>
                <c:pt idx="1">
                  <c:v>2046.8314253398071</c:v>
                </c:pt>
                <c:pt idx="2">
                  <c:v>1995.6606397063117</c:v>
                </c:pt>
                <c:pt idx="3">
                  <c:v>1945.7691237136539</c:v>
                </c:pt>
                <c:pt idx="4">
                  <c:v>1897.1248956208121</c:v>
                </c:pt>
                <c:pt idx="5">
                  <c:v>1849.6967732302921</c:v>
                </c:pt>
                <c:pt idx="6">
                  <c:v>1803.4543538995349</c:v>
                </c:pt>
                <c:pt idx="7">
                  <c:v>1758.3679950520464</c:v>
                </c:pt>
                <c:pt idx="8">
                  <c:v>1714.4087951757451</c:v>
                </c:pt>
                <c:pt idx="9">
                  <c:v>1671.5485752963516</c:v>
                </c:pt>
                <c:pt idx="10">
                  <c:v>1629.7598609139425</c:v>
                </c:pt>
                <c:pt idx="11">
                  <c:v>1589.0158643910936</c:v>
                </c:pt>
                <c:pt idx="12">
                  <c:v>1549.2904677813165</c:v>
                </c:pt>
                <c:pt idx="13">
                  <c:v>1510.5582060867837</c:v>
                </c:pt>
                <c:pt idx="14">
                  <c:v>1472.794250934614</c:v>
                </c:pt>
                <c:pt idx="15">
                  <c:v>1435.9743946612484</c:v>
                </c:pt>
                <c:pt idx="16">
                  <c:v>1400.0750347947171</c:v>
                </c:pt>
                <c:pt idx="17">
                  <c:v>1365.0731589248492</c:v>
                </c:pt>
                <c:pt idx="18">
                  <c:v>1330.9463299517281</c:v>
                </c:pt>
                <c:pt idx="19">
                  <c:v>1297.6726717029348</c:v>
                </c:pt>
                <c:pt idx="20">
                  <c:v>1265.2308549103616</c:v>
                </c:pt>
                <c:pt idx="21">
                  <c:v>1233.6000835376024</c:v>
                </c:pt>
                <c:pt idx="22">
                  <c:v>1202.7600814491623</c:v>
                </c:pt>
                <c:pt idx="23">
                  <c:v>1172.6910794129333</c:v>
                </c:pt>
                <c:pt idx="24">
                  <c:v>1143.3738024276097</c:v>
                </c:pt>
                <c:pt idx="25">
                  <c:v>1114.7894573669196</c:v>
                </c:pt>
                <c:pt idx="26">
                  <c:v>1086.9197209327465</c:v>
                </c:pt>
                <c:pt idx="27">
                  <c:v>1059.746727909428</c:v>
                </c:pt>
                <c:pt idx="28">
                  <c:v>1033.2530597116922</c:v>
                </c:pt>
                <c:pt idx="29">
                  <c:v>1007.4217332188999</c:v>
                </c:pt>
                <c:pt idx="30">
                  <c:v>982.2361898884277</c:v>
                </c:pt>
                <c:pt idx="31">
                  <c:v>957.6802851412167</c:v>
                </c:pt>
                <c:pt idx="32">
                  <c:v>933.73827801268646</c:v>
                </c:pt>
                <c:pt idx="33">
                  <c:v>910.39482106236915</c:v>
                </c:pt>
                <c:pt idx="34">
                  <c:v>887.63495053580993</c:v>
                </c:pt>
                <c:pt idx="35">
                  <c:v>865.44407677241463</c:v>
                </c:pt>
                <c:pt idx="36">
                  <c:v>843.80797485310427</c:v>
                </c:pt>
                <c:pt idx="37">
                  <c:v>822.7127754817767</c:v>
                </c:pt>
                <c:pt idx="38">
                  <c:v>802.14495609473227</c:v>
                </c:pt>
                <c:pt idx="39">
                  <c:v>782.09133219236378</c:v>
                </c:pt>
                <c:pt idx="40">
                  <c:v>762.53904888755471</c:v>
                </c:pt>
                <c:pt idx="41">
                  <c:v>743.94053550005367</c:v>
                </c:pt>
                <c:pt idx="42">
                  <c:v>725.79564439029616</c:v>
                </c:pt>
                <c:pt idx="43">
                  <c:v>708.0933116002891</c:v>
                </c:pt>
                <c:pt idx="44">
                  <c:v>690.82274302467238</c:v>
                </c:pt>
                <c:pt idx="45">
                  <c:v>673.97340782894855</c:v>
                </c:pt>
                <c:pt idx="46">
                  <c:v>657.53503202824277</c:v>
                </c:pt>
                <c:pt idx="47">
                  <c:v>641.49759222267585</c:v>
                </c:pt>
                <c:pt idx="48">
                  <c:v>625.8513094855374</c:v>
                </c:pt>
                <c:pt idx="49">
                  <c:v>610.58664340052439</c:v>
                </c:pt>
                <c:pt idx="50">
                  <c:v>595.69428624441412</c:v>
                </c:pt>
                <c:pt idx="51">
                  <c:v>581.1651573116236</c:v>
                </c:pt>
                <c:pt idx="52">
                  <c:v>566.99039737719374</c:v>
                </c:pt>
                <c:pt idx="53">
                  <c:v>553.16136329482322</c:v>
                </c:pt>
                <c:pt idx="54">
                  <c:v>539.66962272665683</c:v>
                </c:pt>
                <c:pt idx="55">
                  <c:v>526.50694900161648</c:v>
                </c:pt>
                <c:pt idx="56">
                  <c:v>513.66531609913807</c:v>
                </c:pt>
                <c:pt idx="57">
                  <c:v>501.13689375525678</c:v>
                </c:pt>
                <c:pt idx="58">
                  <c:v>488.91404268805542</c:v>
                </c:pt>
                <c:pt idx="59">
                  <c:v>476.98930993956628</c:v>
                </c:pt>
                <c:pt idx="60">
                  <c:v>465.35542433128415</c:v>
                </c:pt>
                <c:pt idx="61">
                  <c:v>454.00529203052122</c:v>
                </c:pt>
                <c:pt idx="62">
                  <c:v>442.93199222489886</c:v>
                </c:pt>
                <c:pt idx="63">
                  <c:v>432.12877290234024</c:v>
                </c:pt>
                <c:pt idx="64">
                  <c:v>421.58904673399059</c:v>
                </c:pt>
                <c:pt idx="65">
                  <c:v>411.30638705755183</c:v>
                </c:pt>
                <c:pt idx="66">
                  <c:v>401.27452395858711</c:v>
                </c:pt>
                <c:pt idx="67">
                  <c:v>391.48734044740223</c:v>
                </c:pt>
                <c:pt idx="68">
                  <c:v>381.9388687291729</c:v>
                </c:pt>
                <c:pt idx="69">
                  <c:v>372.62328656504673</c:v>
                </c:pt>
                <c:pt idx="70">
                  <c:v>363.53491372199687</c:v>
                </c:pt>
                <c:pt idx="71">
                  <c:v>354.66820850926524</c:v>
                </c:pt>
                <c:pt idx="72">
                  <c:v>346.01776439928324</c:v>
                </c:pt>
                <c:pt idx="73">
                  <c:v>337.57830673100807</c:v>
                </c:pt>
                <c:pt idx="74">
                  <c:v>329.34468949366635</c:v>
                </c:pt>
                <c:pt idx="75">
                  <c:v>321.31189218894286</c:v>
                </c:pt>
                <c:pt idx="76">
                  <c:v>313.4750167697004</c:v>
                </c:pt>
                <c:pt idx="77">
                  <c:v>305.82928465336624</c:v>
                </c:pt>
                <c:pt idx="78">
                  <c:v>298.37003380816225</c:v>
                </c:pt>
                <c:pt idx="79">
                  <c:v>291.09271591040221</c:v>
                </c:pt>
                <c:pt idx="80">
                  <c:v>283.99289357112417</c:v>
                </c:pt>
                <c:pt idx="81">
                  <c:v>277.06623763036504</c:v>
                </c:pt>
                <c:pt idx="82">
                  <c:v>270.3085245174293</c:v>
                </c:pt>
                <c:pt idx="83">
                  <c:v>263.7156336755408</c:v>
                </c:pt>
                <c:pt idx="84">
                  <c:v>257.28354504930815</c:v>
                </c:pt>
                <c:pt idx="85">
                  <c:v>251.0083366334714</c:v>
                </c:pt>
                <c:pt idx="86">
                  <c:v>244.88618208143555</c:v>
                </c:pt>
                <c:pt idx="87">
                  <c:v>238.91334837213222</c:v>
                </c:pt>
                <c:pt idx="88">
                  <c:v>233.08619353378759</c:v>
                </c:pt>
                <c:pt idx="89">
                  <c:v>227.4011644232074</c:v>
                </c:pt>
                <c:pt idx="90">
                  <c:v>221.8547945592268</c:v>
                </c:pt>
                <c:pt idx="91">
                  <c:v>216.44370200900173</c:v>
                </c:pt>
                <c:pt idx="92">
                  <c:v>211.16458732585534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B9-4E72-B68A-343CEED1F16A}"/>
            </c:ext>
          </c:extLst>
        </c:ser>
        <c:ser>
          <c:idx val="1"/>
          <c:order val="1"/>
          <c:tx>
            <c:strRef>
              <c:f>FSN_aUSDT!$T$7</c:f>
              <c:strCache>
                <c:ptCount val="1"/>
                <c:pt idx="0">
                  <c:v> HODL 2000 FSN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FSN_aUSDT!$N$8:$N$100</c:f>
              <c:numCache>
                <c:formatCode>[$$-409]#,##0.00</c:formatCode>
                <c:ptCount val="93"/>
                <c:pt idx="0">
                  <c:v>2.8897670635472448</c:v>
                </c:pt>
                <c:pt idx="1">
                  <c:v>2.7470848147845994</c:v>
                </c:pt>
                <c:pt idx="2">
                  <c:v>2.6114475020546091</c:v>
                </c:pt>
                <c:pt idx="3">
                  <c:v>2.4825072816406624</c:v>
                </c:pt>
                <c:pt idx="4">
                  <c:v>2.3599334846096545</c:v>
                </c:pt>
                <c:pt idx="5">
                  <c:v>2.2434117688070532</c:v>
                </c:pt>
                <c:pt idx="6">
                  <c:v>2.1326433127222053</c:v>
                </c:pt>
                <c:pt idx="7">
                  <c:v>2.0273440491565458</c:v>
                </c:pt>
                <c:pt idx="8">
                  <c:v>1.9272439367294414</c:v>
                </c:pt>
                <c:pt idx="9">
                  <c:v>1.8320862673534251</c:v>
                </c:pt>
                <c:pt idx="10">
                  <c:v>1.7416270079028493</c:v>
                </c:pt>
                <c:pt idx="11">
                  <c:v>1.6556341743876457</c:v>
                </c:pt>
                <c:pt idx="12">
                  <c:v>1.5738872370272559</c:v>
                </c:pt>
                <c:pt idx="13">
                  <c:v>1.4961765546990351</c:v>
                </c:pt>
                <c:pt idx="14">
                  <c:v>1.4223028373107702</c:v>
                </c:pt>
                <c:pt idx="15">
                  <c:v>1.3520766347185507</c:v>
                </c:pt>
                <c:pt idx="16">
                  <c:v>1.2853178508793222</c:v>
                </c:pt>
                <c:pt idx="17">
                  <c:v>1.2218552819921558</c:v>
                </c:pt>
                <c:pt idx="18">
                  <c:v>1.1615261774437931</c:v>
                </c:pt>
                <c:pt idx="19">
                  <c:v>1.1041758224325058</c:v>
                </c:pt>
                <c:pt idx="20">
                  <c:v>1.0496571411999007</c:v>
                </c:pt>
                <c:pt idx="21">
                  <c:v>0.9978303198531554</c:v>
                </c:pt>
                <c:pt idx="22">
                  <c:v>0.94856244781040577</c:v>
                </c:pt>
                <c:pt idx="23">
                  <c:v>0.90172717694976701</c:v>
                </c:pt>
                <c:pt idx="24">
                  <c:v>0.85720439758787226</c:v>
                </c:pt>
                <c:pt idx="25">
                  <c:v>0.81487993045697105</c:v>
                </c:pt>
                <c:pt idx="26">
                  <c:v>0.7746452338906582</c:v>
                </c:pt>
                <c:pt idx="27">
                  <c:v>0.73639712546730685</c:v>
                </c:pt>
                <c:pt idx="28">
                  <c:v>0.70003751739735864</c:v>
                </c:pt>
                <c:pt idx="29">
                  <c:v>0.66547316497586395</c:v>
                </c:pt>
                <c:pt idx="30">
                  <c:v>0.63261542745518085</c:v>
                </c:pt>
                <c:pt idx="31">
                  <c:v>0.60138004072458118</c:v>
                </c:pt>
                <c:pt idx="32">
                  <c:v>0.57168690121380505</c:v>
                </c:pt>
                <c:pt idx="33">
                  <c:v>0.54345986046637329</c:v>
                </c:pt>
                <c:pt idx="34">
                  <c:v>0.51662652985584612</c:v>
                </c:pt>
                <c:pt idx="35">
                  <c:v>0.49111809494421377</c:v>
                </c:pt>
                <c:pt idx="36">
                  <c:v>0.46686913900634319</c:v>
                </c:pt>
                <c:pt idx="37">
                  <c:v>0.44381747526790494</c:v>
                </c:pt>
                <c:pt idx="38">
                  <c:v>0.42190398742655216</c:v>
                </c:pt>
                <c:pt idx="39">
                  <c:v>0.40107247804736607</c:v>
                </c:pt>
                <c:pt idx="40">
                  <c:v>0.38126952444377737</c:v>
                </c:pt>
                <c:pt idx="41">
                  <c:v>0.36289782219514816</c:v>
                </c:pt>
                <c:pt idx="42">
                  <c:v>0.34541137151233614</c:v>
                </c:pt>
                <c:pt idx="43">
                  <c:v>0.32876751601412135</c:v>
                </c:pt>
                <c:pt idx="44">
                  <c:v>0.31292565474276879</c:v>
                </c:pt>
                <c:pt idx="45">
                  <c:v>0.297847143122207</c:v>
                </c:pt>
                <c:pt idx="46">
                  <c:v>0.28349519868859691</c:v>
                </c:pt>
                <c:pt idx="47">
                  <c:v>0.26983481136332843</c:v>
                </c:pt>
                <c:pt idx="48">
                  <c:v>0.25683265804956906</c:v>
                </c:pt>
                <c:pt idx="49">
                  <c:v>0.24445702134402766</c:v>
                </c:pt>
                <c:pt idx="50">
                  <c:v>0.23267771216564209</c:v>
                </c:pt>
                <c:pt idx="51">
                  <c:v>0.22146599611244938</c:v>
                </c:pt>
                <c:pt idx="52">
                  <c:v>0.21079452336699528</c:v>
                </c:pt>
                <c:pt idx="53">
                  <c:v>0.2006372619792936</c:v>
                </c:pt>
                <c:pt idx="54">
                  <c:v>0.19096943436458641</c:v>
                </c:pt>
                <c:pt idx="55">
                  <c:v>0.18176745686099843</c:v>
                </c:pt>
                <c:pt idx="56">
                  <c:v>0.17300888219964158</c:v>
                </c:pt>
                <c:pt idx="57">
                  <c:v>0.1646723447468332</c:v>
                </c:pt>
                <c:pt idx="58">
                  <c:v>0.1567375083848502</c:v>
                </c:pt>
                <c:pt idx="59">
                  <c:v>0.14918501690408112</c:v>
                </c:pt>
                <c:pt idx="60">
                  <c:v>0.14199644678556206</c:v>
                </c:pt>
                <c:pt idx="61">
                  <c:v>0.13515426225871466</c:v>
                </c:pt>
                <c:pt idx="62">
                  <c:v>0.12864177252465409</c:v>
                </c:pt>
                <c:pt idx="63">
                  <c:v>0.12244309104071772</c:v>
                </c:pt>
                <c:pt idx="64">
                  <c:v>0.11654309676689378</c:v>
                </c:pt>
                <c:pt idx="65">
                  <c:v>0.11092739727961336</c:v>
                </c:pt>
                <c:pt idx="66">
                  <c:v>0.10558229366292766</c:v>
                </c:pt>
                <c:pt idx="67">
                  <c:v>0.10049474709142436</c:v>
                </c:pt>
                <c:pt idx="68">
                  <c:v>9.5652347023366446E-2</c:v>
                </c:pt>
                <c:pt idx="69">
                  <c:v>9.1043280926464201E-2</c:v>
                </c:pt>
                <c:pt idx="70">
                  <c:v>8.6656305462428779E-2</c:v>
                </c:pt>
                <c:pt idx="71">
                  <c:v>8.24807190600155E-2</c:v>
                </c:pt>
                <c:pt idx="72">
                  <c:v>7.8506335809651884E-2</c:v>
                </c:pt>
                <c:pt idx="73">
                  <c:v>7.472346061596849E-2</c:v>
                </c:pt>
                <c:pt idx="74">
                  <c:v>7.112286554762022E-2</c:v>
                </c:pt>
                <c:pt idx="75">
                  <c:v>6.7695767326705764E-2</c:v>
                </c:pt>
                <c:pt idx="76">
                  <c:v>6.4433805902872843E-2</c:v>
                </c:pt>
                <c:pt idx="77">
                  <c:v>6.1329024059843286E-2</c:v>
                </c:pt>
                <c:pt idx="78">
                  <c:v>5.8373848004609916E-2</c:v>
                </c:pt>
                <c:pt idx="79">
                  <c:v>5.5561068891954724E-2</c:v>
                </c:pt>
                <c:pt idx="80">
                  <c:v>5.2883825239219258E-2</c:v>
                </c:pt>
                <c:pt idx="81">
                  <c:v>5.0335586188430002E-2</c:v>
                </c:pt>
                <c:pt idx="82">
                  <c:v>4.7910135574948248E-2</c:v>
                </c:pt>
                <c:pt idx="83">
                  <c:v>4.5601556763781803E-2</c:v>
                </c:pt>
                <c:pt idx="84">
                  <c:v>4.3404218216568057E-2</c:v>
                </c:pt>
                <c:pt idx="85">
                  <c:v>4.1312759754020767E-2</c:v>
                </c:pt>
                <c:pt idx="86">
                  <c:v>3.9322079480329113E-2</c:v>
                </c:pt>
                <c:pt idx="87">
                  <c:v>3.7427321337612486E-2</c:v>
                </c:pt>
                <c:pt idx="88">
                  <c:v>3.5623863260071387E-2</c:v>
                </c:pt>
                <c:pt idx="89">
                  <c:v>3.3907305898937666E-2</c:v>
                </c:pt>
                <c:pt idx="90">
                  <c:v>3.227346189071998E-2</c:v>
                </c:pt>
                <c:pt idx="91">
                  <c:v>3.0718345642565117E-2</c:v>
                </c:pt>
                <c:pt idx="92">
                  <c:v>2.9238163609818079E-2</c:v>
                </c:pt>
              </c:numCache>
            </c:numRef>
          </c:cat>
          <c:val>
            <c:numRef>
              <c:f>FSN_aUSDT!$T$8:$T$100</c:f>
              <c:numCache>
                <c:formatCode>[$$-409]#,##0</c:formatCode>
                <c:ptCount val="93"/>
                <c:pt idx="0">
                  <c:v>5779.5341270944891</c:v>
                </c:pt>
                <c:pt idx="1">
                  <c:v>5494.1696295691991</c:v>
                </c:pt>
                <c:pt idx="2">
                  <c:v>5222.8950041092185</c:v>
                </c:pt>
                <c:pt idx="3">
                  <c:v>4965.0145632813246</c:v>
                </c:pt>
                <c:pt idx="4">
                  <c:v>4719.8669692193089</c:v>
                </c:pt>
                <c:pt idx="5">
                  <c:v>4486.8235376141065</c:v>
                </c:pt>
                <c:pt idx="6">
                  <c:v>4265.2866254444107</c:v>
                </c:pt>
                <c:pt idx="7">
                  <c:v>4054.6880983130914</c:v>
                </c:pt>
                <c:pt idx="8">
                  <c:v>3854.4878734588829</c:v>
                </c:pt>
                <c:pt idx="9">
                  <c:v>3664.17253470685</c:v>
                </c:pt>
                <c:pt idx="10">
                  <c:v>3483.2540158056986</c:v>
                </c:pt>
                <c:pt idx="11">
                  <c:v>3311.2683487752915</c:v>
                </c:pt>
                <c:pt idx="12">
                  <c:v>3147.7744740545118</c:v>
                </c:pt>
                <c:pt idx="13">
                  <c:v>2992.35310939807</c:v>
                </c:pt>
                <c:pt idx="14">
                  <c:v>2844.6056746215404</c:v>
                </c:pt>
                <c:pt idx="15">
                  <c:v>2704.1532694371012</c:v>
                </c:pt>
                <c:pt idx="16">
                  <c:v>2570.6357017586442</c:v>
                </c:pt>
                <c:pt idx="17">
                  <c:v>2443.7105639843116</c:v>
                </c:pt>
                <c:pt idx="18">
                  <c:v>2323.0523548875863</c:v>
                </c:pt>
                <c:pt idx="19">
                  <c:v>2208.3516448650116</c:v>
                </c:pt>
                <c:pt idx="20">
                  <c:v>2099.3142823998014</c:v>
                </c:pt>
                <c:pt idx="21">
                  <c:v>1995.6606397063108</c:v>
                </c:pt>
                <c:pt idx="22">
                  <c:v>1897.1248956208115</c:v>
                </c:pt>
                <c:pt idx="23">
                  <c:v>1803.454353899534</c:v>
                </c:pt>
                <c:pt idx="24">
                  <c:v>1714.4087951757444</c:v>
                </c:pt>
                <c:pt idx="25">
                  <c:v>1629.759860913942</c:v>
                </c:pt>
                <c:pt idx="26">
                  <c:v>1549.2904677813165</c:v>
                </c:pt>
                <c:pt idx="27">
                  <c:v>1472.7942509346137</c:v>
                </c:pt>
                <c:pt idx="28">
                  <c:v>1400.0750347947173</c:v>
                </c:pt>
                <c:pt idx="29">
                  <c:v>1330.9463299517279</c:v>
                </c:pt>
                <c:pt idx="30">
                  <c:v>1265.2308549103616</c:v>
                </c:pt>
                <c:pt idx="31">
                  <c:v>1202.7600814491623</c:v>
                </c:pt>
                <c:pt idx="32">
                  <c:v>1143.3738024276101</c:v>
                </c:pt>
                <c:pt idx="33">
                  <c:v>1086.9197209327465</c:v>
                </c:pt>
                <c:pt idx="34">
                  <c:v>1033.2530597116922</c:v>
                </c:pt>
                <c:pt idx="35">
                  <c:v>982.23618988842759</c:v>
                </c:pt>
                <c:pt idx="36">
                  <c:v>933.73827801268635</c:v>
                </c:pt>
                <c:pt idx="37">
                  <c:v>887.63495053580982</c:v>
                </c:pt>
                <c:pt idx="38">
                  <c:v>843.80797485310427</c:v>
                </c:pt>
                <c:pt idx="39">
                  <c:v>802.14495609473215</c:v>
                </c:pt>
                <c:pt idx="40">
                  <c:v>762.53904888755471</c:v>
                </c:pt>
                <c:pt idx="41">
                  <c:v>725.79564439029627</c:v>
                </c:pt>
                <c:pt idx="42">
                  <c:v>690.82274302467226</c:v>
                </c:pt>
                <c:pt idx="43">
                  <c:v>657.53503202824265</c:v>
                </c:pt>
                <c:pt idx="44">
                  <c:v>625.85130948553763</c:v>
                </c:pt>
                <c:pt idx="45">
                  <c:v>595.694286244414</c:v>
                </c:pt>
                <c:pt idx="46">
                  <c:v>566.99039737719386</c:v>
                </c:pt>
                <c:pt idx="47">
                  <c:v>539.66962272665683</c:v>
                </c:pt>
                <c:pt idx="48">
                  <c:v>513.66531609913818</c:v>
                </c:pt>
                <c:pt idx="49">
                  <c:v>488.9140426880553</c:v>
                </c:pt>
                <c:pt idx="50">
                  <c:v>465.35542433128421</c:v>
                </c:pt>
                <c:pt idx="51">
                  <c:v>442.93199222489875</c:v>
                </c:pt>
                <c:pt idx="52">
                  <c:v>421.58904673399059</c:v>
                </c:pt>
                <c:pt idx="53">
                  <c:v>401.27452395858722</c:v>
                </c:pt>
                <c:pt idx="54">
                  <c:v>381.93886872917284</c:v>
                </c:pt>
                <c:pt idx="55">
                  <c:v>363.53491372199687</c:v>
                </c:pt>
                <c:pt idx="56">
                  <c:v>346.01776439928318</c:v>
                </c:pt>
                <c:pt idx="57">
                  <c:v>329.34468949366641</c:v>
                </c:pt>
                <c:pt idx="58">
                  <c:v>313.4750167697004</c:v>
                </c:pt>
                <c:pt idx="59">
                  <c:v>298.37003380816225</c:v>
                </c:pt>
                <c:pt idx="60">
                  <c:v>283.99289357112411</c:v>
                </c:pt>
                <c:pt idx="61">
                  <c:v>270.3085245174293</c:v>
                </c:pt>
                <c:pt idx="62">
                  <c:v>257.28354504930815</c:v>
                </c:pt>
                <c:pt idx="63">
                  <c:v>244.88618208143544</c:v>
                </c:pt>
                <c:pt idx="64">
                  <c:v>233.08619353378757</c:v>
                </c:pt>
                <c:pt idx="65">
                  <c:v>221.85479455922672</c:v>
                </c:pt>
                <c:pt idx="66">
                  <c:v>211.16458732585534</c:v>
                </c:pt>
                <c:pt idx="67">
                  <c:v>200.98949418284872</c:v>
                </c:pt>
                <c:pt idx="68">
                  <c:v>191.30469404673289</c:v>
                </c:pt>
                <c:pt idx="69">
                  <c:v>182.08656185292841</c:v>
                </c:pt>
                <c:pt idx="70">
                  <c:v>173.31261092485755</c:v>
                </c:pt>
                <c:pt idx="71">
                  <c:v>164.961438120031</c:v>
                </c:pt>
                <c:pt idx="72">
                  <c:v>157.01267161930377</c:v>
                </c:pt>
                <c:pt idx="73">
                  <c:v>149.44692123193698</c:v>
                </c:pt>
                <c:pt idx="74">
                  <c:v>142.24573109524044</c:v>
                </c:pt>
                <c:pt idx="75">
                  <c:v>135.39153465341153</c:v>
                </c:pt>
                <c:pt idx="76">
                  <c:v>128.8676118057457</c:v>
                </c:pt>
                <c:pt idx="77">
                  <c:v>122.65804811968657</c:v>
                </c:pt>
                <c:pt idx="78">
                  <c:v>116.74769600921984</c:v>
                </c:pt>
                <c:pt idx="79">
                  <c:v>111.12213778390945</c:v>
                </c:pt>
                <c:pt idx="80">
                  <c:v>105.76765047843851</c:v>
                </c:pt>
                <c:pt idx="81">
                  <c:v>100.67117237686</c:v>
                </c:pt>
                <c:pt idx="82">
                  <c:v>95.820271149896499</c:v>
                </c:pt>
                <c:pt idx="83">
                  <c:v>91.203113527563602</c:v>
                </c:pt>
                <c:pt idx="84">
                  <c:v>86.808436433136109</c:v>
                </c:pt>
                <c:pt idx="85">
                  <c:v>82.625519508041535</c:v>
                </c:pt>
                <c:pt idx="86">
                  <c:v>78.644158960658231</c:v>
                </c:pt>
                <c:pt idx="87">
                  <c:v>74.854642675224966</c:v>
                </c:pt>
                <c:pt idx="88">
                  <c:v>71.247726520142777</c:v>
                </c:pt>
                <c:pt idx="89">
                  <c:v>67.81461179787533</c:v>
                </c:pt>
                <c:pt idx="90">
                  <c:v>64.546923781439958</c:v>
                </c:pt>
                <c:pt idx="91">
                  <c:v>61.43669128513023</c:v>
                </c:pt>
                <c:pt idx="92">
                  <c:v>58.476327219636161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B9-4E72-B68A-343CEED1F16A}"/>
            </c:ext>
          </c:extLst>
        </c:ser>
        <c:ser>
          <c:idx val="2"/>
          <c:order val="2"/>
          <c:tx>
            <c:strRef>
              <c:f>FSN_aUSDT!$U$7</c:f>
              <c:strCache>
                <c:ptCount val="1"/>
                <c:pt idx="0">
                  <c:v> HODL 763 aUSDT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FSN_aUSDT!$N$8:$N$100</c:f>
              <c:numCache>
                <c:formatCode>[$$-409]#,##0.00</c:formatCode>
                <c:ptCount val="93"/>
                <c:pt idx="0">
                  <c:v>2.8897670635472448</c:v>
                </c:pt>
                <c:pt idx="1">
                  <c:v>2.7470848147845994</c:v>
                </c:pt>
                <c:pt idx="2">
                  <c:v>2.6114475020546091</c:v>
                </c:pt>
                <c:pt idx="3">
                  <c:v>2.4825072816406624</c:v>
                </c:pt>
                <c:pt idx="4">
                  <c:v>2.3599334846096545</c:v>
                </c:pt>
                <c:pt idx="5">
                  <c:v>2.2434117688070532</c:v>
                </c:pt>
                <c:pt idx="6">
                  <c:v>2.1326433127222053</c:v>
                </c:pt>
                <c:pt idx="7">
                  <c:v>2.0273440491565458</c:v>
                </c:pt>
                <c:pt idx="8">
                  <c:v>1.9272439367294414</c:v>
                </c:pt>
                <c:pt idx="9">
                  <c:v>1.8320862673534251</c:v>
                </c:pt>
                <c:pt idx="10">
                  <c:v>1.7416270079028493</c:v>
                </c:pt>
                <c:pt idx="11">
                  <c:v>1.6556341743876457</c:v>
                </c:pt>
                <c:pt idx="12">
                  <c:v>1.5738872370272559</c:v>
                </c:pt>
                <c:pt idx="13">
                  <c:v>1.4961765546990351</c:v>
                </c:pt>
                <c:pt idx="14">
                  <c:v>1.4223028373107702</c:v>
                </c:pt>
                <c:pt idx="15">
                  <c:v>1.3520766347185507</c:v>
                </c:pt>
                <c:pt idx="16">
                  <c:v>1.2853178508793222</c:v>
                </c:pt>
                <c:pt idx="17">
                  <c:v>1.2218552819921558</c:v>
                </c:pt>
                <c:pt idx="18">
                  <c:v>1.1615261774437931</c:v>
                </c:pt>
                <c:pt idx="19">
                  <c:v>1.1041758224325058</c:v>
                </c:pt>
                <c:pt idx="20">
                  <c:v>1.0496571411999007</c:v>
                </c:pt>
                <c:pt idx="21">
                  <c:v>0.9978303198531554</c:v>
                </c:pt>
                <c:pt idx="22">
                  <c:v>0.94856244781040577</c:v>
                </c:pt>
                <c:pt idx="23">
                  <c:v>0.90172717694976701</c:v>
                </c:pt>
                <c:pt idx="24">
                  <c:v>0.85720439758787226</c:v>
                </c:pt>
                <c:pt idx="25">
                  <c:v>0.81487993045697105</c:v>
                </c:pt>
                <c:pt idx="26">
                  <c:v>0.7746452338906582</c:v>
                </c:pt>
                <c:pt idx="27">
                  <c:v>0.73639712546730685</c:v>
                </c:pt>
                <c:pt idx="28">
                  <c:v>0.70003751739735864</c:v>
                </c:pt>
                <c:pt idx="29">
                  <c:v>0.66547316497586395</c:v>
                </c:pt>
                <c:pt idx="30">
                  <c:v>0.63261542745518085</c:v>
                </c:pt>
                <c:pt idx="31">
                  <c:v>0.60138004072458118</c:v>
                </c:pt>
                <c:pt idx="32">
                  <c:v>0.57168690121380505</c:v>
                </c:pt>
                <c:pt idx="33">
                  <c:v>0.54345986046637329</c:v>
                </c:pt>
                <c:pt idx="34">
                  <c:v>0.51662652985584612</c:v>
                </c:pt>
                <c:pt idx="35">
                  <c:v>0.49111809494421377</c:v>
                </c:pt>
                <c:pt idx="36">
                  <c:v>0.46686913900634319</c:v>
                </c:pt>
                <c:pt idx="37">
                  <c:v>0.44381747526790494</c:v>
                </c:pt>
                <c:pt idx="38">
                  <c:v>0.42190398742655216</c:v>
                </c:pt>
                <c:pt idx="39">
                  <c:v>0.40107247804736607</c:v>
                </c:pt>
                <c:pt idx="40">
                  <c:v>0.38126952444377737</c:v>
                </c:pt>
                <c:pt idx="41">
                  <c:v>0.36289782219514816</c:v>
                </c:pt>
                <c:pt idx="42">
                  <c:v>0.34541137151233614</c:v>
                </c:pt>
                <c:pt idx="43">
                  <c:v>0.32876751601412135</c:v>
                </c:pt>
                <c:pt idx="44">
                  <c:v>0.31292565474276879</c:v>
                </c:pt>
                <c:pt idx="45">
                  <c:v>0.297847143122207</c:v>
                </c:pt>
                <c:pt idx="46">
                  <c:v>0.28349519868859691</c:v>
                </c:pt>
                <c:pt idx="47">
                  <c:v>0.26983481136332843</c:v>
                </c:pt>
                <c:pt idx="48">
                  <c:v>0.25683265804956906</c:v>
                </c:pt>
                <c:pt idx="49">
                  <c:v>0.24445702134402766</c:v>
                </c:pt>
                <c:pt idx="50">
                  <c:v>0.23267771216564209</c:v>
                </c:pt>
                <c:pt idx="51">
                  <c:v>0.22146599611244938</c:v>
                </c:pt>
                <c:pt idx="52">
                  <c:v>0.21079452336699528</c:v>
                </c:pt>
                <c:pt idx="53">
                  <c:v>0.2006372619792936</c:v>
                </c:pt>
                <c:pt idx="54">
                  <c:v>0.19096943436458641</c:v>
                </c:pt>
                <c:pt idx="55">
                  <c:v>0.18176745686099843</c:v>
                </c:pt>
                <c:pt idx="56">
                  <c:v>0.17300888219964158</c:v>
                </c:pt>
                <c:pt idx="57">
                  <c:v>0.1646723447468332</c:v>
                </c:pt>
                <c:pt idx="58">
                  <c:v>0.1567375083848502</c:v>
                </c:pt>
                <c:pt idx="59">
                  <c:v>0.14918501690408112</c:v>
                </c:pt>
                <c:pt idx="60">
                  <c:v>0.14199644678556206</c:v>
                </c:pt>
                <c:pt idx="61">
                  <c:v>0.13515426225871466</c:v>
                </c:pt>
                <c:pt idx="62">
                  <c:v>0.12864177252465409</c:v>
                </c:pt>
                <c:pt idx="63">
                  <c:v>0.12244309104071772</c:v>
                </c:pt>
                <c:pt idx="64">
                  <c:v>0.11654309676689378</c:v>
                </c:pt>
                <c:pt idx="65">
                  <c:v>0.11092739727961336</c:v>
                </c:pt>
                <c:pt idx="66">
                  <c:v>0.10558229366292766</c:v>
                </c:pt>
                <c:pt idx="67">
                  <c:v>0.10049474709142436</c:v>
                </c:pt>
                <c:pt idx="68">
                  <c:v>9.5652347023366446E-2</c:v>
                </c:pt>
                <c:pt idx="69">
                  <c:v>9.1043280926464201E-2</c:v>
                </c:pt>
                <c:pt idx="70">
                  <c:v>8.6656305462428779E-2</c:v>
                </c:pt>
                <c:pt idx="71">
                  <c:v>8.24807190600155E-2</c:v>
                </c:pt>
                <c:pt idx="72">
                  <c:v>7.8506335809651884E-2</c:v>
                </c:pt>
                <c:pt idx="73">
                  <c:v>7.472346061596849E-2</c:v>
                </c:pt>
                <c:pt idx="74">
                  <c:v>7.112286554762022E-2</c:v>
                </c:pt>
                <c:pt idx="75">
                  <c:v>6.7695767326705764E-2</c:v>
                </c:pt>
                <c:pt idx="76">
                  <c:v>6.4433805902872843E-2</c:v>
                </c:pt>
                <c:pt idx="77">
                  <c:v>6.1329024059843286E-2</c:v>
                </c:pt>
                <c:pt idx="78">
                  <c:v>5.8373848004609916E-2</c:v>
                </c:pt>
                <c:pt idx="79">
                  <c:v>5.5561068891954724E-2</c:v>
                </c:pt>
                <c:pt idx="80">
                  <c:v>5.2883825239219258E-2</c:v>
                </c:pt>
                <c:pt idx="81">
                  <c:v>5.0335586188430002E-2</c:v>
                </c:pt>
                <c:pt idx="82">
                  <c:v>4.7910135574948248E-2</c:v>
                </c:pt>
                <c:pt idx="83">
                  <c:v>4.5601556763781803E-2</c:v>
                </c:pt>
                <c:pt idx="84">
                  <c:v>4.3404218216568057E-2</c:v>
                </c:pt>
                <c:pt idx="85">
                  <c:v>4.1312759754020767E-2</c:v>
                </c:pt>
                <c:pt idx="86">
                  <c:v>3.9322079480329113E-2</c:v>
                </c:pt>
                <c:pt idx="87">
                  <c:v>3.7427321337612486E-2</c:v>
                </c:pt>
                <c:pt idx="88">
                  <c:v>3.5623863260071387E-2</c:v>
                </c:pt>
                <c:pt idx="89">
                  <c:v>3.3907305898937666E-2</c:v>
                </c:pt>
                <c:pt idx="90">
                  <c:v>3.227346189071998E-2</c:v>
                </c:pt>
                <c:pt idx="91">
                  <c:v>3.0718345642565117E-2</c:v>
                </c:pt>
                <c:pt idx="92">
                  <c:v>2.9238163609818079E-2</c:v>
                </c:pt>
              </c:numCache>
            </c:numRef>
          </c:cat>
          <c:val>
            <c:numRef>
              <c:f>FSN_aUSDT!$U$8:$U$100</c:f>
              <c:numCache>
                <c:formatCode>[$$-409]#,##0</c:formatCode>
                <c:ptCount val="93"/>
                <c:pt idx="0">
                  <c:v>762.53904888755471</c:v>
                </c:pt>
                <c:pt idx="1">
                  <c:v>762.53904888755471</c:v>
                </c:pt>
                <c:pt idx="2">
                  <c:v>762.53904888755471</c:v>
                </c:pt>
                <c:pt idx="3">
                  <c:v>762.53904888755471</c:v>
                </c:pt>
                <c:pt idx="4">
                  <c:v>762.53904888755471</c:v>
                </c:pt>
                <c:pt idx="5">
                  <c:v>762.53904888755471</c:v>
                </c:pt>
                <c:pt idx="6">
                  <c:v>762.53904888755471</c:v>
                </c:pt>
                <c:pt idx="7">
                  <c:v>762.53904888755471</c:v>
                </c:pt>
                <c:pt idx="8">
                  <c:v>762.53904888755471</c:v>
                </c:pt>
                <c:pt idx="9">
                  <c:v>762.53904888755471</c:v>
                </c:pt>
                <c:pt idx="10">
                  <c:v>762.53904888755471</c:v>
                </c:pt>
                <c:pt idx="11">
                  <c:v>762.53904888755471</c:v>
                </c:pt>
                <c:pt idx="12">
                  <c:v>762.53904888755471</c:v>
                </c:pt>
                <c:pt idx="13">
                  <c:v>762.53904888755471</c:v>
                </c:pt>
                <c:pt idx="14">
                  <c:v>762.53904888755471</c:v>
                </c:pt>
                <c:pt idx="15">
                  <c:v>762.53904888755471</c:v>
                </c:pt>
                <c:pt idx="16">
                  <c:v>762.53904888755471</c:v>
                </c:pt>
                <c:pt idx="17">
                  <c:v>762.53904888755471</c:v>
                </c:pt>
                <c:pt idx="18">
                  <c:v>762.53904888755471</c:v>
                </c:pt>
                <c:pt idx="19">
                  <c:v>762.53904888755471</c:v>
                </c:pt>
                <c:pt idx="20">
                  <c:v>762.53904888755471</c:v>
                </c:pt>
                <c:pt idx="21">
                  <c:v>762.53904888755471</c:v>
                </c:pt>
                <c:pt idx="22">
                  <c:v>762.53904888755471</c:v>
                </c:pt>
                <c:pt idx="23">
                  <c:v>762.53904888755471</c:v>
                </c:pt>
                <c:pt idx="24">
                  <c:v>762.53904888755471</c:v>
                </c:pt>
                <c:pt idx="25">
                  <c:v>762.53904888755471</c:v>
                </c:pt>
                <c:pt idx="26">
                  <c:v>762.53904888755471</c:v>
                </c:pt>
                <c:pt idx="27">
                  <c:v>762.53904888755471</c:v>
                </c:pt>
                <c:pt idx="28">
                  <c:v>762.53904888755471</c:v>
                </c:pt>
                <c:pt idx="29">
                  <c:v>762.53904888755471</c:v>
                </c:pt>
                <c:pt idx="30">
                  <c:v>762.53904888755471</c:v>
                </c:pt>
                <c:pt idx="31">
                  <c:v>762.53904888755471</c:v>
                </c:pt>
                <c:pt idx="32">
                  <c:v>762.53904888755471</c:v>
                </c:pt>
                <c:pt idx="33">
                  <c:v>762.53904888755471</c:v>
                </c:pt>
                <c:pt idx="34">
                  <c:v>762.53904888755471</c:v>
                </c:pt>
                <c:pt idx="35">
                  <c:v>762.53904888755471</c:v>
                </c:pt>
                <c:pt idx="36">
                  <c:v>762.53904888755471</c:v>
                </c:pt>
                <c:pt idx="37">
                  <c:v>762.53904888755471</c:v>
                </c:pt>
                <c:pt idx="38">
                  <c:v>762.53904888755471</c:v>
                </c:pt>
                <c:pt idx="39">
                  <c:v>762.53904888755471</c:v>
                </c:pt>
                <c:pt idx="40">
                  <c:v>762.53904888755471</c:v>
                </c:pt>
                <c:pt idx="41">
                  <c:v>762.53904888755471</c:v>
                </c:pt>
                <c:pt idx="42">
                  <c:v>762.53904888755471</c:v>
                </c:pt>
                <c:pt idx="43">
                  <c:v>762.53904888755471</c:v>
                </c:pt>
                <c:pt idx="44">
                  <c:v>762.53904888755471</c:v>
                </c:pt>
                <c:pt idx="45">
                  <c:v>762.53904888755471</c:v>
                </c:pt>
                <c:pt idx="46">
                  <c:v>762.53904888755471</c:v>
                </c:pt>
                <c:pt idx="47">
                  <c:v>762.53904888755471</c:v>
                </c:pt>
                <c:pt idx="48">
                  <c:v>762.53904888755471</c:v>
                </c:pt>
                <c:pt idx="49">
                  <c:v>762.53904888755471</c:v>
                </c:pt>
                <c:pt idx="50">
                  <c:v>762.53904888755471</c:v>
                </c:pt>
                <c:pt idx="51">
                  <c:v>762.53904888755471</c:v>
                </c:pt>
                <c:pt idx="52">
                  <c:v>762.53904888755471</c:v>
                </c:pt>
                <c:pt idx="53">
                  <c:v>762.53904888755471</c:v>
                </c:pt>
                <c:pt idx="54">
                  <c:v>762.53904888755471</c:v>
                </c:pt>
                <c:pt idx="55">
                  <c:v>762.53904888755471</c:v>
                </c:pt>
                <c:pt idx="56">
                  <c:v>762.53904888755471</c:v>
                </c:pt>
                <c:pt idx="57">
                  <c:v>762.53904888755471</c:v>
                </c:pt>
                <c:pt idx="58">
                  <c:v>762.53904888755471</c:v>
                </c:pt>
                <c:pt idx="59">
                  <c:v>762.53904888755471</c:v>
                </c:pt>
                <c:pt idx="60">
                  <c:v>762.53904888755471</c:v>
                </c:pt>
                <c:pt idx="61">
                  <c:v>762.53904888755471</c:v>
                </c:pt>
                <c:pt idx="62">
                  <c:v>762.53904888755471</c:v>
                </c:pt>
                <c:pt idx="63">
                  <c:v>762.53904888755471</c:v>
                </c:pt>
                <c:pt idx="64">
                  <c:v>762.53904888755471</c:v>
                </c:pt>
                <c:pt idx="65">
                  <c:v>762.53904888755471</c:v>
                </c:pt>
                <c:pt idx="66">
                  <c:v>762.53904888755471</c:v>
                </c:pt>
                <c:pt idx="67">
                  <c:v>762.53904888755471</c:v>
                </c:pt>
                <c:pt idx="68">
                  <c:v>762.53904888755471</c:v>
                </c:pt>
                <c:pt idx="69">
                  <c:v>762.53904888755471</c:v>
                </c:pt>
                <c:pt idx="70">
                  <c:v>762.53904888755471</c:v>
                </c:pt>
                <c:pt idx="71">
                  <c:v>762.53904888755471</c:v>
                </c:pt>
                <c:pt idx="72">
                  <c:v>762.53904888755471</c:v>
                </c:pt>
                <c:pt idx="73">
                  <c:v>762.53904888755471</c:v>
                </c:pt>
                <c:pt idx="74">
                  <c:v>762.53904888755471</c:v>
                </c:pt>
                <c:pt idx="75">
                  <c:v>762.53904888755471</c:v>
                </c:pt>
                <c:pt idx="76">
                  <c:v>762.53904888755471</c:v>
                </c:pt>
                <c:pt idx="77">
                  <c:v>762.53904888755471</c:v>
                </c:pt>
                <c:pt idx="78">
                  <c:v>762.53904888755471</c:v>
                </c:pt>
                <c:pt idx="79">
                  <c:v>762.53904888755471</c:v>
                </c:pt>
                <c:pt idx="80">
                  <c:v>762.53904888755471</c:v>
                </c:pt>
                <c:pt idx="81">
                  <c:v>762.53904888755471</c:v>
                </c:pt>
                <c:pt idx="82">
                  <c:v>762.53904888755471</c:v>
                </c:pt>
                <c:pt idx="83">
                  <c:v>762.53904888755471</c:v>
                </c:pt>
                <c:pt idx="84">
                  <c:v>762.53904888755471</c:v>
                </c:pt>
                <c:pt idx="85">
                  <c:v>762.53904888755471</c:v>
                </c:pt>
                <c:pt idx="86">
                  <c:v>762.53904888755471</c:v>
                </c:pt>
                <c:pt idx="87">
                  <c:v>762.53904888755471</c:v>
                </c:pt>
                <c:pt idx="88">
                  <c:v>762.53904888755471</c:v>
                </c:pt>
                <c:pt idx="89">
                  <c:v>762.53904888755471</c:v>
                </c:pt>
                <c:pt idx="90">
                  <c:v>762.53904888755471</c:v>
                </c:pt>
                <c:pt idx="91">
                  <c:v>762.53904888755471</c:v>
                </c:pt>
                <c:pt idx="92">
                  <c:v>762.53904888755471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B9-4E72-B68A-343CEED1F16A}"/>
            </c:ext>
          </c:extLst>
        </c:ser>
        <c:ser>
          <c:idx val="3"/>
          <c:order val="3"/>
          <c:tx>
            <c:strRef>
              <c:f>FSN_aUSDT!$V$7</c:f>
              <c:strCache>
                <c:ptCount val="1"/>
                <c:pt idx="0">
                  <c:v> HODL 1000 FSN&amp; 381 aUSDT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FSN_aUSDT!$N$8:$N$100</c:f>
              <c:numCache>
                <c:formatCode>[$$-409]#,##0.00</c:formatCode>
                <c:ptCount val="93"/>
                <c:pt idx="0">
                  <c:v>2.8897670635472448</c:v>
                </c:pt>
                <c:pt idx="1">
                  <c:v>2.7470848147845994</c:v>
                </c:pt>
                <c:pt idx="2">
                  <c:v>2.6114475020546091</c:v>
                </c:pt>
                <c:pt idx="3">
                  <c:v>2.4825072816406624</c:v>
                </c:pt>
                <c:pt idx="4">
                  <c:v>2.3599334846096545</c:v>
                </c:pt>
                <c:pt idx="5">
                  <c:v>2.2434117688070532</c:v>
                </c:pt>
                <c:pt idx="6">
                  <c:v>2.1326433127222053</c:v>
                </c:pt>
                <c:pt idx="7">
                  <c:v>2.0273440491565458</c:v>
                </c:pt>
                <c:pt idx="8">
                  <c:v>1.9272439367294414</c:v>
                </c:pt>
                <c:pt idx="9">
                  <c:v>1.8320862673534251</c:v>
                </c:pt>
                <c:pt idx="10">
                  <c:v>1.7416270079028493</c:v>
                </c:pt>
                <c:pt idx="11">
                  <c:v>1.6556341743876457</c:v>
                </c:pt>
                <c:pt idx="12">
                  <c:v>1.5738872370272559</c:v>
                </c:pt>
                <c:pt idx="13">
                  <c:v>1.4961765546990351</c:v>
                </c:pt>
                <c:pt idx="14">
                  <c:v>1.4223028373107702</c:v>
                </c:pt>
                <c:pt idx="15">
                  <c:v>1.3520766347185507</c:v>
                </c:pt>
                <c:pt idx="16">
                  <c:v>1.2853178508793222</c:v>
                </c:pt>
                <c:pt idx="17">
                  <c:v>1.2218552819921558</c:v>
                </c:pt>
                <c:pt idx="18">
                  <c:v>1.1615261774437931</c:v>
                </c:pt>
                <c:pt idx="19">
                  <c:v>1.1041758224325058</c:v>
                </c:pt>
                <c:pt idx="20">
                  <c:v>1.0496571411999007</c:v>
                </c:pt>
                <c:pt idx="21">
                  <c:v>0.9978303198531554</c:v>
                </c:pt>
                <c:pt idx="22">
                  <c:v>0.94856244781040577</c:v>
                </c:pt>
                <c:pt idx="23">
                  <c:v>0.90172717694976701</c:v>
                </c:pt>
                <c:pt idx="24">
                  <c:v>0.85720439758787226</c:v>
                </c:pt>
                <c:pt idx="25">
                  <c:v>0.81487993045697105</c:v>
                </c:pt>
                <c:pt idx="26">
                  <c:v>0.7746452338906582</c:v>
                </c:pt>
                <c:pt idx="27">
                  <c:v>0.73639712546730685</c:v>
                </c:pt>
                <c:pt idx="28">
                  <c:v>0.70003751739735864</c:v>
                </c:pt>
                <c:pt idx="29">
                  <c:v>0.66547316497586395</c:v>
                </c:pt>
                <c:pt idx="30">
                  <c:v>0.63261542745518085</c:v>
                </c:pt>
                <c:pt idx="31">
                  <c:v>0.60138004072458118</c:v>
                </c:pt>
                <c:pt idx="32">
                  <c:v>0.57168690121380505</c:v>
                </c:pt>
                <c:pt idx="33">
                  <c:v>0.54345986046637329</c:v>
                </c:pt>
                <c:pt idx="34">
                  <c:v>0.51662652985584612</c:v>
                </c:pt>
                <c:pt idx="35">
                  <c:v>0.49111809494421377</c:v>
                </c:pt>
                <c:pt idx="36">
                  <c:v>0.46686913900634319</c:v>
                </c:pt>
                <c:pt idx="37">
                  <c:v>0.44381747526790494</c:v>
                </c:pt>
                <c:pt idx="38">
                  <c:v>0.42190398742655216</c:v>
                </c:pt>
                <c:pt idx="39">
                  <c:v>0.40107247804736607</c:v>
                </c:pt>
                <c:pt idx="40">
                  <c:v>0.38126952444377737</c:v>
                </c:pt>
                <c:pt idx="41">
                  <c:v>0.36289782219514816</c:v>
                </c:pt>
                <c:pt idx="42">
                  <c:v>0.34541137151233614</c:v>
                </c:pt>
                <c:pt idx="43">
                  <c:v>0.32876751601412135</c:v>
                </c:pt>
                <c:pt idx="44">
                  <c:v>0.31292565474276879</c:v>
                </c:pt>
                <c:pt idx="45">
                  <c:v>0.297847143122207</c:v>
                </c:pt>
                <c:pt idx="46">
                  <c:v>0.28349519868859691</c:v>
                </c:pt>
                <c:pt idx="47">
                  <c:v>0.26983481136332843</c:v>
                </c:pt>
                <c:pt idx="48">
                  <c:v>0.25683265804956906</c:v>
                </c:pt>
                <c:pt idx="49">
                  <c:v>0.24445702134402766</c:v>
                </c:pt>
                <c:pt idx="50">
                  <c:v>0.23267771216564209</c:v>
                </c:pt>
                <c:pt idx="51">
                  <c:v>0.22146599611244938</c:v>
                </c:pt>
                <c:pt idx="52">
                  <c:v>0.21079452336699528</c:v>
                </c:pt>
                <c:pt idx="53">
                  <c:v>0.2006372619792936</c:v>
                </c:pt>
                <c:pt idx="54">
                  <c:v>0.19096943436458641</c:v>
                </c:pt>
                <c:pt idx="55">
                  <c:v>0.18176745686099843</c:v>
                </c:pt>
                <c:pt idx="56">
                  <c:v>0.17300888219964158</c:v>
                </c:pt>
                <c:pt idx="57">
                  <c:v>0.1646723447468332</c:v>
                </c:pt>
                <c:pt idx="58">
                  <c:v>0.1567375083848502</c:v>
                </c:pt>
                <c:pt idx="59">
                  <c:v>0.14918501690408112</c:v>
                </c:pt>
                <c:pt idx="60">
                  <c:v>0.14199644678556206</c:v>
                </c:pt>
                <c:pt idx="61">
                  <c:v>0.13515426225871466</c:v>
                </c:pt>
                <c:pt idx="62">
                  <c:v>0.12864177252465409</c:v>
                </c:pt>
                <c:pt idx="63">
                  <c:v>0.12244309104071772</c:v>
                </c:pt>
                <c:pt idx="64">
                  <c:v>0.11654309676689378</c:v>
                </c:pt>
                <c:pt idx="65">
                  <c:v>0.11092739727961336</c:v>
                </c:pt>
                <c:pt idx="66">
                  <c:v>0.10558229366292766</c:v>
                </c:pt>
                <c:pt idx="67">
                  <c:v>0.10049474709142436</c:v>
                </c:pt>
                <c:pt idx="68">
                  <c:v>9.5652347023366446E-2</c:v>
                </c:pt>
                <c:pt idx="69">
                  <c:v>9.1043280926464201E-2</c:v>
                </c:pt>
                <c:pt idx="70">
                  <c:v>8.6656305462428779E-2</c:v>
                </c:pt>
                <c:pt idx="71">
                  <c:v>8.24807190600155E-2</c:v>
                </c:pt>
                <c:pt idx="72">
                  <c:v>7.8506335809651884E-2</c:v>
                </c:pt>
                <c:pt idx="73">
                  <c:v>7.472346061596849E-2</c:v>
                </c:pt>
                <c:pt idx="74">
                  <c:v>7.112286554762022E-2</c:v>
                </c:pt>
                <c:pt idx="75">
                  <c:v>6.7695767326705764E-2</c:v>
                </c:pt>
                <c:pt idx="76">
                  <c:v>6.4433805902872843E-2</c:v>
                </c:pt>
                <c:pt idx="77">
                  <c:v>6.1329024059843286E-2</c:v>
                </c:pt>
                <c:pt idx="78">
                  <c:v>5.8373848004609916E-2</c:v>
                </c:pt>
                <c:pt idx="79">
                  <c:v>5.5561068891954724E-2</c:v>
                </c:pt>
                <c:pt idx="80">
                  <c:v>5.2883825239219258E-2</c:v>
                </c:pt>
                <c:pt idx="81">
                  <c:v>5.0335586188430002E-2</c:v>
                </c:pt>
                <c:pt idx="82">
                  <c:v>4.7910135574948248E-2</c:v>
                </c:pt>
                <c:pt idx="83">
                  <c:v>4.5601556763781803E-2</c:v>
                </c:pt>
                <c:pt idx="84">
                  <c:v>4.3404218216568057E-2</c:v>
                </c:pt>
                <c:pt idx="85">
                  <c:v>4.1312759754020767E-2</c:v>
                </c:pt>
                <c:pt idx="86">
                  <c:v>3.9322079480329113E-2</c:v>
                </c:pt>
                <c:pt idx="87">
                  <c:v>3.7427321337612486E-2</c:v>
                </c:pt>
                <c:pt idx="88">
                  <c:v>3.5623863260071387E-2</c:v>
                </c:pt>
                <c:pt idx="89">
                  <c:v>3.3907305898937666E-2</c:v>
                </c:pt>
                <c:pt idx="90">
                  <c:v>3.227346189071998E-2</c:v>
                </c:pt>
                <c:pt idx="91">
                  <c:v>3.0718345642565117E-2</c:v>
                </c:pt>
                <c:pt idx="92">
                  <c:v>2.9238163609818079E-2</c:v>
                </c:pt>
              </c:numCache>
            </c:numRef>
          </c:cat>
          <c:val>
            <c:numRef>
              <c:f>FSN_aUSDT!$V$8:$V$100</c:f>
              <c:numCache>
                <c:formatCode>[$$-409]#,##0</c:formatCode>
                <c:ptCount val="93"/>
                <c:pt idx="0">
                  <c:v>3271.0365879910219</c:v>
                </c:pt>
                <c:pt idx="1">
                  <c:v>3128.3543392283768</c:v>
                </c:pt>
                <c:pt idx="2">
                  <c:v>2992.7170264983865</c:v>
                </c:pt>
                <c:pt idx="3">
                  <c:v>2863.7768060844396</c:v>
                </c:pt>
                <c:pt idx="4">
                  <c:v>2741.2030090534317</c:v>
                </c:pt>
                <c:pt idx="5">
                  <c:v>2624.6812932508305</c:v>
                </c:pt>
                <c:pt idx="6">
                  <c:v>2513.9128371659826</c:v>
                </c:pt>
                <c:pt idx="7">
                  <c:v>2408.613573600323</c:v>
                </c:pt>
                <c:pt idx="8">
                  <c:v>2308.5134611732187</c:v>
                </c:pt>
                <c:pt idx="9">
                  <c:v>2213.3557917972025</c:v>
                </c:pt>
                <c:pt idx="10">
                  <c:v>2122.8965323466268</c:v>
                </c:pt>
                <c:pt idx="11">
                  <c:v>2036.9036988314231</c:v>
                </c:pt>
                <c:pt idx="12">
                  <c:v>1955.1567614710332</c:v>
                </c:pt>
                <c:pt idx="13">
                  <c:v>1877.4460791428123</c:v>
                </c:pt>
                <c:pt idx="14">
                  <c:v>1803.5723617545475</c:v>
                </c:pt>
                <c:pt idx="15">
                  <c:v>1733.3461591623279</c:v>
                </c:pt>
                <c:pt idx="16">
                  <c:v>1666.5873753230994</c:v>
                </c:pt>
                <c:pt idx="17">
                  <c:v>1603.1248064359331</c:v>
                </c:pt>
                <c:pt idx="18">
                  <c:v>1542.7957018875704</c:v>
                </c:pt>
                <c:pt idx="19">
                  <c:v>1485.4453468762831</c:v>
                </c:pt>
                <c:pt idx="20">
                  <c:v>1430.926665643678</c:v>
                </c:pt>
                <c:pt idx="21">
                  <c:v>1379.0998442969328</c:v>
                </c:pt>
                <c:pt idx="22">
                  <c:v>1329.831972254183</c:v>
                </c:pt>
                <c:pt idx="23">
                  <c:v>1282.9967013935443</c:v>
                </c:pt>
                <c:pt idx="24">
                  <c:v>1238.4739220316496</c:v>
                </c:pt>
                <c:pt idx="25">
                  <c:v>1196.1494549007484</c:v>
                </c:pt>
                <c:pt idx="26">
                  <c:v>1155.9147583344356</c:v>
                </c:pt>
                <c:pt idx="27">
                  <c:v>1117.6666499110843</c:v>
                </c:pt>
                <c:pt idx="28">
                  <c:v>1081.307041841136</c:v>
                </c:pt>
                <c:pt idx="29">
                  <c:v>1046.7426894196412</c:v>
                </c:pt>
                <c:pt idx="30">
                  <c:v>1013.8849518989582</c:v>
                </c:pt>
                <c:pt idx="31">
                  <c:v>982.64956516835855</c:v>
                </c:pt>
                <c:pt idx="32">
                  <c:v>952.95642565758249</c:v>
                </c:pt>
                <c:pt idx="33">
                  <c:v>924.72938491015066</c:v>
                </c:pt>
                <c:pt idx="34">
                  <c:v>897.89605429962353</c:v>
                </c:pt>
                <c:pt idx="35">
                  <c:v>872.38761938799121</c:v>
                </c:pt>
                <c:pt idx="36">
                  <c:v>848.13866345012048</c:v>
                </c:pt>
                <c:pt idx="37">
                  <c:v>825.08699971168221</c:v>
                </c:pt>
                <c:pt idx="38">
                  <c:v>803.17351187032955</c:v>
                </c:pt>
                <c:pt idx="39">
                  <c:v>782.34200249114338</c:v>
                </c:pt>
                <c:pt idx="40">
                  <c:v>762.53904888755471</c:v>
                </c:pt>
                <c:pt idx="41">
                  <c:v>744.16734663892544</c:v>
                </c:pt>
                <c:pt idx="42">
                  <c:v>726.68089595611355</c:v>
                </c:pt>
                <c:pt idx="43">
                  <c:v>710.03704045789868</c:v>
                </c:pt>
                <c:pt idx="44">
                  <c:v>694.19517918654617</c:v>
                </c:pt>
                <c:pt idx="45">
                  <c:v>679.11666756598436</c:v>
                </c:pt>
                <c:pt idx="46">
                  <c:v>664.76472313237423</c:v>
                </c:pt>
                <c:pt idx="47">
                  <c:v>651.10433580710583</c:v>
                </c:pt>
                <c:pt idx="48">
                  <c:v>638.10218249334639</c:v>
                </c:pt>
                <c:pt idx="49">
                  <c:v>625.72654578780498</c:v>
                </c:pt>
                <c:pt idx="50">
                  <c:v>613.94723660941941</c:v>
                </c:pt>
                <c:pt idx="51">
                  <c:v>602.73552055622667</c:v>
                </c:pt>
                <c:pt idx="52">
                  <c:v>592.06404781077265</c:v>
                </c:pt>
                <c:pt idx="53">
                  <c:v>581.90678642307103</c:v>
                </c:pt>
                <c:pt idx="54">
                  <c:v>572.2389588083638</c:v>
                </c:pt>
                <c:pt idx="55">
                  <c:v>563.03698130477574</c:v>
                </c:pt>
                <c:pt idx="56">
                  <c:v>554.27840664341898</c:v>
                </c:pt>
                <c:pt idx="57">
                  <c:v>545.94186919061053</c:v>
                </c:pt>
                <c:pt idx="58">
                  <c:v>538.00703282862753</c:v>
                </c:pt>
                <c:pt idx="59">
                  <c:v>530.45454134785848</c:v>
                </c:pt>
                <c:pt idx="60">
                  <c:v>523.26597122933936</c:v>
                </c:pt>
                <c:pt idx="61">
                  <c:v>516.42378670249195</c:v>
                </c:pt>
                <c:pt idx="62">
                  <c:v>509.91129696843143</c:v>
                </c:pt>
                <c:pt idx="63">
                  <c:v>503.71261548449507</c:v>
                </c:pt>
                <c:pt idx="64">
                  <c:v>497.81262121067113</c:v>
                </c:pt>
                <c:pt idx="65">
                  <c:v>492.19692172339069</c:v>
                </c:pt>
                <c:pt idx="66">
                  <c:v>486.85181810670503</c:v>
                </c:pt>
                <c:pt idx="67">
                  <c:v>481.76427153520171</c:v>
                </c:pt>
                <c:pt idx="68">
                  <c:v>476.92187146714377</c:v>
                </c:pt>
                <c:pt idx="69">
                  <c:v>472.31280537024156</c:v>
                </c:pt>
                <c:pt idx="70">
                  <c:v>467.9258299062061</c:v>
                </c:pt>
                <c:pt idx="71">
                  <c:v>463.75024350379283</c:v>
                </c:pt>
                <c:pt idx="72">
                  <c:v>459.77586025342924</c:v>
                </c:pt>
                <c:pt idx="73">
                  <c:v>455.99298505974582</c:v>
                </c:pt>
                <c:pt idx="74">
                  <c:v>452.39238999139758</c:v>
                </c:pt>
                <c:pt idx="75">
                  <c:v>448.96529177048313</c:v>
                </c:pt>
                <c:pt idx="76">
                  <c:v>445.7033303466502</c:v>
                </c:pt>
                <c:pt idx="77">
                  <c:v>442.59854850362063</c:v>
                </c:pt>
                <c:pt idx="78">
                  <c:v>439.64337244838725</c:v>
                </c:pt>
                <c:pt idx="79">
                  <c:v>436.83059333573209</c:v>
                </c:pt>
                <c:pt idx="80">
                  <c:v>434.15334968299663</c:v>
                </c:pt>
                <c:pt idx="81">
                  <c:v>431.60511063220736</c:v>
                </c:pt>
                <c:pt idx="82">
                  <c:v>429.1796600187256</c:v>
                </c:pt>
                <c:pt idx="83">
                  <c:v>426.87108120755914</c:v>
                </c:pt>
                <c:pt idx="84">
                  <c:v>424.6737426603454</c:v>
                </c:pt>
                <c:pt idx="85">
                  <c:v>422.58228419779812</c:v>
                </c:pt>
                <c:pt idx="86">
                  <c:v>420.59160392410649</c:v>
                </c:pt>
                <c:pt idx="87">
                  <c:v>418.69684578138981</c:v>
                </c:pt>
                <c:pt idx="88">
                  <c:v>416.89338770384876</c:v>
                </c:pt>
                <c:pt idx="89">
                  <c:v>415.17683034271499</c:v>
                </c:pt>
                <c:pt idx="90">
                  <c:v>413.54298633449736</c:v>
                </c:pt>
                <c:pt idx="91">
                  <c:v>411.98787008634247</c:v>
                </c:pt>
                <c:pt idx="92">
                  <c:v>410.50768805359542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B9-4E72-B68A-343CEED1F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8126960"/>
        <c:axId val="328124992"/>
      </c:lineChart>
      <c:catAx>
        <c:axId val="328126960"/>
        <c:scaling>
          <c:orientation val="maxMin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/>
                  <a:t>FSN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$-409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124992"/>
        <c:crosses val="autoZero"/>
        <c:auto val="1"/>
        <c:lblAlgn val="ctr"/>
        <c:lblOffset val="100"/>
        <c:noMultiLvlLbl val="0"/>
      </c:catAx>
      <c:valAx>
        <c:axId val="3281249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 b="1"/>
                  <a:t>Holdings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$-409]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126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Equivalent USDT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0555555555555555E-2"/>
          <c:y val="5.0925925925925923E-2"/>
          <c:w val="0.87733552055993003"/>
          <c:h val="0.59627296587926504"/>
        </c:manualLayout>
      </c:layout>
      <c:lineChart>
        <c:grouping val="standard"/>
        <c:varyColors val="0"/>
        <c:ser>
          <c:idx val="0"/>
          <c:order val="0"/>
          <c:tx>
            <c:strRef>
              <c:f>Basic_Fusion_aUSDT!$E$17</c:f>
              <c:strCache>
                <c:ptCount val="1"/>
                <c:pt idx="0">
                  <c:v>Pooling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Basic_Fusion_aUSDT!$B$18:$B$22</c:f>
              <c:numCache>
                <c:formatCode>0%</c:formatCode>
                <c:ptCount val="5"/>
                <c:pt idx="0">
                  <c:v>0.49999999999999989</c:v>
                </c:pt>
                <c:pt idx="1">
                  <c:v>0.25000000000000006</c:v>
                </c:pt>
                <c:pt idx="2">
                  <c:v>0</c:v>
                </c:pt>
                <c:pt idx="3">
                  <c:v>-0.25000000000000006</c:v>
                </c:pt>
                <c:pt idx="4">
                  <c:v>-0.5</c:v>
                </c:pt>
              </c:numCache>
            </c:numRef>
          </c:cat>
          <c:val>
            <c:numRef>
              <c:f>Basic_Fusion_aUSDT!$E$18:$E$22</c:f>
              <c:numCache>
                <c:formatCode>0%</c:formatCode>
                <c:ptCount val="5"/>
                <c:pt idx="0">
                  <c:v>0.22474487139158897</c:v>
                </c:pt>
                <c:pt idx="1">
                  <c:v>0.11803398874989489</c:v>
                </c:pt>
                <c:pt idx="2">
                  <c:v>0</c:v>
                </c:pt>
                <c:pt idx="3">
                  <c:v>-0.1339745962155614</c:v>
                </c:pt>
                <c:pt idx="4">
                  <c:v>-0.29289321881345243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49-4C88-9A65-2DD5EA41C34D}"/>
            </c:ext>
          </c:extLst>
        </c:ser>
        <c:ser>
          <c:idx val="1"/>
          <c:order val="1"/>
          <c:tx>
            <c:strRef>
              <c:f>Basic_Fusion_aUSDT!$J$17</c:f>
              <c:strCache>
                <c:ptCount val="1"/>
                <c:pt idx="0">
                  <c:v>Held Fusion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Basic_Fusion_aUSDT!$B$18:$B$22</c:f>
              <c:numCache>
                <c:formatCode>0%</c:formatCode>
                <c:ptCount val="5"/>
                <c:pt idx="0">
                  <c:v>0.49999999999999989</c:v>
                </c:pt>
                <c:pt idx="1">
                  <c:v>0.25000000000000006</c:v>
                </c:pt>
                <c:pt idx="2">
                  <c:v>0</c:v>
                </c:pt>
                <c:pt idx="3">
                  <c:v>-0.25000000000000006</c:v>
                </c:pt>
                <c:pt idx="4">
                  <c:v>-0.5</c:v>
                </c:pt>
              </c:numCache>
            </c:numRef>
          </c:cat>
          <c:val>
            <c:numRef>
              <c:f>Basic_Fusion_aUSDT!$J$18:$J$22</c:f>
              <c:numCache>
                <c:formatCode>0%</c:formatCode>
                <c:ptCount val="5"/>
                <c:pt idx="0">
                  <c:v>0.49999999999999989</c:v>
                </c:pt>
                <c:pt idx="1">
                  <c:v>0.25000000000000006</c:v>
                </c:pt>
                <c:pt idx="2">
                  <c:v>0</c:v>
                </c:pt>
                <c:pt idx="3">
                  <c:v>-0.25000000000000006</c:v>
                </c:pt>
                <c:pt idx="4">
                  <c:v>-0.5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E49-4C88-9A65-2DD5EA41C34D}"/>
            </c:ext>
          </c:extLst>
        </c:ser>
        <c:ser>
          <c:idx val="2"/>
          <c:order val="2"/>
          <c:tx>
            <c:strRef>
              <c:f>Basic_Fusion_aUSDT!$M$17</c:f>
              <c:strCache>
                <c:ptCount val="1"/>
                <c:pt idx="0">
                  <c:v>Held USDT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Basic_Fusion_aUSDT!$B$18:$B$22</c:f>
              <c:numCache>
                <c:formatCode>0%</c:formatCode>
                <c:ptCount val="5"/>
                <c:pt idx="0">
                  <c:v>0.49999999999999989</c:v>
                </c:pt>
                <c:pt idx="1">
                  <c:v>0.25000000000000006</c:v>
                </c:pt>
                <c:pt idx="2">
                  <c:v>0</c:v>
                </c:pt>
                <c:pt idx="3">
                  <c:v>-0.25000000000000006</c:v>
                </c:pt>
                <c:pt idx="4">
                  <c:v>-0.5</c:v>
                </c:pt>
              </c:numCache>
            </c:numRef>
          </c:cat>
          <c:val>
            <c:numRef>
              <c:f>Basic_Fusion_aUSDT!$M$18:$M$22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E49-4C88-9A65-2DD5EA41C3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4075224"/>
        <c:axId val="394071944"/>
      </c:lineChart>
      <c:catAx>
        <c:axId val="394075224"/>
        <c:scaling>
          <c:orientation val="maxMin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FSN Pice Change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071944"/>
        <c:crosses val="autoZero"/>
        <c:auto val="1"/>
        <c:lblAlgn val="ctr"/>
        <c:lblOffset val="100"/>
        <c:noMultiLvlLbl val="0"/>
      </c:catAx>
      <c:valAx>
        <c:axId val="3940719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Gain/Loss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075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0867957130358708"/>
          <c:y val="0.75173447069116361"/>
          <c:w val="0.66354265091863518"/>
          <c:h val="0.218753280839895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Equivalent Fusion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0555555555555555E-2"/>
          <c:y val="5.0925925925925923E-2"/>
          <c:w val="0.87733552055993003"/>
          <c:h val="0.59627296587926504"/>
        </c:manualLayout>
      </c:layout>
      <c:lineChart>
        <c:grouping val="standard"/>
        <c:varyColors val="0"/>
        <c:ser>
          <c:idx val="0"/>
          <c:order val="0"/>
          <c:tx>
            <c:strRef>
              <c:f>Basic_Fusion_aUSDT!$F$17</c:f>
              <c:strCache>
                <c:ptCount val="1"/>
                <c:pt idx="0">
                  <c:v>Pooling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Basic_Fusion_aUSDT!$B$18:$B$22</c:f>
              <c:numCache>
                <c:formatCode>0%</c:formatCode>
                <c:ptCount val="5"/>
                <c:pt idx="0">
                  <c:v>0.49999999999999989</c:v>
                </c:pt>
                <c:pt idx="1">
                  <c:v>0.25000000000000006</c:v>
                </c:pt>
                <c:pt idx="2">
                  <c:v>0</c:v>
                </c:pt>
                <c:pt idx="3">
                  <c:v>-0.25000000000000006</c:v>
                </c:pt>
                <c:pt idx="4">
                  <c:v>-0.5</c:v>
                </c:pt>
              </c:numCache>
            </c:numRef>
          </c:cat>
          <c:val>
            <c:numRef>
              <c:f>Basic_Fusion_aUSDT!$F$18:$F$22</c:f>
              <c:numCache>
                <c:formatCode>0%</c:formatCode>
                <c:ptCount val="5"/>
                <c:pt idx="0">
                  <c:v>-0.18350341907227397</c:v>
                </c:pt>
                <c:pt idx="1">
                  <c:v>-0.10557280900008413</c:v>
                </c:pt>
                <c:pt idx="2">
                  <c:v>0</c:v>
                </c:pt>
                <c:pt idx="3">
                  <c:v>0.1547005383792516</c:v>
                </c:pt>
                <c:pt idx="4">
                  <c:v>0.41421356237309503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57-4B51-B4C2-6A4223F29FC3}"/>
            </c:ext>
          </c:extLst>
        </c:ser>
        <c:ser>
          <c:idx val="1"/>
          <c:order val="1"/>
          <c:tx>
            <c:strRef>
              <c:f>Basic_Fusion_aUSDT!$I$17</c:f>
              <c:strCache>
                <c:ptCount val="1"/>
                <c:pt idx="0">
                  <c:v>Held Fusion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Basic_Fusion_aUSDT!$B$18:$B$22</c:f>
              <c:numCache>
                <c:formatCode>0%</c:formatCode>
                <c:ptCount val="5"/>
                <c:pt idx="0">
                  <c:v>0.49999999999999989</c:v>
                </c:pt>
                <c:pt idx="1">
                  <c:v>0.25000000000000006</c:v>
                </c:pt>
                <c:pt idx="2">
                  <c:v>0</c:v>
                </c:pt>
                <c:pt idx="3">
                  <c:v>-0.25000000000000006</c:v>
                </c:pt>
                <c:pt idx="4">
                  <c:v>-0.5</c:v>
                </c:pt>
              </c:numCache>
            </c:numRef>
          </c:cat>
          <c:val>
            <c:numRef>
              <c:f>Basic_Fusion_aUSDT!$I$18:$I$22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057-4B51-B4C2-6A4223F29FC3}"/>
            </c:ext>
          </c:extLst>
        </c:ser>
        <c:ser>
          <c:idx val="2"/>
          <c:order val="2"/>
          <c:tx>
            <c:strRef>
              <c:f>Basic_Fusion_aUSDT!$L$17</c:f>
              <c:strCache>
                <c:ptCount val="1"/>
                <c:pt idx="0">
                  <c:v>Held USDT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Basic_Fusion_aUSDT!$B$18:$B$22</c:f>
              <c:numCache>
                <c:formatCode>0%</c:formatCode>
                <c:ptCount val="5"/>
                <c:pt idx="0">
                  <c:v>0.49999999999999989</c:v>
                </c:pt>
                <c:pt idx="1">
                  <c:v>0.25000000000000006</c:v>
                </c:pt>
                <c:pt idx="2">
                  <c:v>0</c:v>
                </c:pt>
                <c:pt idx="3">
                  <c:v>-0.25000000000000006</c:v>
                </c:pt>
                <c:pt idx="4">
                  <c:v>-0.5</c:v>
                </c:pt>
              </c:numCache>
            </c:numRef>
          </c:cat>
          <c:val>
            <c:numRef>
              <c:f>Basic_Fusion_aUSDT!$L$18:$L$22</c:f>
              <c:numCache>
                <c:formatCode>0%</c:formatCode>
                <c:ptCount val="5"/>
                <c:pt idx="0">
                  <c:v>-0.33333333333333326</c:v>
                </c:pt>
                <c:pt idx="1">
                  <c:v>-0.20000000000000009</c:v>
                </c:pt>
                <c:pt idx="2">
                  <c:v>0</c:v>
                </c:pt>
                <c:pt idx="3">
                  <c:v>0.33333333333333354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057-4B51-B4C2-6A4223F29F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4075224"/>
        <c:axId val="394071944"/>
      </c:lineChart>
      <c:catAx>
        <c:axId val="394075224"/>
        <c:scaling>
          <c:orientation val="maxMin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FSN Pice Change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071944"/>
        <c:crosses val="autoZero"/>
        <c:auto val="1"/>
        <c:lblAlgn val="ctr"/>
        <c:lblOffset val="100"/>
        <c:noMultiLvlLbl val="0"/>
      </c:catAx>
      <c:valAx>
        <c:axId val="3940719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Gain/Loss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075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0867957130358708"/>
          <c:y val="0.75173447069116361"/>
          <c:w val="0.1689048955837042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Equivalent ANY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0555555555555555E-2"/>
          <c:y val="5.0925925925925923E-2"/>
          <c:w val="0.87733552055993003"/>
          <c:h val="0.59627296587926504"/>
        </c:manualLayout>
      </c:layout>
      <c:lineChart>
        <c:grouping val="standard"/>
        <c:varyColors val="0"/>
        <c:ser>
          <c:idx val="0"/>
          <c:order val="0"/>
          <c:tx>
            <c:strRef>
              <c:f>'Basic_Fusion_ANY(orXXX)'!$E$17</c:f>
              <c:strCache>
                <c:ptCount val="1"/>
                <c:pt idx="0">
                  <c:v>Pooling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'Basic_Fusion_ANY(orXXX)'!$B$18:$B$22</c:f>
              <c:numCache>
                <c:formatCode>0%</c:formatCode>
                <c:ptCount val="5"/>
                <c:pt idx="0">
                  <c:v>0.5</c:v>
                </c:pt>
                <c:pt idx="1">
                  <c:v>0.25</c:v>
                </c:pt>
                <c:pt idx="2">
                  <c:v>0</c:v>
                </c:pt>
                <c:pt idx="3">
                  <c:v>-0.25</c:v>
                </c:pt>
                <c:pt idx="4">
                  <c:v>-0.5</c:v>
                </c:pt>
              </c:numCache>
            </c:numRef>
          </c:cat>
          <c:val>
            <c:numRef>
              <c:f>'Basic_Fusion_ANY(orXXX)'!$E$18:$E$22</c:f>
              <c:numCache>
                <c:formatCode>0%</c:formatCode>
                <c:ptCount val="5"/>
                <c:pt idx="0">
                  <c:v>-0.18350341907227402</c:v>
                </c:pt>
                <c:pt idx="1">
                  <c:v>-0.10557280900008413</c:v>
                </c:pt>
                <c:pt idx="2">
                  <c:v>0</c:v>
                </c:pt>
                <c:pt idx="3">
                  <c:v>0.15470053837925138</c:v>
                </c:pt>
                <c:pt idx="4">
                  <c:v>0.41421356237309509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EB-43E5-8E1E-7FF55A035E15}"/>
            </c:ext>
          </c:extLst>
        </c:ser>
        <c:ser>
          <c:idx val="1"/>
          <c:order val="1"/>
          <c:tx>
            <c:strRef>
              <c:f>'Basic_Fusion_ANY(orXXX)'!$J$17</c:f>
              <c:strCache>
                <c:ptCount val="1"/>
                <c:pt idx="0">
                  <c:v>Held Fusion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'Basic_Fusion_ANY(orXXX)'!$B$18:$B$22</c:f>
              <c:numCache>
                <c:formatCode>0%</c:formatCode>
                <c:ptCount val="5"/>
                <c:pt idx="0">
                  <c:v>0.5</c:v>
                </c:pt>
                <c:pt idx="1">
                  <c:v>0.25</c:v>
                </c:pt>
                <c:pt idx="2">
                  <c:v>0</c:v>
                </c:pt>
                <c:pt idx="3">
                  <c:v>-0.25</c:v>
                </c:pt>
                <c:pt idx="4">
                  <c:v>-0.5</c:v>
                </c:pt>
              </c:numCache>
            </c:numRef>
          </c:cat>
          <c:val>
            <c:numRef>
              <c:f>'Basic_Fusion_ANY(orXXX)'!$J$18:$J$22</c:f>
              <c:numCache>
                <c:formatCode>0%</c:formatCode>
                <c:ptCount val="5"/>
                <c:pt idx="0">
                  <c:v>-0.33333333333333337</c:v>
                </c:pt>
                <c:pt idx="1">
                  <c:v>-0.2</c:v>
                </c:pt>
                <c:pt idx="2">
                  <c:v>0</c:v>
                </c:pt>
                <c:pt idx="3">
                  <c:v>0.33333333333333326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EB-43E5-8E1E-7FF55A035E15}"/>
            </c:ext>
          </c:extLst>
        </c:ser>
        <c:ser>
          <c:idx val="2"/>
          <c:order val="2"/>
          <c:tx>
            <c:strRef>
              <c:f>'Basic_Fusion_ANY(orXXX)'!$M$17</c:f>
              <c:strCache>
                <c:ptCount val="1"/>
                <c:pt idx="0">
                  <c:v>Held ANY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'Basic_Fusion_ANY(orXXX)'!$B$18:$B$22</c:f>
              <c:numCache>
                <c:formatCode>0%</c:formatCode>
                <c:ptCount val="5"/>
                <c:pt idx="0">
                  <c:v>0.5</c:v>
                </c:pt>
                <c:pt idx="1">
                  <c:v>0.25</c:v>
                </c:pt>
                <c:pt idx="2">
                  <c:v>0</c:v>
                </c:pt>
                <c:pt idx="3">
                  <c:v>-0.25</c:v>
                </c:pt>
                <c:pt idx="4">
                  <c:v>-0.5</c:v>
                </c:pt>
              </c:numCache>
            </c:numRef>
          </c:cat>
          <c:val>
            <c:numRef>
              <c:f>'Basic_Fusion_ANY(orXXX)'!$M$18:$M$22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EB-43E5-8E1E-7FF55A035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4075224"/>
        <c:axId val="394071944"/>
      </c:lineChart>
      <c:catAx>
        <c:axId val="394075224"/>
        <c:scaling>
          <c:orientation val="maxMin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ANY:FSN Ratio Change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071944"/>
        <c:crosses val="autoZero"/>
        <c:auto val="1"/>
        <c:lblAlgn val="ctr"/>
        <c:lblOffset val="100"/>
        <c:noMultiLvlLbl val="0"/>
      </c:catAx>
      <c:valAx>
        <c:axId val="3940719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Gain/Loss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075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0867957130358708"/>
          <c:y val="0.75173447069116361"/>
          <c:w val="0.66354265091863518"/>
          <c:h val="0.218753280839895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Equivalent Fusion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0555555555555555E-2"/>
          <c:y val="5.0925925925925923E-2"/>
          <c:w val="0.87733552055993003"/>
          <c:h val="0.59627296587926504"/>
        </c:manualLayout>
      </c:layout>
      <c:lineChart>
        <c:grouping val="standard"/>
        <c:varyColors val="0"/>
        <c:ser>
          <c:idx val="0"/>
          <c:order val="0"/>
          <c:tx>
            <c:strRef>
              <c:f>'Basic_Fusion_ANY(orXXX)'!$F$17</c:f>
              <c:strCache>
                <c:ptCount val="1"/>
                <c:pt idx="0">
                  <c:v>Pooling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'Basic_Fusion_ANY(orXXX)'!$B$18:$B$22</c:f>
              <c:numCache>
                <c:formatCode>0%</c:formatCode>
                <c:ptCount val="5"/>
                <c:pt idx="0">
                  <c:v>0.5</c:v>
                </c:pt>
                <c:pt idx="1">
                  <c:v>0.25</c:v>
                </c:pt>
                <c:pt idx="2">
                  <c:v>0</c:v>
                </c:pt>
                <c:pt idx="3">
                  <c:v>-0.25</c:v>
                </c:pt>
                <c:pt idx="4">
                  <c:v>-0.5</c:v>
                </c:pt>
              </c:numCache>
            </c:numRef>
          </c:cat>
          <c:val>
            <c:numRef>
              <c:f>'Basic_Fusion_ANY(orXXX)'!$F$18:$F$22</c:f>
              <c:numCache>
                <c:formatCode>0%</c:formatCode>
                <c:ptCount val="5"/>
                <c:pt idx="0">
                  <c:v>0.22474487139158897</c:v>
                </c:pt>
                <c:pt idx="1">
                  <c:v>0.11803398874989489</c:v>
                </c:pt>
                <c:pt idx="2">
                  <c:v>0</c:v>
                </c:pt>
                <c:pt idx="3">
                  <c:v>-0.1339745962155614</c:v>
                </c:pt>
                <c:pt idx="4">
                  <c:v>-0.29289321881345243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04-4EE2-9DBE-617F850288A2}"/>
            </c:ext>
          </c:extLst>
        </c:ser>
        <c:ser>
          <c:idx val="1"/>
          <c:order val="1"/>
          <c:tx>
            <c:strRef>
              <c:f>'Basic_Fusion_ANY(orXXX)'!$I$17</c:f>
              <c:strCache>
                <c:ptCount val="1"/>
                <c:pt idx="0">
                  <c:v>Held Fusion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'Basic_Fusion_ANY(orXXX)'!$B$18:$B$22</c:f>
              <c:numCache>
                <c:formatCode>0%</c:formatCode>
                <c:ptCount val="5"/>
                <c:pt idx="0">
                  <c:v>0.5</c:v>
                </c:pt>
                <c:pt idx="1">
                  <c:v>0.25</c:v>
                </c:pt>
                <c:pt idx="2">
                  <c:v>0</c:v>
                </c:pt>
                <c:pt idx="3">
                  <c:v>-0.25</c:v>
                </c:pt>
                <c:pt idx="4">
                  <c:v>-0.5</c:v>
                </c:pt>
              </c:numCache>
            </c:numRef>
          </c:cat>
          <c:val>
            <c:numRef>
              <c:f>'Basic_Fusion_ANY(orXXX)'!$I$18:$I$22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04-4EE2-9DBE-617F850288A2}"/>
            </c:ext>
          </c:extLst>
        </c:ser>
        <c:ser>
          <c:idx val="2"/>
          <c:order val="2"/>
          <c:tx>
            <c:strRef>
              <c:f>'Basic_Fusion_ANY(orXXX)'!$L$17</c:f>
              <c:strCache>
                <c:ptCount val="1"/>
                <c:pt idx="0">
                  <c:v>Held ANY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'Basic_Fusion_ANY(orXXX)'!$B$18:$B$22</c:f>
              <c:numCache>
                <c:formatCode>0%</c:formatCode>
                <c:ptCount val="5"/>
                <c:pt idx="0">
                  <c:v>0.5</c:v>
                </c:pt>
                <c:pt idx="1">
                  <c:v>0.25</c:v>
                </c:pt>
                <c:pt idx="2">
                  <c:v>0</c:v>
                </c:pt>
                <c:pt idx="3">
                  <c:v>-0.25</c:v>
                </c:pt>
                <c:pt idx="4">
                  <c:v>-0.5</c:v>
                </c:pt>
              </c:numCache>
            </c:numRef>
          </c:cat>
          <c:val>
            <c:numRef>
              <c:f>'Basic_Fusion_ANY(orXXX)'!$L$18:$L$22</c:f>
              <c:numCache>
                <c:formatCode>0%</c:formatCode>
                <c:ptCount val="5"/>
                <c:pt idx="0">
                  <c:v>0.5</c:v>
                </c:pt>
                <c:pt idx="1">
                  <c:v>0.25</c:v>
                </c:pt>
                <c:pt idx="2">
                  <c:v>0</c:v>
                </c:pt>
                <c:pt idx="3">
                  <c:v>-0.25</c:v>
                </c:pt>
                <c:pt idx="4">
                  <c:v>-0.5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04-4EE2-9DBE-617F85028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4075224"/>
        <c:axId val="394071944"/>
      </c:lineChart>
      <c:catAx>
        <c:axId val="394075224"/>
        <c:scaling>
          <c:orientation val="maxMin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ANY:FSN Ratio Change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071944"/>
        <c:crosses val="autoZero"/>
        <c:auto val="1"/>
        <c:lblAlgn val="ctr"/>
        <c:lblOffset val="100"/>
        <c:noMultiLvlLbl val="0"/>
      </c:catAx>
      <c:valAx>
        <c:axId val="3940719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Gain/Loss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075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0867957130358708"/>
          <c:y val="0.75173447069116361"/>
          <c:w val="0.1689048955837042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1768929</xdr:colOff>
      <xdr:row>1</xdr:row>
      <xdr:rowOff>54429</xdr:rowOff>
    </xdr:from>
    <xdr:to>
      <xdr:col>10</xdr:col>
      <xdr:colOff>993322</xdr:colOff>
      <xdr:row>6</xdr:row>
      <xdr:rowOff>176893</xdr:rowOff>
    </xdr:to>
    <xdr:sp macro="[0]!_xludf.Copy" textlink="">
      <xdr:nvSpPr>
        <xdr:cNvPr id="2" name="Oval 1">
          <a:extLst>
            <a:ext uri="{FF2B5EF4-FFF2-40B4-BE49-F238E27FC236}">
              <a16:creationId xmlns:a16="http://schemas.microsoft.com/office/drawing/2014/main" id="{C0163486-7C51-410F-87E4-5C8119EBE3FB}"/>
            </a:ext>
          </a:extLst>
        </xdr:cNvPr>
        <xdr:cNvSpPr/>
      </xdr:nvSpPr>
      <xdr:spPr>
        <a:xfrm>
          <a:off x="12573000" y="244929"/>
          <a:ext cx="4068536" cy="1074964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800"/>
            <a:t>Copy Data From Impermanent Loss Tab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964312</xdr:colOff>
      <xdr:row>5</xdr:row>
      <xdr:rowOff>36800</xdr:rowOff>
    </xdr:from>
    <xdr:to>
      <xdr:col>48</xdr:col>
      <xdr:colOff>408832</xdr:colOff>
      <xdr:row>55</xdr:row>
      <xdr:rowOff>138546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C2E850E-4726-478C-9484-2BE56135FF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66240</xdr:colOff>
      <xdr:row>8</xdr:row>
      <xdr:rowOff>132050</xdr:rowOff>
    </xdr:from>
    <xdr:to>
      <xdr:col>51</xdr:col>
      <xdr:colOff>82260</xdr:colOff>
      <xdr:row>59</xdr:row>
      <xdr:rowOff>43296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D733EDF-2505-42D3-AF96-C51E33EB6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38</xdr:row>
      <xdr:rowOff>90487</xdr:rowOff>
    </xdr:from>
    <xdr:to>
      <xdr:col>3</xdr:col>
      <xdr:colOff>666750</xdr:colOff>
      <xdr:row>52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2E506A-4212-47E8-A656-332DF35EE4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1209675</xdr:colOff>
      <xdr:row>38</xdr:row>
      <xdr:rowOff>85725</xdr:rowOff>
    </xdr:from>
    <xdr:to>
      <xdr:col>6</xdr:col>
      <xdr:colOff>1924050</xdr:colOff>
      <xdr:row>52</xdr:row>
      <xdr:rowOff>161925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9B45EC4-63C5-4783-AC1E-4CE1089C4C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265018</xdr:colOff>
      <xdr:row>40</xdr:row>
      <xdr:rowOff>34457</xdr:rowOff>
    </xdr:from>
    <xdr:to>
      <xdr:col>3</xdr:col>
      <xdr:colOff>846043</xdr:colOff>
      <xdr:row>54</xdr:row>
      <xdr:rowOff>110657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42C1AE4-37BD-45D9-96CF-D44FBEC9EF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1176057</xdr:colOff>
      <xdr:row>39</xdr:row>
      <xdr:rowOff>186578</xdr:rowOff>
    </xdr:from>
    <xdr:to>
      <xdr:col>6</xdr:col>
      <xdr:colOff>1890432</xdr:colOff>
      <xdr:row>54</xdr:row>
      <xdr:rowOff>72278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CC487C0-54A2-4469-A46F-821490DC53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946F-403A-4C91-9373-1B96539670F5}">
  <sheetPr codeName="Sheet3"/>
  <dimension ref="A1:S100"/>
  <sheetViews>
    <sheetView tabSelected="1" topLeftCell="C1" zoomScaleNormal="100" workbookViewId="0">
      <selection activeCell="L5" sqref="L5"/>
    </sheetView>
  </sheetViews>
  <sheetFormatPr defaultRowHeight="15"/>
  <cols>
    <col min="1" max="1" width="21.42578125" hidden="1" customWidth="1"/>
    <col min="2" max="2" width="10.7109375" hidden="1" customWidth="1"/>
    <col min="3" max="3" width="23.42578125" customWidth="1"/>
    <col min="4" max="4" width="10.85546875" customWidth="1"/>
    <col min="5" max="5" width="27" hidden="1" customWidth="1"/>
    <col min="6" max="6" width="15.7109375" hidden="1" customWidth="1"/>
    <col min="7" max="7" width="16.28515625" hidden="1" customWidth="1"/>
    <col min="8" max="8" width="16.7109375" hidden="1" customWidth="1"/>
    <col min="9" max="9" width="26.140625" hidden="1" customWidth="1"/>
    <col min="10" max="11" width="26.140625" customWidth="1"/>
    <col min="12" max="12" width="23" bestFit="1" customWidth="1"/>
    <col min="13" max="13" width="26.140625" customWidth="1"/>
    <col min="14" max="14" width="9.140625" customWidth="1"/>
    <col min="15" max="15" width="18.42578125" hidden="1" customWidth="1"/>
    <col min="16" max="16" width="35.28515625" hidden="1" customWidth="1"/>
    <col min="17" max="17" width="15.5703125" hidden="1" customWidth="1"/>
    <col min="18" max="18" width="11.28515625" hidden="1" customWidth="1"/>
    <col min="19" max="19" width="9.140625" hidden="1" customWidth="1"/>
  </cols>
  <sheetData>
    <row r="1" spans="1:19">
      <c r="D1" s="40" t="s">
        <v>114</v>
      </c>
      <c r="J1" s="53" t="s">
        <v>135</v>
      </c>
    </row>
    <row r="2" spans="1:19">
      <c r="C2" s="46" t="s">
        <v>95</v>
      </c>
      <c r="D2" s="56">
        <v>3.0000000000000001E-3</v>
      </c>
    </row>
    <row r="3" spans="1:19">
      <c r="C3" s="46" t="s">
        <v>100</v>
      </c>
      <c r="D3" s="40">
        <v>16500</v>
      </c>
      <c r="E3" s="54" t="s">
        <v>113</v>
      </c>
    </row>
    <row r="4" spans="1:19">
      <c r="C4" s="46" t="s">
        <v>96</v>
      </c>
      <c r="D4" s="61">
        <f>G13/H13</f>
        <v>2.4460031401693474</v>
      </c>
    </row>
    <row r="5" spans="1:19">
      <c r="C5" s="80" t="s">
        <v>109</v>
      </c>
      <c r="D5" s="72">
        <f>H11/G11</f>
        <v>0.38126952444377737</v>
      </c>
      <c r="E5" s="54" t="s">
        <v>110</v>
      </c>
    </row>
    <row r="6" spans="1:19">
      <c r="C6" s="70" t="s">
        <v>115</v>
      </c>
      <c r="D6" s="69">
        <f>SUM($G$11:$G$100)</f>
        <v>7045539.3871999998</v>
      </c>
      <c r="F6" s="59"/>
    </row>
    <row r="7" spans="1:19">
      <c r="C7" s="70" t="s">
        <v>116</v>
      </c>
      <c r="D7" s="87">
        <f>1/SUMPRODUCT($G$11:$G$100,$B$11:$B$100)*DAILYANY</f>
        <v>1.302189511585838E-3</v>
      </c>
      <c r="E7" s="60"/>
      <c r="O7" s="3"/>
      <c r="P7" s="3"/>
      <c r="Q7" s="3"/>
    </row>
    <row r="8" spans="1:19">
      <c r="C8" s="70" t="s">
        <v>121</v>
      </c>
      <c r="D8" s="57">
        <f>SUM($L$11:$L$100)</f>
        <v>10032840</v>
      </c>
      <c r="E8" s="60"/>
      <c r="G8" s="54" t="s">
        <v>133</v>
      </c>
      <c r="O8" s="3"/>
      <c r="P8" s="3"/>
      <c r="Q8" s="3"/>
    </row>
    <row r="9" spans="1:19">
      <c r="G9" s="40" t="s">
        <v>13</v>
      </c>
      <c r="H9" s="40" t="s">
        <v>91</v>
      </c>
      <c r="J9" s="40" t="s">
        <v>13</v>
      </c>
      <c r="K9" s="40" t="s">
        <v>91</v>
      </c>
    </row>
    <row r="10" spans="1:19">
      <c r="B10" s="40" t="s">
        <v>86</v>
      </c>
      <c r="C10" s="40" t="s">
        <v>82</v>
      </c>
      <c r="D10" s="40" t="s">
        <v>83</v>
      </c>
      <c r="E10" s="40" t="s">
        <v>105</v>
      </c>
      <c r="F10" s="40" t="s">
        <v>92</v>
      </c>
      <c r="G10" s="40" t="s">
        <v>84</v>
      </c>
      <c r="H10" s="40" t="s">
        <v>85</v>
      </c>
      <c r="I10" s="40" t="s">
        <v>88</v>
      </c>
      <c r="J10" s="40" t="s">
        <v>131</v>
      </c>
      <c r="K10" s="40" t="s">
        <v>132</v>
      </c>
      <c r="L10" s="46" t="s">
        <v>89</v>
      </c>
      <c r="M10" s="70" t="s">
        <v>189</v>
      </c>
      <c r="O10" s="40" t="s">
        <v>118</v>
      </c>
      <c r="P10" s="40" t="s">
        <v>173</v>
      </c>
      <c r="Q10" s="40" t="s">
        <v>119</v>
      </c>
      <c r="R10" s="70" t="s">
        <v>125</v>
      </c>
      <c r="S10" s="40" t="s">
        <v>99</v>
      </c>
    </row>
    <row r="11" spans="1:19">
      <c r="A11" t="str">
        <f>C11&amp;"-"&amp;D11</f>
        <v>FSN-aUSDT</v>
      </c>
      <c r="B11" s="40">
        <f>IF(OR(C11="ANY",D11="ANY"),2,1)</f>
        <v>1</v>
      </c>
      <c r="C11" s="40" t="s">
        <v>13</v>
      </c>
      <c r="D11" s="40" t="s">
        <v>81</v>
      </c>
      <c r="E11" s="42">
        <f t="shared" ref="E11:E42" si="0">B11*G11/SUMPRODUCT($G$11:$G$100,$B$11:$B$100)</f>
        <v>6.0179483881045062E-2</v>
      </c>
      <c r="F11" s="62">
        <f>IFERROR(J11/K11,0)</f>
        <v>2.6228165008962359</v>
      </c>
      <c r="G11" s="103">
        <f>IFERROR(IF(VLOOKUP($A11,'Your Pooling'!$A$12:$K$30,MATCH("Already In Pool?",'Your Pooling'!$A$12:$K$12,0),0)="Y",0,VLOOKUP($A11,'Your Pooling'!$A$12:$K$30,MATCH("Your FSN Pooled",'Your Pooling'!$A$12:$K$12,0),))+J11,J11)</f>
        <v>762532.23912699998</v>
      </c>
      <c r="H11" s="103">
        <f>IFERROR(IF(VLOOKUP($A11,'Your Pooling'!$A$12:$K$30,MATCH("Already In Pool?",'Your Pooling'!$A$12:$K$12,0),0)="Y",0,VLOOKUP($A11,'Your Pooling'!$A$12:$K$30,MATCH("Your XXX Pooled",'Your Pooling'!$A$12:$K$12,0),))+K11,K11)</f>
        <v>290730.30418500002</v>
      </c>
      <c r="I11" s="69">
        <f>G11*H11</f>
        <v>221691229832.26187</v>
      </c>
      <c r="J11" s="141">
        <v>762532.23912699998</v>
      </c>
      <c r="K11" s="140">
        <v>290730.30418500002</v>
      </c>
      <c r="L11" s="140">
        <v>4000000</v>
      </c>
      <c r="M11" s="40">
        <v>1</v>
      </c>
      <c r="O11" s="57">
        <f>E11*DAILYANY</f>
        <v>992.96148403724351</v>
      </c>
      <c r="P11" s="40">
        <f t="shared" ref="P11:P42" si="1">L11*FEEREWARDS</f>
        <v>12000</v>
      </c>
      <c r="Q11" s="57">
        <f t="shared" ref="Q11:Q32" si="2">P11*FSNPRICE+O11*ANYFSN*FSNPRICE</f>
        <v>5501.256722722268</v>
      </c>
      <c r="R11" s="58">
        <f t="shared" ref="R11:R42" si="3">IFERROR((Q11/FSNPRICE)/(2*G11),0)</f>
        <v>9.4610995887474819E-3</v>
      </c>
      <c r="S11" s="42">
        <f>R11*365</f>
        <v>3.4533013498928309</v>
      </c>
    </row>
    <row r="12" spans="1:19">
      <c r="A12" t="str">
        <f>C12&amp;"-"&amp;D12</f>
        <v>FSN-aETH</v>
      </c>
      <c r="B12" s="40">
        <f>IF(OR(C12="ANY",D12="ANY"),2,1)</f>
        <v>1</v>
      </c>
      <c r="C12" s="40" t="s">
        <v>13</v>
      </c>
      <c r="D12" s="40" t="s">
        <v>87</v>
      </c>
      <c r="E12" s="42">
        <f t="shared" si="0"/>
        <v>1.9218768568759644E-2</v>
      </c>
      <c r="F12" s="62">
        <f t="shared" ref="F12:F32" si="4">IFERROR(J12/K12,0)</f>
        <v>949.53303108242358</v>
      </c>
      <c r="G12" s="103">
        <f>IFERROR(IF(VLOOKUP($A12,'Your Pooling'!$A$12:$K$30,MATCH("Already In Pool?",'Your Pooling'!$A$12:$K$12,0),0)="Y",0,VLOOKUP($A12,'Your Pooling'!$A$12:$K$30,MATCH("Your FSN Pooled",'Your Pooling'!$A$12:$K$12,0),))+J12,J12)</f>
        <v>243520.37745900001</v>
      </c>
      <c r="H12" s="103">
        <f>IFERROR(IF(VLOOKUP($A12,'Your Pooling'!$A$12:$K$30,MATCH("Already In Pool?",'Your Pooling'!$A$12:$K$12,0),0)="Y",0,VLOOKUP($A12,'Your Pooling'!$A$12:$K$30,MATCH("Your XXX Pooled",'Your Pooling'!$A$12:$K$12,0),))+K12,K12)</f>
        <v>256.463303</v>
      </c>
      <c r="I12" s="69">
        <f>G12*H12</f>
        <v>62454040.350941889</v>
      </c>
      <c r="J12" s="141">
        <v>243520.37745900001</v>
      </c>
      <c r="K12" s="140">
        <v>256.463303</v>
      </c>
      <c r="L12" s="140">
        <v>772840</v>
      </c>
      <c r="M12" s="40">
        <v>1</v>
      </c>
      <c r="O12" s="57">
        <f>E12*DAILYANY</f>
        <v>317.10968138453416</v>
      </c>
      <c r="P12" s="40">
        <f t="shared" si="1"/>
        <v>2318.52</v>
      </c>
      <c r="Q12" s="57">
        <f t="shared" si="2"/>
        <v>1179.7132111176556</v>
      </c>
      <c r="R12" s="58">
        <f t="shared" si="3"/>
        <v>6.3530027932993368E-3</v>
      </c>
      <c r="S12" s="42">
        <f t="shared" ref="S12:S32" si="5">R12*365</f>
        <v>2.318846019554258</v>
      </c>
    </row>
    <row r="13" spans="1:19">
      <c r="A13" t="str">
        <f>C13&amp;"-"&amp;D13</f>
        <v>FSN-ANY</v>
      </c>
      <c r="B13" s="40">
        <f>IF(OR(C13="ANY",D13="ANY"),2,1)</f>
        <v>2</v>
      </c>
      <c r="C13" s="40" t="s">
        <v>13</v>
      </c>
      <c r="D13" s="40" t="s">
        <v>57</v>
      </c>
      <c r="E13" s="42">
        <f t="shared" si="0"/>
        <v>0.88792394018463638</v>
      </c>
      <c r="F13" s="62">
        <f t="shared" si="4"/>
        <v>2.4460031401693474</v>
      </c>
      <c r="G13" s="103">
        <f>IFERROR(IF(VLOOKUP($A13,'Your Pooling'!$A$12:$K$30,MATCH("Already In Pool?",'Your Pooling'!$A$12:$K$12,0),0)="Y",0,VLOOKUP($A13,'Your Pooling'!$A$12:$K$30,MATCH("Your FSN Pooled",'Your Pooling'!$A$12:$K$12,0),))+J13,J13)</f>
        <v>5625427.3601099998</v>
      </c>
      <c r="H13" s="103">
        <f>IFERROR(IF(VLOOKUP($A13,'Your Pooling'!$A$12:$K$30,MATCH("Already In Pool?",'Your Pooling'!$A$12:$K$12,0),0)="Y",0,VLOOKUP($A13,'Your Pooling'!$A$12:$K$30,MATCH("Your XXX Pooled",'Your Pooling'!$A$12:$K$12,0),))+K13,K13)</f>
        <v>2299844.7008210002</v>
      </c>
      <c r="I13" s="69">
        <f>G13*H13</f>
        <v>12937609304002.451</v>
      </c>
      <c r="J13" s="141">
        <v>5625427.3601099998</v>
      </c>
      <c r="K13" s="140">
        <v>2299844.7008210002</v>
      </c>
      <c r="L13" s="140">
        <v>5260000</v>
      </c>
      <c r="M13" s="40">
        <v>1</v>
      </c>
      <c r="O13" s="57">
        <f>E13*DAILYANY</f>
        <v>14650.7450130465</v>
      </c>
      <c r="P13" s="40">
        <f t="shared" si="1"/>
        <v>15780</v>
      </c>
      <c r="Q13" s="57">
        <f t="shared" si="2"/>
        <v>19679.51943648923</v>
      </c>
      <c r="R13" s="58">
        <f t="shared" si="3"/>
        <v>4.5877197414138189E-3</v>
      </c>
      <c r="S13" s="42">
        <f t="shared" si="5"/>
        <v>1.6745177056160439</v>
      </c>
    </row>
    <row r="14" spans="1:19">
      <c r="A14" t="str">
        <f t="shared" ref="A14:A77" si="6">C14&amp;"-"&amp;D14</f>
        <v>FSN-UNI</v>
      </c>
      <c r="B14" s="40">
        <f t="shared" ref="B14:B32" si="7">IF(OR(C14="ANY",D14="ANY"),2,1)</f>
        <v>1</v>
      </c>
      <c r="C14" s="40" t="s">
        <v>13</v>
      </c>
      <c r="D14" s="40" t="s">
        <v>178</v>
      </c>
      <c r="E14" s="42">
        <f t="shared" si="0"/>
        <v>1.6265234034629089E-3</v>
      </c>
      <c r="F14" s="62">
        <f t="shared" si="4"/>
        <v>10.557417838073079</v>
      </c>
      <c r="G14" s="103">
        <f>IFERROR(IF(VLOOKUP($A14,'Your Pooling'!$A$12:$K$30,MATCH("Already In Pool?",'Your Pooling'!$A$12:$K$12,0),0)="Y",0,VLOOKUP($A14,'Your Pooling'!$A$12:$K$30,MATCH("Your FSN Pooled",'Your Pooling'!$A$12:$K$12,0),))+J14,J14)</f>
        <v>20609.623959</v>
      </c>
      <c r="H14" s="103">
        <f>IFERROR(IF(VLOOKUP($A14,'Your Pooling'!$A$12:$K$30,MATCH("Already In Pool?",'Your Pooling'!$A$12:$K$12,0),0)="Y",0,VLOOKUP($A14,'Your Pooling'!$A$12:$K$30,MATCH("Your XXX Pooled",'Your Pooling'!$A$12:$K$12,0),))+K14,K14)</f>
        <v>1952.1462799999999</v>
      </c>
      <c r="I14" s="69">
        <f t="shared" ref="I14:I32" si="8">G14*H14</f>
        <v>40233000.74376072</v>
      </c>
      <c r="J14" s="141">
        <v>20609.623959</v>
      </c>
      <c r="K14" s="140">
        <v>1952.1462799999999</v>
      </c>
      <c r="L14" s="142"/>
      <c r="M14" s="40">
        <v>1</v>
      </c>
      <c r="O14" s="57">
        <f>E14*DAILYANY</f>
        <v>26.837636157137997</v>
      </c>
      <c r="P14" s="40">
        <f t="shared" si="1"/>
        <v>0</v>
      </c>
      <c r="Q14" s="57">
        <f t="shared" si="2"/>
        <v>25.028415938610497</v>
      </c>
      <c r="R14" s="58">
        <f t="shared" si="3"/>
        <v>1.5925798172172745E-3</v>
      </c>
      <c r="S14" s="42">
        <f t="shared" si="5"/>
        <v>0.58129163328430522</v>
      </c>
    </row>
    <row r="15" spans="1:19">
      <c r="A15" t="str">
        <f t="shared" si="6"/>
        <v>FSN-aBTC</v>
      </c>
      <c r="B15" s="40">
        <f t="shared" si="7"/>
        <v>1</v>
      </c>
      <c r="C15" s="40" t="s">
        <v>13</v>
      </c>
      <c r="D15" s="40" t="s">
        <v>188</v>
      </c>
      <c r="E15" s="42">
        <f t="shared" si="0"/>
        <v>3.1051283962096107E-2</v>
      </c>
      <c r="F15" s="62">
        <f t="shared" si="4"/>
        <v>28396.933010122724</v>
      </c>
      <c r="G15" s="103">
        <f>IFERROR(IF(VLOOKUP($A15,'Your Pooling'!$A$12:$K$30,MATCH("Already In Pool?",'Your Pooling'!$A$12:$K$12,0),0)="Y",0,VLOOKUP($A15,'Your Pooling'!$A$12:$K$30,MATCH("Your FSN Pooled",'Your Pooling'!$A$12:$K$12,0),))+J15,J15)</f>
        <v>393449.78654499998</v>
      </c>
      <c r="H15" s="103">
        <f>IFERROR(IF(VLOOKUP($A15,'Your Pooling'!$A$12:$K$30,MATCH("Already In Pool?",'Your Pooling'!$A$12:$K$12,0),0)="Y",0,VLOOKUP($A15,'Your Pooling'!$A$12:$K$30,MATCH("Your XXX Pooled",'Your Pooling'!$A$12:$K$12,0),))+K15,K15)</f>
        <v>13.855362</v>
      </c>
      <c r="I15" s="69">
        <f t="shared" si="8"/>
        <v>5451389.221403704</v>
      </c>
      <c r="J15" s="141">
        <v>393449.78654499998</v>
      </c>
      <c r="K15" s="140">
        <v>13.855362</v>
      </c>
      <c r="L15" s="142"/>
      <c r="M15" s="40">
        <v>3</v>
      </c>
      <c r="O15" s="57">
        <f>E15*DAILYANY*M15</f>
        <v>1537.0385561237572</v>
      </c>
      <c r="P15" s="40">
        <f t="shared" si="1"/>
        <v>0</v>
      </c>
      <c r="Q15" s="57">
        <f t="shared" si="2"/>
        <v>1433.421336778759</v>
      </c>
      <c r="R15" s="58">
        <f t="shared" si="3"/>
        <v>4.7777394516518223E-3</v>
      </c>
      <c r="S15" s="42">
        <f t="shared" si="5"/>
        <v>1.7438748998529152</v>
      </c>
    </row>
    <row r="16" spans="1:19">
      <c r="A16" t="str">
        <f t="shared" si="6"/>
        <v>-</v>
      </c>
      <c r="B16" s="40">
        <f t="shared" si="7"/>
        <v>1</v>
      </c>
      <c r="C16" s="40"/>
      <c r="D16" s="40"/>
      <c r="E16" s="42">
        <f t="shared" si="0"/>
        <v>0</v>
      </c>
      <c r="F16" s="62">
        <f t="shared" si="4"/>
        <v>0</v>
      </c>
      <c r="G16" s="103">
        <f>IFERROR(IF(VLOOKUP($A16,'Your Pooling'!$A$12:$K$30,MATCH("Already In Pool?",'Your Pooling'!$A$12:$K$12,0),0)="Y",0,VLOOKUP($A16,'Your Pooling'!$A$12:$K$30,MATCH("Your FSN Pooled",'Your Pooling'!$A$12:$K$12,0),))+J16,J16)</f>
        <v>0</v>
      </c>
      <c r="H16" s="103">
        <f>IFERROR(IF(VLOOKUP($A16,'Your Pooling'!$A$12:$K$30,MATCH("Already In Pool?",'Your Pooling'!$A$12:$K$12,0),0)="Y",0,VLOOKUP($A16,'Your Pooling'!$A$12:$K$30,MATCH("Your XXX Pooled",'Your Pooling'!$A$12:$K$12,0),))+K16,K16)</f>
        <v>0</v>
      </c>
      <c r="I16" s="69">
        <f t="shared" si="8"/>
        <v>0</v>
      </c>
      <c r="J16" s="136"/>
      <c r="K16" s="136"/>
      <c r="L16" s="75"/>
      <c r="M16" s="75"/>
      <c r="O16" s="57">
        <f t="shared" ref="O16:O47" si="9">E16*DAILYANY</f>
        <v>0</v>
      </c>
      <c r="P16" s="40">
        <f t="shared" si="1"/>
        <v>0</v>
      </c>
      <c r="Q16" s="57">
        <f t="shared" si="2"/>
        <v>0</v>
      </c>
      <c r="R16" s="58">
        <f t="shared" si="3"/>
        <v>0</v>
      </c>
      <c r="S16" s="42">
        <f t="shared" si="5"/>
        <v>0</v>
      </c>
    </row>
    <row r="17" spans="1:19">
      <c r="A17" t="str">
        <f t="shared" si="6"/>
        <v>-</v>
      </c>
      <c r="B17" s="40">
        <f t="shared" si="7"/>
        <v>1</v>
      </c>
      <c r="C17" s="40"/>
      <c r="D17" s="40"/>
      <c r="E17" s="42">
        <f t="shared" si="0"/>
        <v>0</v>
      </c>
      <c r="F17" s="62">
        <f t="shared" si="4"/>
        <v>0</v>
      </c>
      <c r="G17" s="103">
        <f>IFERROR(IF(VLOOKUP($A17,'Your Pooling'!$A$12:$K$30,MATCH("Already In Pool?",'Your Pooling'!$A$12:$K$12,0),0)="Y",0,VLOOKUP($A17,'Your Pooling'!$A$12:$K$30,MATCH("Your FSN Pooled",'Your Pooling'!$A$12:$K$12,0),))+J17,J17)</f>
        <v>0</v>
      </c>
      <c r="H17" s="103">
        <f>IFERROR(IF(VLOOKUP($A17,'Your Pooling'!$A$12:$K$30,MATCH("Already In Pool?",'Your Pooling'!$A$12:$K$12,0),0)="Y",0,VLOOKUP($A17,'Your Pooling'!$A$12:$K$30,MATCH("Your XXX Pooled",'Your Pooling'!$A$12:$K$12,0),))+K17,K17)</f>
        <v>0</v>
      </c>
      <c r="I17" s="69">
        <f t="shared" si="8"/>
        <v>0</v>
      </c>
      <c r="J17" s="136"/>
      <c r="K17" s="136"/>
      <c r="L17" s="75"/>
      <c r="M17" s="75"/>
      <c r="O17" s="57">
        <f t="shared" si="9"/>
        <v>0</v>
      </c>
      <c r="P17" s="40">
        <f t="shared" si="1"/>
        <v>0</v>
      </c>
      <c r="Q17" s="57">
        <f t="shared" si="2"/>
        <v>0</v>
      </c>
      <c r="R17" s="58">
        <f t="shared" si="3"/>
        <v>0</v>
      </c>
      <c r="S17" s="42">
        <f t="shared" si="5"/>
        <v>0</v>
      </c>
    </row>
    <row r="18" spans="1:19">
      <c r="A18" t="str">
        <f t="shared" si="6"/>
        <v>-</v>
      </c>
      <c r="B18" s="40">
        <f t="shared" si="7"/>
        <v>1</v>
      </c>
      <c r="C18" s="40"/>
      <c r="D18" s="40"/>
      <c r="E18" s="42">
        <f t="shared" si="0"/>
        <v>0</v>
      </c>
      <c r="F18" s="62">
        <f t="shared" si="4"/>
        <v>0</v>
      </c>
      <c r="G18" s="103">
        <f>IFERROR(IF(VLOOKUP($A18,'Your Pooling'!$A$12:$K$30,MATCH("Already In Pool?",'Your Pooling'!$A$12:$K$12,0),0)="Y",0,VLOOKUP($A18,'Your Pooling'!$A$12:$K$30,MATCH("Your FSN Pooled",'Your Pooling'!$A$12:$K$12,0),))+J18,J18)</f>
        <v>0</v>
      </c>
      <c r="H18" s="103">
        <f>IFERROR(IF(VLOOKUP($A18,'Your Pooling'!$A$12:$K$30,MATCH("Already In Pool?",'Your Pooling'!$A$12:$K$12,0),0)="Y",0,VLOOKUP($A18,'Your Pooling'!$A$12:$K$30,MATCH("Your XXX Pooled",'Your Pooling'!$A$12:$K$12,0),))+K18,K18)</f>
        <v>0</v>
      </c>
      <c r="I18" s="69">
        <f t="shared" si="8"/>
        <v>0</v>
      </c>
      <c r="J18" s="136"/>
      <c r="K18" s="136"/>
      <c r="L18" s="75"/>
      <c r="M18" s="75"/>
      <c r="O18" s="57">
        <f t="shared" si="9"/>
        <v>0</v>
      </c>
      <c r="P18" s="40">
        <f t="shared" si="1"/>
        <v>0</v>
      </c>
      <c r="Q18" s="57">
        <f t="shared" si="2"/>
        <v>0</v>
      </c>
      <c r="R18" s="58">
        <f t="shared" si="3"/>
        <v>0</v>
      </c>
      <c r="S18" s="42">
        <f t="shared" si="5"/>
        <v>0</v>
      </c>
    </row>
    <row r="19" spans="1:19">
      <c r="A19" t="str">
        <f t="shared" si="6"/>
        <v>-</v>
      </c>
      <c r="B19" s="40">
        <f t="shared" si="7"/>
        <v>1</v>
      </c>
      <c r="C19" s="40"/>
      <c r="D19" s="40"/>
      <c r="E19" s="42">
        <f t="shared" si="0"/>
        <v>0</v>
      </c>
      <c r="F19" s="62">
        <f t="shared" si="4"/>
        <v>0</v>
      </c>
      <c r="G19" s="103">
        <f>IFERROR(IF(VLOOKUP($A19,'Your Pooling'!$A$12:$K$30,MATCH("Already In Pool?",'Your Pooling'!$A$12:$K$12,0),0)="Y",0,VLOOKUP($A19,'Your Pooling'!$A$12:$K$30,MATCH("Your FSN Pooled",'Your Pooling'!$A$12:$K$12,0),))+J19,J19)</f>
        <v>0</v>
      </c>
      <c r="H19" s="103">
        <f>IFERROR(IF(VLOOKUP($A19,'Your Pooling'!$A$12:$K$30,MATCH("Already In Pool?",'Your Pooling'!$A$12:$K$12,0),0)="Y",0,VLOOKUP($A19,'Your Pooling'!$A$12:$K$30,MATCH("Your XXX Pooled",'Your Pooling'!$A$12:$K$12,0),))+K19,K19)</f>
        <v>0</v>
      </c>
      <c r="I19" s="69">
        <f t="shared" si="8"/>
        <v>0</v>
      </c>
      <c r="J19" s="136"/>
      <c r="K19" s="136"/>
      <c r="L19" s="75"/>
      <c r="M19" s="75"/>
      <c r="O19" s="57">
        <f t="shared" si="9"/>
        <v>0</v>
      </c>
      <c r="P19" s="40">
        <f t="shared" si="1"/>
        <v>0</v>
      </c>
      <c r="Q19" s="57">
        <f t="shared" si="2"/>
        <v>0</v>
      </c>
      <c r="R19" s="58">
        <f t="shared" si="3"/>
        <v>0</v>
      </c>
      <c r="S19" s="42">
        <f t="shared" si="5"/>
        <v>0</v>
      </c>
    </row>
    <row r="20" spans="1:19">
      <c r="A20" t="str">
        <f t="shared" si="6"/>
        <v>-</v>
      </c>
      <c r="B20" s="40">
        <f t="shared" si="7"/>
        <v>1</v>
      </c>
      <c r="C20" s="40"/>
      <c r="D20" s="40"/>
      <c r="E20" s="42">
        <f t="shared" si="0"/>
        <v>0</v>
      </c>
      <c r="F20" s="62">
        <f t="shared" si="4"/>
        <v>0</v>
      </c>
      <c r="G20" s="103">
        <f>IFERROR(IF(VLOOKUP($A20,'Your Pooling'!$A$12:$K$30,MATCH("Already In Pool?",'Your Pooling'!$A$12:$K$12,0),0)="Y",0,VLOOKUP($A20,'Your Pooling'!$A$12:$K$30,MATCH("Your FSN Pooled",'Your Pooling'!$A$12:$K$12,0),))+J20,J20)</f>
        <v>0</v>
      </c>
      <c r="H20" s="103">
        <f>IFERROR(IF(VLOOKUP($A20,'Your Pooling'!$A$12:$K$30,MATCH("Already In Pool?",'Your Pooling'!$A$12:$K$12,0),0)="Y",0,VLOOKUP($A20,'Your Pooling'!$A$12:$K$30,MATCH("Your XXX Pooled",'Your Pooling'!$A$12:$K$12,0),))+K20,K20)</f>
        <v>0</v>
      </c>
      <c r="I20" s="69">
        <f t="shared" si="8"/>
        <v>0</v>
      </c>
      <c r="J20" s="136"/>
      <c r="K20" s="136"/>
      <c r="L20" s="75"/>
      <c r="M20" s="75"/>
      <c r="O20" s="57">
        <f t="shared" si="9"/>
        <v>0</v>
      </c>
      <c r="P20" s="40">
        <f t="shared" si="1"/>
        <v>0</v>
      </c>
      <c r="Q20" s="57">
        <f t="shared" si="2"/>
        <v>0</v>
      </c>
      <c r="R20" s="58">
        <f t="shared" si="3"/>
        <v>0</v>
      </c>
      <c r="S20" s="42">
        <f t="shared" si="5"/>
        <v>0</v>
      </c>
    </row>
    <row r="21" spans="1:19">
      <c r="A21" t="str">
        <f t="shared" si="6"/>
        <v>-</v>
      </c>
      <c r="B21" s="40">
        <f t="shared" si="7"/>
        <v>1</v>
      </c>
      <c r="C21" s="40"/>
      <c r="D21" s="40"/>
      <c r="E21" s="42">
        <f t="shared" si="0"/>
        <v>0</v>
      </c>
      <c r="F21" s="62">
        <f t="shared" si="4"/>
        <v>0</v>
      </c>
      <c r="G21" s="103">
        <f>IFERROR(IF(VLOOKUP($A21,'Your Pooling'!$A$12:$K$30,MATCH("Already In Pool?",'Your Pooling'!$A$12:$K$12,0),0)="Y",0,VLOOKUP($A21,'Your Pooling'!$A$12:$K$30,MATCH("Your FSN Pooled",'Your Pooling'!$A$12:$K$12,0),))+J21,J21)</f>
        <v>0</v>
      </c>
      <c r="H21" s="103">
        <f>IFERROR(IF(VLOOKUP($A21,'Your Pooling'!$A$12:$K$30,MATCH("Already In Pool?",'Your Pooling'!$A$12:$K$12,0),0)="Y",0,VLOOKUP($A21,'Your Pooling'!$A$12:$K$30,MATCH("Your XXX Pooled",'Your Pooling'!$A$12:$K$12,0),))+K21,K21)</f>
        <v>0</v>
      </c>
      <c r="I21" s="69">
        <f t="shared" si="8"/>
        <v>0</v>
      </c>
      <c r="J21" s="136"/>
      <c r="K21" s="136"/>
      <c r="L21" s="75"/>
      <c r="M21" s="75"/>
      <c r="O21" s="57">
        <f t="shared" si="9"/>
        <v>0</v>
      </c>
      <c r="P21" s="40">
        <f t="shared" si="1"/>
        <v>0</v>
      </c>
      <c r="Q21" s="57">
        <f t="shared" si="2"/>
        <v>0</v>
      </c>
      <c r="R21" s="58">
        <f t="shared" si="3"/>
        <v>0</v>
      </c>
      <c r="S21" s="42">
        <f t="shared" si="5"/>
        <v>0</v>
      </c>
    </row>
    <row r="22" spans="1:19">
      <c r="A22" t="str">
        <f t="shared" si="6"/>
        <v>-</v>
      </c>
      <c r="B22" s="40">
        <f t="shared" si="7"/>
        <v>1</v>
      </c>
      <c r="C22" s="40"/>
      <c r="D22" s="40"/>
      <c r="E22" s="42">
        <f t="shared" si="0"/>
        <v>0</v>
      </c>
      <c r="F22" s="62">
        <f t="shared" si="4"/>
        <v>0</v>
      </c>
      <c r="G22" s="103">
        <f>IFERROR(IF(VLOOKUP($A22,'Your Pooling'!$A$12:$K$30,MATCH("Already In Pool?",'Your Pooling'!$A$12:$K$12,0),0)="Y",0,VLOOKUP($A22,'Your Pooling'!$A$12:$K$30,MATCH("Your FSN Pooled",'Your Pooling'!$A$12:$K$12,0),))+J22,J22)</f>
        <v>0</v>
      </c>
      <c r="H22" s="103">
        <f>IFERROR(IF(VLOOKUP($A22,'Your Pooling'!$A$12:$K$30,MATCH("Already In Pool?",'Your Pooling'!$A$12:$K$12,0),0)="Y",0,VLOOKUP($A22,'Your Pooling'!$A$12:$K$30,MATCH("Your XXX Pooled",'Your Pooling'!$A$12:$K$12,0),))+K22,K22)</f>
        <v>0</v>
      </c>
      <c r="I22" s="69">
        <f t="shared" si="8"/>
        <v>0</v>
      </c>
      <c r="J22" s="136"/>
      <c r="K22" s="136"/>
      <c r="L22" s="75"/>
      <c r="M22" s="75"/>
      <c r="O22" s="57">
        <f t="shared" si="9"/>
        <v>0</v>
      </c>
      <c r="P22" s="40">
        <f t="shared" si="1"/>
        <v>0</v>
      </c>
      <c r="Q22" s="57">
        <f t="shared" si="2"/>
        <v>0</v>
      </c>
      <c r="R22" s="58">
        <f t="shared" si="3"/>
        <v>0</v>
      </c>
      <c r="S22" s="42">
        <f t="shared" si="5"/>
        <v>0</v>
      </c>
    </row>
    <row r="23" spans="1:19">
      <c r="A23" t="str">
        <f t="shared" si="6"/>
        <v>-</v>
      </c>
      <c r="B23" s="40">
        <f t="shared" si="7"/>
        <v>1</v>
      </c>
      <c r="C23" s="40"/>
      <c r="D23" s="40"/>
      <c r="E23" s="42">
        <f t="shared" si="0"/>
        <v>0</v>
      </c>
      <c r="F23" s="62">
        <f t="shared" si="4"/>
        <v>0</v>
      </c>
      <c r="G23" s="103">
        <f>IFERROR(IF(VLOOKUP($A23,'Your Pooling'!$A$12:$K$30,MATCH("Already In Pool?",'Your Pooling'!$A$12:$K$12,0),0)="Y",0,VLOOKUP($A23,'Your Pooling'!$A$12:$K$30,MATCH("Your FSN Pooled",'Your Pooling'!$A$12:$K$12,0),))+J23,J23)</f>
        <v>0</v>
      </c>
      <c r="H23" s="103">
        <f>IFERROR(IF(VLOOKUP($A23,'Your Pooling'!$A$12:$K$30,MATCH("Already In Pool?",'Your Pooling'!$A$12:$K$12,0),0)="Y",0,VLOOKUP($A23,'Your Pooling'!$A$12:$K$30,MATCH("Your XXX Pooled",'Your Pooling'!$A$12:$K$12,0),))+K23,K23)</f>
        <v>0</v>
      </c>
      <c r="I23" s="69">
        <f t="shared" si="8"/>
        <v>0</v>
      </c>
      <c r="J23" s="136"/>
      <c r="K23" s="136"/>
      <c r="L23" s="75"/>
      <c r="M23" s="75"/>
      <c r="O23" s="57">
        <f t="shared" si="9"/>
        <v>0</v>
      </c>
      <c r="P23" s="40">
        <f t="shared" si="1"/>
        <v>0</v>
      </c>
      <c r="Q23" s="57">
        <f t="shared" si="2"/>
        <v>0</v>
      </c>
      <c r="R23" s="58">
        <f t="shared" si="3"/>
        <v>0</v>
      </c>
      <c r="S23" s="42">
        <f t="shared" si="5"/>
        <v>0</v>
      </c>
    </row>
    <row r="24" spans="1:19">
      <c r="A24" t="str">
        <f t="shared" si="6"/>
        <v>-</v>
      </c>
      <c r="B24" s="40">
        <f t="shared" si="7"/>
        <v>1</v>
      </c>
      <c r="C24" s="40"/>
      <c r="D24" s="40"/>
      <c r="E24" s="42">
        <f t="shared" si="0"/>
        <v>0</v>
      </c>
      <c r="F24" s="62">
        <f t="shared" si="4"/>
        <v>0</v>
      </c>
      <c r="G24" s="103">
        <f>IFERROR(IF(VLOOKUP($A24,'Your Pooling'!$A$12:$K$30,MATCH("Already In Pool?",'Your Pooling'!$A$12:$K$12,0),0)="Y",0,VLOOKUP($A24,'Your Pooling'!$A$12:$K$30,MATCH("Your FSN Pooled",'Your Pooling'!$A$12:$K$12,0),))+J24,J24)</f>
        <v>0</v>
      </c>
      <c r="H24" s="103">
        <f>IFERROR(IF(VLOOKUP($A24,'Your Pooling'!$A$12:$K$30,MATCH("Already In Pool?",'Your Pooling'!$A$12:$K$12,0),0)="Y",0,VLOOKUP($A24,'Your Pooling'!$A$12:$K$30,MATCH("Your XXX Pooled",'Your Pooling'!$A$12:$K$12,0),))+K24,K24)</f>
        <v>0</v>
      </c>
      <c r="I24" s="69">
        <f t="shared" si="8"/>
        <v>0</v>
      </c>
      <c r="J24" s="136"/>
      <c r="K24" s="136"/>
      <c r="L24" s="75"/>
      <c r="M24" s="75"/>
      <c r="O24" s="57">
        <f t="shared" si="9"/>
        <v>0</v>
      </c>
      <c r="P24" s="40">
        <f t="shared" si="1"/>
        <v>0</v>
      </c>
      <c r="Q24" s="57">
        <f t="shared" si="2"/>
        <v>0</v>
      </c>
      <c r="R24" s="58">
        <f t="shared" si="3"/>
        <v>0</v>
      </c>
      <c r="S24" s="42">
        <f t="shared" si="5"/>
        <v>0</v>
      </c>
    </row>
    <row r="25" spans="1:19">
      <c r="A25" t="str">
        <f t="shared" si="6"/>
        <v>-</v>
      </c>
      <c r="B25" s="40">
        <f t="shared" si="7"/>
        <v>1</v>
      </c>
      <c r="C25" s="40"/>
      <c r="D25" s="40"/>
      <c r="E25" s="42">
        <f t="shared" si="0"/>
        <v>0</v>
      </c>
      <c r="F25" s="62">
        <f t="shared" si="4"/>
        <v>0</v>
      </c>
      <c r="G25" s="103">
        <f>IFERROR(IF(VLOOKUP($A25,'Your Pooling'!$A$12:$K$30,MATCH("Already In Pool?",'Your Pooling'!$A$12:$K$12,0),0)="Y",0,VLOOKUP($A25,'Your Pooling'!$A$12:$K$30,MATCH("Your FSN Pooled",'Your Pooling'!$A$12:$K$12,0),))+J25,J25)</f>
        <v>0</v>
      </c>
      <c r="H25" s="103">
        <f>IFERROR(IF(VLOOKUP($A25,'Your Pooling'!$A$12:$K$30,MATCH("Already In Pool?",'Your Pooling'!$A$12:$K$12,0),0)="Y",0,VLOOKUP($A25,'Your Pooling'!$A$12:$K$30,MATCH("Your XXX Pooled",'Your Pooling'!$A$12:$K$12,0),))+K25,K25)</f>
        <v>0</v>
      </c>
      <c r="I25" s="69">
        <f t="shared" si="8"/>
        <v>0</v>
      </c>
      <c r="J25" s="136"/>
      <c r="K25" s="136"/>
      <c r="L25" s="75"/>
      <c r="M25" s="75"/>
      <c r="O25" s="57">
        <f t="shared" si="9"/>
        <v>0</v>
      </c>
      <c r="P25" s="40">
        <f t="shared" si="1"/>
        <v>0</v>
      </c>
      <c r="Q25" s="57">
        <f t="shared" si="2"/>
        <v>0</v>
      </c>
      <c r="R25" s="58">
        <f t="shared" si="3"/>
        <v>0</v>
      </c>
      <c r="S25" s="42">
        <f t="shared" si="5"/>
        <v>0</v>
      </c>
    </row>
    <row r="26" spans="1:19">
      <c r="A26" t="str">
        <f t="shared" si="6"/>
        <v>-</v>
      </c>
      <c r="B26" s="40">
        <f t="shared" si="7"/>
        <v>1</v>
      </c>
      <c r="C26" s="40"/>
      <c r="D26" s="40"/>
      <c r="E26" s="42">
        <f t="shared" si="0"/>
        <v>0</v>
      </c>
      <c r="F26" s="62">
        <f t="shared" si="4"/>
        <v>0</v>
      </c>
      <c r="G26" s="103">
        <f>IFERROR(IF(VLOOKUP($A26,'Your Pooling'!$A$12:$K$30,MATCH("Already In Pool?",'Your Pooling'!$A$12:$K$12,0),0)="Y",0,VLOOKUP($A26,'Your Pooling'!$A$12:$K$30,MATCH("Your FSN Pooled",'Your Pooling'!$A$12:$K$12,0),))+J26,J26)</f>
        <v>0</v>
      </c>
      <c r="H26" s="103">
        <f>IFERROR(IF(VLOOKUP($A26,'Your Pooling'!$A$12:$K$30,MATCH("Already In Pool?",'Your Pooling'!$A$12:$K$12,0),0)="Y",0,VLOOKUP($A26,'Your Pooling'!$A$12:$K$30,MATCH("Your XXX Pooled",'Your Pooling'!$A$12:$K$12,0),))+K26,K26)</f>
        <v>0</v>
      </c>
      <c r="I26" s="69">
        <f t="shared" si="8"/>
        <v>0</v>
      </c>
      <c r="J26" s="136"/>
      <c r="K26" s="136"/>
      <c r="L26" s="75"/>
      <c r="M26" s="75"/>
      <c r="O26" s="57">
        <f t="shared" si="9"/>
        <v>0</v>
      </c>
      <c r="P26" s="40">
        <f t="shared" si="1"/>
        <v>0</v>
      </c>
      <c r="Q26" s="57">
        <f t="shared" si="2"/>
        <v>0</v>
      </c>
      <c r="R26" s="58">
        <f t="shared" si="3"/>
        <v>0</v>
      </c>
      <c r="S26" s="42">
        <f t="shared" si="5"/>
        <v>0</v>
      </c>
    </row>
    <row r="27" spans="1:19">
      <c r="A27" t="str">
        <f t="shared" si="6"/>
        <v>-</v>
      </c>
      <c r="B27" s="40">
        <f t="shared" si="7"/>
        <v>1</v>
      </c>
      <c r="C27" s="40"/>
      <c r="D27" s="40"/>
      <c r="E27" s="42">
        <f t="shared" si="0"/>
        <v>0</v>
      </c>
      <c r="F27" s="62">
        <f t="shared" si="4"/>
        <v>0</v>
      </c>
      <c r="G27" s="103">
        <f>IFERROR(IF(VLOOKUP($A27,'Your Pooling'!$A$12:$K$30,MATCH("Already In Pool?",'Your Pooling'!$A$12:$K$12,0),0)="Y",0,VLOOKUP($A27,'Your Pooling'!$A$12:$K$30,MATCH("Your FSN Pooled",'Your Pooling'!$A$12:$K$12,0),))+J27,J27)</f>
        <v>0</v>
      </c>
      <c r="H27" s="103">
        <f>IFERROR(IF(VLOOKUP($A27,'Your Pooling'!$A$12:$K$30,MATCH("Already In Pool?",'Your Pooling'!$A$12:$K$12,0),0)="Y",0,VLOOKUP($A27,'Your Pooling'!$A$12:$K$30,MATCH("Your XXX Pooled",'Your Pooling'!$A$12:$K$12,0),))+K27,K27)</f>
        <v>0</v>
      </c>
      <c r="I27" s="69">
        <f t="shared" si="8"/>
        <v>0</v>
      </c>
      <c r="J27" s="136"/>
      <c r="K27" s="136"/>
      <c r="L27" s="75"/>
      <c r="M27" s="75"/>
      <c r="O27" s="57">
        <f t="shared" si="9"/>
        <v>0</v>
      </c>
      <c r="P27" s="40">
        <f t="shared" si="1"/>
        <v>0</v>
      </c>
      <c r="Q27" s="57">
        <f t="shared" si="2"/>
        <v>0</v>
      </c>
      <c r="R27" s="58">
        <f t="shared" si="3"/>
        <v>0</v>
      </c>
      <c r="S27" s="42">
        <f t="shared" si="5"/>
        <v>0</v>
      </c>
    </row>
    <row r="28" spans="1:19">
      <c r="A28" t="str">
        <f t="shared" si="6"/>
        <v>-</v>
      </c>
      <c r="B28" s="40">
        <f t="shared" si="7"/>
        <v>1</v>
      </c>
      <c r="C28" s="40"/>
      <c r="D28" s="40"/>
      <c r="E28" s="42">
        <f t="shared" si="0"/>
        <v>0</v>
      </c>
      <c r="F28" s="62">
        <f t="shared" si="4"/>
        <v>0</v>
      </c>
      <c r="G28" s="103">
        <f>IFERROR(IF(VLOOKUP($A28,'Your Pooling'!$A$12:$K$30,MATCH("Already In Pool?",'Your Pooling'!$A$12:$K$12,0),0)="Y",0,VLOOKUP($A28,'Your Pooling'!$A$12:$K$30,MATCH("Your FSN Pooled",'Your Pooling'!$A$12:$K$12,0),))+J28,J28)</f>
        <v>0</v>
      </c>
      <c r="H28" s="103">
        <f>IFERROR(IF(VLOOKUP($A28,'Your Pooling'!$A$12:$K$30,MATCH("Already In Pool?",'Your Pooling'!$A$12:$K$12,0),0)="Y",0,VLOOKUP($A28,'Your Pooling'!$A$12:$K$30,MATCH("Your XXX Pooled",'Your Pooling'!$A$12:$K$12,0),))+K28,K28)</f>
        <v>0</v>
      </c>
      <c r="I28" s="69">
        <f t="shared" si="8"/>
        <v>0</v>
      </c>
      <c r="J28" s="136"/>
      <c r="K28" s="136"/>
      <c r="L28" s="75"/>
      <c r="M28" s="75"/>
      <c r="O28" s="57">
        <f t="shared" si="9"/>
        <v>0</v>
      </c>
      <c r="P28" s="40">
        <f t="shared" si="1"/>
        <v>0</v>
      </c>
      <c r="Q28" s="57">
        <f t="shared" si="2"/>
        <v>0</v>
      </c>
      <c r="R28" s="58">
        <f t="shared" si="3"/>
        <v>0</v>
      </c>
      <c r="S28" s="42">
        <f t="shared" si="5"/>
        <v>0</v>
      </c>
    </row>
    <row r="29" spans="1:19">
      <c r="A29" t="str">
        <f t="shared" si="6"/>
        <v>-</v>
      </c>
      <c r="B29" s="40">
        <f t="shared" si="7"/>
        <v>1</v>
      </c>
      <c r="C29" s="40"/>
      <c r="D29" s="40"/>
      <c r="E29" s="42">
        <f t="shared" si="0"/>
        <v>0</v>
      </c>
      <c r="F29" s="62">
        <f t="shared" si="4"/>
        <v>0</v>
      </c>
      <c r="G29" s="103">
        <f>IFERROR(IF(VLOOKUP($A29,'Your Pooling'!$A$12:$K$30,MATCH("Already In Pool?",'Your Pooling'!$A$12:$K$12,0),0)="Y",0,VLOOKUP($A29,'Your Pooling'!$A$12:$K$30,MATCH("Your FSN Pooled",'Your Pooling'!$A$12:$K$12,0),))+J29,J29)</f>
        <v>0</v>
      </c>
      <c r="H29" s="103">
        <f>IFERROR(IF(VLOOKUP($A29,'Your Pooling'!$A$12:$K$30,MATCH("Already In Pool?",'Your Pooling'!$A$12:$K$12,0),0)="Y",0,VLOOKUP($A29,'Your Pooling'!$A$12:$K$30,MATCH("Your XXX Pooled",'Your Pooling'!$A$12:$K$12,0),))+K29,K29)</f>
        <v>0</v>
      </c>
      <c r="I29" s="69">
        <f t="shared" si="8"/>
        <v>0</v>
      </c>
      <c r="J29" s="136"/>
      <c r="K29" s="136"/>
      <c r="L29" s="75"/>
      <c r="M29" s="75"/>
      <c r="O29" s="57">
        <f t="shared" si="9"/>
        <v>0</v>
      </c>
      <c r="P29" s="40">
        <f t="shared" si="1"/>
        <v>0</v>
      </c>
      <c r="Q29" s="57">
        <f t="shared" si="2"/>
        <v>0</v>
      </c>
      <c r="R29" s="58">
        <f t="shared" si="3"/>
        <v>0</v>
      </c>
      <c r="S29" s="42">
        <f t="shared" si="5"/>
        <v>0</v>
      </c>
    </row>
    <row r="30" spans="1:19">
      <c r="A30" t="str">
        <f>C30&amp;"-"&amp;D30</f>
        <v>-</v>
      </c>
      <c r="B30" s="40">
        <f t="shared" si="7"/>
        <v>1</v>
      </c>
      <c r="C30" s="40"/>
      <c r="D30" s="40"/>
      <c r="E30" s="42">
        <f t="shared" si="0"/>
        <v>0</v>
      </c>
      <c r="F30" s="62">
        <f t="shared" si="4"/>
        <v>0</v>
      </c>
      <c r="G30" s="103">
        <f>IFERROR(IF(VLOOKUP($A30,'Your Pooling'!$A$12:$K$30,MATCH("Already In Pool?",'Your Pooling'!$A$12:$K$12,0),0)="Y",0,VLOOKUP($A30,'Your Pooling'!$A$12:$K$30,MATCH("Your FSN Pooled",'Your Pooling'!$A$12:$K$12,0),))+J30,J30)</f>
        <v>0</v>
      </c>
      <c r="H30" s="103">
        <f>IFERROR(IF(VLOOKUP($A30,'Your Pooling'!$A$12:$K$30,MATCH("Already In Pool?",'Your Pooling'!$A$12:$K$12,0),0)="Y",0,VLOOKUP($A30,'Your Pooling'!$A$12:$K$30,MATCH("Your XXX Pooled",'Your Pooling'!$A$12:$K$12,0),))+K30,K30)</f>
        <v>0</v>
      </c>
      <c r="I30" s="69">
        <f t="shared" si="8"/>
        <v>0</v>
      </c>
      <c r="J30" s="136"/>
      <c r="K30" s="136"/>
      <c r="L30" s="75"/>
      <c r="M30" s="75"/>
      <c r="O30" s="57">
        <f t="shared" si="9"/>
        <v>0</v>
      </c>
      <c r="P30" s="40">
        <f t="shared" si="1"/>
        <v>0</v>
      </c>
      <c r="Q30" s="57">
        <f t="shared" si="2"/>
        <v>0</v>
      </c>
      <c r="R30" s="58">
        <f t="shared" si="3"/>
        <v>0</v>
      </c>
      <c r="S30" s="42">
        <f t="shared" si="5"/>
        <v>0</v>
      </c>
    </row>
    <row r="31" spans="1:19">
      <c r="A31" t="str">
        <f t="shared" si="6"/>
        <v>-</v>
      </c>
      <c r="B31" s="40">
        <f t="shared" si="7"/>
        <v>1</v>
      </c>
      <c r="C31" s="40"/>
      <c r="D31" s="40"/>
      <c r="E31" s="42">
        <f t="shared" si="0"/>
        <v>0</v>
      </c>
      <c r="F31" s="62">
        <f t="shared" si="4"/>
        <v>0</v>
      </c>
      <c r="G31" s="103">
        <f>IFERROR(IF(VLOOKUP($A31,'Your Pooling'!$A$12:$K$30,MATCH("Already In Pool?",'Your Pooling'!$A$12:$K$12,0),0)="Y",0,VLOOKUP($A31,'Your Pooling'!$A$12:$K$30,MATCH("Your FSN Pooled",'Your Pooling'!$A$12:$K$12,0),))+J31,J31)</f>
        <v>0</v>
      </c>
      <c r="H31" s="103">
        <f>IFERROR(IF(VLOOKUP($A31,'Your Pooling'!$A$12:$K$30,MATCH("Already In Pool?",'Your Pooling'!$A$12:$K$12,0),0)="Y",0,VLOOKUP($A31,'Your Pooling'!$A$12:$K$30,MATCH("Your XXX Pooled",'Your Pooling'!$A$12:$K$12,0),))+K31,K31)</f>
        <v>0</v>
      </c>
      <c r="I31" s="69">
        <f t="shared" si="8"/>
        <v>0</v>
      </c>
      <c r="J31" s="136"/>
      <c r="K31" s="136"/>
      <c r="L31" s="75"/>
      <c r="M31" s="75"/>
      <c r="O31" s="57">
        <f t="shared" si="9"/>
        <v>0</v>
      </c>
      <c r="P31" s="40">
        <f t="shared" si="1"/>
        <v>0</v>
      </c>
      <c r="Q31" s="57">
        <f t="shared" si="2"/>
        <v>0</v>
      </c>
      <c r="R31" s="58">
        <f t="shared" si="3"/>
        <v>0</v>
      </c>
      <c r="S31" s="42">
        <f t="shared" si="5"/>
        <v>0</v>
      </c>
    </row>
    <row r="32" spans="1:19">
      <c r="A32" t="str">
        <f t="shared" si="6"/>
        <v>-</v>
      </c>
      <c r="B32" s="40">
        <f t="shared" si="7"/>
        <v>1</v>
      </c>
      <c r="C32" s="40"/>
      <c r="D32" s="40"/>
      <c r="E32" s="42">
        <f t="shared" si="0"/>
        <v>0</v>
      </c>
      <c r="F32" s="62">
        <f t="shared" si="4"/>
        <v>0</v>
      </c>
      <c r="G32" s="103">
        <f>IFERROR(IF(VLOOKUP($A32,'Your Pooling'!$A$12:$K$30,MATCH("Already In Pool?",'Your Pooling'!$A$12:$K$12,0),0)="Y",0,VLOOKUP($A32,'Your Pooling'!$A$12:$K$30,MATCH("Your FSN Pooled",'Your Pooling'!$A$12:$K$12,0),))+J32,J32)</f>
        <v>0</v>
      </c>
      <c r="H32" s="103">
        <f>IFERROR(IF(VLOOKUP($A32,'Your Pooling'!$A$12:$K$30,MATCH("Already In Pool?",'Your Pooling'!$A$12:$K$12,0),0)="Y",0,VLOOKUP($A32,'Your Pooling'!$A$12:$K$30,MATCH("Your XXX Pooled",'Your Pooling'!$A$12:$K$12,0),))+K32,K32)</f>
        <v>0</v>
      </c>
      <c r="I32" s="69">
        <f t="shared" si="8"/>
        <v>0</v>
      </c>
      <c r="J32" s="136"/>
      <c r="K32" s="136"/>
      <c r="L32" s="75"/>
      <c r="M32" s="75"/>
      <c r="O32" s="57">
        <f t="shared" si="9"/>
        <v>0</v>
      </c>
      <c r="P32" s="40">
        <f t="shared" si="1"/>
        <v>0</v>
      </c>
      <c r="Q32" s="57">
        <f t="shared" si="2"/>
        <v>0</v>
      </c>
      <c r="R32" s="58">
        <f t="shared" si="3"/>
        <v>0</v>
      </c>
      <c r="S32" s="42">
        <f t="shared" si="5"/>
        <v>0</v>
      </c>
    </row>
    <row r="33" spans="1:19">
      <c r="A33" t="str">
        <f t="shared" si="6"/>
        <v>-</v>
      </c>
      <c r="B33" s="40">
        <f t="shared" ref="B33:B96" si="10">IF(OR(C33="ANY",D33="ANY"),2,1)</f>
        <v>1</v>
      </c>
      <c r="C33" s="40"/>
      <c r="D33" s="40"/>
      <c r="E33" s="42">
        <f t="shared" si="0"/>
        <v>0</v>
      </c>
      <c r="F33" s="62">
        <f t="shared" ref="F33:F96" si="11">IFERROR(J33/K33,0)</f>
        <v>0</v>
      </c>
      <c r="G33" s="103">
        <f>IFERROR(IF(VLOOKUP($A33,'Your Pooling'!$A$12:$K$30,MATCH("Already In Pool?",'Your Pooling'!$A$12:$K$12,0),0)="Y",0,VLOOKUP($A33,'Your Pooling'!$A$12:$K$30,MATCH("Your FSN Pooled",'Your Pooling'!$A$12:$K$12,0),))+J33,J33)</f>
        <v>0</v>
      </c>
      <c r="H33" s="103">
        <f>IFERROR(IF(VLOOKUP($A33,'Your Pooling'!$A$12:$K$30,MATCH("Already In Pool?",'Your Pooling'!$A$12:$K$12,0),0)="Y",0,VLOOKUP($A33,'Your Pooling'!$A$12:$K$30,MATCH("Your XXX Pooled",'Your Pooling'!$A$12:$K$12,0),))+K33,K33)</f>
        <v>0</v>
      </c>
      <c r="I33" s="69">
        <f t="shared" ref="I33:I96" si="12">G33*H33</f>
        <v>0</v>
      </c>
      <c r="J33" s="136"/>
      <c r="K33" s="136"/>
      <c r="L33" s="75"/>
      <c r="M33" s="75"/>
      <c r="O33" s="57">
        <f t="shared" si="9"/>
        <v>0</v>
      </c>
      <c r="P33" s="40">
        <f t="shared" si="1"/>
        <v>0</v>
      </c>
      <c r="Q33" s="57">
        <f t="shared" ref="Q33:Q96" si="13">P33*FSNPRICE+O33*ANYFSN*FSNPRICE</f>
        <v>0</v>
      </c>
      <c r="R33" s="58">
        <f t="shared" si="3"/>
        <v>0</v>
      </c>
      <c r="S33" s="42">
        <f t="shared" ref="S33:S96" si="14">R33*365</f>
        <v>0</v>
      </c>
    </row>
    <row r="34" spans="1:19">
      <c r="A34" t="str">
        <f t="shared" si="6"/>
        <v>-</v>
      </c>
      <c r="B34" s="40">
        <f t="shared" si="10"/>
        <v>1</v>
      </c>
      <c r="C34" s="40"/>
      <c r="D34" s="40"/>
      <c r="E34" s="42">
        <f t="shared" si="0"/>
        <v>0</v>
      </c>
      <c r="F34" s="62">
        <f t="shared" si="11"/>
        <v>0</v>
      </c>
      <c r="G34" s="103">
        <f>IFERROR(IF(VLOOKUP($A34,'Your Pooling'!$A$12:$K$30,MATCH("Already In Pool?",'Your Pooling'!$A$12:$K$12,0),0)="Y",0,VLOOKUP($A34,'Your Pooling'!$A$12:$K$30,MATCH("Your FSN Pooled",'Your Pooling'!$A$12:$K$12,0),))+J34,J34)</f>
        <v>0</v>
      </c>
      <c r="H34" s="103">
        <f>IFERROR(IF(VLOOKUP($A34,'Your Pooling'!$A$12:$K$30,MATCH("Already In Pool?",'Your Pooling'!$A$12:$K$12,0),0)="Y",0,VLOOKUP($A34,'Your Pooling'!$A$12:$K$30,MATCH("Your XXX Pooled",'Your Pooling'!$A$12:$K$12,0),))+K34,K34)</f>
        <v>0</v>
      </c>
      <c r="I34" s="69">
        <f t="shared" si="12"/>
        <v>0</v>
      </c>
      <c r="J34" s="136"/>
      <c r="K34" s="136"/>
      <c r="L34" s="75"/>
      <c r="M34" s="75"/>
      <c r="O34" s="57">
        <f t="shared" si="9"/>
        <v>0</v>
      </c>
      <c r="P34" s="40">
        <f t="shared" si="1"/>
        <v>0</v>
      </c>
      <c r="Q34" s="57">
        <f t="shared" si="13"/>
        <v>0</v>
      </c>
      <c r="R34" s="58">
        <f t="shared" si="3"/>
        <v>0</v>
      </c>
      <c r="S34" s="42">
        <f t="shared" si="14"/>
        <v>0</v>
      </c>
    </row>
    <row r="35" spans="1:19">
      <c r="A35" t="str">
        <f t="shared" si="6"/>
        <v>-</v>
      </c>
      <c r="B35" s="40">
        <f t="shared" si="10"/>
        <v>1</v>
      </c>
      <c r="C35" s="40"/>
      <c r="D35" s="40"/>
      <c r="E35" s="42">
        <f t="shared" si="0"/>
        <v>0</v>
      </c>
      <c r="F35" s="62">
        <f t="shared" si="11"/>
        <v>0</v>
      </c>
      <c r="G35" s="103">
        <f>IFERROR(IF(VLOOKUP($A35,'Your Pooling'!$A$12:$K$30,MATCH("Already In Pool?",'Your Pooling'!$A$12:$K$12,0),0)="Y",0,VLOOKUP($A35,'Your Pooling'!$A$12:$K$30,MATCH("Your FSN Pooled",'Your Pooling'!$A$12:$K$12,0),))+J35,J35)</f>
        <v>0</v>
      </c>
      <c r="H35" s="103">
        <f>IFERROR(IF(VLOOKUP($A35,'Your Pooling'!$A$12:$K$30,MATCH("Already In Pool?",'Your Pooling'!$A$12:$K$12,0),0)="Y",0,VLOOKUP($A35,'Your Pooling'!$A$12:$K$30,MATCH("Your XXX Pooled",'Your Pooling'!$A$12:$K$12,0),))+K35,K35)</f>
        <v>0</v>
      </c>
      <c r="I35" s="69">
        <f t="shared" si="12"/>
        <v>0</v>
      </c>
      <c r="J35" s="136"/>
      <c r="K35" s="136"/>
      <c r="L35" s="75"/>
      <c r="M35" s="75"/>
      <c r="O35" s="57">
        <f t="shared" si="9"/>
        <v>0</v>
      </c>
      <c r="P35" s="40">
        <f t="shared" si="1"/>
        <v>0</v>
      </c>
      <c r="Q35" s="57">
        <f t="shared" si="13"/>
        <v>0</v>
      </c>
      <c r="R35" s="58">
        <f t="shared" si="3"/>
        <v>0</v>
      </c>
      <c r="S35" s="42">
        <f t="shared" si="14"/>
        <v>0</v>
      </c>
    </row>
    <row r="36" spans="1:19">
      <c r="A36" t="str">
        <f t="shared" si="6"/>
        <v>-</v>
      </c>
      <c r="B36" s="40">
        <f t="shared" si="10"/>
        <v>1</v>
      </c>
      <c r="C36" s="40"/>
      <c r="D36" s="40"/>
      <c r="E36" s="42">
        <f t="shared" si="0"/>
        <v>0</v>
      </c>
      <c r="F36" s="62">
        <f t="shared" si="11"/>
        <v>0</v>
      </c>
      <c r="G36" s="103">
        <f>IFERROR(IF(VLOOKUP($A36,'Your Pooling'!$A$12:$K$30,MATCH("Already In Pool?",'Your Pooling'!$A$12:$K$12,0),0)="Y",0,VLOOKUP($A36,'Your Pooling'!$A$12:$K$30,MATCH("Your FSN Pooled",'Your Pooling'!$A$12:$K$12,0),))+J36,J36)</f>
        <v>0</v>
      </c>
      <c r="H36" s="103">
        <f>IFERROR(IF(VLOOKUP($A36,'Your Pooling'!$A$12:$K$30,MATCH("Already In Pool?",'Your Pooling'!$A$12:$K$12,0),0)="Y",0,VLOOKUP($A36,'Your Pooling'!$A$12:$K$30,MATCH("Your XXX Pooled",'Your Pooling'!$A$12:$K$12,0),))+K36,K36)</f>
        <v>0</v>
      </c>
      <c r="I36" s="69">
        <f t="shared" si="12"/>
        <v>0</v>
      </c>
      <c r="J36" s="136"/>
      <c r="K36" s="136"/>
      <c r="L36" s="75"/>
      <c r="M36" s="75"/>
      <c r="O36" s="57">
        <f t="shared" si="9"/>
        <v>0</v>
      </c>
      <c r="P36" s="40">
        <f t="shared" si="1"/>
        <v>0</v>
      </c>
      <c r="Q36" s="57">
        <f t="shared" si="13"/>
        <v>0</v>
      </c>
      <c r="R36" s="58">
        <f t="shared" si="3"/>
        <v>0</v>
      </c>
      <c r="S36" s="42">
        <f t="shared" si="14"/>
        <v>0</v>
      </c>
    </row>
    <row r="37" spans="1:19">
      <c r="A37" t="str">
        <f t="shared" si="6"/>
        <v>-</v>
      </c>
      <c r="B37" s="40">
        <f t="shared" si="10"/>
        <v>1</v>
      </c>
      <c r="C37" s="40"/>
      <c r="D37" s="40"/>
      <c r="E37" s="42">
        <f t="shared" si="0"/>
        <v>0</v>
      </c>
      <c r="F37" s="62">
        <f t="shared" si="11"/>
        <v>0</v>
      </c>
      <c r="G37" s="103">
        <f>IFERROR(IF(VLOOKUP($A37,'Your Pooling'!$A$12:$K$30,MATCH("Already In Pool?",'Your Pooling'!$A$12:$K$12,0),0)="Y",0,VLOOKUP($A37,'Your Pooling'!$A$12:$K$30,MATCH("Your FSN Pooled",'Your Pooling'!$A$12:$K$12,0),))+J37,J37)</f>
        <v>0</v>
      </c>
      <c r="H37" s="103">
        <f>IFERROR(IF(VLOOKUP($A37,'Your Pooling'!$A$12:$K$30,MATCH("Already In Pool?",'Your Pooling'!$A$12:$K$12,0),0)="Y",0,VLOOKUP($A37,'Your Pooling'!$A$12:$K$30,MATCH("Your XXX Pooled",'Your Pooling'!$A$12:$K$12,0),))+K37,K37)</f>
        <v>0</v>
      </c>
      <c r="I37" s="69">
        <f t="shared" si="12"/>
        <v>0</v>
      </c>
      <c r="J37" s="136"/>
      <c r="K37" s="136"/>
      <c r="L37" s="75"/>
      <c r="M37" s="75"/>
      <c r="O37" s="57">
        <f t="shared" si="9"/>
        <v>0</v>
      </c>
      <c r="P37" s="40">
        <f t="shared" si="1"/>
        <v>0</v>
      </c>
      <c r="Q37" s="57">
        <f t="shared" si="13"/>
        <v>0</v>
      </c>
      <c r="R37" s="58">
        <f t="shared" si="3"/>
        <v>0</v>
      </c>
      <c r="S37" s="42">
        <f t="shared" si="14"/>
        <v>0</v>
      </c>
    </row>
    <row r="38" spans="1:19">
      <c r="A38" t="str">
        <f t="shared" si="6"/>
        <v>-</v>
      </c>
      <c r="B38" s="40">
        <f t="shared" si="10"/>
        <v>1</v>
      </c>
      <c r="C38" s="40"/>
      <c r="D38" s="40"/>
      <c r="E38" s="42">
        <f t="shared" si="0"/>
        <v>0</v>
      </c>
      <c r="F38" s="62">
        <f t="shared" si="11"/>
        <v>0</v>
      </c>
      <c r="G38" s="103">
        <f>IFERROR(IF(VLOOKUP($A38,'Your Pooling'!$A$12:$K$30,MATCH("Already In Pool?",'Your Pooling'!$A$12:$K$12,0),0)="Y",0,VLOOKUP($A38,'Your Pooling'!$A$12:$K$30,MATCH("Your FSN Pooled",'Your Pooling'!$A$12:$K$12,0),))+J38,J38)</f>
        <v>0</v>
      </c>
      <c r="H38" s="103">
        <f>IFERROR(IF(VLOOKUP($A38,'Your Pooling'!$A$12:$K$30,MATCH("Already In Pool?",'Your Pooling'!$A$12:$K$12,0),0)="Y",0,VLOOKUP($A38,'Your Pooling'!$A$12:$K$30,MATCH("Your XXX Pooled",'Your Pooling'!$A$12:$K$12,0),))+K38,K38)</f>
        <v>0</v>
      </c>
      <c r="I38" s="69">
        <f t="shared" si="12"/>
        <v>0</v>
      </c>
      <c r="J38" s="136"/>
      <c r="K38" s="136"/>
      <c r="L38" s="75"/>
      <c r="M38" s="75"/>
      <c r="O38" s="57">
        <f t="shared" si="9"/>
        <v>0</v>
      </c>
      <c r="P38" s="40">
        <f t="shared" si="1"/>
        <v>0</v>
      </c>
      <c r="Q38" s="57">
        <f t="shared" si="13"/>
        <v>0</v>
      </c>
      <c r="R38" s="58">
        <f t="shared" si="3"/>
        <v>0</v>
      </c>
      <c r="S38" s="42">
        <f t="shared" si="14"/>
        <v>0</v>
      </c>
    </row>
    <row r="39" spans="1:19">
      <c r="A39" t="str">
        <f t="shared" si="6"/>
        <v>-</v>
      </c>
      <c r="B39" s="40">
        <f t="shared" si="10"/>
        <v>1</v>
      </c>
      <c r="C39" s="40"/>
      <c r="D39" s="40"/>
      <c r="E39" s="42">
        <f t="shared" si="0"/>
        <v>0</v>
      </c>
      <c r="F39" s="62">
        <f t="shared" si="11"/>
        <v>0</v>
      </c>
      <c r="G39" s="103">
        <f>IFERROR(IF(VLOOKUP($A39,'Your Pooling'!$A$12:$K$30,MATCH("Already In Pool?",'Your Pooling'!$A$12:$K$12,0),0)="Y",0,VLOOKUP($A39,'Your Pooling'!$A$12:$K$30,MATCH("Your FSN Pooled",'Your Pooling'!$A$12:$K$12,0),))+J39,J39)</f>
        <v>0</v>
      </c>
      <c r="H39" s="103">
        <f>IFERROR(IF(VLOOKUP($A39,'Your Pooling'!$A$12:$K$30,MATCH("Already In Pool?",'Your Pooling'!$A$12:$K$12,0),0)="Y",0,VLOOKUP($A39,'Your Pooling'!$A$12:$K$30,MATCH("Your XXX Pooled",'Your Pooling'!$A$12:$K$12,0),))+K39,K39)</f>
        <v>0</v>
      </c>
      <c r="I39" s="69">
        <f t="shared" si="12"/>
        <v>0</v>
      </c>
      <c r="J39" s="69"/>
      <c r="K39" s="69"/>
      <c r="L39" s="75"/>
      <c r="M39" s="75"/>
      <c r="O39" s="57">
        <f t="shared" si="9"/>
        <v>0</v>
      </c>
      <c r="P39" s="40">
        <f t="shared" si="1"/>
        <v>0</v>
      </c>
      <c r="Q39" s="57">
        <f t="shared" si="13"/>
        <v>0</v>
      </c>
      <c r="R39" s="58">
        <f t="shared" si="3"/>
        <v>0</v>
      </c>
      <c r="S39" s="42">
        <f t="shared" si="14"/>
        <v>0</v>
      </c>
    </row>
    <row r="40" spans="1:19">
      <c r="A40" t="str">
        <f t="shared" si="6"/>
        <v>-</v>
      </c>
      <c r="B40" s="40">
        <f t="shared" si="10"/>
        <v>1</v>
      </c>
      <c r="C40" s="40"/>
      <c r="D40" s="40"/>
      <c r="E40" s="42">
        <f t="shared" si="0"/>
        <v>0</v>
      </c>
      <c r="F40" s="62">
        <f t="shared" si="11"/>
        <v>0</v>
      </c>
      <c r="G40" s="103">
        <f>IFERROR(IF(VLOOKUP($A40,'Your Pooling'!$A$12:$K$30,MATCH("Already In Pool?",'Your Pooling'!$A$12:$K$12,0),0)="Y",0,VLOOKUP($A40,'Your Pooling'!$A$12:$K$30,MATCH("Your FSN Pooled",'Your Pooling'!$A$12:$K$12,0),))+J40,J40)</f>
        <v>0</v>
      </c>
      <c r="H40" s="103">
        <f>IFERROR(IF(VLOOKUP($A40,'Your Pooling'!$A$12:$K$30,MATCH("Already In Pool?",'Your Pooling'!$A$12:$K$12,0),0)="Y",0,VLOOKUP($A40,'Your Pooling'!$A$12:$K$30,MATCH("Your XXX Pooled",'Your Pooling'!$A$12:$K$12,0),))+K40,K40)</f>
        <v>0</v>
      </c>
      <c r="I40" s="69">
        <f t="shared" si="12"/>
        <v>0</v>
      </c>
      <c r="J40" s="69"/>
      <c r="K40" s="69"/>
      <c r="L40" s="75"/>
      <c r="M40" s="75"/>
      <c r="O40" s="57">
        <f t="shared" si="9"/>
        <v>0</v>
      </c>
      <c r="P40" s="40">
        <f t="shared" si="1"/>
        <v>0</v>
      </c>
      <c r="Q40" s="57">
        <f t="shared" si="13"/>
        <v>0</v>
      </c>
      <c r="R40" s="58">
        <f t="shared" si="3"/>
        <v>0</v>
      </c>
      <c r="S40" s="42">
        <f t="shared" si="14"/>
        <v>0</v>
      </c>
    </row>
    <row r="41" spans="1:19">
      <c r="A41" t="str">
        <f t="shared" si="6"/>
        <v>-</v>
      </c>
      <c r="B41" s="40">
        <f t="shared" si="10"/>
        <v>1</v>
      </c>
      <c r="C41" s="40"/>
      <c r="D41" s="40"/>
      <c r="E41" s="42">
        <f t="shared" si="0"/>
        <v>0</v>
      </c>
      <c r="F41" s="62">
        <f t="shared" si="11"/>
        <v>0</v>
      </c>
      <c r="G41" s="103">
        <f>IFERROR(IF(VLOOKUP($A41,'Your Pooling'!$A$12:$K$30,MATCH("Already In Pool?",'Your Pooling'!$A$12:$K$12,0),0)="Y",0,VLOOKUP($A41,'Your Pooling'!$A$12:$K$30,MATCH("Your FSN Pooled",'Your Pooling'!$A$12:$K$12,0),))+J41,J41)</f>
        <v>0</v>
      </c>
      <c r="H41" s="103">
        <f>IFERROR(IF(VLOOKUP($A41,'Your Pooling'!$A$12:$K$30,MATCH("Already In Pool?",'Your Pooling'!$A$12:$K$12,0),0)="Y",0,VLOOKUP($A41,'Your Pooling'!$A$12:$K$30,MATCH("Your XXX Pooled",'Your Pooling'!$A$12:$K$12,0),))+K41,K41)</f>
        <v>0</v>
      </c>
      <c r="I41" s="69">
        <f t="shared" si="12"/>
        <v>0</v>
      </c>
      <c r="J41" s="69"/>
      <c r="K41" s="69"/>
      <c r="L41" s="75"/>
      <c r="M41" s="75"/>
      <c r="O41" s="57">
        <f t="shared" si="9"/>
        <v>0</v>
      </c>
      <c r="P41" s="40">
        <f t="shared" si="1"/>
        <v>0</v>
      </c>
      <c r="Q41" s="57">
        <f t="shared" si="13"/>
        <v>0</v>
      </c>
      <c r="R41" s="58">
        <f t="shared" si="3"/>
        <v>0</v>
      </c>
      <c r="S41" s="42">
        <f t="shared" si="14"/>
        <v>0</v>
      </c>
    </row>
    <row r="42" spans="1:19">
      <c r="A42" t="str">
        <f t="shared" si="6"/>
        <v>-</v>
      </c>
      <c r="B42" s="40">
        <f t="shared" si="10"/>
        <v>1</v>
      </c>
      <c r="C42" s="40"/>
      <c r="D42" s="40"/>
      <c r="E42" s="42">
        <f t="shared" si="0"/>
        <v>0</v>
      </c>
      <c r="F42" s="62">
        <f t="shared" si="11"/>
        <v>0</v>
      </c>
      <c r="G42" s="103">
        <f>IFERROR(IF(VLOOKUP($A42,'Your Pooling'!$A$12:$K$30,MATCH("Already In Pool?",'Your Pooling'!$A$12:$K$12,0),0)="Y",0,VLOOKUP($A42,'Your Pooling'!$A$12:$K$30,MATCH("Your FSN Pooled",'Your Pooling'!$A$12:$K$12,0),))+J42,J42)</f>
        <v>0</v>
      </c>
      <c r="H42" s="103">
        <f>IFERROR(IF(VLOOKUP($A42,'Your Pooling'!$A$12:$K$30,MATCH("Already In Pool?",'Your Pooling'!$A$12:$K$12,0),0)="Y",0,VLOOKUP($A42,'Your Pooling'!$A$12:$K$30,MATCH("Your XXX Pooled",'Your Pooling'!$A$12:$K$12,0),))+K42,K42)</f>
        <v>0</v>
      </c>
      <c r="I42" s="69">
        <f t="shared" si="12"/>
        <v>0</v>
      </c>
      <c r="J42" s="69"/>
      <c r="K42" s="69"/>
      <c r="L42" s="75"/>
      <c r="M42" s="75"/>
      <c r="O42" s="57">
        <f t="shared" si="9"/>
        <v>0</v>
      </c>
      <c r="P42" s="40">
        <f t="shared" si="1"/>
        <v>0</v>
      </c>
      <c r="Q42" s="57">
        <f t="shared" si="13"/>
        <v>0</v>
      </c>
      <c r="R42" s="58">
        <f t="shared" si="3"/>
        <v>0</v>
      </c>
      <c r="S42" s="42">
        <f t="shared" si="14"/>
        <v>0</v>
      </c>
    </row>
    <row r="43" spans="1:19">
      <c r="A43" t="str">
        <f t="shared" si="6"/>
        <v>-</v>
      </c>
      <c r="B43" s="40">
        <f t="shared" si="10"/>
        <v>1</v>
      </c>
      <c r="C43" s="40"/>
      <c r="D43" s="40"/>
      <c r="E43" s="42">
        <f t="shared" ref="E43:E74" si="15">B43*G43/SUMPRODUCT($G$11:$G$100,$B$11:$B$100)</f>
        <v>0</v>
      </c>
      <c r="F43" s="62">
        <f t="shared" si="11"/>
        <v>0</v>
      </c>
      <c r="G43" s="103">
        <f>IFERROR(IF(VLOOKUP($A43,'Your Pooling'!$A$12:$K$30,MATCH("Already In Pool?",'Your Pooling'!$A$12:$K$12,0),0)="Y",0,VLOOKUP($A43,'Your Pooling'!$A$12:$K$30,MATCH("Your FSN Pooled",'Your Pooling'!$A$12:$K$12,0),))+J43,J43)</f>
        <v>0</v>
      </c>
      <c r="H43" s="103">
        <f>IFERROR(IF(VLOOKUP($A43,'Your Pooling'!$A$12:$K$30,MATCH("Already In Pool?",'Your Pooling'!$A$12:$K$12,0),0)="Y",0,VLOOKUP($A43,'Your Pooling'!$A$12:$K$30,MATCH("Your XXX Pooled",'Your Pooling'!$A$12:$K$12,0),))+K43,K43)</f>
        <v>0</v>
      </c>
      <c r="I43" s="69">
        <f t="shared" si="12"/>
        <v>0</v>
      </c>
      <c r="J43" s="69"/>
      <c r="K43" s="69"/>
      <c r="L43" s="75"/>
      <c r="M43" s="75"/>
      <c r="O43" s="57">
        <f t="shared" si="9"/>
        <v>0</v>
      </c>
      <c r="P43" s="40">
        <f t="shared" ref="P43:P74" si="16">L43*FEEREWARDS</f>
        <v>0</v>
      </c>
      <c r="Q43" s="57">
        <f t="shared" si="13"/>
        <v>0</v>
      </c>
      <c r="R43" s="58">
        <f t="shared" ref="R43:R74" si="17">IFERROR((Q43/FSNPRICE)/(2*G43),0)</f>
        <v>0</v>
      </c>
      <c r="S43" s="42">
        <f t="shared" si="14"/>
        <v>0</v>
      </c>
    </row>
    <row r="44" spans="1:19">
      <c r="A44" t="str">
        <f t="shared" si="6"/>
        <v>-</v>
      </c>
      <c r="B44" s="40">
        <f t="shared" si="10"/>
        <v>1</v>
      </c>
      <c r="C44" s="40"/>
      <c r="D44" s="40"/>
      <c r="E44" s="42">
        <f t="shared" si="15"/>
        <v>0</v>
      </c>
      <c r="F44" s="62">
        <f t="shared" si="11"/>
        <v>0</v>
      </c>
      <c r="G44" s="103">
        <f>IFERROR(IF(VLOOKUP($A44,'Your Pooling'!$A$12:$K$30,MATCH("Already In Pool?",'Your Pooling'!$A$12:$K$12,0),0)="Y",0,VLOOKUP($A44,'Your Pooling'!$A$12:$K$30,MATCH("Your FSN Pooled",'Your Pooling'!$A$12:$K$12,0),))+J44,J44)</f>
        <v>0</v>
      </c>
      <c r="H44" s="103">
        <f>IFERROR(IF(VLOOKUP($A44,'Your Pooling'!$A$12:$K$30,MATCH("Already In Pool?",'Your Pooling'!$A$12:$K$12,0),0)="Y",0,VLOOKUP($A44,'Your Pooling'!$A$12:$K$30,MATCH("Your XXX Pooled",'Your Pooling'!$A$12:$K$12,0),))+K44,K44)</f>
        <v>0</v>
      </c>
      <c r="I44" s="69">
        <f t="shared" si="12"/>
        <v>0</v>
      </c>
      <c r="J44" s="69"/>
      <c r="K44" s="69"/>
      <c r="L44" s="75"/>
      <c r="M44" s="75"/>
      <c r="O44" s="57">
        <f t="shared" si="9"/>
        <v>0</v>
      </c>
      <c r="P44" s="40">
        <f t="shared" si="16"/>
        <v>0</v>
      </c>
      <c r="Q44" s="57">
        <f t="shared" si="13"/>
        <v>0</v>
      </c>
      <c r="R44" s="58">
        <f t="shared" si="17"/>
        <v>0</v>
      </c>
      <c r="S44" s="42">
        <f t="shared" si="14"/>
        <v>0</v>
      </c>
    </row>
    <row r="45" spans="1:19">
      <c r="A45" t="str">
        <f t="shared" si="6"/>
        <v>-</v>
      </c>
      <c r="B45" s="40">
        <f t="shared" si="10"/>
        <v>1</v>
      </c>
      <c r="C45" s="40"/>
      <c r="D45" s="40"/>
      <c r="E45" s="42">
        <f t="shared" si="15"/>
        <v>0</v>
      </c>
      <c r="F45" s="62">
        <f t="shared" si="11"/>
        <v>0</v>
      </c>
      <c r="G45" s="103">
        <f>IFERROR(IF(VLOOKUP($A45,'Your Pooling'!$A$12:$K$30,MATCH("Already In Pool?",'Your Pooling'!$A$12:$K$12,0),0)="Y",0,VLOOKUP($A45,'Your Pooling'!$A$12:$K$30,MATCH("Your FSN Pooled",'Your Pooling'!$A$12:$K$12,0),))+J45,J45)</f>
        <v>0</v>
      </c>
      <c r="H45" s="103">
        <f>IFERROR(IF(VLOOKUP($A45,'Your Pooling'!$A$12:$K$30,MATCH("Already In Pool?",'Your Pooling'!$A$12:$K$12,0),0)="Y",0,VLOOKUP($A45,'Your Pooling'!$A$12:$K$30,MATCH("Your XXX Pooled",'Your Pooling'!$A$12:$K$12,0),))+K45,K45)</f>
        <v>0</v>
      </c>
      <c r="I45" s="69">
        <f t="shared" si="12"/>
        <v>0</v>
      </c>
      <c r="J45" s="69"/>
      <c r="K45" s="69"/>
      <c r="L45" s="75"/>
      <c r="M45" s="75"/>
      <c r="O45" s="57">
        <f t="shared" si="9"/>
        <v>0</v>
      </c>
      <c r="P45" s="40">
        <f t="shared" si="16"/>
        <v>0</v>
      </c>
      <c r="Q45" s="57">
        <f t="shared" si="13"/>
        <v>0</v>
      </c>
      <c r="R45" s="58">
        <f t="shared" si="17"/>
        <v>0</v>
      </c>
      <c r="S45" s="42">
        <f t="shared" si="14"/>
        <v>0</v>
      </c>
    </row>
    <row r="46" spans="1:19">
      <c r="A46" t="str">
        <f t="shared" si="6"/>
        <v>-</v>
      </c>
      <c r="B46" s="40">
        <f t="shared" si="10"/>
        <v>1</v>
      </c>
      <c r="C46" s="40"/>
      <c r="D46" s="40"/>
      <c r="E46" s="42">
        <f t="shared" si="15"/>
        <v>0</v>
      </c>
      <c r="F46" s="62">
        <f t="shared" si="11"/>
        <v>0</v>
      </c>
      <c r="G46" s="103">
        <f>IFERROR(IF(VLOOKUP($A46,'Your Pooling'!$A$12:$K$30,MATCH("Already In Pool?",'Your Pooling'!$A$12:$K$12,0),0)="Y",0,VLOOKUP($A46,'Your Pooling'!$A$12:$K$30,MATCH("Your FSN Pooled",'Your Pooling'!$A$12:$K$12,0),))+J46,J46)</f>
        <v>0</v>
      </c>
      <c r="H46" s="103">
        <f>IFERROR(IF(VLOOKUP($A46,'Your Pooling'!$A$12:$K$30,MATCH("Already In Pool?",'Your Pooling'!$A$12:$K$12,0),0)="Y",0,VLOOKUP($A46,'Your Pooling'!$A$12:$K$30,MATCH("Your XXX Pooled",'Your Pooling'!$A$12:$K$12,0),))+K46,K46)</f>
        <v>0</v>
      </c>
      <c r="I46" s="69">
        <f t="shared" si="12"/>
        <v>0</v>
      </c>
      <c r="J46" s="69"/>
      <c r="K46" s="69"/>
      <c r="L46" s="75"/>
      <c r="M46" s="75"/>
      <c r="O46" s="57">
        <f t="shared" si="9"/>
        <v>0</v>
      </c>
      <c r="P46" s="40">
        <f t="shared" si="16"/>
        <v>0</v>
      </c>
      <c r="Q46" s="57">
        <f t="shared" si="13"/>
        <v>0</v>
      </c>
      <c r="R46" s="58">
        <f t="shared" si="17"/>
        <v>0</v>
      </c>
      <c r="S46" s="42">
        <f t="shared" si="14"/>
        <v>0</v>
      </c>
    </row>
    <row r="47" spans="1:19">
      <c r="A47" t="str">
        <f t="shared" si="6"/>
        <v>-</v>
      </c>
      <c r="B47" s="40">
        <f t="shared" si="10"/>
        <v>1</v>
      </c>
      <c r="C47" s="40"/>
      <c r="D47" s="40"/>
      <c r="E47" s="42">
        <f t="shared" si="15"/>
        <v>0</v>
      </c>
      <c r="F47" s="62">
        <f t="shared" si="11"/>
        <v>0</v>
      </c>
      <c r="G47" s="103">
        <f>IFERROR(IF(VLOOKUP($A47,'Your Pooling'!$A$12:$K$30,MATCH("Already In Pool?",'Your Pooling'!$A$12:$K$12,0),0)="Y",0,VLOOKUP($A47,'Your Pooling'!$A$12:$K$30,MATCH("Your FSN Pooled",'Your Pooling'!$A$12:$K$12,0),))+J47,J47)</f>
        <v>0</v>
      </c>
      <c r="H47" s="103">
        <f>IFERROR(IF(VLOOKUP($A47,'Your Pooling'!$A$12:$K$30,MATCH("Already In Pool?",'Your Pooling'!$A$12:$K$12,0),0)="Y",0,VLOOKUP($A47,'Your Pooling'!$A$12:$K$30,MATCH("Your XXX Pooled",'Your Pooling'!$A$12:$K$12,0),))+K47,K47)</f>
        <v>0</v>
      </c>
      <c r="I47" s="69">
        <f t="shared" si="12"/>
        <v>0</v>
      </c>
      <c r="J47" s="69"/>
      <c r="K47" s="69"/>
      <c r="L47" s="75"/>
      <c r="M47" s="75"/>
      <c r="O47" s="57">
        <f t="shared" si="9"/>
        <v>0</v>
      </c>
      <c r="P47" s="40">
        <f t="shared" si="16"/>
        <v>0</v>
      </c>
      <c r="Q47" s="57">
        <f t="shared" si="13"/>
        <v>0</v>
      </c>
      <c r="R47" s="58">
        <f t="shared" si="17"/>
        <v>0</v>
      </c>
      <c r="S47" s="42">
        <f t="shared" si="14"/>
        <v>0</v>
      </c>
    </row>
    <row r="48" spans="1:19">
      <c r="A48" t="str">
        <f t="shared" si="6"/>
        <v>-</v>
      </c>
      <c r="B48" s="40">
        <f t="shared" si="10"/>
        <v>1</v>
      </c>
      <c r="C48" s="40"/>
      <c r="D48" s="40"/>
      <c r="E48" s="42">
        <f t="shared" si="15"/>
        <v>0</v>
      </c>
      <c r="F48" s="62">
        <f t="shared" si="11"/>
        <v>0</v>
      </c>
      <c r="G48" s="103">
        <f>IFERROR(IF(VLOOKUP($A48,'Your Pooling'!$A$12:$K$30,MATCH("Already In Pool?",'Your Pooling'!$A$12:$K$12,0),0)="Y",0,VLOOKUP($A48,'Your Pooling'!$A$12:$K$30,MATCH("Your FSN Pooled",'Your Pooling'!$A$12:$K$12,0),))+J48,J48)</f>
        <v>0</v>
      </c>
      <c r="H48" s="103">
        <f>IFERROR(IF(VLOOKUP($A48,'Your Pooling'!$A$12:$K$30,MATCH("Already In Pool?",'Your Pooling'!$A$12:$K$12,0),0)="Y",0,VLOOKUP($A48,'Your Pooling'!$A$12:$K$30,MATCH("Your XXX Pooled",'Your Pooling'!$A$12:$K$12,0),))+K48,K48)</f>
        <v>0</v>
      </c>
      <c r="I48" s="69">
        <f t="shared" si="12"/>
        <v>0</v>
      </c>
      <c r="J48" s="69"/>
      <c r="K48" s="69"/>
      <c r="L48" s="75"/>
      <c r="M48" s="75"/>
      <c r="O48" s="57">
        <f t="shared" ref="O48:O79" si="18">E48*DAILYANY</f>
        <v>0</v>
      </c>
      <c r="P48" s="40">
        <f t="shared" si="16"/>
        <v>0</v>
      </c>
      <c r="Q48" s="57">
        <f t="shared" si="13"/>
        <v>0</v>
      </c>
      <c r="R48" s="58">
        <f t="shared" si="17"/>
        <v>0</v>
      </c>
      <c r="S48" s="42">
        <f t="shared" si="14"/>
        <v>0</v>
      </c>
    </row>
    <row r="49" spans="1:19">
      <c r="A49" t="str">
        <f t="shared" si="6"/>
        <v>-</v>
      </c>
      <c r="B49" s="40">
        <f t="shared" si="10"/>
        <v>1</v>
      </c>
      <c r="C49" s="40"/>
      <c r="D49" s="40"/>
      <c r="E49" s="42">
        <f t="shared" si="15"/>
        <v>0</v>
      </c>
      <c r="F49" s="62">
        <f t="shared" si="11"/>
        <v>0</v>
      </c>
      <c r="G49" s="103">
        <f>IFERROR(IF(VLOOKUP($A49,'Your Pooling'!$A$12:$K$30,MATCH("Already In Pool?",'Your Pooling'!$A$12:$K$12,0),0)="Y",0,VLOOKUP($A49,'Your Pooling'!$A$12:$K$30,MATCH("Your FSN Pooled",'Your Pooling'!$A$12:$K$12,0),))+J49,J49)</f>
        <v>0</v>
      </c>
      <c r="H49" s="103">
        <f>IFERROR(IF(VLOOKUP($A49,'Your Pooling'!$A$12:$K$30,MATCH("Already In Pool?",'Your Pooling'!$A$12:$K$12,0),0)="Y",0,VLOOKUP($A49,'Your Pooling'!$A$12:$K$30,MATCH("Your XXX Pooled",'Your Pooling'!$A$12:$K$12,0),))+K49,K49)</f>
        <v>0</v>
      </c>
      <c r="I49" s="69">
        <f t="shared" si="12"/>
        <v>0</v>
      </c>
      <c r="J49" s="69"/>
      <c r="K49" s="69"/>
      <c r="L49" s="75"/>
      <c r="M49" s="75"/>
      <c r="O49" s="57">
        <f t="shared" si="18"/>
        <v>0</v>
      </c>
      <c r="P49" s="40">
        <f t="shared" si="16"/>
        <v>0</v>
      </c>
      <c r="Q49" s="57">
        <f t="shared" si="13"/>
        <v>0</v>
      </c>
      <c r="R49" s="58">
        <f t="shared" si="17"/>
        <v>0</v>
      </c>
      <c r="S49" s="42">
        <f t="shared" si="14"/>
        <v>0</v>
      </c>
    </row>
    <row r="50" spans="1:19">
      <c r="A50" t="str">
        <f t="shared" si="6"/>
        <v>-</v>
      </c>
      <c r="B50" s="40">
        <f t="shared" si="10"/>
        <v>1</v>
      </c>
      <c r="C50" s="40"/>
      <c r="D50" s="40"/>
      <c r="E50" s="42">
        <f t="shared" si="15"/>
        <v>0</v>
      </c>
      <c r="F50" s="62">
        <f t="shared" si="11"/>
        <v>0</v>
      </c>
      <c r="G50" s="103">
        <f>IFERROR(IF(VLOOKUP($A50,'Your Pooling'!$A$12:$K$30,MATCH("Already In Pool?",'Your Pooling'!$A$12:$K$12,0),0)="Y",0,VLOOKUP($A50,'Your Pooling'!$A$12:$K$30,MATCH("Your FSN Pooled",'Your Pooling'!$A$12:$K$12,0),))+J50,J50)</f>
        <v>0</v>
      </c>
      <c r="H50" s="103">
        <f>IFERROR(IF(VLOOKUP($A50,'Your Pooling'!$A$12:$K$30,MATCH("Already In Pool?",'Your Pooling'!$A$12:$K$12,0),0)="Y",0,VLOOKUP($A50,'Your Pooling'!$A$12:$K$30,MATCH("Your XXX Pooled",'Your Pooling'!$A$12:$K$12,0),))+K50,K50)</f>
        <v>0</v>
      </c>
      <c r="I50" s="69">
        <f t="shared" si="12"/>
        <v>0</v>
      </c>
      <c r="J50" s="69"/>
      <c r="K50" s="69"/>
      <c r="L50" s="75"/>
      <c r="M50" s="75"/>
      <c r="O50" s="57">
        <f t="shared" si="18"/>
        <v>0</v>
      </c>
      <c r="P50" s="40">
        <f t="shared" si="16"/>
        <v>0</v>
      </c>
      <c r="Q50" s="57">
        <f t="shared" si="13"/>
        <v>0</v>
      </c>
      <c r="R50" s="58">
        <f t="shared" si="17"/>
        <v>0</v>
      </c>
      <c r="S50" s="42">
        <f t="shared" si="14"/>
        <v>0</v>
      </c>
    </row>
    <row r="51" spans="1:19">
      <c r="A51" t="str">
        <f t="shared" si="6"/>
        <v>-</v>
      </c>
      <c r="B51" s="40">
        <f t="shared" si="10"/>
        <v>1</v>
      </c>
      <c r="C51" s="40"/>
      <c r="D51" s="40"/>
      <c r="E51" s="42">
        <f t="shared" si="15"/>
        <v>0</v>
      </c>
      <c r="F51" s="62">
        <f t="shared" si="11"/>
        <v>0</v>
      </c>
      <c r="G51" s="103">
        <f>IFERROR(IF(VLOOKUP($A51,'Your Pooling'!$A$12:$K$30,MATCH("Already In Pool?",'Your Pooling'!$A$12:$K$12,0),0)="Y",0,VLOOKUP($A51,'Your Pooling'!$A$12:$K$30,MATCH("Your FSN Pooled",'Your Pooling'!$A$12:$K$12,0),))+J51,J51)</f>
        <v>0</v>
      </c>
      <c r="H51" s="103">
        <f>IFERROR(IF(VLOOKUP($A51,'Your Pooling'!$A$12:$K$30,MATCH("Already In Pool?",'Your Pooling'!$A$12:$K$12,0),0)="Y",0,VLOOKUP($A51,'Your Pooling'!$A$12:$K$30,MATCH("Your XXX Pooled",'Your Pooling'!$A$12:$K$12,0),))+K51,K51)</f>
        <v>0</v>
      </c>
      <c r="I51" s="69">
        <f t="shared" si="12"/>
        <v>0</v>
      </c>
      <c r="J51" s="69"/>
      <c r="K51" s="69"/>
      <c r="L51" s="75"/>
      <c r="M51" s="75"/>
      <c r="O51" s="57">
        <f t="shared" si="18"/>
        <v>0</v>
      </c>
      <c r="P51" s="40">
        <f t="shared" si="16"/>
        <v>0</v>
      </c>
      <c r="Q51" s="57">
        <f t="shared" si="13"/>
        <v>0</v>
      </c>
      <c r="R51" s="58">
        <f t="shared" si="17"/>
        <v>0</v>
      </c>
      <c r="S51" s="42">
        <f t="shared" si="14"/>
        <v>0</v>
      </c>
    </row>
    <row r="52" spans="1:19">
      <c r="A52" t="str">
        <f t="shared" si="6"/>
        <v>-</v>
      </c>
      <c r="B52" s="40">
        <f t="shared" si="10"/>
        <v>1</v>
      </c>
      <c r="C52" s="40"/>
      <c r="D52" s="40"/>
      <c r="E52" s="42">
        <f t="shared" si="15"/>
        <v>0</v>
      </c>
      <c r="F52" s="62">
        <f t="shared" si="11"/>
        <v>0</v>
      </c>
      <c r="G52" s="103">
        <f>IFERROR(IF(VLOOKUP($A52,'Your Pooling'!$A$12:$K$30,MATCH("Already In Pool?",'Your Pooling'!$A$12:$K$12,0),0)="Y",0,VLOOKUP($A52,'Your Pooling'!$A$12:$K$30,MATCH("Your FSN Pooled",'Your Pooling'!$A$12:$K$12,0),))+J52,J52)</f>
        <v>0</v>
      </c>
      <c r="H52" s="103">
        <f>IFERROR(IF(VLOOKUP($A52,'Your Pooling'!$A$12:$K$30,MATCH("Already In Pool?",'Your Pooling'!$A$12:$K$12,0),0)="Y",0,VLOOKUP($A52,'Your Pooling'!$A$12:$K$30,MATCH("Your XXX Pooled",'Your Pooling'!$A$12:$K$12,0),))+K52,K52)</f>
        <v>0</v>
      </c>
      <c r="I52" s="69">
        <f t="shared" si="12"/>
        <v>0</v>
      </c>
      <c r="J52" s="69"/>
      <c r="K52" s="69"/>
      <c r="L52" s="75"/>
      <c r="M52" s="75"/>
      <c r="O52" s="57">
        <f t="shared" si="18"/>
        <v>0</v>
      </c>
      <c r="P52" s="40">
        <f t="shared" si="16"/>
        <v>0</v>
      </c>
      <c r="Q52" s="57">
        <f t="shared" si="13"/>
        <v>0</v>
      </c>
      <c r="R52" s="58">
        <f t="shared" si="17"/>
        <v>0</v>
      </c>
      <c r="S52" s="42">
        <f t="shared" si="14"/>
        <v>0</v>
      </c>
    </row>
    <row r="53" spans="1:19">
      <c r="A53" t="str">
        <f t="shared" si="6"/>
        <v>-</v>
      </c>
      <c r="B53" s="40">
        <f t="shared" si="10"/>
        <v>1</v>
      </c>
      <c r="C53" s="40"/>
      <c r="D53" s="40"/>
      <c r="E53" s="42">
        <f t="shared" si="15"/>
        <v>0</v>
      </c>
      <c r="F53" s="62">
        <f t="shared" si="11"/>
        <v>0</v>
      </c>
      <c r="G53" s="103">
        <f>IFERROR(IF(VLOOKUP($A53,'Your Pooling'!$A$12:$K$30,MATCH("Already In Pool?",'Your Pooling'!$A$12:$K$12,0),0)="Y",0,VLOOKUP($A53,'Your Pooling'!$A$12:$K$30,MATCH("Your FSN Pooled",'Your Pooling'!$A$12:$K$12,0),))+J53,J53)</f>
        <v>0</v>
      </c>
      <c r="H53" s="103">
        <f>IFERROR(IF(VLOOKUP($A53,'Your Pooling'!$A$12:$K$30,MATCH("Already In Pool?",'Your Pooling'!$A$12:$K$12,0),0)="Y",0,VLOOKUP($A53,'Your Pooling'!$A$12:$K$30,MATCH("Your XXX Pooled",'Your Pooling'!$A$12:$K$12,0),))+K53,K53)</f>
        <v>0</v>
      </c>
      <c r="I53" s="69">
        <f t="shared" si="12"/>
        <v>0</v>
      </c>
      <c r="J53" s="69"/>
      <c r="K53" s="69"/>
      <c r="L53" s="75"/>
      <c r="M53" s="75"/>
      <c r="O53" s="57">
        <f t="shared" si="18"/>
        <v>0</v>
      </c>
      <c r="P53" s="40">
        <f t="shared" si="16"/>
        <v>0</v>
      </c>
      <c r="Q53" s="57">
        <f t="shared" si="13"/>
        <v>0</v>
      </c>
      <c r="R53" s="58">
        <f t="shared" si="17"/>
        <v>0</v>
      </c>
      <c r="S53" s="42">
        <f t="shared" si="14"/>
        <v>0</v>
      </c>
    </row>
    <row r="54" spans="1:19">
      <c r="A54" t="str">
        <f t="shared" si="6"/>
        <v>-</v>
      </c>
      <c r="B54" s="40">
        <f t="shared" si="10"/>
        <v>1</v>
      </c>
      <c r="C54" s="40"/>
      <c r="D54" s="40"/>
      <c r="E54" s="42">
        <f t="shared" si="15"/>
        <v>0</v>
      </c>
      <c r="F54" s="62">
        <f t="shared" si="11"/>
        <v>0</v>
      </c>
      <c r="G54" s="103">
        <f>IFERROR(IF(VLOOKUP($A54,'Your Pooling'!$A$12:$K$30,MATCH("Already In Pool?",'Your Pooling'!$A$12:$K$12,0),0)="Y",0,VLOOKUP($A54,'Your Pooling'!$A$12:$K$30,MATCH("Your FSN Pooled",'Your Pooling'!$A$12:$K$12,0),))+J54,J54)</f>
        <v>0</v>
      </c>
      <c r="H54" s="103">
        <f>IFERROR(IF(VLOOKUP($A54,'Your Pooling'!$A$12:$K$30,MATCH("Already In Pool?",'Your Pooling'!$A$12:$K$12,0),0)="Y",0,VLOOKUP($A54,'Your Pooling'!$A$12:$K$30,MATCH("Your XXX Pooled",'Your Pooling'!$A$12:$K$12,0),))+K54,K54)</f>
        <v>0</v>
      </c>
      <c r="I54" s="69">
        <f t="shared" si="12"/>
        <v>0</v>
      </c>
      <c r="J54" s="69"/>
      <c r="K54" s="69"/>
      <c r="L54" s="75"/>
      <c r="M54" s="75"/>
      <c r="O54" s="57">
        <f t="shared" si="18"/>
        <v>0</v>
      </c>
      <c r="P54" s="40">
        <f t="shared" si="16"/>
        <v>0</v>
      </c>
      <c r="Q54" s="57">
        <f t="shared" si="13"/>
        <v>0</v>
      </c>
      <c r="R54" s="58">
        <f t="shared" si="17"/>
        <v>0</v>
      </c>
      <c r="S54" s="42">
        <f t="shared" si="14"/>
        <v>0</v>
      </c>
    </row>
    <row r="55" spans="1:19">
      <c r="A55" t="str">
        <f t="shared" si="6"/>
        <v>-</v>
      </c>
      <c r="B55" s="40">
        <f t="shared" si="10"/>
        <v>1</v>
      </c>
      <c r="C55" s="40"/>
      <c r="D55" s="40"/>
      <c r="E55" s="42">
        <f t="shared" si="15"/>
        <v>0</v>
      </c>
      <c r="F55" s="62">
        <f t="shared" si="11"/>
        <v>0</v>
      </c>
      <c r="G55" s="103">
        <f>IFERROR(IF(VLOOKUP($A55,'Your Pooling'!$A$12:$K$30,MATCH("Already In Pool?",'Your Pooling'!$A$12:$K$12,0),0)="Y",0,VLOOKUP($A55,'Your Pooling'!$A$12:$K$30,MATCH("Your FSN Pooled",'Your Pooling'!$A$12:$K$12,0),))+J55,J55)</f>
        <v>0</v>
      </c>
      <c r="H55" s="103">
        <f>IFERROR(IF(VLOOKUP($A55,'Your Pooling'!$A$12:$K$30,MATCH("Already In Pool?",'Your Pooling'!$A$12:$K$12,0),0)="Y",0,VLOOKUP($A55,'Your Pooling'!$A$12:$K$30,MATCH("Your XXX Pooled",'Your Pooling'!$A$12:$K$12,0),))+K55,K55)</f>
        <v>0</v>
      </c>
      <c r="I55" s="69">
        <f t="shared" si="12"/>
        <v>0</v>
      </c>
      <c r="J55" s="69"/>
      <c r="K55" s="69"/>
      <c r="L55" s="75"/>
      <c r="M55" s="75"/>
      <c r="O55" s="57">
        <f t="shared" si="18"/>
        <v>0</v>
      </c>
      <c r="P55" s="40">
        <f t="shared" si="16"/>
        <v>0</v>
      </c>
      <c r="Q55" s="57">
        <f t="shared" si="13"/>
        <v>0</v>
      </c>
      <c r="R55" s="58">
        <f t="shared" si="17"/>
        <v>0</v>
      </c>
      <c r="S55" s="42">
        <f t="shared" si="14"/>
        <v>0</v>
      </c>
    </row>
    <row r="56" spans="1:19">
      <c r="A56" t="str">
        <f t="shared" si="6"/>
        <v>-</v>
      </c>
      <c r="B56" s="40">
        <f t="shared" si="10"/>
        <v>1</v>
      </c>
      <c r="C56" s="40"/>
      <c r="D56" s="40"/>
      <c r="E56" s="42">
        <f t="shared" si="15"/>
        <v>0</v>
      </c>
      <c r="F56" s="62">
        <f t="shared" si="11"/>
        <v>0</v>
      </c>
      <c r="G56" s="103">
        <f>IFERROR(IF(VLOOKUP($A56,'Your Pooling'!$A$12:$K$30,MATCH("Already In Pool?",'Your Pooling'!$A$12:$K$12,0),0)="Y",0,VLOOKUP($A56,'Your Pooling'!$A$12:$K$30,MATCH("Your FSN Pooled",'Your Pooling'!$A$12:$K$12,0),))+J56,J56)</f>
        <v>0</v>
      </c>
      <c r="H56" s="103">
        <f>IFERROR(IF(VLOOKUP($A56,'Your Pooling'!$A$12:$K$30,MATCH("Already In Pool?",'Your Pooling'!$A$12:$K$12,0),0)="Y",0,VLOOKUP($A56,'Your Pooling'!$A$12:$K$30,MATCH("Your XXX Pooled",'Your Pooling'!$A$12:$K$12,0),))+K56,K56)</f>
        <v>0</v>
      </c>
      <c r="I56" s="69">
        <f t="shared" si="12"/>
        <v>0</v>
      </c>
      <c r="J56" s="69"/>
      <c r="K56" s="69"/>
      <c r="L56" s="75"/>
      <c r="M56" s="75"/>
      <c r="O56" s="57">
        <f t="shared" si="18"/>
        <v>0</v>
      </c>
      <c r="P56" s="40">
        <f t="shared" si="16"/>
        <v>0</v>
      </c>
      <c r="Q56" s="57">
        <f t="shared" si="13"/>
        <v>0</v>
      </c>
      <c r="R56" s="58">
        <f t="shared" si="17"/>
        <v>0</v>
      </c>
      <c r="S56" s="42">
        <f t="shared" si="14"/>
        <v>0</v>
      </c>
    </row>
    <row r="57" spans="1:19">
      <c r="A57" t="str">
        <f t="shared" si="6"/>
        <v>-</v>
      </c>
      <c r="B57" s="40">
        <f t="shared" si="10"/>
        <v>1</v>
      </c>
      <c r="C57" s="40"/>
      <c r="D57" s="40"/>
      <c r="E57" s="42">
        <f t="shared" si="15"/>
        <v>0</v>
      </c>
      <c r="F57" s="62">
        <f t="shared" si="11"/>
        <v>0</v>
      </c>
      <c r="G57" s="103">
        <f>IFERROR(IF(VLOOKUP($A57,'Your Pooling'!$A$12:$K$30,MATCH("Already In Pool?",'Your Pooling'!$A$12:$K$12,0),0)="Y",0,VLOOKUP($A57,'Your Pooling'!$A$12:$K$30,MATCH("Your FSN Pooled",'Your Pooling'!$A$12:$K$12,0),))+J57,J57)</f>
        <v>0</v>
      </c>
      <c r="H57" s="103">
        <f>IFERROR(IF(VLOOKUP($A57,'Your Pooling'!$A$12:$K$30,MATCH("Already In Pool?",'Your Pooling'!$A$12:$K$12,0),0)="Y",0,VLOOKUP($A57,'Your Pooling'!$A$12:$K$30,MATCH("Your XXX Pooled",'Your Pooling'!$A$12:$K$12,0),))+K57,K57)</f>
        <v>0</v>
      </c>
      <c r="I57" s="69">
        <f t="shared" si="12"/>
        <v>0</v>
      </c>
      <c r="J57" s="69"/>
      <c r="K57" s="69"/>
      <c r="L57" s="75"/>
      <c r="M57" s="75"/>
      <c r="O57" s="57">
        <f t="shared" si="18"/>
        <v>0</v>
      </c>
      <c r="P57" s="40">
        <f t="shared" si="16"/>
        <v>0</v>
      </c>
      <c r="Q57" s="57">
        <f t="shared" si="13"/>
        <v>0</v>
      </c>
      <c r="R57" s="58">
        <f t="shared" si="17"/>
        <v>0</v>
      </c>
      <c r="S57" s="42">
        <f t="shared" si="14"/>
        <v>0</v>
      </c>
    </row>
    <row r="58" spans="1:19">
      <c r="A58" t="str">
        <f t="shared" si="6"/>
        <v>-</v>
      </c>
      <c r="B58" s="40">
        <f t="shared" si="10"/>
        <v>1</v>
      </c>
      <c r="C58" s="40"/>
      <c r="D58" s="40"/>
      <c r="E58" s="42">
        <f t="shared" si="15"/>
        <v>0</v>
      </c>
      <c r="F58" s="62">
        <f t="shared" si="11"/>
        <v>0</v>
      </c>
      <c r="G58" s="103">
        <f>IFERROR(IF(VLOOKUP($A58,'Your Pooling'!$A$12:$K$30,MATCH("Already In Pool?",'Your Pooling'!$A$12:$K$12,0),0)="Y",0,VLOOKUP($A58,'Your Pooling'!$A$12:$K$30,MATCH("Your FSN Pooled",'Your Pooling'!$A$12:$K$12,0),))+J58,J58)</f>
        <v>0</v>
      </c>
      <c r="H58" s="103">
        <f>IFERROR(IF(VLOOKUP($A58,'Your Pooling'!$A$12:$K$30,MATCH("Already In Pool?",'Your Pooling'!$A$12:$K$12,0),0)="Y",0,VLOOKUP($A58,'Your Pooling'!$A$12:$K$30,MATCH("Your XXX Pooled",'Your Pooling'!$A$12:$K$12,0),))+K58,K58)</f>
        <v>0</v>
      </c>
      <c r="I58" s="69">
        <f t="shared" si="12"/>
        <v>0</v>
      </c>
      <c r="J58" s="69"/>
      <c r="K58" s="69"/>
      <c r="L58" s="75"/>
      <c r="M58" s="75"/>
      <c r="O58" s="57">
        <f t="shared" si="18"/>
        <v>0</v>
      </c>
      <c r="P58" s="40">
        <f t="shared" si="16"/>
        <v>0</v>
      </c>
      <c r="Q58" s="57">
        <f t="shared" si="13"/>
        <v>0</v>
      </c>
      <c r="R58" s="58">
        <f t="shared" si="17"/>
        <v>0</v>
      </c>
      <c r="S58" s="42">
        <f t="shared" si="14"/>
        <v>0</v>
      </c>
    </row>
    <row r="59" spans="1:19">
      <c r="A59" t="str">
        <f t="shared" si="6"/>
        <v>-</v>
      </c>
      <c r="B59" s="40">
        <f t="shared" si="10"/>
        <v>1</v>
      </c>
      <c r="C59" s="40"/>
      <c r="D59" s="40"/>
      <c r="E59" s="42">
        <f t="shared" si="15"/>
        <v>0</v>
      </c>
      <c r="F59" s="62">
        <f t="shared" si="11"/>
        <v>0</v>
      </c>
      <c r="G59" s="103">
        <f>IFERROR(IF(VLOOKUP($A59,'Your Pooling'!$A$12:$K$30,MATCH("Already In Pool?",'Your Pooling'!$A$12:$K$12,0),0)="Y",0,VLOOKUP($A59,'Your Pooling'!$A$12:$K$30,MATCH("Your FSN Pooled",'Your Pooling'!$A$12:$K$12,0),))+J59,J59)</f>
        <v>0</v>
      </c>
      <c r="H59" s="103">
        <f>IFERROR(IF(VLOOKUP($A59,'Your Pooling'!$A$12:$K$30,MATCH("Already In Pool?",'Your Pooling'!$A$12:$K$12,0),0)="Y",0,VLOOKUP($A59,'Your Pooling'!$A$12:$K$30,MATCH("Your XXX Pooled",'Your Pooling'!$A$12:$K$12,0),))+K59,K59)</f>
        <v>0</v>
      </c>
      <c r="I59" s="69">
        <f t="shared" si="12"/>
        <v>0</v>
      </c>
      <c r="J59" s="69"/>
      <c r="K59" s="69"/>
      <c r="L59" s="75"/>
      <c r="M59" s="75"/>
      <c r="O59" s="57">
        <f t="shared" si="18"/>
        <v>0</v>
      </c>
      <c r="P59" s="40">
        <f t="shared" si="16"/>
        <v>0</v>
      </c>
      <c r="Q59" s="57">
        <f t="shared" si="13"/>
        <v>0</v>
      </c>
      <c r="R59" s="58">
        <f t="shared" si="17"/>
        <v>0</v>
      </c>
      <c r="S59" s="42">
        <f t="shared" si="14"/>
        <v>0</v>
      </c>
    </row>
    <row r="60" spans="1:19">
      <c r="A60" t="str">
        <f t="shared" si="6"/>
        <v>-</v>
      </c>
      <c r="B60" s="40">
        <f t="shared" si="10"/>
        <v>1</v>
      </c>
      <c r="C60" s="40"/>
      <c r="D60" s="40"/>
      <c r="E60" s="42">
        <f t="shared" si="15"/>
        <v>0</v>
      </c>
      <c r="F60" s="62">
        <f t="shared" si="11"/>
        <v>0</v>
      </c>
      <c r="G60" s="103">
        <f>IFERROR(IF(VLOOKUP($A60,'Your Pooling'!$A$12:$K$30,MATCH("Already In Pool?",'Your Pooling'!$A$12:$K$12,0),0)="Y",0,VLOOKUP($A60,'Your Pooling'!$A$12:$K$30,MATCH("Your FSN Pooled",'Your Pooling'!$A$12:$K$12,0),))+J60,J60)</f>
        <v>0</v>
      </c>
      <c r="H60" s="103">
        <f>IFERROR(IF(VLOOKUP($A60,'Your Pooling'!$A$12:$K$30,MATCH("Already In Pool?",'Your Pooling'!$A$12:$K$12,0),0)="Y",0,VLOOKUP($A60,'Your Pooling'!$A$12:$K$30,MATCH("Your XXX Pooled",'Your Pooling'!$A$12:$K$12,0),))+K60,K60)</f>
        <v>0</v>
      </c>
      <c r="I60" s="69">
        <f t="shared" si="12"/>
        <v>0</v>
      </c>
      <c r="J60" s="69"/>
      <c r="K60" s="69"/>
      <c r="L60" s="75"/>
      <c r="M60" s="75"/>
      <c r="O60" s="57">
        <f t="shared" si="18"/>
        <v>0</v>
      </c>
      <c r="P60" s="40">
        <f t="shared" si="16"/>
        <v>0</v>
      </c>
      <c r="Q60" s="57">
        <f t="shared" si="13"/>
        <v>0</v>
      </c>
      <c r="R60" s="58">
        <f t="shared" si="17"/>
        <v>0</v>
      </c>
      <c r="S60" s="42">
        <f t="shared" si="14"/>
        <v>0</v>
      </c>
    </row>
    <row r="61" spans="1:19">
      <c r="A61" t="str">
        <f t="shared" si="6"/>
        <v>-</v>
      </c>
      <c r="B61" s="40">
        <f t="shared" si="10"/>
        <v>1</v>
      </c>
      <c r="C61" s="40"/>
      <c r="D61" s="40"/>
      <c r="E61" s="42">
        <f t="shared" si="15"/>
        <v>0</v>
      </c>
      <c r="F61" s="62">
        <f t="shared" si="11"/>
        <v>0</v>
      </c>
      <c r="G61" s="103">
        <f>IFERROR(IF(VLOOKUP($A61,'Your Pooling'!$A$12:$K$30,MATCH("Already In Pool?",'Your Pooling'!$A$12:$K$12,0),0)="Y",0,VLOOKUP($A61,'Your Pooling'!$A$12:$K$30,MATCH("Your FSN Pooled",'Your Pooling'!$A$12:$K$12,0),))+J61,J61)</f>
        <v>0</v>
      </c>
      <c r="H61" s="103">
        <f>IFERROR(IF(VLOOKUP($A61,'Your Pooling'!$A$12:$K$30,MATCH("Already In Pool?",'Your Pooling'!$A$12:$K$12,0),0)="Y",0,VLOOKUP($A61,'Your Pooling'!$A$12:$K$30,MATCH("Your XXX Pooled",'Your Pooling'!$A$12:$K$12,0),))+K61,K61)</f>
        <v>0</v>
      </c>
      <c r="I61" s="69">
        <f t="shared" si="12"/>
        <v>0</v>
      </c>
      <c r="J61" s="69"/>
      <c r="K61" s="69"/>
      <c r="L61" s="75"/>
      <c r="M61" s="75"/>
      <c r="O61" s="57">
        <f t="shared" si="18"/>
        <v>0</v>
      </c>
      <c r="P61" s="40">
        <f t="shared" si="16"/>
        <v>0</v>
      </c>
      <c r="Q61" s="57">
        <f t="shared" si="13"/>
        <v>0</v>
      </c>
      <c r="R61" s="58">
        <f t="shared" si="17"/>
        <v>0</v>
      </c>
      <c r="S61" s="42">
        <f t="shared" si="14"/>
        <v>0</v>
      </c>
    </row>
    <row r="62" spans="1:19">
      <c r="A62" t="str">
        <f t="shared" si="6"/>
        <v>-</v>
      </c>
      <c r="B62" s="40">
        <f t="shared" si="10"/>
        <v>1</v>
      </c>
      <c r="C62" s="40"/>
      <c r="D62" s="40"/>
      <c r="E62" s="42">
        <f t="shared" si="15"/>
        <v>0</v>
      </c>
      <c r="F62" s="62">
        <f t="shared" si="11"/>
        <v>0</v>
      </c>
      <c r="G62" s="103">
        <f>IFERROR(IF(VLOOKUP($A62,'Your Pooling'!$A$12:$K$30,MATCH("Already In Pool?",'Your Pooling'!$A$12:$K$12,0),0)="Y",0,VLOOKUP($A62,'Your Pooling'!$A$12:$K$30,MATCH("Your FSN Pooled",'Your Pooling'!$A$12:$K$12,0),))+J62,J62)</f>
        <v>0</v>
      </c>
      <c r="H62" s="103">
        <f>IFERROR(IF(VLOOKUP($A62,'Your Pooling'!$A$12:$K$30,MATCH("Already In Pool?",'Your Pooling'!$A$12:$K$12,0),0)="Y",0,VLOOKUP($A62,'Your Pooling'!$A$12:$K$30,MATCH("Your XXX Pooled",'Your Pooling'!$A$12:$K$12,0),))+K62,K62)</f>
        <v>0</v>
      </c>
      <c r="I62" s="69">
        <f t="shared" si="12"/>
        <v>0</v>
      </c>
      <c r="J62" s="69"/>
      <c r="K62" s="69"/>
      <c r="L62" s="75"/>
      <c r="M62" s="75"/>
      <c r="O62" s="57">
        <f t="shared" si="18"/>
        <v>0</v>
      </c>
      <c r="P62" s="40">
        <f t="shared" si="16"/>
        <v>0</v>
      </c>
      <c r="Q62" s="57">
        <f t="shared" si="13"/>
        <v>0</v>
      </c>
      <c r="R62" s="58">
        <f t="shared" si="17"/>
        <v>0</v>
      </c>
      <c r="S62" s="42">
        <f t="shared" si="14"/>
        <v>0</v>
      </c>
    </row>
    <row r="63" spans="1:19">
      <c r="A63" t="str">
        <f t="shared" si="6"/>
        <v>-</v>
      </c>
      <c r="B63" s="40">
        <f t="shared" si="10"/>
        <v>1</v>
      </c>
      <c r="C63" s="40"/>
      <c r="D63" s="40"/>
      <c r="E63" s="42">
        <f t="shared" si="15"/>
        <v>0</v>
      </c>
      <c r="F63" s="62">
        <f t="shared" si="11"/>
        <v>0</v>
      </c>
      <c r="G63" s="103">
        <f>IFERROR(IF(VLOOKUP($A63,'Your Pooling'!$A$12:$K$30,MATCH("Already In Pool?",'Your Pooling'!$A$12:$K$12,0),0)="Y",0,VLOOKUP($A63,'Your Pooling'!$A$12:$K$30,MATCH("Your FSN Pooled",'Your Pooling'!$A$12:$K$12,0),))+J63,J63)</f>
        <v>0</v>
      </c>
      <c r="H63" s="103">
        <f>IFERROR(IF(VLOOKUP($A63,'Your Pooling'!$A$12:$K$30,MATCH("Already In Pool?",'Your Pooling'!$A$12:$K$12,0),0)="Y",0,VLOOKUP($A63,'Your Pooling'!$A$12:$K$30,MATCH("Your XXX Pooled",'Your Pooling'!$A$12:$K$12,0),))+K63,K63)</f>
        <v>0</v>
      </c>
      <c r="I63" s="69">
        <f t="shared" si="12"/>
        <v>0</v>
      </c>
      <c r="J63" s="69"/>
      <c r="K63" s="69"/>
      <c r="L63" s="75"/>
      <c r="M63" s="75"/>
      <c r="O63" s="57">
        <f t="shared" si="18"/>
        <v>0</v>
      </c>
      <c r="P63" s="40">
        <f t="shared" si="16"/>
        <v>0</v>
      </c>
      <c r="Q63" s="57">
        <f t="shared" si="13"/>
        <v>0</v>
      </c>
      <c r="R63" s="58">
        <f t="shared" si="17"/>
        <v>0</v>
      </c>
      <c r="S63" s="42">
        <f t="shared" si="14"/>
        <v>0</v>
      </c>
    </row>
    <row r="64" spans="1:19">
      <c r="A64" t="str">
        <f t="shared" si="6"/>
        <v>-</v>
      </c>
      <c r="B64" s="40">
        <f t="shared" si="10"/>
        <v>1</v>
      </c>
      <c r="C64" s="40"/>
      <c r="D64" s="40"/>
      <c r="E64" s="42">
        <f t="shared" si="15"/>
        <v>0</v>
      </c>
      <c r="F64" s="62">
        <f t="shared" si="11"/>
        <v>0</v>
      </c>
      <c r="G64" s="103">
        <f>IFERROR(IF(VLOOKUP($A64,'Your Pooling'!$A$12:$K$30,MATCH("Already In Pool?",'Your Pooling'!$A$12:$K$12,0),0)="Y",0,VLOOKUP($A64,'Your Pooling'!$A$12:$K$30,MATCH("Your FSN Pooled",'Your Pooling'!$A$12:$K$12,0),))+J64,J64)</f>
        <v>0</v>
      </c>
      <c r="H64" s="103">
        <f>IFERROR(IF(VLOOKUP($A64,'Your Pooling'!$A$12:$K$30,MATCH("Already In Pool?",'Your Pooling'!$A$12:$K$12,0),0)="Y",0,VLOOKUP($A64,'Your Pooling'!$A$12:$K$30,MATCH("Your XXX Pooled",'Your Pooling'!$A$12:$K$12,0),))+K64,K64)</f>
        <v>0</v>
      </c>
      <c r="I64" s="69">
        <f t="shared" si="12"/>
        <v>0</v>
      </c>
      <c r="J64" s="69"/>
      <c r="K64" s="69"/>
      <c r="L64" s="75"/>
      <c r="M64" s="75"/>
      <c r="O64" s="57">
        <f t="shared" si="18"/>
        <v>0</v>
      </c>
      <c r="P64" s="40">
        <f t="shared" si="16"/>
        <v>0</v>
      </c>
      <c r="Q64" s="57">
        <f t="shared" si="13"/>
        <v>0</v>
      </c>
      <c r="R64" s="58">
        <f t="shared" si="17"/>
        <v>0</v>
      </c>
      <c r="S64" s="42">
        <f t="shared" si="14"/>
        <v>0</v>
      </c>
    </row>
    <row r="65" spans="1:19">
      <c r="A65" t="str">
        <f t="shared" si="6"/>
        <v>-</v>
      </c>
      <c r="B65" s="40">
        <f t="shared" si="10"/>
        <v>1</v>
      </c>
      <c r="C65" s="40"/>
      <c r="D65" s="40"/>
      <c r="E65" s="42">
        <f t="shared" si="15"/>
        <v>0</v>
      </c>
      <c r="F65" s="62">
        <f t="shared" si="11"/>
        <v>0</v>
      </c>
      <c r="G65" s="103">
        <f>IFERROR(IF(VLOOKUP($A65,'Your Pooling'!$A$12:$K$30,MATCH("Already In Pool?",'Your Pooling'!$A$12:$K$12,0),0)="Y",0,VLOOKUP($A65,'Your Pooling'!$A$12:$K$30,MATCH("Your FSN Pooled",'Your Pooling'!$A$12:$K$12,0),))+J65,J65)</f>
        <v>0</v>
      </c>
      <c r="H65" s="103">
        <f>IFERROR(IF(VLOOKUP($A65,'Your Pooling'!$A$12:$K$30,MATCH("Already In Pool?",'Your Pooling'!$A$12:$K$12,0),0)="Y",0,VLOOKUP($A65,'Your Pooling'!$A$12:$K$30,MATCH("Your XXX Pooled",'Your Pooling'!$A$12:$K$12,0),))+K65,K65)</f>
        <v>0</v>
      </c>
      <c r="I65" s="69">
        <f t="shared" si="12"/>
        <v>0</v>
      </c>
      <c r="J65" s="69"/>
      <c r="K65" s="69"/>
      <c r="L65" s="75"/>
      <c r="M65" s="75"/>
      <c r="O65" s="57">
        <f t="shared" si="18"/>
        <v>0</v>
      </c>
      <c r="P65" s="40">
        <f t="shared" si="16"/>
        <v>0</v>
      </c>
      <c r="Q65" s="57">
        <f t="shared" si="13"/>
        <v>0</v>
      </c>
      <c r="R65" s="58">
        <f t="shared" si="17"/>
        <v>0</v>
      </c>
      <c r="S65" s="42">
        <f t="shared" si="14"/>
        <v>0</v>
      </c>
    </row>
    <row r="66" spans="1:19">
      <c r="A66" t="str">
        <f t="shared" si="6"/>
        <v>-</v>
      </c>
      <c r="B66" s="40">
        <f t="shared" si="10"/>
        <v>1</v>
      </c>
      <c r="C66" s="40"/>
      <c r="D66" s="40"/>
      <c r="E66" s="42">
        <f t="shared" si="15"/>
        <v>0</v>
      </c>
      <c r="F66" s="62">
        <f t="shared" si="11"/>
        <v>0</v>
      </c>
      <c r="G66" s="103">
        <f>IFERROR(IF(VLOOKUP($A66,'Your Pooling'!$A$12:$K$30,MATCH("Already In Pool?",'Your Pooling'!$A$12:$K$12,0),0)="Y",0,VLOOKUP($A66,'Your Pooling'!$A$12:$K$30,MATCH("Your FSN Pooled",'Your Pooling'!$A$12:$K$12,0),))+J66,J66)</f>
        <v>0</v>
      </c>
      <c r="H66" s="103">
        <f>IFERROR(IF(VLOOKUP($A66,'Your Pooling'!$A$12:$K$30,MATCH("Already In Pool?",'Your Pooling'!$A$12:$K$12,0),0)="Y",0,VLOOKUP($A66,'Your Pooling'!$A$12:$K$30,MATCH("Your XXX Pooled",'Your Pooling'!$A$12:$K$12,0),))+K66,K66)</f>
        <v>0</v>
      </c>
      <c r="I66" s="69">
        <f t="shared" si="12"/>
        <v>0</v>
      </c>
      <c r="J66" s="69"/>
      <c r="K66" s="69"/>
      <c r="L66" s="75"/>
      <c r="M66" s="75"/>
      <c r="O66" s="57">
        <f t="shared" si="18"/>
        <v>0</v>
      </c>
      <c r="P66" s="40">
        <f t="shared" si="16"/>
        <v>0</v>
      </c>
      <c r="Q66" s="57">
        <f t="shared" si="13"/>
        <v>0</v>
      </c>
      <c r="R66" s="58">
        <f t="shared" si="17"/>
        <v>0</v>
      </c>
      <c r="S66" s="42">
        <f t="shared" si="14"/>
        <v>0</v>
      </c>
    </row>
    <row r="67" spans="1:19">
      <c r="A67" t="str">
        <f t="shared" si="6"/>
        <v>-</v>
      </c>
      <c r="B67" s="40">
        <f t="shared" si="10"/>
        <v>1</v>
      </c>
      <c r="C67" s="40"/>
      <c r="D67" s="40"/>
      <c r="E67" s="42">
        <f t="shared" si="15"/>
        <v>0</v>
      </c>
      <c r="F67" s="62">
        <f t="shared" si="11"/>
        <v>0</v>
      </c>
      <c r="G67" s="103">
        <f>IFERROR(IF(VLOOKUP($A67,'Your Pooling'!$A$12:$K$30,MATCH("Already In Pool?",'Your Pooling'!$A$12:$K$12,0),0)="Y",0,VLOOKUP($A67,'Your Pooling'!$A$12:$K$30,MATCH("Your FSN Pooled",'Your Pooling'!$A$12:$K$12,0),))+J67,J67)</f>
        <v>0</v>
      </c>
      <c r="H67" s="103">
        <f>IFERROR(IF(VLOOKUP($A67,'Your Pooling'!$A$12:$K$30,MATCH("Already In Pool?",'Your Pooling'!$A$12:$K$12,0),0)="Y",0,VLOOKUP($A67,'Your Pooling'!$A$12:$K$30,MATCH("Your XXX Pooled",'Your Pooling'!$A$12:$K$12,0),))+K67,K67)</f>
        <v>0</v>
      </c>
      <c r="I67" s="69">
        <f t="shared" si="12"/>
        <v>0</v>
      </c>
      <c r="J67" s="69"/>
      <c r="K67" s="69"/>
      <c r="L67" s="75"/>
      <c r="M67" s="75"/>
      <c r="O67" s="57">
        <f t="shared" si="18"/>
        <v>0</v>
      </c>
      <c r="P67" s="40">
        <f t="shared" si="16"/>
        <v>0</v>
      </c>
      <c r="Q67" s="57">
        <f t="shared" si="13"/>
        <v>0</v>
      </c>
      <c r="R67" s="58">
        <f t="shared" si="17"/>
        <v>0</v>
      </c>
      <c r="S67" s="42">
        <f t="shared" si="14"/>
        <v>0</v>
      </c>
    </row>
    <row r="68" spans="1:19">
      <c r="A68" t="str">
        <f t="shared" si="6"/>
        <v>-</v>
      </c>
      <c r="B68" s="40">
        <f t="shared" si="10"/>
        <v>1</v>
      </c>
      <c r="C68" s="40"/>
      <c r="D68" s="40"/>
      <c r="E68" s="42">
        <f t="shared" si="15"/>
        <v>0</v>
      </c>
      <c r="F68" s="62">
        <f t="shared" si="11"/>
        <v>0</v>
      </c>
      <c r="G68" s="103">
        <f>IFERROR(IF(VLOOKUP($A68,'Your Pooling'!$A$12:$K$30,MATCH("Already In Pool?",'Your Pooling'!$A$12:$K$12,0),0)="Y",0,VLOOKUP($A68,'Your Pooling'!$A$12:$K$30,MATCH("Your FSN Pooled",'Your Pooling'!$A$12:$K$12,0),))+J68,J68)</f>
        <v>0</v>
      </c>
      <c r="H68" s="103">
        <f>IFERROR(IF(VLOOKUP($A68,'Your Pooling'!$A$12:$K$30,MATCH("Already In Pool?",'Your Pooling'!$A$12:$K$12,0),0)="Y",0,VLOOKUP($A68,'Your Pooling'!$A$12:$K$30,MATCH("Your XXX Pooled",'Your Pooling'!$A$12:$K$12,0),))+K68,K68)</f>
        <v>0</v>
      </c>
      <c r="I68" s="69">
        <f t="shared" si="12"/>
        <v>0</v>
      </c>
      <c r="J68" s="69"/>
      <c r="K68" s="69"/>
      <c r="L68" s="75"/>
      <c r="M68" s="75"/>
      <c r="O68" s="57">
        <f t="shared" si="18"/>
        <v>0</v>
      </c>
      <c r="P68" s="40">
        <f t="shared" si="16"/>
        <v>0</v>
      </c>
      <c r="Q68" s="57">
        <f t="shared" si="13"/>
        <v>0</v>
      </c>
      <c r="R68" s="58">
        <f t="shared" si="17"/>
        <v>0</v>
      </c>
      <c r="S68" s="42">
        <f t="shared" si="14"/>
        <v>0</v>
      </c>
    </row>
    <row r="69" spans="1:19">
      <c r="A69" t="str">
        <f t="shared" si="6"/>
        <v>-</v>
      </c>
      <c r="B69" s="40">
        <f t="shared" si="10"/>
        <v>1</v>
      </c>
      <c r="C69" s="40"/>
      <c r="D69" s="40"/>
      <c r="E69" s="42">
        <f t="shared" si="15"/>
        <v>0</v>
      </c>
      <c r="F69" s="62">
        <f t="shared" si="11"/>
        <v>0</v>
      </c>
      <c r="G69" s="103">
        <f>IFERROR(IF(VLOOKUP($A69,'Your Pooling'!$A$12:$K$30,MATCH("Already In Pool?",'Your Pooling'!$A$12:$K$12,0),0)="Y",0,VLOOKUP($A69,'Your Pooling'!$A$12:$K$30,MATCH("Your FSN Pooled",'Your Pooling'!$A$12:$K$12,0),))+J69,J69)</f>
        <v>0</v>
      </c>
      <c r="H69" s="103">
        <f>IFERROR(IF(VLOOKUP($A69,'Your Pooling'!$A$12:$K$30,MATCH("Already In Pool?",'Your Pooling'!$A$12:$K$12,0),0)="Y",0,VLOOKUP($A69,'Your Pooling'!$A$12:$K$30,MATCH("Your XXX Pooled",'Your Pooling'!$A$12:$K$12,0),))+K69,K69)</f>
        <v>0</v>
      </c>
      <c r="I69" s="69">
        <f t="shared" si="12"/>
        <v>0</v>
      </c>
      <c r="J69" s="69"/>
      <c r="K69" s="69"/>
      <c r="L69" s="75"/>
      <c r="M69" s="75"/>
      <c r="O69" s="57">
        <f t="shared" si="18"/>
        <v>0</v>
      </c>
      <c r="P69" s="40">
        <f t="shared" si="16"/>
        <v>0</v>
      </c>
      <c r="Q69" s="57">
        <f t="shared" si="13"/>
        <v>0</v>
      </c>
      <c r="R69" s="58">
        <f t="shared" si="17"/>
        <v>0</v>
      </c>
      <c r="S69" s="42">
        <f t="shared" si="14"/>
        <v>0</v>
      </c>
    </row>
    <row r="70" spans="1:19">
      <c r="A70" t="str">
        <f t="shared" si="6"/>
        <v>-</v>
      </c>
      <c r="B70" s="40">
        <f t="shared" si="10"/>
        <v>1</v>
      </c>
      <c r="C70" s="40"/>
      <c r="D70" s="40"/>
      <c r="E70" s="42">
        <f t="shared" si="15"/>
        <v>0</v>
      </c>
      <c r="F70" s="62">
        <f t="shared" si="11"/>
        <v>0</v>
      </c>
      <c r="G70" s="103">
        <f>IFERROR(IF(VLOOKUP($A70,'Your Pooling'!$A$12:$K$30,MATCH("Already In Pool?",'Your Pooling'!$A$12:$K$12,0),0)="Y",0,VLOOKUP($A70,'Your Pooling'!$A$12:$K$30,MATCH("Your FSN Pooled",'Your Pooling'!$A$12:$K$12,0),))+J70,J70)</f>
        <v>0</v>
      </c>
      <c r="H70" s="103">
        <f>IFERROR(IF(VLOOKUP($A70,'Your Pooling'!$A$12:$K$30,MATCH("Already In Pool?",'Your Pooling'!$A$12:$K$12,0),0)="Y",0,VLOOKUP($A70,'Your Pooling'!$A$12:$K$30,MATCH("Your XXX Pooled",'Your Pooling'!$A$12:$K$12,0),))+K70,K70)</f>
        <v>0</v>
      </c>
      <c r="I70" s="69">
        <f t="shared" si="12"/>
        <v>0</v>
      </c>
      <c r="J70" s="69"/>
      <c r="K70" s="69"/>
      <c r="L70" s="75"/>
      <c r="M70" s="75"/>
      <c r="O70" s="57">
        <f t="shared" si="18"/>
        <v>0</v>
      </c>
      <c r="P70" s="40">
        <f t="shared" si="16"/>
        <v>0</v>
      </c>
      <c r="Q70" s="57">
        <f t="shared" si="13"/>
        <v>0</v>
      </c>
      <c r="R70" s="58">
        <f t="shared" si="17"/>
        <v>0</v>
      </c>
      <c r="S70" s="42">
        <f t="shared" si="14"/>
        <v>0</v>
      </c>
    </row>
    <row r="71" spans="1:19">
      <c r="A71" t="str">
        <f t="shared" si="6"/>
        <v>-</v>
      </c>
      <c r="B71" s="40">
        <f t="shared" si="10"/>
        <v>1</v>
      </c>
      <c r="C71" s="40"/>
      <c r="D71" s="40"/>
      <c r="E71" s="42">
        <f t="shared" si="15"/>
        <v>0</v>
      </c>
      <c r="F71" s="62">
        <f t="shared" si="11"/>
        <v>0</v>
      </c>
      <c r="G71" s="103">
        <f>IFERROR(IF(VLOOKUP($A71,'Your Pooling'!$A$12:$K$30,MATCH("Already In Pool?",'Your Pooling'!$A$12:$K$12,0),0)="Y",0,VLOOKUP($A71,'Your Pooling'!$A$12:$K$30,MATCH("Your FSN Pooled",'Your Pooling'!$A$12:$K$12,0),))+J71,J71)</f>
        <v>0</v>
      </c>
      <c r="H71" s="103">
        <f>IFERROR(IF(VLOOKUP($A71,'Your Pooling'!$A$12:$K$30,MATCH("Already In Pool?",'Your Pooling'!$A$12:$K$12,0),0)="Y",0,VLOOKUP($A71,'Your Pooling'!$A$12:$K$30,MATCH("Your XXX Pooled",'Your Pooling'!$A$12:$K$12,0),))+K71,K71)</f>
        <v>0</v>
      </c>
      <c r="I71" s="69">
        <f t="shared" si="12"/>
        <v>0</v>
      </c>
      <c r="J71" s="69"/>
      <c r="K71" s="69"/>
      <c r="L71" s="75"/>
      <c r="M71" s="75"/>
      <c r="O71" s="57">
        <f t="shared" si="18"/>
        <v>0</v>
      </c>
      <c r="P71" s="40">
        <f t="shared" si="16"/>
        <v>0</v>
      </c>
      <c r="Q71" s="57">
        <f t="shared" si="13"/>
        <v>0</v>
      </c>
      <c r="R71" s="58">
        <f t="shared" si="17"/>
        <v>0</v>
      </c>
      <c r="S71" s="42">
        <f t="shared" si="14"/>
        <v>0</v>
      </c>
    </row>
    <row r="72" spans="1:19">
      <c r="A72" t="str">
        <f t="shared" si="6"/>
        <v>-</v>
      </c>
      <c r="B72" s="40">
        <f t="shared" si="10"/>
        <v>1</v>
      </c>
      <c r="C72" s="40"/>
      <c r="D72" s="40"/>
      <c r="E72" s="42">
        <f t="shared" si="15"/>
        <v>0</v>
      </c>
      <c r="F72" s="62">
        <f t="shared" si="11"/>
        <v>0</v>
      </c>
      <c r="G72" s="103">
        <f>IFERROR(IF(VLOOKUP($A72,'Your Pooling'!$A$12:$K$30,MATCH("Already In Pool?",'Your Pooling'!$A$12:$K$12,0),0)="Y",0,VLOOKUP($A72,'Your Pooling'!$A$12:$K$30,MATCH("Your FSN Pooled",'Your Pooling'!$A$12:$K$12,0),))+J72,J72)</f>
        <v>0</v>
      </c>
      <c r="H72" s="103">
        <f>IFERROR(IF(VLOOKUP($A72,'Your Pooling'!$A$12:$K$30,MATCH("Already In Pool?",'Your Pooling'!$A$12:$K$12,0),0)="Y",0,VLOOKUP($A72,'Your Pooling'!$A$12:$K$30,MATCH("Your XXX Pooled",'Your Pooling'!$A$12:$K$12,0),))+K72,K72)</f>
        <v>0</v>
      </c>
      <c r="I72" s="69">
        <f t="shared" si="12"/>
        <v>0</v>
      </c>
      <c r="J72" s="69"/>
      <c r="K72" s="69"/>
      <c r="L72" s="75"/>
      <c r="M72" s="75"/>
      <c r="O72" s="57">
        <f t="shared" si="18"/>
        <v>0</v>
      </c>
      <c r="P72" s="40">
        <f t="shared" si="16"/>
        <v>0</v>
      </c>
      <c r="Q72" s="57">
        <f t="shared" si="13"/>
        <v>0</v>
      </c>
      <c r="R72" s="58">
        <f t="shared" si="17"/>
        <v>0</v>
      </c>
      <c r="S72" s="42">
        <f t="shared" si="14"/>
        <v>0</v>
      </c>
    </row>
    <row r="73" spans="1:19">
      <c r="A73" t="str">
        <f t="shared" si="6"/>
        <v>-</v>
      </c>
      <c r="B73" s="40">
        <f t="shared" si="10"/>
        <v>1</v>
      </c>
      <c r="C73" s="40"/>
      <c r="D73" s="40"/>
      <c r="E73" s="42">
        <f t="shared" si="15"/>
        <v>0</v>
      </c>
      <c r="F73" s="62">
        <f t="shared" si="11"/>
        <v>0</v>
      </c>
      <c r="G73" s="103">
        <f>IFERROR(IF(VLOOKUP($A73,'Your Pooling'!$A$12:$K$30,MATCH("Already In Pool?",'Your Pooling'!$A$12:$K$12,0),0)="Y",0,VLOOKUP($A73,'Your Pooling'!$A$12:$K$30,MATCH("Your FSN Pooled",'Your Pooling'!$A$12:$K$12,0),))+J73,J73)</f>
        <v>0</v>
      </c>
      <c r="H73" s="103">
        <f>IFERROR(IF(VLOOKUP($A73,'Your Pooling'!$A$12:$K$30,MATCH("Already In Pool?",'Your Pooling'!$A$12:$K$12,0),0)="Y",0,VLOOKUP($A73,'Your Pooling'!$A$12:$K$30,MATCH("Your XXX Pooled",'Your Pooling'!$A$12:$K$12,0),))+K73,K73)</f>
        <v>0</v>
      </c>
      <c r="I73" s="69">
        <f t="shared" si="12"/>
        <v>0</v>
      </c>
      <c r="J73" s="69"/>
      <c r="K73" s="69"/>
      <c r="L73" s="75"/>
      <c r="M73" s="75"/>
      <c r="O73" s="57">
        <f t="shared" si="18"/>
        <v>0</v>
      </c>
      <c r="P73" s="40">
        <f t="shared" si="16"/>
        <v>0</v>
      </c>
      <c r="Q73" s="57">
        <f t="shared" si="13"/>
        <v>0</v>
      </c>
      <c r="R73" s="58">
        <f t="shared" si="17"/>
        <v>0</v>
      </c>
      <c r="S73" s="42">
        <f t="shared" si="14"/>
        <v>0</v>
      </c>
    </row>
    <row r="74" spans="1:19">
      <c r="A74" t="str">
        <f t="shared" si="6"/>
        <v>-</v>
      </c>
      <c r="B74" s="40">
        <f t="shared" si="10"/>
        <v>1</v>
      </c>
      <c r="C74" s="40"/>
      <c r="D74" s="40"/>
      <c r="E74" s="42">
        <f t="shared" si="15"/>
        <v>0</v>
      </c>
      <c r="F74" s="62">
        <f t="shared" si="11"/>
        <v>0</v>
      </c>
      <c r="G74" s="103">
        <f>IFERROR(IF(VLOOKUP($A74,'Your Pooling'!$A$12:$K$30,MATCH("Already In Pool?",'Your Pooling'!$A$12:$K$12,0),0)="Y",0,VLOOKUP($A74,'Your Pooling'!$A$12:$K$30,MATCH("Your FSN Pooled",'Your Pooling'!$A$12:$K$12,0),))+J74,J74)</f>
        <v>0</v>
      </c>
      <c r="H74" s="103">
        <f>IFERROR(IF(VLOOKUP($A74,'Your Pooling'!$A$12:$K$30,MATCH("Already In Pool?",'Your Pooling'!$A$12:$K$12,0),0)="Y",0,VLOOKUP($A74,'Your Pooling'!$A$12:$K$30,MATCH("Your XXX Pooled",'Your Pooling'!$A$12:$K$12,0),))+K74,K74)</f>
        <v>0</v>
      </c>
      <c r="I74" s="69">
        <f t="shared" si="12"/>
        <v>0</v>
      </c>
      <c r="J74" s="69"/>
      <c r="K74" s="69"/>
      <c r="L74" s="75"/>
      <c r="M74" s="75"/>
      <c r="O74" s="57">
        <f t="shared" si="18"/>
        <v>0</v>
      </c>
      <c r="P74" s="40">
        <f t="shared" si="16"/>
        <v>0</v>
      </c>
      <c r="Q74" s="57">
        <f t="shared" si="13"/>
        <v>0</v>
      </c>
      <c r="R74" s="58">
        <f t="shared" si="17"/>
        <v>0</v>
      </c>
      <c r="S74" s="42">
        <f t="shared" si="14"/>
        <v>0</v>
      </c>
    </row>
    <row r="75" spans="1:19">
      <c r="A75" t="str">
        <f t="shared" si="6"/>
        <v>-</v>
      </c>
      <c r="B75" s="40">
        <f t="shared" si="10"/>
        <v>1</v>
      </c>
      <c r="C75" s="40"/>
      <c r="D75" s="40"/>
      <c r="E75" s="42">
        <f t="shared" ref="E75:E100" si="19">B75*G75/SUMPRODUCT($G$11:$G$100,$B$11:$B$100)</f>
        <v>0</v>
      </c>
      <c r="F75" s="62">
        <f t="shared" si="11"/>
        <v>0</v>
      </c>
      <c r="G75" s="103">
        <f>IFERROR(IF(VLOOKUP($A75,'Your Pooling'!$A$12:$K$30,MATCH("Already In Pool?",'Your Pooling'!$A$12:$K$12,0),0)="Y",0,VLOOKUP($A75,'Your Pooling'!$A$12:$K$30,MATCH("Your FSN Pooled",'Your Pooling'!$A$12:$K$12,0),))+J75,J75)</f>
        <v>0</v>
      </c>
      <c r="H75" s="103">
        <f>IFERROR(IF(VLOOKUP($A75,'Your Pooling'!$A$12:$K$30,MATCH("Already In Pool?",'Your Pooling'!$A$12:$K$12,0),0)="Y",0,VLOOKUP($A75,'Your Pooling'!$A$12:$K$30,MATCH("Your XXX Pooled",'Your Pooling'!$A$12:$K$12,0),))+K75,K75)</f>
        <v>0</v>
      </c>
      <c r="I75" s="69">
        <f t="shared" si="12"/>
        <v>0</v>
      </c>
      <c r="J75" s="69"/>
      <c r="K75" s="69"/>
      <c r="L75" s="75"/>
      <c r="M75" s="75"/>
      <c r="O75" s="57">
        <f t="shared" si="18"/>
        <v>0</v>
      </c>
      <c r="P75" s="40">
        <f t="shared" ref="P75:P100" si="20">L75*FEEREWARDS</f>
        <v>0</v>
      </c>
      <c r="Q75" s="57">
        <f t="shared" si="13"/>
        <v>0</v>
      </c>
      <c r="R75" s="58">
        <f t="shared" ref="R75:R106" si="21">IFERROR((Q75/FSNPRICE)/(2*G75),0)</f>
        <v>0</v>
      </c>
      <c r="S75" s="42">
        <f t="shared" si="14"/>
        <v>0</v>
      </c>
    </row>
    <row r="76" spans="1:19">
      <c r="A76" t="str">
        <f t="shared" si="6"/>
        <v>-</v>
      </c>
      <c r="B76" s="40">
        <f t="shared" si="10"/>
        <v>1</v>
      </c>
      <c r="C76" s="40"/>
      <c r="D76" s="40"/>
      <c r="E76" s="42">
        <f t="shared" si="19"/>
        <v>0</v>
      </c>
      <c r="F76" s="62">
        <f t="shared" si="11"/>
        <v>0</v>
      </c>
      <c r="G76" s="103">
        <f>IFERROR(IF(VLOOKUP($A76,'Your Pooling'!$A$12:$K$30,MATCH("Already In Pool?",'Your Pooling'!$A$12:$K$12,0),0)="Y",0,VLOOKUP($A76,'Your Pooling'!$A$12:$K$30,MATCH("Your FSN Pooled",'Your Pooling'!$A$12:$K$12,0),))+J76,J76)</f>
        <v>0</v>
      </c>
      <c r="H76" s="103">
        <f>IFERROR(IF(VLOOKUP($A76,'Your Pooling'!$A$12:$K$30,MATCH("Already In Pool?",'Your Pooling'!$A$12:$K$12,0),0)="Y",0,VLOOKUP($A76,'Your Pooling'!$A$12:$K$30,MATCH("Your XXX Pooled",'Your Pooling'!$A$12:$K$12,0),))+K76,K76)</f>
        <v>0</v>
      </c>
      <c r="I76" s="69">
        <f t="shared" si="12"/>
        <v>0</v>
      </c>
      <c r="J76" s="69"/>
      <c r="K76" s="69"/>
      <c r="L76" s="75"/>
      <c r="M76" s="75"/>
      <c r="O76" s="57">
        <f t="shared" si="18"/>
        <v>0</v>
      </c>
      <c r="P76" s="40">
        <f t="shared" si="20"/>
        <v>0</v>
      </c>
      <c r="Q76" s="57">
        <f t="shared" si="13"/>
        <v>0</v>
      </c>
      <c r="R76" s="58">
        <f t="shared" si="21"/>
        <v>0</v>
      </c>
      <c r="S76" s="42">
        <f t="shared" si="14"/>
        <v>0</v>
      </c>
    </row>
    <row r="77" spans="1:19">
      <c r="A77" t="str">
        <f t="shared" si="6"/>
        <v>-</v>
      </c>
      <c r="B77" s="40">
        <f t="shared" si="10"/>
        <v>1</v>
      </c>
      <c r="C77" s="40"/>
      <c r="D77" s="40"/>
      <c r="E77" s="42">
        <f t="shared" si="19"/>
        <v>0</v>
      </c>
      <c r="F77" s="62">
        <f t="shared" si="11"/>
        <v>0</v>
      </c>
      <c r="G77" s="103">
        <f>IFERROR(IF(VLOOKUP($A77,'Your Pooling'!$A$12:$K$30,MATCH("Already In Pool?",'Your Pooling'!$A$12:$K$12,0),0)="Y",0,VLOOKUP($A77,'Your Pooling'!$A$12:$K$30,MATCH("Your FSN Pooled",'Your Pooling'!$A$12:$K$12,0),))+J77,J77)</f>
        <v>0</v>
      </c>
      <c r="H77" s="103">
        <f>IFERROR(IF(VLOOKUP($A77,'Your Pooling'!$A$12:$K$30,MATCH("Already In Pool?",'Your Pooling'!$A$12:$K$12,0),0)="Y",0,VLOOKUP($A77,'Your Pooling'!$A$12:$K$30,MATCH("Your XXX Pooled",'Your Pooling'!$A$12:$K$12,0),))+K77,K77)</f>
        <v>0</v>
      </c>
      <c r="I77" s="69">
        <f t="shared" si="12"/>
        <v>0</v>
      </c>
      <c r="J77" s="69"/>
      <c r="K77" s="69"/>
      <c r="L77" s="75"/>
      <c r="M77" s="75"/>
      <c r="O77" s="57">
        <f t="shared" si="18"/>
        <v>0</v>
      </c>
      <c r="P77" s="40">
        <f t="shared" si="20"/>
        <v>0</v>
      </c>
      <c r="Q77" s="57">
        <f t="shared" si="13"/>
        <v>0</v>
      </c>
      <c r="R77" s="58">
        <f t="shared" si="21"/>
        <v>0</v>
      </c>
      <c r="S77" s="42">
        <f t="shared" si="14"/>
        <v>0</v>
      </c>
    </row>
    <row r="78" spans="1:19">
      <c r="A78" t="str">
        <f t="shared" ref="A78:A100" si="22">C78&amp;"-"&amp;D78</f>
        <v>-</v>
      </c>
      <c r="B78" s="40">
        <f t="shared" si="10"/>
        <v>1</v>
      </c>
      <c r="C78" s="40"/>
      <c r="D78" s="40"/>
      <c r="E78" s="42">
        <f t="shared" si="19"/>
        <v>0</v>
      </c>
      <c r="F78" s="62">
        <f t="shared" si="11"/>
        <v>0</v>
      </c>
      <c r="G78" s="103">
        <f>IFERROR(IF(VLOOKUP($A78,'Your Pooling'!$A$12:$K$30,MATCH("Already In Pool?",'Your Pooling'!$A$12:$K$12,0),0)="Y",0,VLOOKUP($A78,'Your Pooling'!$A$12:$K$30,MATCH("Your FSN Pooled",'Your Pooling'!$A$12:$K$12,0),))+J78,J78)</f>
        <v>0</v>
      </c>
      <c r="H78" s="103">
        <f>IFERROR(IF(VLOOKUP($A78,'Your Pooling'!$A$12:$K$30,MATCH("Already In Pool?",'Your Pooling'!$A$12:$K$12,0),0)="Y",0,VLOOKUP($A78,'Your Pooling'!$A$12:$K$30,MATCH("Your XXX Pooled",'Your Pooling'!$A$12:$K$12,0),))+K78,K78)</f>
        <v>0</v>
      </c>
      <c r="I78" s="69">
        <f t="shared" si="12"/>
        <v>0</v>
      </c>
      <c r="J78" s="69"/>
      <c r="K78" s="69"/>
      <c r="L78" s="75"/>
      <c r="M78" s="75"/>
      <c r="O78" s="57">
        <f t="shared" si="18"/>
        <v>0</v>
      </c>
      <c r="P78" s="40">
        <f t="shared" si="20"/>
        <v>0</v>
      </c>
      <c r="Q78" s="57">
        <f t="shared" si="13"/>
        <v>0</v>
      </c>
      <c r="R78" s="58">
        <f t="shared" si="21"/>
        <v>0</v>
      </c>
      <c r="S78" s="42">
        <f t="shared" si="14"/>
        <v>0</v>
      </c>
    </row>
    <row r="79" spans="1:19">
      <c r="A79" t="str">
        <f t="shared" si="22"/>
        <v>-</v>
      </c>
      <c r="B79" s="40">
        <f t="shared" si="10"/>
        <v>1</v>
      </c>
      <c r="C79" s="40"/>
      <c r="D79" s="40"/>
      <c r="E79" s="42">
        <f t="shared" si="19"/>
        <v>0</v>
      </c>
      <c r="F79" s="62">
        <f t="shared" si="11"/>
        <v>0</v>
      </c>
      <c r="G79" s="103">
        <f>IFERROR(IF(VLOOKUP($A79,'Your Pooling'!$A$12:$K$30,MATCH("Already In Pool?",'Your Pooling'!$A$12:$K$12,0),0)="Y",0,VLOOKUP($A79,'Your Pooling'!$A$12:$K$30,MATCH("Your FSN Pooled",'Your Pooling'!$A$12:$K$12,0),))+J79,J79)</f>
        <v>0</v>
      </c>
      <c r="H79" s="103">
        <f>IFERROR(IF(VLOOKUP($A79,'Your Pooling'!$A$12:$K$30,MATCH("Already In Pool?",'Your Pooling'!$A$12:$K$12,0),0)="Y",0,VLOOKUP($A79,'Your Pooling'!$A$12:$K$30,MATCH("Your XXX Pooled",'Your Pooling'!$A$12:$K$12,0),))+K79,K79)</f>
        <v>0</v>
      </c>
      <c r="I79" s="69">
        <f t="shared" si="12"/>
        <v>0</v>
      </c>
      <c r="J79" s="69"/>
      <c r="K79" s="69"/>
      <c r="L79" s="75"/>
      <c r="M79" s="75"/>
      <c r="O79" s="57">
        <f t="shared" si="18"/>
        <v>0</v>
      </c>
      <c r="P79" s="40">
        <f t="shared" si="20"/>
        <v>0</v>
      </c>
      <c r="Q79" s="57">
        <f t="shared" si="13"/>
        <v>0</v>
      </c>
      <c r="R79" s="58">
        <f t="shared" si="21"/>
        <v>0</v>
      </c>
      <c r="S79" s="42">
        <f t="shared" si="14"/>
        <v>0</v>
      </c>
    </row>
    <row r="80" spans="1:19">
      <c r="A80" t="str">
        <f t="shared" si="22"/>
        <v>-</v>
      </c>
      <c r="B80" s="40">
        <f t="shared" si="10"/>
        <v>1</v>
      </c>
      <c r="C80" s="40"/>
      <c r="D80" s="40"/>
      <c r="E80" s="42">
        <f t="shared" si="19"/>
        <v>0</v>
      </c>
      <c r="F80" s="62">
        <f t="shared" si="11"/>
        <v>0</v>
      </c>
      <c r="G80" s="103">
        <f>IFERROR(IF(VLOOKUP($A80,'Your Pooling'!$A$12:$K$30,MATCH("Already In Pool?",'Your Pooling'!$A$12:$K$12,0),0)="Y",0,VLOOKUP($A80,'Your Pooling'!$A$12:$K$30,MATCH("Your FSN Pooled",'Your Pooling'!$A$12:$K$12,0),))+J80,J80)</f>
        <v>0</v>
      </c>
      <c r="H80" s="103">
        <f>IFERROR(IF(VLOOKUP($A80,'Your Pooling'!$A$12:$K$30,MATCH("Already In Pool?",'Your Pooling'!$A$12:$K$12,0),0)="Y",0,VLOOKUP($A80,'Your Pooling'!$A$12:$K$30,MATCH("Your XXX Pooled",'Your Pooling'!$A$12:$K$12,0),))+K80,K80)</f>
        <v>0</v>
      </c>
      <c r="I80" s="69">
        <f t="shared" si="12"/>
        <v>0</v>
      </c>
      <c r="J80" s="69"/>
      <c r="K80" s="69"/>
      <c r="L80" s="75"/>
      <c r="M80" s="75"/>
      <c r="O80" s="57">
        <f t="shared" ref="O80:O100" si="23">E80*DAILYANY</f>
        <v>0</v>
      </c>
      <c r="P80" s="40">
        <f t="shared" si="20"/>
        <v>0</v>
      </c>
      <c r="Q80" s="57">
        <f t="shared" si="13"/>
        <v>0</v>
      </c>
      <c r="R80" s="58">
        <f t="shared" si="21"/>
        <v>0</v>
      </c>
      <c r="S80" s="42">
        <f t="shared" si="14"/>
        <v>0</v>
      </c>
    </row>
    <row r="81" spans="1:19">
      <c r="A81" t="str">
        <f t="shared" si="22"/>
        <v>-</v>
      </c>
      <c r="B81" s="40">
        <f t="shared" si="10"/>
        <v>1</v>
      </c>
      <c r="C81" s="40"/>
      <c r="D81" s="40"/>
      <c r="E81" s="42">
        <f t="shared" si="19"/>
        <v>0</v>
      </c>
      <c r="F81" s="62">
        <f t="shared" si="11"/>
        <v>0</v>
      </c>
      <c r="G81" s="103">
        <f>IFERROR(IF(VLOOKUP($A81,'Your Pooling'!$A$12:$K$30,MATCH("Already In Pool?",'Your Pooling'!$A$12:$K$12,0),0)="Y",0,VLOOKUP($A81,'Your Pooling'!$A$12:$K$30,MATCH("Your FSN Pooled",'Your Pooling'!$A$12:$K$12,0),))+J81,J81)</f>
        <v>0</v>
      </c>
      <c r="H81" s="103">
        <f>IFERROR(IF(VLOOKUP($A81,'Your Pooling'!$A$12:$K$30,MATCH("Already In Pool?",'Your Pooling'!$A$12:$K$12,0),0)="Y",0,VLOOKUP($A81,'Your Pooling'!$A$12:$K$30,MATCH("Your XXX Pooled",'Your Pooling'!$A$12:$K$12,0),))+K81,K81)</f>
        <v>0</v>
      </c>
      <c r="I81" s="69">
        <f t="shared" si="12"/>
        <v>0</v>
      </c>
      <c r="J81" s="69"/>
      <c r="K81" s="69"/>
      <c r="L81" s="75"/>
      <c r="M81" s="75"/>
      <c r="O81" s="57">
        <f t="shared" si="23"/>
        <v>0</v>
      </c>
      <c r="P81" s="40">
        <f t="shared" si="20"/>
        <v>0</v>
      </c>
      <c r="Q81" s="57">
        <f t="shared" si="13"/>
        <v>0</v>
      </c>
      <c r="R81" s="58">
        <f t="shared" si="21"/>
        <v>0</v>
      </c>
      <c r="S81" s="42">
        <f t="shared" si="14"/>
        <v>0</v>
      </c>
    </row>
    <row r="82" spans="1:19">
      <c r="A82" t="str">
        <f t="shared" si="22"/>
        <v>-</v>
      </c>
      <c r="B82" s="40">
        <f t="shared" si="10"/>
        <v>1</v>
      </c>
      <c r="C82" s="40"/>
      <c r="D82" s="40"/>
      <c r="E82" s="42">
        <f t="shared" si="19"/>
        <v>0</v>
      </c>
      <c r="F82" s="62">
        <f t="shared" si="11"/>
        <v>0</v>
      </c>
      <c r="G82" s="103">
        <f>IFERROR(IF(VLOOKUP($A82,'Your Pooling'!$A$12:$K$30,MATCH("Already In Pool?",'Your Pooling'!$A$12:$K$12,0),0)="Y",0,VLOOKUP($A82,'Your Pooling'!$A$12:$K$30,MATCH("Your FSN Pooled",'Your Pooling'!$A$12:$K$12,0),))+J82,J82)</f>
        <v>0</v>
      </c>
      <c r="H82" s="103">
        <f>IFERROR(IF(VLOOKUP($A82,'Your Pooling'!$A$12:$K$30,MATCH("Already In Pool?",'Your Pooling'!$A$12:$K$12,0),0)="Y",0,VLOOKUP($A82,'Your Pooling'!$A$12:$K$30,MATCH("Your XXX Pooled",'Your Pooling'!$A$12:$K$12,0),))+K82,K82)</f>
        <v>0</v>
      </c>
      <c r="I82" s="69">
        <f t="shared" si="12"/>
        <v>0</v>
      </c>
      <c r="J82" s="69"/>
      <c r="K82" s="69"/>
      <c r="L82" s="75"/>
      <c r="M82" s="75"/>
      <c r="O82" s="57">
        <f t="shared" si="23"/>
        <v>0</v>
      </c>
      <c r="P82" s="40">
        <f t="shared" si="20"/>
        <v>0</v>
      </c>
      <c r="Q82" s="57">
        <f t="shared" si="13"/>
        <v>0</v>
      </c>
      <c r="R82" s="58">
        <f t="shared" si="21"/>
        <v>0</v>
      </c>
      <c r="S82" s="42">
        <f t="shared" si="14"/>
        <v>0</v>
      </c>
    </row>
    <row r="83" spans="1:19">
      <c r="A83" t="str">
        <f t="shared" si="22"/>
        <v>-</v>
      </c>
      <c r="B83" s="40">
        <f t="shared" si="10"/>
        <v>1</v>
      </c>
      <c r="C83" s="40"/>
      <c r="D83" s="40"/>
      <c r="E83" s="42">
        <f t="shared" si="19"/>
        <v>0</v>
      </c>
      <c r="F83" s="62">
        <f t="shared" si="11"/>
        <v>0</v>
      </c>
      <c r="G83" s="103">
        <f>IFERROR(IF(VLOOKUP($A83,'Your Pooling'!$A$12:$K$30,MATCH("Already In Pool?",'Your Pooling'!$A$12:$K$12,0),0)="Y",0,VLOOKUP($A83,'Your Pooling'!$A$12:$K$30,MATCH("Your FSN Pooled",'Your Pooling'!$A$12:$K$12,0),))+J83,J83)</f>
        <v>0</v>
      </c>
      <c r="H83" s="103">
        <f>IFERROR(IF(VLOOKUP($A83,'Your Pooling'!$A$12:$K$30,MATCH("Already In Pool?",'Your Pooling'!$A$12:$K$12,0),0)="Y",0,VLOOKUP($A83,'Your Pooling'!$A$12:$K$30,MATCH("Your XXX Pooled",'Your Pooling'!$A$12:$K$12,0),))+K83,K83)</f>
        <v>0</v>
      </c>
      <c r="I83" s="69">
        <f t="shared" si="12"/>
        <v>0</v>
      </c>
      <c r="J83" s="69"/>
      <c r="K83" s="69"/>
      <c r="L83" s="75"/>
      <c r="M83" s="75"/>
      <c r="O83" s="57">
        <f t="shared" si="23"/>
        <v>0</v>
      </c>
      <c r="P83" s="40">
        <f t="shared" si="20"/>
        <v>0</v>
      </c>
      <c r="Q83" s="57">
        <f t="shared" si="13"/>
        <v>0</v>
      </c>
      <c r="R83" s="58">
        <f t="shared" si="21"/>
        <v>0</v>
      </c>
      <c r="S83" s="42">
        <f t="shared" si="14"/>
        <v>0</v>
      </c>
    </row>
    <row r="84" spans="1:19">
      <c r="A84" t="str">
        <f t="shared" si="22"/>
        <v>-</v>
      </c>
      <c r="B84" s="40">
        <f t="shared" si="10"/>
        <v>1</v>
      </c>
      <c r="C84" s="40"/>
      <c r="D84" s="40"/>
      <c r="E84" s="42">
        <f t="shared" si="19"/>
        <v>0</v>
      </c>
      <c r="F84" s="62">
        <f t="shared" si="11"/>
        <v>0</v>
      </c>
      <c r="G84" s="103">
        <f>IFERROR(IF(VLOOKUP($A84,'Your Pooling'!$A$12:$K$30,MATCH("Already In Pool?",'Your Pooling'!$A$12:$K$12,0),0)="Y",0,VLOOKUP($A84,'Your Pooling'!$A$12:$K$30,MATCH("Your FSN Pooled",'Your Pooling'!$A$12:$K$12,0),))+J84,J84)</f>
        <v>0</v>
      </c>
      <c r="H84" s="103">
        <f>IFERROR(IF(VLOOKUP($A84,'Your Pooling'!$A$12:$K$30,MATCH("Already In Pool?",'Your Pooling'!$A$12:$K$12,0),0)="Y",0,VLOOKUP($A84,'Your Pooling'!$A$12:$K$30,MATCH("Your XXX Pooled",'Your Pooling'!$A$12:$K$12,0),))+K84,K84)</f>
        <v>0</v>
      </c>
      <c r="I84" s="69">
        <f t="shared" si="12"/>
        <v>0</v>
      </c>
      <c r="J84" s="69"/>
      <c r="K84" s="69"/>
      <c r="L84" s="75"/>
      <c r="M84" s="75"/>
      <c r="O84" s="57">
        <f t="shared" si="23"/>
        <v>0</v>
      </c>
      <c r="P84" s="40">
        <f t="shared" si="20"/>
        <v>0</v>
      </c>
      <c r="Q84" s="57">
        <f t="shared" si="13"/>
        <v>0</v>
      </c>
      <c r="R84" s="58">
        <f t="shared" si="21"/>
        <v>0</v>
      </c>
      <c r="S84" s="42">
        <f t="shared" si="14"/>
        <v>0</v>
      </c>
    </row>
    <row r="85" spans="1:19">
      <c r="A85" t="str">
        <f t="shared" si="22"/>
        <v>-</v>
      </c>
      <c r="B85" s="40">
        <f t="shared" si="10"/>
        <v>1</v>
      </c>
      <c r="C85" s="40"/>
      <c r="D85" s="40"/>
      <c r="E85" s="42">
        <f t="shared" si="19"/>
        <v>0</v>
      </c>
      <c r="F85" s="62">
        <f t="shared" si="11"/>
        <v>0</v>
      </c>
      <c r="G85" s="103">
        <f>IFERROR(IF(VLOOKUP($A85,'Your Pooling'!$A$12:$K$30,MATCH("Already In Pool?",'Your Pooling'!$A$12:$K$12,0),0)="Y",0,VLOOKUP($A85,'Your Pooling'!$A$12:$K$30,MATCH("Your FSN Pooled",'Your Pooling'!$A$12:$K$12,0),))+J85,J85)</f>
        <v>0</v>
      </c>
      <c r="H85" s="103">
        <f>IFERROR(IF(VLOOKUP($A85,'Your Pooling'!$A$12:$K$30,MATCH("Already In Pool?",'Your Pooling'!$A$12:$K$12,0),0)="Y",0,VLOOKUP($A85,'Your Pooling'!$A$12:$K$30,MATCH("Your XXX Pooled",'Your Pooling'!$A$12:$K$12,0),))+K85,K85)</f>
        <v>0</v>
      </c>
      <c r="I85" s="69">
        <f t="shared" si="12"/>
        <v>0</v>
      </c>
      <c r="J85" s="69"/>
      <c r="K85" s="69"/>
      <c r="L85" s="75"/>
      <c r="M85" s="75"/>
      <c r="O85" s="57">
        <f t="shared" si="23"/>
        <v>0</v>
      </c>
      <c r="P85" s="40">
        <f t="shared" si="20"/>
        <v>0</v>
      </c>
      <c r="Q85" s="57">
        <f t="shared" si="13"/>
        <v>0</v>
      </c>
      <c r="R85" s="58">
        <f t="shared" si="21"/>
        <v>0</v>
      </c>
      <c r="S85" s="42">
        <f t="shared" si="14"/>
        <v>0</v>
      </c>
    </row>
    <row r="86" spans="1:19">
      <c r="A86" t="str">
        <f t="shared" si="22"/>
        <v>-</v>
      </c>
      <c r="B86" s="40">
        <f t="shared" si="10"/>
        <v>1</v>
      </c>
      <c r="C86" s="40"/>
      <c r="D86" s="40"/>
      <c r="E86" s="42">
        <f t="shared" si="19"/>
        <v>0</v>
      </c>
      <c r="F86" s="62">
        <f t="shared" si="11"/>
        <v>0</v>
      </c>
      <c r="G86" s="103">
        <f>IFERROR(IF(VLOOKUP($A86,'Your Pooling'!$A$12:$K$30,MATCH("Already In Pool?",'Your Pooling'!$A$12:$K$12,0),0)="Y",0,VLOOKUP($A86,'Your Pooling'!$A$12:$K$30,MATCH("Your FSN Pooled",'Your Pooling'!$A$12:$K$12,0),))+J86,J86)</f>
        <v>0</v>
      </c>
      <c r="H86" s="103">
        <f>IFERROR(IF(VLOOKUP($A86,'Your Pooling'!$A$12:$K$30,MATCH("Already In Pool?",'Your Pooling'!$A$12:$K$12,0),0)="Y",0,VLOOKUP($A86,'Your Pooling'!$A$12:$K$30,MATCH("Your XXX Pooled",'Your Pooling'!$A$12:$K$12,0),))+K86,K86)</f>
        <v>0</v>
      </c>
      <c r="I86" s="69">
        <f t="shared" si="12"/>
        <v>0</v>
      </c>
      <c r="J86" s="69"/>
      <c r="K86" s="69"/>
      <c r="L86" s="75"/>
      <c r="M86" s="75"/>
      <c r="O86" s="57">
        <f t="shared" si="23"/>
        <v>0</v>
      </c>
      <c r="P86" s="40">
        <f t="shared" si="20"/>
        <v>0</v>
      </c>
      <c r="Q86" s="57">
        <f t="shared" si="13"/>
        <v>0</v>
      </c>
      <c r="R86" s="58">
        <f t="shared" si="21"/>
        <v>0</v>
      </c>
      <c r="S86" s="42">
        <f t="shared" si="14"/>
        <v>0</v>
      </c>
    </row>
    <row r="87" spans="1:19">
      <c r="A87" t="str">
        <f t="shared" si="22"/>
        <v>-</v>
      </c>
      <c r="B87" s="40">
        <f t="shared" si="10"/>
        <v>1</v>
      </c>
      <c r="C87" s="40"/>
      <c r="D87" s="40"/>
      <c r="E87" s="42">
        <f t="shared" si="19"/>
        <v>0</v>
      </c>
      <c r="F87" s="62">
        <f t="shared" si="11"/>
        <v>0</v>
      </c>
      <c r="G87" s="103">
        <f>IFERROR(IF(VLOOKUP($A87,'Your Pooling'!$A$12:$K$30,MATCH("Already In Pool?",'Your Pooling'!$A$12:$K$12,0),0)="Y",0,VLOOKUP($A87,'Your Pooling'!$A$12:$K$30,MATCH("Your FSN Pooled",'Your Pooling'!$A$12:$K$12,0),))+J87,J87)</f>
        <v>0</v>
      </c>
      <c r="H87" s="103">
        <f>IFERROR(IF(VLOOKUP($A87,'Your Pooling'!$A$12:$K$30,MATCH("Already In Pool?",'Your Pooling'!$A$12:$K$12,0),0)="Y",0,VLOOKUP($A87,'Your Pooling'!$A$12:$K$30,MATCH("Your XXX Pooled",'Your Pooling'!$A$12:$K$12,0),))+K87,K87)</f>
        <v>0</v>
      </c>
      <c r="I87" s="69">
        <f t="shared" si="12"/>
        <v>0</v>
      </c>
      <c r="J87" s="69"/>
      <c r="K87" s="69"/>
      <c r="L87" s="75"/>
      <c r="M87" s="75"/>
      <c r="O87" s="57">
        <f t="shared" si="23"/>
        <v>0</v>
      </c>
      <c r="P87" s="40">
        <f t="shared" si="20"/>
        <v>0</v>
      </c>
      <c r="Q87" s="57">
        <f t="shared" si="13"/>
        <v>0</v>
      </c>
      <c r="R87" s="58">
        <f t="shared" si="21"/>
        <v>0</v>
      </c>
      <c r="S87" s="42">
        <f t="shared" si="14"/>
        <v>0</v>
      </c>
    </row>
    <row r="88" spans="1:19">
      <c r="A88" t="str">
        <f t="shared" si="22"/>
        <v>-</v>
      </c>
      <c r="B88" s="40">
        <f t="shared" si="10"/>
        <v>1</v>
      </c>
      <c r="C88" s="40"/>
      <c r="D88" s="40"/>
      <c r="E88" s="42">
        <f t="shared" si="19"/>
        <v>0</v>
      </c>
      <c r="F88" s="62">
        <f t="shared" si="11"/>
        <v>0</v>
      </c>
      <c r="G88" s="103">
        <f>IFERROR(IF(VLOOKUP($A88,'Your Pooling'!$A$12:$K$30,MATCH("Already In Pool?",'Your Pooling'!$A$12:$K$12,0),0)="Y",0,VLOOKUP($A88,'Your Pooling'!$A$12:$K$30,MATCH("Your FSN Pooled",'Your Pooling'!$A$12:$K$12,0),))+J88,J88)</f>
        <v>0</v>
      </c>
      <c r="H88" s="103">
        <f>IFERROR(IF(VLOOKUP($A88,'Your Pooling'!$A$12:$K$30,MATCH("Already In Pool?",'Your Pooling'!$A$12:$K$12,0),0)="Y",0,VLOOKUP($A88,'Your Pooling'!$A$12:$K$30,MATCH("Your XXX Pooled",'Your Pooling'!$A$12:$K$12,0),))+K88,K88)</f>
        <v>0</v>
      </c>
      <c r="I88" s="69">
        <f t="shared" si="12"/>
        <v>0</v>
      </c>
      <c r="J88" s="69"/>
      <c r="K88" s="69"/>
      <c r="L88" s="75"/>
      <c r="M88" s="75"/>
      <c r="O88" s="57">
        <f t="shared" si="23"/>
        <v>0</v>
      </c>
      <c r="P88" s="40">
        <f t="shared" si="20"/>
        <v>0</v>
      </c>
      <c r="Q88" s="57">
        <f t="shared" si="13"/>
        <v>0</v>
      </c>
      <c r="R88" s="58">
        <f t="shared" si="21"/>
        <v>0</v>
      </c>
      <c r="S88" s="42">
        <f t="shared" si="14"/>
        <v>0</v>
      </c>
    </row>
    <row r="89" spans="1:19">
      <c r="A89" t="str">
        <f t="shared" si="22"/>
        <v>-</v>
      </c>
      <c r="B89" s="40">
        <f t="shared" si="10"/>
        <v>1</v>
      </c>
      <c r="C89" s="40"/>
      <c r="D89" s="40"/>
      <c r="E89" s="42">
        <f t="shared" si="19"/>
        <v>0</v>
      </c>
      <c r="F89" s="62">
        <f t="shared" si="11"/>
        <v>0</v>
      </c>
      <c r="G89" s="103">
        <f>IFERROR(IF(VLOOKUP($A89,'Your Pooling'!$A$12:$K$30,MATCH("Already In Pool?",'Your Pooling'!$A$12:$K$12,0),0)="Y",0,VLOOKUP($A89,'Your Pooling'!$A$12:$K$30,MATCH("Your FSN Pooled",'Your Pooling'!$A$12:$K$12,0),))+J89,J89)</f>
        <v>0</v>
      </c>
      <c r="H89" s="103">
        <f>IFERROR(IF(VLOOKUP($A89,'Your Pooling'!$A$12:$K$30,MATCH("Already In Pool?",'Your Pooling'!$A$12:$K$12,0),0)="Y",0,VLOOKUP($A89,'Your Pooling'!$A$12:$K$30,MATCH("Your XXX Pooled",'Your Pooling'!$A$12:$K$12,0),))+K89,K89)</f>
        <v>0</v>
      </c>
      <c r="I89" s="69">
        <f t="shared" si="12"/>
        <v>0</v>
      </c>
      <c r="J89" s="69"/>
      <c r="K89" s="69"/>
      <c r="L89" s="75"/>
      <c r="M89" s="75"/>
      <c r="O89" s="57">
        <f t="shared" si="23"/>
        <v>0</v>
      </c>
      <c r="P89" s="40">
        <f t="shared" si="20"/>
        <v>0</v>
      </c>
      <c r="Q89" s="57">
        <f t="shared" si="13"/>
        <v>0</v>
      </c>
      <c r="R89" s="58">
        <f t="shared" si="21"/>
        <v>0</v>
      </c>
      <c r="S89" s="42">
        <f t="shared" si="14"/>
        <v>0</v>
      </c>
    </row>
    <row r="90" spans="1:19">
      <c r="A90" t="str">
        <f t="shared" si="22"/>
        <v>-</v>
      </c>
      <c r="B90" s="40">
        <f t="shared" si="10"/>
        <v>1</v>
      </c>
      <c r="C90" s="40"/>
      <c r="D90" s="40"/>
      <c r="E90" s="42">
        <f t="shared" si="19"/>
        <v>0</v>
      </c>
      <c r="F90" s="62">
        <f t="shared" si="11"/>
        <v>0</v>
      </c>
      <c r="G90" s="103">
        <f>IFERROR(IF(VLOOKUP($A90,'Your Pooling'!$A$12:$K$30,MATCH("Already In Pool?",'Your Pooling'!$A$12:$K$12,0),0)="Y",0,VLOOKUP($A90,'Your Pooling'!$A$12:$K$30,MATCH("Your FSN Pooled",'Your Pooling'!$A$12:$K$12,0),))+J90,J90)</f>
        <v>0</v>
      </c>
      <c r="H90" s="103">
        <f>IFERROR(IF(VLOOKUP($A90,'Your Pooling'!$A$12:$K$30,MATCH("Already In Pool?",'Your Pooling'!$A$12:$K$12,0),0)="Y",0,VLOOKUP($A90,'Your Pooling'!$A$12:$K$30,MATCH("Your XXX Pooled",'Your Pooling'!$A$12:$K$12,0),))+K90,K90)</f>
        <v>0</v>
      </c>
      <c r="I90" s="69">
        <f t="shared" si="12"/>
        <v>0</v>
      </c>
      <c r="J90" s="69"/>
      <c r="K90" s="69"/>
      <c r="L90" s="75"/>
      <c r="M90" s="75"/>
      <c r="O90" s="57">
        <f t="shared" si="23"/>
        <v>0</v>
      </c>
      <c r="P90" s="40">
        <f t="shared" si="20"/>
        <v>0</v>
      </c>
      <c r="Q90" s="57">
        <f t="shared" si="13"/>
        <v>0</v>
      </c>
      <c r="R90" s="58">
        <f t="shared" si="21"/>
        <v>0</v>
      </c>
      <c r="S90" s="42">
        <f t="shared" si="14"/>
        <v>0</v>
      </c>
    </row>
    <row r="91" spans="1:19">
      <c r="A91" t="str">
        <f t="shared" si="22"/>
        <v>-</v>
      </c>
      <c r="B91" s="40">
        <f t="shared" si="10"/>
        <v>1</v>
      </c>
      <c r="C91" s="40"/>
      <c r="D91" s="40"/>
      <c r="E91" s="42">
        <f t="shared" si="19"/>
        <v>0</v>
      </c>
      <c r="F91" s="62">
        <f t="shared" si="11"/>
        <v>0</v>
      </c>
      <c r="G91" s="103">
        <f>IFERROR(IF(VLOOKUP($A91,'Your Pooling'!$A$12:$K$30,MATCH("Already In Pool?",'Your Pooling'!$A$12:$K$12,0),0)="Y",0,VLOOKUP($A91,'Your Pooling'!$A$12:$K$30,MATCH("Your FSN Pooled",'Your Pooling'!$A$12:$K$12,0),))+J91,J91)</f>
        <v>0</v>
      </c>
      <c r="H91" s="103">
        <f>IFERROR(IF(VLOOKUP($A91,'Your Pooling'!$A$12:$K$30,MATCH("Already In Pool?",'Your Pooling'!$A$12:$K$12,0),0)="Y",0,VLOOKUP($A91,'Your Pooling'!$A$12:$K$30,MATCH("Your XXX Pooled",'Your Pooling'!$A$12:$K$12,0),))+K91,K91)</f>
        <v>0</v>
      </c>
      <c r="I91" s="69">
        <f t="shared" si="12"/>
        <v>0</v>
      </c>
      <c r="J91" s="69"/>
      <c r="K91" s="69"/>
      <c r="L91" s="75"/>
      <c r="M91" s="75"/>
      <c r="O91" s="57">
        <f t="shared" si="23"/>
        <v>0</v>
      </c>
      <c r="P91" s="40">
        <f t="shared" si="20"/>
        <v>0</v>
      </c>
      <c r="Q91" s="57">
        <f t="shared" si="13"/>
        <v>0</v>
      </c>
      <c r="R91" s="58">
        <f t="shared" si="21"/>
        <v>0</v>
      </c>
      <c r="S91" s="42">
        <f t="shared" si="14"/>
        <v>0</v>
      </c>
    </row>
    <row r="92" spans="1:19">
      <c r="A92" t="str">
        <f t="shared" si="22"/>
        <v>-</v>
      </c>
      <c r="B92" s="40">
        <f t="shared" si="10"/>
        <v>1</v>
      </c>
      <c r="C92" s="40"/>
      <c r="D92" s="40"/>
      <c r="E92" s="42">
        <f t="shared" si="19"/>
        <v>0</v>
      </c>
      <c r="F92" s="62">
        <f t="shared" si="11"/>
        <v>0</v>
      </c>
      <c r="G92" s="103">
        <f>IFERROR(IF(VLOOKUP($A92,'Your Pooling'!$A$12:$K$30,MATCH("Already In Pool?",'Your Pooling'!$A$12:$K$12,0),0)="Y",0,VLOOKUP($A92,'Your Pooling'!$A$12:$K$30,MATCH("Your FSN Pooled",'Your Pooling'!$A$12:$K$12,0),))+J92,J92)</f>
        <v>0</v>
      </c>
      <c r="H92" s="103">
        <f>IFERROR(IF(VLOOKUP($A92,'Your Pooling'!$A$12:$K$30,MATCH("Already In Pool?",'Your Pooling'!$A$12:$K$12,0),0)="Y",0,VLOOKUP($A92,'Your Pooling'!$A$12:$K$30,MATCH("Your XXX Pooled",'Your Pooling'!$A$12:$K$12,0),))+K92,K92)</f>
        <v>0</v>
      </c>
      <c r="I92" s="69">
        <f t="shared" si="12"/>
        <v>0</v>
      </c>
      <c r="J92" s="69"/>
      <c r="K92" s="69"/>
      <c r="L92" s="75"/>
      <c r="M92" s="75"/>
      <c r="O92" s="57">
        <f t="shared" si="23"/>
        <v>0</v>
      </c>
      <c r="P92" s="40">
        <f t="shared" si="20"/>
        <v>0</v>
      </c>
      <c r="Q92" s="57">
        <f t="shared" si="13"/>
        <v>0</v>
      </c>
      <c r="R92" s="58">
        <f t="shared" si="21"/>
        <v>0</v>
      </c>
      <c r="S92" s="42">
        <f t="shared" si="14"/>
        <v>0</v>
      </c>
    </row>
    <row r="93" spans="1:19">
      <c r="A93" t="str">
        <f t="shared" si="22"/>
        <v>-</v>
      </c>
      <c r="B93" s="40">
        <f t="shared" si="10"/>
        <v>1</v>
      </c>
      <c r="C93" s="40"/>
      <c r="D93" s="40"/>
      <c r="E93" s="42">
        <f t="shared" si="19"/>
        <v>0</v>
      </c>
      <c r="F93" s="62">
        <f t="shared" si="11"/>
        <v>0</v>
      </c>
      <c r="G93" s="103">
        <f>IFERROR(IF(VLOOKUP($A93,'Your Pooling'!$A$12:$K$30,MATCH("Already In Pool?",'Your Pooling'!$A$12:$K$12,0),0)="Y",0,VLOOKUP($A93,'Your Pooling'!$A$12:$K$30,MATCH("Your FSN Pooled",'Your Pooling'!$A$12:$K$12,0),))+J93,J93)</f>
        <v>0</v>
      </c>
      <c r="H93" s="103">
        <f>IFERROR(IF(VLOOKUP($A93,'Your Pooling'!$A$12:$K$30,MATCH("Already In Pool?",'Your Pooling'!$A$12:$K$12,0),0)="Y",0,VLOOKUP($A93,'Your Pooling'!$A$12:$K$30,MATCH("Your XXX Pooled",'Your Pooling'!$A$12:$K$12,0),))+K93,K93)</f>
        <v>0</v>
      </c>
      <c r="I93" s="69">
        <f t="shared" si="12"/>
        <v>0</v>
      </c>
      <c r="J93" s="69"/>
      <c r="K93" s="69"/>
      <c r="L93" s="75"/>
      <c r="M93" s="75"/>
      <c r="O93" s="57">
        <f t="shared" si="23"/>
        <v>0</v>
      </c>
      <c r="P93" s="40">
        <f t="shared" si="20"/>
        <v>0</v>
      </c>
      <c r="Q93" s="57">
        <f t="shared" si="13"/>
        <v>0</v>
      </c>
      <c r="R93" s="58">
        <f t="shared" si="21"/>
        <v>0</v>
      </c>
      <c r="S93" s="42">
        <f t="shared" si="14"/>
        <v>0</v>
      </c>
    </row>
    <row r="94" spans="1:19">
      <c r="A94" t="str">
        <f t="shared" si="22"/>
        <v>-</v>
      </c>
      <c r="B94" s="40">
        <f t="shared" si="10"/>
        <v>1</v>
      </c>
      <c r="C94" s="40"/>
      <c r="D94" s="40"/>
      <c r="E94" s="42">
        <f t="shared" si="19"/>
        <v>0</v>
      </c>
      <c r="F94" s="62">
        <f t="shared" si="11"/>
        <v>0</v>
      </c>
      <c r="G94" s="103">
        <f>IFERROR(IF(VLOOKUP($A94,'Your Pooling'!$A$12:$K$30,MATCH("Already In Pool?",'Your Pooling'!$A$12:$K$12,0),0)="Y",0,VLOOKUP($A94,'Your Pooling'!$A$12:$K$30,MATCH("Your FSN Pooled",'Your Pooling'!$A$12:$K$12,0),))+J94,J94)</f>
        <v>0</v>
      </c>
      <c r="H94" s="103">
        <f>IFERROR(IF(VLOOKUP($A94,'Your Pooling'!$A$12:$K$30,MATCH("Already In Pool?",'Your Pooling'!$A$12:$K$12,0),0)="Y",0,VLOOKUP($A94,'Your Pooling'!$A$12:$K$30,MATCH("Your XXX Pooled",'Your Pooling'!$A$12:$K$12,0),))+K94,K94)</f>
        <v>0</v>
      </c>
      <c r="I94" s="69">
        <f t="shared" si="12"/>
        <v>0</v>
      </c>
      <c r="J94" s="69"/>
      <c r="K94" s="69"/>
      <c r="L94" s="75"/>
      <c r="M94" s="75"/>
      <c r="O94" s="57">
        <f t="shared" si="23"/>
        <v>0</v>
      </c>
      <c r="P94" s="40">
        <f t="shared" si="20"/>
        <v>0</v>
      </c>
      <c r="Q94" s="57">
        <f t="shared" si="13"/>
        <v>0</v>
      </c>
      <c r="R94" s="58">
        <f t="shared" si="21"/>
        <v>0</v>
      </c>
      <c r="S94" s="42">
        <f t="shared" si="14"/>
        <v>0</v>
      </c>
    </row>
    <row r="95" spans="1:19">
      <c r="A95" t="str">
        <f t="shared" si="22"/>
        <v>-</v>
      </c>
      <c r="B95" s="40">
        <f t="shared" si="10"/>
        <v>1</v>
      </c>
      <c r="C95" s="40"/>
      <c r="D95" s="40"/>
      <c r="E95" s="42">
        <f t="shared" si="19"/>
        <v>0</v>
      </c>
      <c r="F95" s="62">
        <f t="shared" si="11"/>
        <v>0</v>
      </c>
      <c r="G95" s="103">
        <f>IFERROR(IF(VLOOKUP($A95,'Your Pooling'!$A$12:$K$30,MATCH("Already In Pool?",'Your Pooling'!$A$12:$K$12,0),0)="Y",0,VLOOKUP($A95,'Your Pooling'!$A$12:$K$30,MATCH("Your FSN Pooled",'Your Pooling'!$A$12:$K$12,0),))+J95,J95)</f>
        <v>0</v>
      </c>
      <c r="H95" s="103">
        <f>IFERROR(IF(VLOOKUP($A95,'Your Pooling'!$A$12:$K$30,MATCH("Already In Pool?",'Your Pooling'!$A$12:$K$12,0),0)="Y",0,VLOOKUP($A95,'Your Pooling'!$A$12:$K$30,MATCH("Your XXX Pooled",'Your Pooling'!$A$12:$K$12,0),))+K95,K95)</f>
        <v>0</v>
      </c>
      <c r="I95" s="69">
        <f t="shared" si="12"/>
        <v>0</v>
      </c>
      <c r="J95" s="69"/>
      <c r="K95" s="69"/>
      <c r="L95" s="75"/>
      <c r="M95" s="75"/>
      <c r="O95" s="57">
        <f t="shared" si="23"/>
        <v>0</v>
      </c>
      <c r="P95" s="40">
        <f t="shared" si="20"/>
        <v>0</v>
      </c>
      <c r="Q95" s="57">
        <f t="shared" si="13"/>
        <v>0</v>
      </c>
      <c r="R95" s="58">
        <f t="shared" si="21"/>
        <v>0</v>
      </c>
      <c r="S95" s="42">
        <f t="shared" si="14"/>
        <v>0</v>
      </c>
    </row>
    <row r="96" spans="1:19">
      <c r="A96" t="str">
        <f t="shared" si="22"/>
        <v>-</v>
      </c>
      <c r="B96" s="40">
        <f t="shared" si="10"/>
        <v>1</v>
      </c>
      <c r="C96" s="40"/>
      <c r="D96" s="40"/>
      <c r="E96" s="42">
        <f t="shared" si="19"/>
        <v>0</v>
      </c>
      <c r="F96" s="62">
        <f t="shared" si="11"/>
        <v>0</v>
      </c>
      <c r="G96" s="103">
        <f>IFERROR(IF(VLOOKUP($A96,'Your Pooling'!$A$12:$K$30,MATCH("Already In Pool?",'Your Pooling'!$A$12:$K$12,0),0)="Y",0,VLOOKUP($A96,'Your Pooling'!$A$12:$K$30,MATCH("Your FSN Pooled",'Your Pooling'!$A$12:$K$12,0),))+J96,J96)</f>
        <v>0</v>
      </c>
      <c r="H96" s="103">
        <f>IFERROR(IF(VLOOKUP($A96,'Your Pooling'!$A$12:$K$30,MATCH("Already In Pool?",'Your Pooling'!$A$12:$K$12,0),0)="Y",0,VLOOKUP($A96,'Your Pooling'!$A$12:$K$30,MATCH("Your XXX Pooled",'Your Pooling'!$A$12:$K$12,0),))+K96,K96)</f>
        <v>0</v>
      </c>
      <c r="I96" s="69">
        <f t="shared" si="12"/>
        <v>0</v>
      </c>
      <c r="J96" s="69"/>
      <c r="K96" s="69"/>
      <c r="L96" s="75"/>
      <c r="M96" s="75"/>
      <c r="O96" s="57">
        <f t="shared" si="23"/>
        <v>0</v>
      </c>
      <c r="P96" s="40">
        <f t="shared" si="20"/>
        <v>0</v>
      </c>
      <c r="Q96" s="57">
        <f t="shared" si="13"/>
        <v>0</v>
      </c>
      <c r="R96" s="58">
        <f t="shared" si="21"/>
        <v>0</v>
      </c>
      <c r="S96" s="42">
        <f t="shared" si="14"/>
        <v>0</v>
      </c>
    </row>
    <row r="97" spans="1:19">
      <c r="A97" t="str">
        <f t="shared" si="22"/>
        <v>-</v>
      </c>
      <c r="B97" s="40">
        <f t="shared" ref="B97:B100" si="24">IF(OR(C97="ANY",D97="ANY"),2,1)</f>
        <v>1</v>
      </c>
      <c r="C97" s="40"/>
      <c r="D97" s="40"/>
      <c r="E97" s="42">
        <f t="shared" si="19"/>
        <v>0</v>
      </c>
      <c r="F97" s="62">
        <f t="shared" ref="F97:F100" si="25">IFERROR(J97/K97,0)</f>
        <v>0</v>
      </c>
      <c r="G97" s="103">
        <f>IFERROR(IF(VLOOKUP($A97,'Your Pooling'!$A$12:$K$30,MATCH("Already In Pool?",'Your Pooling'!$A$12:$K$12,0),0)="Y",0,VLOOKUP($A97,'Your Pooling'!$A$12:$K$30,MATCH("Your FSN Pooled",'Your Pooling'!$A$12:$K$12,0),))+J97,J97)</f>
        <v>0</v>
      </c>
      <c r="H97" s="103">
        <f>IFERROR(IF(VLOOKUP($A97,'Your Pooling'!$A$12:$K$30,MATCH("Already In Pool?",'Your Pooling'!$A$12:$K$12,0),0)="Y",0,VLOOKUP($A97,'Your Pooling'!$A$12:$K$30,MATCH("Your XXX Pooled",'Your Pooling'!$A$12:$K$12,0),))+K97,K97)</f>
        <v>0</v>
      </c>
      <c r="I97" s="69">
        <f t="shared" ref="I97:I100" si="26">G97*H97</f>
        <v>0</v>
      </c>
      <c r="J97" s="69"/>
      <c r="K97" s="69"/>
      <c r="L97" s="75"/>
      <c r="M97" s="75"/>
      <c r="O97" s="57">
        <f t="shared" si="23"/>
        <v>0</v>
      </c>
      <c r="P97" s="40">
        <f t="shared" si="20"/>
        <v>0</v>
      </c>
      <c r="Q97" s="57">
        <f t="shared" ref="Q97:Q100" si="27">P97*FSNPRICE+O97*ANYFSN*FSNPRICE</f>
        <v>0</v>
      </c>
      <c r="R97" s="58">
        <f t="shared" si="21"/>
        <v>0</v>
      </c>
      <c r="S97" s="42">
        <f t="shared" ref="S97:S100" si="28">R97*365</f>
        <v>0</v>
      </c>
    </row>
    <row r="98" spans="1:19">
      <c r="A98" t="str">
        <f t="shared" si="22"/>
        <v>-</v>
      </c>
      <c r="B98" s="40">
        <f t="shared" si="24"/>
        <v>1</v>
      </c>
      <c r="C98" s="40"/>
      <c r="D98" s="40"/>
      <c r="E98" s="42">
        <f t="shared" si="19"/>
        <v>0</v>
      </c>
      <c r="F98" s="62">
        <f t="shared" si="25"/>
        <v>0</v>
      </c>
      <c r="G98" s="103">
        <f>IFERROR(IF(VLOOKUP($A98,'Your Pooling'!$A$12:$K$30,MATCH("Already In Pool?",'Your Pooling'!$A$12:$K$12,0),0)="Y",0,VLOOKUP($A98,'Your Pooling'!$A$12:$K$30,MATCH("Your FSN Pooled",'Your Pooling'!$A$12:$K$12,0),))+J98,J98)</f>
        <v>0</v>
      </c>
      <c r="H98" s="103">
        <f>IFERROR(IF(VLOOKUP($A98,'Your Pooling'!$A$12:$K$30,MATCH("Already In Pool?",'Your Pooling'!$A$12:$K$12,0),0)="Y",0,VLOOKUP($A98,'Your Pooling'!$A$12:$K$30,MATCH("Your XXX Pooled",'Your Pooling'!$A$12:$K$12,0),))+K98,K98)</f>
        <v>0</v>
      </c>
      <c r="I98" s="69">
        <f t="shared" si="26"/>
        <v>0</v>
      </c>
      <c r="J98" s="69"/>
      <c r="K98" s="69"/>
      <c r="L98" s="75"/>
      <c r="M98" s="75"/>
      <c r="O98" s="57">
        <f t="shared" si="23"/>
        <v>0</v>
      </c>
      <c r="P98" s="40">
        <f t="shared" si="20"/>
        <v>0</v>
      </c>
      <c r="Q98" s="57">
        <f t="shared" si="27"/>
        <v>0</v>
      </c>
      <c r="R98" s="58">
        <f t="shared" si="21"/>
        <v>0</v>
      </c>
      <c r="S98" s="42">
        <f t="shared" si="28"/>
        <v>0</v>
      </c>
    </row>
    <row r="99" spans="1:19">
      <c r="A99" t="str">
        <f t="shared" si="22"/>
        <v>-</v>
      </c>
      <c r="B99" s="40">
        <f t="shared" si="24"/>
        <v>1</v>
      </c>
      <c r="C99" s="40"/>
      <c r="D99" s="40"/>
      <c r="E99" s="42">
        <f t="shared" si="19"/>
        <v>0</v>
      </c>
      <c r="F99" s="62">
        <f t="shared" si="25"/>
        <v>0</v>
      </c>
      <c r="G99" s="103">
        <f>IFERROR(IF(VLOOKUP($A99,'Your Pooling'!$A$12:$K$30,MATCH("Already In Pool?",'Your Pooling'!$A$12:$K$12,0),0)="Y",0,VLOOKUP($A99,'Your Pooling'!$A$12:$K$30,MATCH("Your FSN Pooled",'Your Pooling'!$A$12:$K$12,0),))+J99,J99)</f>
        <v>0</v>
      </c>
      <c r="H99" s="103">
        <f>IFERROR(IF(VLOOKUP($A99,'Your Pooling'!$A$12:$K$30,MATCH("Already In Pool?",'Your Pooling'!$A$12:$K$12,0),0)="Y",0,VLOOKUP($A99,'Your Pooling'!$A$12:$K$30,MATCH("Your XXX Pooled",'Your Pooling'!$A$12:$K$12,0),))+K99,K99)</f>
        <v>0</v>
      </c>
      <c r="I99" s="69">
        <f t="shared" si="26"/>
        <v>0</v>
      </c>
      <c r="J99" s="69"/>
      <c r="K99" s="69"/>
      <c r="L99" s="75"/>
      <c r="M99" s="75"/>
      <c r="O99" s="57">
        <f t="shared" si="23"/>
        <v>0</v>
      </c>
      <c r="P99" s="40">
        <f t="shared" si="20"/>
        <v>0</v>
      </c>
      <c r="Q99" s="57">
        <f t="shared" si="27"/>
        <v>0</v>
      </c>
      <c r="R99" s="58">
        <f t="shared" si="21"/>
        <v>0</v>
      </c>
      <c r="S99" s="42">
        <f t="shared" si="28"/>
        <v>0</v>
      </c>
    </row>
    <row r="100" spans="1:19">
      <c r="A100" t="str">
        <f t="shared" si="22"/>
        <v>-</v>
      </c>
      <c r="B100" s="40">
        <f t="shared" si="24"/>
        <v>1</v>
      </c>
      <c r="C100" s="40"/>
      <c r="D100" s="40"/>
      <c r="E100" s="42">
        <f t="shared" si="19"/>
        <v>0</v>
      </c>
      <c r="F100" s="62">
        <f t="shared" si="25"/>
        <v>0</v>
      </c>
      <c r="G100" s="103">
        <f>IFERROR(IF(VLOOKUP($A100,'Your Pooling'!$A$12:$K$30,MATCH("Already In Pool?",'Your Pooling'!$A$12:$K$12,0),0)="Y",0,VLOOKUP($A100,'Your Pooling'!$A$12:$K$30,MATCH("Your FSN Pooled",'Your Pooling'!$A$12:$K$12,0),))+J100,J100)</f>
        <v>0</v>
      </c>
      <c r="H100" s="103">
        <f>IFERROR(IF(VLOOKUP($A100,'Your Pooling'!$A$12:$K$30,MATCH("Already In Pool?",'Your Pooling'!$A$12:$K$12,0),0)="Y",0,VLOOKUP($A100,'Your Pooling'!$A$12:$K$30,MATCH("Your XXX Pooled",'Your Pooling'!$A$12:$K$12,0),))+K100,K100)</f>
        <v>0</v>
      </c>
      <c r="I100" s="69">
        <f t="shared" si="26"/>
        <v>0</v>
      </c>
      <c r="J100" s="69"/>
      <c r="K100" s="69"/>
      <c r="L100" s="75"/>
      <c r="M100" s="75"/>
      <c r="O100" s="57">
        <f t="shared" si="23"/>
        <v>0</v>
      </c>
      <c r="P100" s="40">
        <f t="shared" si="20"/>
        <v>0</v>
      </c>
      <c r="Q100" s="57">
        <f t="shared" si="27"/>
        <v>0</v>
      </c>
      <c r="R100" s="58">
        <f t="shared" si="21"/>
        <v>0</v>
      </c>
      <c r="S100" s="42">
        <f t="shared" si="28"/>
        <v>0</v>
      </c>
    </row>
  </sheetData>
  <phoneticPr fontId="10" type="noConversion"/>
  <conditionalFormatting sqref="A11:I11 F12:H100">
    <cfRule type="expression" dxfId="83" priority="13">
      <formula>$C$11=""</formula>
    </cfRule>
  </conditionalFormatting>
  <conditionalFormatting sqref="A16:L100 A11:I15 L14:L15">
    <cfRule type="expression" dxfId="82" priority="11">
      <formula>$C11=""</formula>
    </cfRule>
    <cfRule type="expression" dxfId="81" priority="12">
      <formula>$C$11=""</formula>
    </cfRule>
  </conditionalFormatting>
  <conditionalFormatting sqref="H12">
    <cfRule type="expression" dxfId="80" priority="7">
      <formula>$C$11=""</formula>
    </cfRule>
  </conditionalFormatting>
  <conditionalFormatting sqref="H13:H100">
    <cfRule type="expression" dxfId="79" priority="6">
      <formula>$C$11=""</formula>
    </cfRule>
  </conditionalFormatting>
  <conditionalFormatting sqref="G12">
    <cfRule type="expression" dxfId="78" priority="5">
      <formula>$C$11=""</formula>
    </cfRule>
  </conditionalFormatting>
  <conditionalFormatting sqref="G13:G100">
    <cfRule type="expression" dxfId="77" priority="4">
      <formula>$C$11=""</formula>
    </cfRule>
  </conditionalFormatting>
  <conditionalFormatting sqref="M16:M100">
    <cfRule type="expression" dxfId="76" priority="1">
      <formula>$C16=""</formula>
    </cfRule>
    <cfRule type="expression" dxfId="75" priority="2">
      <formula>$C$11=""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DF2BC-0FF9-4C02-A2EE-895705565173}">
  <sheetPr codeName="Sheet1">
    <tabColor theme="5" tint="-0.249977111117893"/>
  </sheetPr>
  <dimension ref="A1:Q102"/>
  <sheetViews>
    <sheetView topLeftCell="A12" zoomScale="70" zoomScaleNormal="70" workbookViewId="0">
      <selection activeCell="E17" sqref="E17"/>
    </sheetView>
  </sheetViews>
  <sheetFormatPr defaultRowHeight="15"/>
  <cols>
    <col min="1" max="1" width="15.42578125" style="101" bestFit="1" customWidth="1"/>
    <col min="2" max="2" width="34.85546875" bestFit="1" customWidth="1"/>
    <col min="3" max="3" width="37.85546875" customWidth="1"/>
    <col min="4" max="4" width="33" bestFit="1" customWidth="1"/>
    <col min="5" max="5" width="37.85546875" bestFit="1" customWidth="1"/>
    <col min="6" max="6" width="33" bestFit="1" customWidth="1"/>
    <col min="7" max="7" width="33.140625" bestFit="1" customWidth="1"/>
    <col min="8" max="8" width="18.140625" bestFit="1" customWidth="1"/>
    <col min="9" max="9" width="14.5703125" bestFit="1" customWidth="1"/>
    <col min="10" max="10" width="6.85546875" bestFit="1" customWidth="1"/>
    <col min="11" max="11" width="37.7109375" style="55" bestFit="1" customWidth="1"/>
    <col min="17" max="17" width="0" hidden="1" customWidth="1"/>
  </cols>
  <sheetData>
    <row r="1" spans="1:17">
      <c r="A1"/>
      <c r="B1" s="53" t="s">
        <v>111</v>
      </c>
    </row>
    <row r="2" spans="1:17">
      <c r="A2"/>
      <c r="C2" s="63" t="s">
        <v>94</v>
      </c>
      <c r="D2" s="63" t="s">
        <v>175</v>
      </c>
      <c r="E2" s="94" t="s">
        <v>122</v>
      </c>
      <c r="F2" s="85" t="s">
        <v>123</v>
      </c>
      <c r="K2" s="86"/>
      <c r="Q2" t="s">
        <v>128</v>
      </c>
    </row>
    <row r="3" spans="1:17">
      <c r="A3"/>
      <c r="B3" s="40" t="s">
        <v>97</v>
      </c>
      <c r="C3" s="62">
        <f>SUM($E$13:$E$34)</f>
        <v>5.7296338509776872</v>
      </c>
      <c r="D3" s="62">
        <f>SUM($F$13:$F$34)</f>
        <v>28.063005709183084</v>
      </c>
      <c r="E3" s="62">
        <f>D3+C3*ANYFSN</f>
        <v>42.077708100695098</v>
      </c>
      <c r="F3" s="95">
        <f>E3*FSNPRICE</f>
        <v>16.042947757236099</v>
      </c>
      <c r="Q3" t="s">
        <v>129</v>
      </c>
    </row>
    <row r="4" spans="1:17">
      <c r="A4"/>
    </row>
    <row r="5" spans="1:17">
      <c r="A5"/>
      <c r="B5" s="63" t="s">
        <v>102</v>
      </c>
      <c r="C5" s="63" t="s">
        <v>103</v>
      </c>
      <c r="D5" s="63" t="s">
        <v>99</v>
      </c>
    </row>
    <row r="6" spans="1:17">
      <c r="A6"/>
      <c r="B6" s="57">
        <f>SUM(B13:B34)*2</f>
        <v>6400</v>
      </c>
      <c r="C6" s="58">
        <f>E3/B6</f>
        <v>6.5746418907336093E-3</v>
      </c>
      <c r="D6" s="42">
        <f>C6*365</f>
        <v>2.3997442901177672</v>
      </c>
    </row>
    <row r="7" spans="1:17">
      <c r="A7"/>
    </row>
    <row r="8" spans="1:17">
      <c r="A8"/>
      <c r="D8" s="4"/>
      <c r="H8" s="54" t="s">
        <v>169</v>
      </c>
    </row>
    <row r="9" spans="1:17">
      <c r="A9"/>
      <c r="D9" s="84"/>
      <c r="E9" s="83"/>
    </row>
    <row r="10" spans="1:17">
      <c r="A10"/>
      <c r="E10" s="83"/>
    </row>
    <row r="11" spans="1:17">
      <c r="A11" s="143" t="s">
        <v>139</v>
      </c>
      <c r="B11" s="143"/>
      <c r="C11" s="143"/>
      <c r="D11" s="143"/>
      <c r="E11" s="143"/>
      <c r="F11" s="143"/>
      <c r="G11" s="143"/>
      <c r="H11" s="143"/>
      <c r="I11" s="143"/>
      <c r="J11" s="143"/>
      <c r="K11" s="106" t="s">
        <v>134</v>
      </c>
    </row>
    <row r="12" spans="1:17" ht="30">
      <c r="A12" s="107" t="s">
        <v>142</v>
      </c>
      <c r="B12" s="89" t="s">
        <v>130</v>
      </c>
      <c r="C12" s="89" t="s">
        <v>104</v>
      </c>
      <c r="D12" s="89" t="s">
        <v>93</v>
      </c>
      <c r="E12" s="89" t="s">
        <v>106</v>
      </c>
      <c r="F12" s="89" t="s">
        <v>172</v>
      </c>
      <c r="G12" s="89" t="s">
        <v>112</v>
      </c>
      <c r="H12" s="89" t="s">
        <v>124</v>
      </c>
      <c r="I12" s="89" t="s">
        <v>98</v>
      </c>
      <c r="J12" s="89" t="s">
        <v>99</v>
      </c>
      <c r="K12" s="104" t="s">
        <v>127</v>
      </c>
    </row>
    <row r="13" spans="1:17">
      <c r="A13" s="101" t="s">
        <v>136</v>
      </c>
      <c r="B13" s="127">
        <v>1000</v>
      </c>
      <c r="C13" s="62">
        <f>IFERROR(B13/VLOOKUP($A13,PoolData!$A$10:$I$32,MATCH("XXX:FSN Ratio",PoolData!$A$10:$I$10,0),0),"")</f>
        <v>381.26952444377736</v>
      </c>
      <c r="D13" s="58">
        <f>IFERROR(B13/VLOOKUP($A13,PoolData!$A$10:$I$32,MATCH("Coin 1 Pool Size",PoolData!$A$10:$I$10,0),0),"")</f>
        <v>1.3114199619217014E-3</v>
      </c>
      <c r="E13" s="62">
        <f>IFERROR(VLOOKUP($A13,PoolData!$A$10:$Z$32,MATCH("DAILY ANY Per Pool",PoolData!$A$10:$Z$10,0),0)*D13,"")</f>
        <v>1.302189511585838</v>
      </c>
      <c r="F13" s="62">
        <f>IFERROR(VLOOKUP($A13,PoolData!$A$10:$T$32,MATCH("Trading Volume in FSN",PoolData!$A$10:$T$10,0),0)*FEEREWARDS*D13,"")</f>
        <v>15.737039543060417</v>
      </c>
      <c r="G13" s="62">
        <f t="shared" ref="G13:G44" si="0">IFERROR(F13+E13*ANYFSN,"")</f>
        <v>18.922199177494967</v>
      </c>
      <c r="H13" s="93">
        <f t="shared" ref="H13:H44" si="1">IFERROR(G13*FSNPRICE,"")</f>
        <v>7.2144578818339413</v>
      </c>
      <c r="I13" s="58">
        <f>IFERROR(G13/(2*B13),"")</f>
        <v>9.4610995887474836E-3</v>
      </c>
      <c r="J13" s="42">
        <f>IFERROR(I13*365,"")</f>
        <v>3.4533013498928313</v>
      </c>
      <c r="K13" s="105" t="s">
        <v>128</v>
      </c>
    </row>
    <row r="14" spans="1:17">
      <c r="A14" s="101" t="s">
        <v>137</v>
      </c>
      <c r="B14" s="127">
        <v>1000</v>
      </c>
      <c r="C14" s="62">
        <f>IFERROR(B14/VLOOKUP($A14,PoolData!$A$10:$I$32,MATCH("XXX:FSN Ratio",PoolData!$A$10:$I$10,0),0),"")</f>
        <v>1.0531492504900504</v>
      </c>
      <c r="D14" s="58">
        <f>IFERROR(B14/VLOOKUP($A14,PoolData!$A$10:$I$32,MATCH("Coin 1 Pool Size",PoolData!$A$10:$I$10,0),0),"")</f>
        <v>4.1064325311682129E-3</v>
      </c>
      <c r="E14" s="62">
        <f>IFERROR(VLOOKUP($A14,PoolData!$A$10:$Z$32,MATCH("DAILY ANY Per Pool",PoolData!$A$10:$Z$10,0),0)*D14,"")</f>
        <v>1.3021895115858382</v>
      </c>
      <c r="F14" s="62">
        <f>IFERROR(VLOOKUP($A14,PoolData!$A$10:$T$32,MATCH("Trading Volume in FSN",PoolData!$A$10:$T$10,0),0)*FEEREWARDS*D14,"")</f>
        <v>9.5208459521641249</v>
      </c>
      <c r="G14" s="62">
        <f t="shared" si="0"/>
        <v>12.706005586598675</v>
      </c>
      <c r="H14" s="93">
        <f t="shared" si="1"/>
        <v>4.844412707582455</v>
      </c>
      <c r="I14" s="58">
        <f t="shared" ref="I14:I77" si="2">IFERROR(G14/(2*B14),"")</f>
        <v>6.3530027932993376E-3</v>
      </c>
      <c r="J14" s="42">
        <f t="shared" ref="J14:J77" si="3">IFERROR(I14*365,"")</f>
        <v>2.3188460195542584</v>
      </c>
      <c r="K14" s="105" t="s">
        <v>128</v>
      </c>
    </row>
    <row r="15" spans="1:17">
      <c r="A15" s="101" t="s">
        <v>138</v>
      </c>
      <c r="B15" s="127">
        <v>1000</v>
      </c>
      <c r="C15" s="62">
        <f>IFERROR(B15/VLOOKUP($A15,PoolData!$A$10:$I$32,MATCH("XXX:FSN Ratio",PoolData!$A$10:$I$10,0),0),"")</f>
        <v>408.83021921663016</v>
      </c>
      <c r="D15" s="58">
        <f>IFERROR(B15/VLOOKUP($A15,PoolData!$A$10:$I$32,MATCH("Coin 1 Pool Size",PoolData!$A$10:$I$10,0),0),"")</f>
        <v>1.7776427211397606E-4</v>
      </c>
      <c r="E15" s="62">
        <f>IFERROR(VLOOKUP($A15,PoolData!$A$10:$Z$32,MATCH("DAILY ANY Per Pool",PoolData!$A$10:$Z$10,0),0)*D15,"")</f>
        <v>2.6043790231716759</v>
      </c>
      <c r="F15" s="62">
        <f>IFERROR(VLOOKUP($A15,PoolData!$A$10:$T$32,MATCH("Trading Volume in FSN",PoolData!$A$10:$T$10,0),0)*FEEREWARDS*D15,"")</f>
        <v>2.8051202139585421</v>
      </c>
      <c r="G15" s="62">
        <f t="shared" si="0"/>
        <v>9.1754394828276382</v>
      </c>
      <c r="H15" s="93">
        <f t="shared" si="1"/>
        <v>3.4983154481803522</v>
      </c>
      <c r="I15" s="58">
        <f t="shared" si="2"/>
        <v>4.5877197414138189E-3</v>
      </c>
      <c r="J15" s="42">
        <f t="shared" si="3"/>
        <v>1.6745177056160439</v>
      </c>
      <c r="K15" s="105" t="s">
        <v>128</v>
      </c>
    </row>
    <row r="16" spans="1:17">
      <c r="A16" s="101" t="s">
        <v>183</v>
      </c>
      <c r="B16" s="127">
        <v>100</v>
      </c>
      <c r="C16" s="62">
        <f>IFERROR(B16/VLOOKUP($A16,PoolData!$A$10:$I$32,MATCH("XXX:FSN Ratio",PoolData!$A$10:$I$10,0),0),"")</f>
        <v>9.4720130938998448</v>
      </c>
      <c r="D16" s="58">
        <f>IFERROR(B16/VLOOKUP($A16,PoolData!$A$10:$I$32,MATCH("Coin 1 Pool Size",PoolData!$A$10:$I$10,0),0),"")</f>
        <v>4.8521021149602822E-3</v>
      </c>
      <c r="E16" s="62">
        <f>IFERROR(VLOOKUP($A16,PoolData!$A$10:$Z$32,MATCH("DAILY ANY Per Pool",PoolData!$A$10:$Z$10,0),0)*D16,"")</f>
        <v>0.13021895115858381</v>
      </c>
      <c r="F16" s="62">
        <f>IFERROR(VLOOKUP($A16,PoolData!$A$10:$T$32,MATCH("Trading Volume in FSN",PoolData!$A$10:$T$10,0),0)*FEEREWARDS*D16,"")</f>
        <v>0</v>
      </c>
      <c r="G16" s="62">
        <f t="shared" si="0"/>
        <v>0.3185159634434549</v>
      </c>
      <c r="H16" s="93">
        <f t="shared" si="1"/>
        <v>0.12144042990983762</v>
      </c>
      <c r="I16" s="58">
        <f t="shared" si="2"/>
        <v>1.5925798172172745E-3</v>
      </c>
      <c r="J16" s="42">
        <f t="shared" si="3"/>
        <v>0.58129163328430522</v>
      </c>
      <c r="K16" s="105" t="s">
        <v>128</v>
      </c>
    </row>
    <row r="17" spans="1:11">
      <c r="A17" s="101" t="s">
        <v>190</v>
      </c>
      <c r="B17" s="127">
        <v>100</v>
      </c>
      <c r="C17" s="62">
        <f>IFERROR(B17/VLOOKUP($A17,PoolData!$A$10:$I$32,MATCH("XXX:FSN Ratio",PoolData!$A$10:$I$10,0),0),"")</f>
        <v>3.5215070572710352E-3</v>
      </c>
      <c r="D17" s="58">
        <f>IFERROR(B17/VLOOKUP($A17,PoolData!$A$10:$I$32,MATCH("Coin 1 Pool Size",PoolData!$A$10:$I$10,0),0),"")</f>
        <v>2.5416203901933675E-4</v>
      </c>
      <c r="E17" s="62">
        <f>IFERROR(VLOOKUP($A17,PoolData!$A$10:$Z$32,MATCH("DAILY ANY Per Pool",PoolData!$A$10:$Z$10,0),0)*D17,"")</f>
        <v>0.39065685347575141</v>
      </c>
      <c r="F17" s="62">
        <f>IFERROR(VLOOKUP($A17,PoolData!$A$10:$T$32,MATCH("Trading Volume in FSN",PoolData!$A$10:$T$10,0),0)*FEEREWARDS*D17,"")</f>
        <v>0</v>
      </c>
      <c r="G17" s="62">
        <f t="shared" si="0"/>
        <v>0.95554789033036458</v>
      </c>
      <c r="H17" s="93">
        <f t="shared" si="1"/>
        <v>0.36432128972951283</v>
      </c>
      <c r="I17" s="58">
        <f t="shared" si="2"/>
        <v>4.7777394516518232E-3</v>
      </c>
      <c r="J17" s="42">
        <f>IFERROR(I17*365,"")</f>
        <v>1.7438748998529154</v>
      </c>
      <c r="K17" s="105" t="s">
        <v>128</v>
      </c>
    </row>
    <row r="18" spans="1:11">
      <c r="A18" s="101" t="s">
        <v>167</v>
      </c>
      <c r="B18" s="127">
        <v>0</v>
      </c>
      <c r="C18" s="62" t="str">
        <f>IFERROR(B18/VLOOKUP($A18,PoolData!$A$10:$I$32,MATCH("XXX:FSN Ratio",PoolData!$A$10:$I$10,0),0),"")</f>
        <v/>
      </c>
      <c r="D18" s="58" t="str">
        <f>IFERROR(B18/VLOOKUP($A18,PoolData!$A$10:$I$32,MATCH("Coin 1 Pool Size",PoolData!$A$10:$I$10,0),0),"")</f>
        <v/>
      </c>
      <c r="E18" s="62" t="str">
        <f>IFERROR(VLOOKUP($A18,PoolData!$A$10:$I$32,MATCH("ANY Reward % to pool",PoolData!$A$10:$I$10,0),0)*DAILYANY*D18,"")</f>
        <v/>
      </c>
      <c r="F18" s="62" t="str">
        <f>IFERROR(VLOOKUP($A18,PoolData!$A$10:$T$32,MATCH("Trading Volume in FSN",PoolData!$A$10:$T$10,0),0)*FEEREWARDS*D18,"")</f>
        <v/>
      </c>
      <c r="G18" s="62" t="str">
        <f t="shared" si="0"/>
        <v/>
      </c>
      <c r="H18" s="93" t="str">
        <f t="shared" si="1"/>
        <v/>
      </c>
      <c r="I18" s="58" t="str">
        <f t="shared" si="2"/>
        <v/>
      </c>
      <c r="J18" s="42" t="str">
        <f t="shared" si="3"/>
        <v/>
      </c>
      <c r="K18" s="105" t="s">
        <v>128</v>
      </c>
    </row>
    <row r="19" spans="1:11">
      <c r="A19" s="101" t="s">
        <v>167</v>
      </c>
      <c r="B19" s="127">
        <v>0</v>
      </c>
      <c r="C19" s="62" t="str">
        <f>IFERROR(B19/VLOOKUP($A19,PoolData!$A$10:$I$32,MATCH("XXX:FSN Ratio",PoolData!$A$10:$I$10,0),0),"")</f>
        <v/>
      </c>
      <c r="D19" s="58" t="str">
        <f>IFERROR(B19/VLOOKUP($A19,PoolData!$A$10:$I$32,MATCH("Coin 1 Pool Size",PoolData!$A$10:$I$10,0),0),"")</f>
        <v/>
      </c>
      <c r="E19" s="62" t="str">
        <f>IFERROR(VLOOKUP($A19,PoolData!$A$10:$I$32,MATCH("ANY Reward % to pool",PoolData!$A$10:$I$10,0),0)*DAILYANY*D19,"")</f>
        <v/>
      </c>
      <c r="F19" s="62" t="str">
        <f>IFERROR(VLOOKUP($A19,PoolData!$A$10:$T$32,MATCH("Trading Volume in FSN",PoolData!$A$10:$T$10,0),0)*FEEREWARDS*D19,"")</f>
        <v/>
      </c>
      <c r="G19" s="62" t="str">
        <f t="shared" si="0"/>
        <v/>
      </c>
      <c r="H19" s="93" t="str">
        <f t="shared" si="1"/>
        <v/>
      </c>
      <c r="I19" s="58" t="str">
        <f t="shared" si="2"/>
        <v/>
      </c>
      <c r="J19" s="42" t="str">
        <f t="shared" si="3"/>
        <v/>
      </c>
      <c r="K19" s="105" t="s">
        <v>128</v>
      </c>
    </row>
    <row r="20" spans="1:11">
      <c r="A20" s="101" t="s">
        <v>167</v>
      </c>
      <c r="B20" s="127">
        <v>0</v>
      </c>
      <c r="C20" s="62" t="str">
        <f>IFERROR(B20/VLOOKUP($A20,PoolData!$A$10:$I$32,MATCH("XXX:FSN Ratio",PoolData!$A$10:$I$10,0),0),"")</f>
        <v/>
      </c>
      <c r="D20" s="58" t="str">
        <f>IFERROR(B20/VLOOKUP($A20,PoolData!$A$10:$I$32,MATCH("Coin 1 Pool Size",PoolData!$A$10:$I$10,0),0),"")</f>
        <v/>
      </c>
      <c r="E20" s="62" t="str">
        <f>IFERROR(VLOOKUP($A20,PoolData!$A$10:$I$32,MATCH("ANY Reward % to pool",PoolData!$A$10:$I$10,0),0)*DAILYANY*D20,"")</f>
        <v/>
      </c>
      <c r="F20" s="62" t="str">
        <f>IFERROR(VLOOKUP($A20,PoolData!$A$10:$T$32,MATCH("Trading Volume in FSN",PoolData!$A$10:$T$10,0),0)*FEEREWARDS*D20,"")</f>
        <v/>
      </c>
      <c r="G20" s="62" t="str">
        <f t="shared" si="0"/>
        <v/>
      </c>
      <c r="H20" s="93" t="str">
        <f t="shared" si="1"/>
        <v/>
      </c>
      <c r="I20" s="58" t="str">
        <f t="shared" si="2"/>
        <v/>
      </c>
      <c r="J20" s="42" t="str">
        <f t="shared" si="3"/>
        <v/>
      </c>
      <c r="K20" s="105" t="s">
        <v>128</v>
      </c>
    </row>
    <row r="21" spans="1:11">
      <c r="A21" s="101" t="s">
        <v>167</v>
      </c>
      <c r="B21" s="127">
        <v>0</v>
      </c>
      <c r="C21" s="62" t="str">
        <f>IFERROR(B21/VLOOKUP($A21,PoolData!$A$10:$I$32,MATCH("XXX:FSN Ratio",PoolData!$A$10:$I$10,0),0),"")</f>
        <v/>
      </c>
      <c r="D21" s="58" t="str">
        <f>IFERROR(B21/VLOOKUP($A21,PoolData!$A$10:$I$32,MATCH("Coin 1 Pool Size",PoolData!$A$10:$I$10,0),0),"")</f>
        <v/>
      </c>
      <c r="E21" s="62" t="str">
        <f>IFERROR(VLOOKUP($A21,PoolData!$A$10:$I$32,MATCH("ANY Reward % to pool",PoolData!$A$10:$I$10,0),0)*DAILYANY*D21,"")</f>
        <v/>
      </c>
      <c r="F21" s="62" t="str">
        <f>IFERROR(VLOOKUP($A21,PoolData!$A$10:$T$32,MATCH("Trading Volume in FSN",PoolData!$A$10:$T$10,0),0)*FEEREWARDS*D21,"")</f>
        <v/>
      </c>
      <c r="G21" s="62" t="str">
        <f t="shared" si="0"/>
        <v/>
      </c>
      <c r="H21" s="93" t="str">
        <f t="shared" si="1"/>
        <v/>
      </c>
      <c r="I21" s="58" t="str">
        <f t="shared" si="2"/>
        <v/>
      </c>
      <c r="J21" s="42" t="str">
        <f t="shared" si="3"/>
        <v/>
      </c>
      <c r="K21" s="105" t="s">
        <v>128</v>
      </c>
    </row>
    <row r="22" spans="1:11">
      <c r="A22" s="101" t="s">
        <v>167</v>
      </c>
      <c r="B22" s="127">
        <v>0</v>
      </c>
      <c r="C22" s="62" t="str">
        <f>IFERROR(B22/VLOOKUP($A22,PoolData!$A$10:$I$32,MATCH("XXX:FSN Ratio",PoolData!$A$10:$I$10,0),0),"")</f>
        <v/>
      </c>
      <c r="D22" s="58" t="str">
        <f>IFERROR(B22/VLOOKUP($A22,PoolData!$A$10:$I$32,MATCH("Coin 1 Pool Size",PoolData!$A$10:$I$10,0),0),"")</f>
        <v/>
      </c>
      <c r="E22" s="62" t="str">
        <f>IFERROR(VLOOKUP($A22,PoolData!$A$10:$I$32,MATCH("ANY Reward % to pool",PoolData!$A$10:$I$10,0),0)*DAILYANY*D22,"")</f>
        <v/>
      </c>
      <c r="F22" s="62" t="str">
        <f>IFERROR(VLOOKUP($A22,PoolData!$A$10:$T$32,MATCH("Trading Volume in FSN",PoolData!$A$10:$T$10,0),0)*FEEREWARDS*D22,"")</f>
        <v/>
      </c>
      <c r="G22" s="62" t="str">
        <f t="shared" si="0"/>
        <v/>
      </c>
      <c r="H22" s="93" t="str">
        <f t="shared" si="1"/>
        <v/>
      </c>
      <c r="I22" s="58" t="str">
        <f t="shared" si="2"/>
        <v/>
      </c>
      <c r="J22" s="42" t="str">
        <f t="shared" si="3"/>
        <v/>
      </c>
      <c r="K22" s="105" t="s">
        <v>128</v>
      </c>
    </row>
    <row r="23" spans="1:11">
      <c r="A23" s="101" t="s">
        <v>167</v>
      </c>
      <c r="B23" s="127">
        <v>0</v>
      </c>
      <c r="C23" s="62" t="str">
        <f>IFERROR(B23/VLOOKUP($A23,PoolData!$A$10:$I$32,MATCH("XXX:FSN Ratio",PoolData!$A$10:$I$10,0),0),"")</f>
        <v/>
      </c>
      <c r="D23" s="58" t="str">
        <f>IFERROR(B23/VLOOKUP($A23,PoolData!$A$10:$I$32,MATCH("Coin 1 Pool Size",PoolData!$A$10:$I$10,0),0),"")</f>
        <v/>
      </c>
      <c r="E23" s="62" t="str">
        <f>IFERROR(VLOOKUP($A23,PoolData!$A$10:$I$32,MATCH("ANY Reward % to pool",PoolData!$A$10:$I$10,0),0)*DAILYANY*D23,"")</f>
        <v/>
      </c>
      <c r="F23" s="62" t="str">
        <f>IFERROR(VLOOKUP($A23,PoolData!$A$10:$T$32,MATCH("Trading Volume in FSN",PoolData!$A$10:$T$10,0),0)*FEEREWARDS*D23,"")</f>
        <v/>
      </c>
      <c r="G23" s="62" t="str">
        <f t="shared" si="0"/>
        <v/>
      </c>
      <c r="H23" s="93" t="str">
        <f t="shared" si="1"/>
        <v/>
      </c>
      <c r="I23" s="58" t="str">
        <f t="shared" si="2"/>
        <v/>
      </c>
      <c r="J23" s="42" t="str">
        <f t="shared" si="3"/>
        <v/>
      </c>
      <c r="K23" s="105" t="s">
        <v>128</v>
      </c>
    </row>
    <row r="24" spans="1:11">
      <c r="A24" s="101" t="s">
        <v>167</v>
      </c>
      <c r="B24" s="127">
        <v>0</v>
      </c>
      <c r="C24" s="62" t="str">
        <f>IFERROR(B24/VLOOKUP($A24,PoolData!$A$10:$I$32,MATCH("XXX:FSN Ratio",PoolData!$A$10:$I$10,0),0),"")</f>
        <v/>
      </c>
      <c r="D24" s="58" t="str">
        <f>IFERROR(B24/VLOOKUP($A24,PoolData!$A$10:$I$32,MATCH("Coin 1 Pool Size",PoolData!$A$10:$I$10,0),0),"")</f>
        <v/>
      </c>
      <c r="E24" s="62" t="str">
        <f>IFERROR(VLOOKUP($A24,PoolData!$A$10:$I$32,MATCH("ANY Reward % to pool",PoolData!$A$10:$I$10,0),0)*DAILYANY*D24,"")</f>
        <v/>
      </c>
      <c r="F24" s="62" t="str">
        <f>IFERROR(VLOOKUP($A24,PoolData!$A$10:$T$32,MATCH("Trading Volume in FSN",PoolData!$A$10:$T$10,0),0)*FEEREWARDS*D24,"")</f>
        <v/>
      </c>
      <c r="G24" s="62" t="str">
        <f t="shared" si="0"/>
        <v/>
      </c>
      <c r="H24" s="93" t="str">
        <f t="shared" si="1"/>
        <v/>
      </c>
      <c r="I24" s="58" t="str">
        <f t="shared" si="2"/>
        <v/>
      </c>
      <c r="J24" s="42" t="str">
        <f t="shared" si="3"/>
        <v/>
      </c>
      <c r="K24" s="105" t="s">
        <v>128</v>
      </c>
    </row>
    <row r="25" spans="1:11">
      <c r="A25" s="101" t="s">
        <v>167</v>
      </c>
      <c r="B25" s="127">
        <v>0</v>
      </c>
      <c r="C25" s="62" t="str">
        <f>IFERROR(B25/VLOOKUP($A25,PoolData!$A$10:$I$32,MATCH("XXX:FSN Ratio",PoolData!$A$10:$I$10,0),0),"")</f>
        <v/>
      </c>
      <c r="D25" s="58" t="str">
        <f>IFERROR(B25/VLOOKUP($A25,PoolData!$A$10:$I$32,MATCH("Coin 1 Pool Size",PoolData!$A$10:$I$10,0),0),"")</f>
        <v/>
      </c>
      <c r="E25" s="62" t="str">
        <f>IFERROR(VLOOKUP($A25,PoolData!$A$10:$I$32,MATCH("ANY Reward % to pool",PoolData!$A$10:$I$10,0),0)*DAILYANY*D25,"")</f>
        <v/>
      </c>
      <c r="F25" s="62" t="str">
        <f>IFERROR(VLOOKUP($A25,PoolData!$A$10:$T$32,MATCH("Trading Volume in FSN",PoolData!$A$10:$T$10,0),0)*FEEREWARDS*D25,"")</f>
        <v/>
      </c>
      <c r="G25" s="62" t="str">
        <f t="shared" si="0"/>
        <v/>
      </c>
      <c r="H25" s="93" t="str">
        <f t="shared" si="1"/>
        <v/>
      </c>
      <c r="I25" s="58" t="str">
        <f t="shared" si="2"/>
        <v/>
      </c>
      <c r="J25" s="42" t="str">
        <f t="shared" si="3"/>
        <v/>
      </c>
      <c r="K25" s="105" t="s">
        <v>128</v>
      </c>
    </row>
    <row r="26" spans="1:11">
      <c r="A26" s="101" t="s">
        <v>167</v>
      </c>
      <c r="B26" s="127">
        <v>0</v>
      </c>
      <c r="C26" s="62" t="str">
        <f>IFERROR(B26/VLOOKUP($A26,PoolData!$A$10:$I$32,MATCH("XXX:FSN Ratio",PoolData!$A$10:$I$10,0),0),"")</f>
        <v/>
      </c>
      <c r="D26" s="58" t="str">
        <f>IFERROR(B26/VLOOKUP($A26,PoolData!$A$10:$I$32,MATCH("Coin 1 Pool Size",PoolData!$A$10:$I$10,0),0),"")</f>
        <v/>
      </c>
      <c r="E26" s="62" t="str">
        <f>IFERROR(VLOOKUP($A26,PoolData!$A$10:$I$32,MATCH("ANY Reward % to pool",PoolData!$A$10:$I$10,0),0)*DAILYANY*D26,"")</f>
        <v/>
      </c>
      <c r="F26" s="62" t="str">
        <f>IFERROR(VLOOKUP($A26,PoolData!$A$10:$T$32,MATCH("Trading Volume in FSN",PoolData!$A$10:$T$10,0),0)*FEEREWARDS*D26,"")</f>
        <v/>
      </c>
      <c r="G26" s="62" t="str">
        <f t="shared" si="0"/>
        <v/>
      </c>
      <c r="H26" s="93" t="str">
        <f t="shared" si="1"/>
        <v/>
      </c>
      <c r="I26" s="58" t="str">
        <f t="shared" si="2"/>
        <v/>
      </c>
      <c r="J26" s="42" t="str">
        <f t="shared" si="3"/>
        <v/>
      </c>
      <c r="K26" s="105" t="s">
        <v>128</v>
      </c>
    </row>
    <row r="27" spans="1:11">
      <c r="A27" s="101" t="s">
        <v>167</v>
      </c>
      <c r="B27" s="127">
        <v>0</v>
      </c>
      <c r="C27" s="62" t="str">
        <f>IFERROR(B27/VLOOKUP($A27,PoolData!$A$10:$I$32,MATCH("XXX:FSN Ratio",PoolData!$A$10:$I$10,0),0),"")</f>
        <v/>
      </c>
      <c r="D27" s="58" t="str">
        <f>IFERROR(B27/VLOOKUP($A27,PoolData!$A$10:$I$32,MATCH("Coin 1 Pool Size",PoolData!$A$10:$I$10,0),0),"")</f>
        <v/>
      </c>
      <c r="E27" s="62" t="str">
        <f>IFERROR(VLOOKUP($A27,PoolData!$A$10:$I$32,MATCH("ANY Reward % to pool",PoolData!$A$10:$I$10,0),0)*DAILYANY*D27,"")</f>
        <v/>
      </c>
      <c r="F27" s="62" t="str">
        <f>IFERROR(VLOOKUP($A27,PoolData!$A$10:$T$32,MATCH("Trading Volume in FSN",PoolData!$A$10:$T$10,0),0)*FEEREWARDS*D27,"")</f>
        <v/>
      </c>
      <c r="G27" s="62" t="str">
        <f t="shared" si="0"/>
        <v/>
      </c>
      <c r="H27" s="93" t="str">
        <f t="shared" si="1"/>
        <v/>
      </c>
      <c r="I27" s="58" t="str">
        <f t="shared" si="2"/>
        <v/>
      </c>
      <c r="J27" s="42" t="str">
        <f t="shared" si="3"/>
        <v/>
      </c>
      <c r="K27" s="105" t="s">
        <v>128</v>
      </c>
    </row>
    <row r="28" spans="1:11">
      <c r="A28" s="101" t="s">
        <v>167</v>
      </c>
      <c r="B28" s="127">
        <v>0</v>
      </c>
      <c r="C28" s="62" t="str">
        <f>IFERROR(B28/VLOOKUP($A28,PoolData!$A$10:$I$32,MATCH("XXX:FSN Ratio",PoolData!$A$10:$I$10,0),0),"")</f>
        <v/>
      </c>
      <c r="D28" s="58" t="str">
        <f>IFERROR(B28/VLOOKUP($A28,PoolData!$A$10:$I$32,MATCH("Coin 1 Pool Size",PoolData!$A$10:$I$10,0),0),"")</f>
        <v/>
      </c>
      <c r="E28" s="62" t="str">
        <f>IFERROR(VLOOKUP($A28,PoolData!$A$10:$I$32,MATCH("ANY Reward % to pool",PoolData!$A$10:$I$10,0),0)*DAILYANY*D28,"")</f>
        <v/>
      </c>
      <c r="F28" s="62" t="str">
        <f>IFERROR(VLOOKUP($A28,PoolData!$A$10:$T$32,MATCH("Trading Volume in FSN",PoolData!$A$10:$T$10,0),0)*FEEREWARDS*D28,"")</f>
        <v/>
      </c>
      <c r="G28" s="62" t="str">
        <f t="shared" si="0"/>
        <v/>
      </c>
      <c r="H28" s="93" t="str">
        <f t="shared" si="1"/>
        <v/>
      </c>
      <c r="I28" s="58" t="str">
        <f t="shared" si="2"/>
        <v/>
      </c>
      <c r="J28" s="42" t="str">
        <f t="shared" si="3"/>
        <v/>
      </c>
      <c r="K28" s="105" t="s">
        <v>128</v>
      </c>
    </row>
    <row r="29" spans="1:11">
      <c r="A29" s="101" t="s">
        <v>167</v>
      </c>
      <c r="B29" s="127">
        <v>0</v>
      </c>
      <c r="C29" s="62" t="str">
        <f>IFERROR(B29/VLOOKUP($A29,PoolData!$A$10:$I$32,MATCH("XXX:FSN Ratio",PoolData!$A$10:$I$10,0),0),"")</f>
        <v/>
      </c>
      <c r="D29" s="58" t="str">
        <f>IFERROR(B29/VLOOKUP($A29,PoolData!$A$10:$I$32,MATCH("Coin 1 Pool Size",PoolData!$A$10:$I$10,0),0),"")</f>
        <v/>
      </c>
      <c r="E29" s="62" t="str">
        <f>IFERROR(VLOOKUP($A29,PoolData!$A$10:$I$32,MATCH("ANY Reward % to pool",PoolData!$A$10:$I$10,0),0)*DAILYANY*D29,"")</f>
        <v/>
      </c>
      <c r="F29" s="62" t="str">
        <f>IFERROR(VLOOKUP($A29,PoolData!$A$10:$T$32,MATCH("Trading Volume in FSN",PoolData!$A$10:$T$10,0),0)*FEEREWARDS*D29,"")</f>
        <v/>
      </c>
      <c r="G29" s="62" t="str">
        <f t="shared" si="0"/>
        <v/>
      </c>
      <c r="H29" s="93" t="str">
        <f t="shared" si="1"/>
        <v/>
      </c>
      <c r="I29" s="58" t="str">
        <f t="shared" si="2"/>
        <v/>
      </c>
      <c r="J29" s="42" t="str">
        <f t="shared" si="3"/>
        <v/>
      </c>
      <c r="K29" s="105" t="s">
        <v>128</v>
      </c>
    </row>
    <row r="30" spans="1:11">
      <c r="A30" s="101" t="s">
        <v>167</v>
      </c>
      <c r="B30" s="127">
        <v>0</v>
      </c>
      <c r="C30" s="62" t="str">
        <f>IFERROR(B30/VLOOKUP($A30,PoolData!$A$10:$I$32,MATCH("XXX:FSN Ratio",PoolData!$A$10:$I$10,0),0),"")</f>
        <v/>
      </c>
      <c r="D30" s="58" t="str">
        <f>IFERROR(B30/VLOOKUP($A30,PoolData!$A$10:$I$32,MATCH("Coin 1 Pool Size",PoolData!$A$10:$I$10,0),0),"")</f>
        <v/>
      </c>
      <c r="E30" s="62" t="str">
        <f>IFERROR(VLOOKUP($A30,PoolData!$A$10:$I$32,MATCH("ANY Reward % to pool",PoolData!$A$10:$I$10,0),0)*DAILYANY*D30,"")</f>
        <v/>
      </c>
      <c r="F30" s="62" t="str">
        <f>IFERROR(VLOOKUP($A30,PoolData!$A$10:$T$32,MATCH("Trading Volume in FSN",PoolData!$A$10:$T$10,0),0)*FEEREWARDS*D30,"")</f>
        <v/>
      </c>
      <c r="G30" s="62" t="str">
        <f t="shared" si="0"/>
        <v/>
      </c>
      <c r="H30" s="93" t="str">
        <f t="shared" si="1"/>
        <v/>
      </c>
      <c r="I30" s="58" t="str">
        <f t="shared" si="2"/>
        <v/>
      </c>
      <c r="J30" s="42" t="str">
        <f t="shared" si="3"/>
        <v/>
      </c>
      <c r="K30" s="105" t="s">
        <v>128</v>
      </c>
    </row>
    <row r="31" spans="1:11">
      <c r="A31" s="101" t="s">
        <v>167</v>
      </c>
      <c r="B31" s="127">
        <v>0</v>
      </c>
      <c r="C31" s="62" t="str">
        <f>IFERROR(B31/VLOOKUP($A31,PoolData!$A$10:$I$32,MATCH("XXX:FSN Ratio",PoolData!$A$10:$I$10,0),0),"")</f>
        <v/>
      </c>
      <c r="D31" s="58" t="str">
        <f>IFERROR(B31/VLOOKUP($A31,PoolData!$A$10:$I$32,MATCH("Coin 1 Pool Size",PoolData!$A$10:$I$10,0),0),"")</f>
        <v/>
      </c>
      <c r="E31" s="62" t="str">
        <f>IFERROR(VLOOKUP($A31,PoolData!$A$10:$I$32,MATCH("ANY Reward % to pool",PoolData!$A$10:$I$10,0),0)*DAILYANY*D31,"")</f>
        <v/>
      </c>
      <c r="F31" s="62" t="str">
        <f>IFERROR(VLOOKUP($A31,PoolData!$A$10:$T$32,MATCH("Trading Volume in FSN",PoolData!$A$10:$T$10,0),0)*FEEREWARDS*D31,"")</f>
        <v/>
      </c>
      <c r="G31" s="62" t="str">
        <f t="shared" si="0"/>
        <v/>
      </c>
      <c r="H31" s="93" t="str">
        <f t="shared" si="1"/>
        <v/>
      </c>
      <c r="I31" s="58" t="str">
        <f t="shared" si="2"/>
        <v/>
      </c>
      <c r="J31" s="42" t="str">
        <f t="shared" si="3"/>
        <v/>
      </c>
      <c r="K31" s="105" t="s">
        <v>128</v>
      </c>
    </row>
    <row r="32" spans="1:11">
      <c r="A32" s="101" t="s">
        <v>167</v>
      </c>
      <c r="B32" s="127">
        <v>0</v>
      </c>
      <c r="C32" s="62" t="str">
        <f>IFERROR(B32/VLOOKUP($A32,PoolData!$A$10:$I$32,MATCH("XXX:FSN Ratio",PoolData!$A$10:$I$10,0),0),"")</f>
        <v/>
      </c>
      <c r="D32" s="58" t="str">
        <f>IFERROR(B32/VLOOKUP($A32,PoolData!$A$10:$I$32,MATCH("Coin 1 Pool Size",PoolData!$A$10:$I$10,0),0),"")</f>
        <v/>
      </c>
      <c r="E32" s="62" t="str">
        <f>IFERROR(VLOOKUP($A32,PoolData!$A$10:$I$32,MATCH("ANY Reward % to pool",PoolData!$A$10:$I$10,0),0)*DAILYANY*D32,"")</f>
        <v/>
      </c>
      <c r="F32" s="62" t="str">
        <f>IFERROR(VLOOKUP($A32,PoolData!$A$10:$T$32,MATCH("Trading Volume in FSN",PoolData!$A$10:$T$10,0),0)*FEEREWARDS*D32,"")</f>
        <v/>
      </c>
      <c r="G32" s="62" t="str">
        <f t="shared" si="0"/>
        <v/>
      </c>
      <c r="H32" s="93" t="str">
        <f t="shared" si="1"/>
        <v/>
      </c>
      <c r="I32" s="58" t="str">
        <f t="shared" si="2"/>
        <v/>
      </c>
      <c r="J32" s="42" t="str">
        <f t="shared" si="3"/>
        <v/>
      </c>
      <c r="K32" s="105" t="s">
        <v>128</v>
      </c>
    </row>
    <row r="33" spans="1:11">
      <c r="A33" s="101" t="s">
        <v>167</v>
      </c>
      <c r="B33" s="127">
        <v>0</v>
      </c>
      <c r="C33" s="62" t="str">
        <f>IFERROR(B33/VLOOKUP($A33,PoolData!$A$10:$I$32,MATCH("XXX:FSN Ratio",PoolData!$A$10:$I$10,0),0),"")</f>
        <v/>
      </c>
      <c r="D33" s="58" t="str">
        <f>IFERROR(B33/VLOOKUP($A33,PoolData!$A$10:$I$32,MATCH("Coin 1 Pool Size",PoolData!$A$10:$I$10,0),0),"")</f>
        <v/>
      </c>
      <c r="E33" s="62" t="str">
        <f>IFERROR(VLOOKUP($A33,PoolData!$A$10:$I$32,MATCH("ANY Reward % to pool",PoolData!$A$10:$I$10,0),0)*DAILYANY*D33,"")</f>
        <v/>
      </c>
      <c r="F33" s="62" t="str">
        <f>IFERROR(VLOOKUP($A33,PoolData!$A$10:$T$32,MATCH("Trading Volume in FSN",PoolData!$A$10:$T$10,0),0)*FEEREWARDS*D33,"")</f>
        <v/>
      </c>
      <c r="G33" s="62" t="str">
        <f t="shared" si="0"/>
        <v/>
      </c>
      <c r="H33" s="93" t="str">
        <f t="shared" si="1"/>
        <v/>
      </c>
      <c r="I33" s="58" t="str">
        <f t="shared" si="2"/>
        <v/>
      </c>
      <c r="J33" s="42" t="str">
        <f t="shared" si="3"/>
        <v/>
      </c>
      <c r="K33" s="105" t="s">
        <v>128</v>
      </c>
    </row>
    <row r="34" spans="1:11">
      <c r="A34" s="101" t="s">
        <v>167</v>
      </c>
      <c r="B34" s="127">
        <v>0</v>
      </c>
      <c r="C34" s="62" t="str">
        <f>IFERROR(B34/VLOOKUP($A34,PoolData!$A$10:$I$32,MATCH("XXX:FSN Ratio",PoolData!$A$10:$I$10,0),0),"")</f>
        <v/>
      </c>
      <c r="D34" s="58" t="str">
        <f>IFERROR(B34/VLOOKUP($A34,PoolData!$A$10:$I$32,MATCH("Coin 1 Pool Size",PoolData!$A$10:$I$10,0),0),"")</f>
        <v/>
      </c>
      <c r="E34" s="62" t="str">
        <f>IFERROR(VLOOKUP($A34,PoolData!$A$10:$I$32,MATCH("ANY Reward % to pool",PoolData!$A$10:$I$10,0),0)*DAILYANY*D34,"")</f>
        <v/>
      </c>
      <c r="F34" s="62" t="str">
        <f>IFERROR(VLOOKUP($A34,PoolData!$A$10:$T$32,MATCH("Trading Volume in FSN",PoolData!$A$10:$T$10,0),0)*FEEREWARDS*D34,"")</f>
        <v/>
      </c>
      <c r="G34" s="62" t="str">
        <f t="shared" si="0"/>
        <v/>
      </c>
      <c r="H34" s="93" t="str">
        <f t="shared" si="1"/>
        <v/>
      </c>
      <c r="I34" s="58" t="str">
        <f t="shared" si="2"/>
        <v/>
      </c>
      <c r="J34" s="42" t="str">
        <f t="shared" si="3"/>
        <v/>
      </c>
      <c r="K34" s="105" t="s">
        <v>128</v>
      </c>
    </row>
    <row r="35" spans="1:11">
      <c r="A35" s="101" t="s">
        <v>167</v>
      </c>
      <c r="B35" s="127">
        <v>0</v>
      </c>
      <c r="C35" s="62" t="str">
        <f>IFERROR(B35/VLOOKUP($A35,PoolData!$A$10:$I$32,MATCH("XXX:FSN Ratio",PoolData!$A$10:$I$10,0),0),"")</f>
        <v/>
      </c>
      <c r="D35" s="58" t="str">
        <f>IFERROR(B35/VLOOKUP($A35,PoolData!$A$10:$I$32,MATCH("Coin 1 Pool Size",PoolData!$A$10:$I$10,0),0),"")</f>
        <v/>
      </c>
      <c r="E35" s="62" t="str">
        <f>IFERROR(VLOOKUP($A35,PoolData!$A$10:$I$32,MATCH("ANY Reward % to pool",PoolData!$A$10:$I$10,0),0)*DAILYANY*D35,"")</f>
        <v/>
      </c>
      <c r="F35" s="62" t="str">
        <f>IFERROR(VLOOKUP($A35,PoolData!$A$10:$T$32,MATCH("Trading Volume in FSN",PoolData!$A$10:$T$10,0),0)*FEEREWARDS*D35,"")</f>
        <v/>
      </c>
      <c r="G35" s="62" t="str">
        <f t="shared" si="0"/>
        <v/>
      </c>
      <c r="H35" s="93" t="str">
        <f t="shared" si="1"/>
        <v/>
      </c>
      <c r="I35" s="58" t="str">
        <f t="shared" si="2"/>
        <v/>
      </c>
      <c r="J35" s="42" t="str">
        <f t="shared" si="3"/>
        <v/>
      </c>
      <c r="K35" s="105" t="s">
        <v>128</v>
      </c>
    </row>
    <row r="36" spans="1:11">
      <c r="A36" s="101" t="s">
        <v>167</v>
      </c>
      <c r="B36" s="127">
        <v>0</v>
      </c>
      <c r="C36" s="62" t="str">
        <f>IFERROR(B36/VLOOKUP($A36,PoolData!$A$10:$I$32,MATCH("XXX:FSN Ratio",PoolData!$A$10:$I$10,0),0),"")</f>
        <v/>
      </c>
      <c r="D36" s="58" t="str">
        <f>IFERROR(B36/VLOOKUP($A36,PoolData!$A$10:$I$32,MATCH("Coin 1 Pool Size",PoolData!$A$10:$I$10,0),0),"")</f>
        <v/>
      </c>
      <c r="E36" s="62" t="str">
        <f>IFERROR(VLOOKUP($A36,PoolData!$A$10:$I$32,MATCH("ANY Reward % to pool",PoolData!$A$10:$I$10,0),0)*DAILYANY*D36,"")</f>
        <v/>
      </c>
      <c r="F36" s="62" t="str">
        <f>IFERROR(VLOOKUP($A36,PoolData!$A$10:$T$32,MATCH("Trading Volume in FSN",PoolData!$A$10:$T$10,0),0)*FEEREWARDS*D36,"")</f>
        <v/>
      </c>
      <c r="G36" s="62" t="str">
        <f t="shared" si="0"/>
        <v/>
      </c>
      <c r="H36" s="93" t="str">
        <f t="shared" si="1"/>
        <v/>
      </c>
      <c r="I36" s="58" t="str">
        <f t="shared" si="2"/>
        <v/>
      </c>
      <c r="J36" s="42" t="str">
        <f t="shared" si="3"/>
        <v/>
      </c>
      <c r="K36" s="105" t="s">
        <v>128</v>
      </c>
    </row>
    <row r="37" spans="1:11">
      <c r="A37" s="101" t="s">
        <v>167</v>
      </c>
      <c r="B37" s="127">
        <v>0</v>
      </c>
      <c r="C37" s="62" t="str">
        <f>IFERROR(B37/VLOOKUP($A37,PoolData!$A$10:$I$32,MATCH("XXX:FSN Ratio",PoolData!$A$10:$I$10,0),0),"")</f>
        <v/>
      </c>
      <c r="D37" s="58" t="str">
        <f>IFERROR(B37/VLOOKUP($A37,PoolData!$A$10:$I$32,MATCH("Coin 1 Pool Size",PoolData!$A$10:$I$10,0),0),"")</f>
        <v/>
      </c>
      <c r="E37" s="62" t="str">
        <f>IFERROR(VLOOKUP($A37,PoolData!$A$10:$I$32,MATCH("ANY Reward % to pool",PoolData!$A$10:$I$10,0),0)*DAILYANY*D37,"")</f>
        <v/>
      </c>
      <c r="F37" s="62" t="str">
        <f>IFERROR(VLOOKUP($A37,PoolData!$A$10:$T$32,MATCH("Trading Volume in FSN",PoolData!$A$10:$T$10,0),0)*FEEREWARDS*D37,"")</f>
        <v/>
      </c>
      <c r="G37" s="62" t="str">
        <f t="shared" si="0"/>
        <v/>
      </c>
      <c r="H37" s="93" t="str">
        <f t="shared" si="1"/>
        <v/>
      </c>
      <c r="I37" s="58" t="str">
        <f t="shared" si="2"/>
        <v/>
      </c>
      <c r="J37" s="42" t="str">
        <f t="shared" si="3"/>
        <v/>
      </c>
      <c r="K37" s="105" t="s">
        <v>128</v>
      </c>
    </row>
    <row r="38" spans="1:11">
      <c r="A38" s="101" t="s">
        <v>167</v>
      </c>
      <c r="B38" s="127">
        <v>0</v>
      </c>
      <c r="C38" s="62" t="str">
        <f>IFERROR(B38/VLOOKUP($A38,PoolData!$A$10:$I$32,MATCH("XXX:FSN Ratio",PoolData!$A$10:$I$10,0),0),"")</f>
        <v/>
      </c>
      <c r="D38" s="58" t="str">
        <f>IFERROR(B38/VLOOKUP($A38,PoolData!$A$10:$I$32,MATCH("Coin 1 Pool Size",PoolData!$A$10:$I$10,0),0),"")</f>
        <v/>
      </c>
      <c r="E38" s="62" t="str">
        <f>IFERROR(VLOOKUP($A38,PoolData!$A$10:$I$32,MATCH("ANY Reward % to pool",PoolData!$A$10:$I$10,0),0)*DAILYANY*D38,"")</f>
        <v/>
      </c>
      <c r="F38" s="62" t="str">
        <f>IFERROR(VLOOKUP($A38,PoolData!$A$10:$T$32,MATCH("Trading Volume in FSN",PoolData!$A$10:$T$10,0),0)*FEEREWARDS*D38,"")</f>
        <v/>
      </c>
      <c r="G38" s="62" t="str">
        <f t="shared" si="0"/>
        <v/>
      </c>
      <c r="H38" s="93" t="str">
        <f t="shared" si="1"/>
        <v/>
      </c>
      <c r="I38" s="58" t="str">
        <f t="shared" si="2"/>
        <v/>
      </c>
      <c r="J38" s="42" t="str">
        <f t="shared" si="3"/>
        <v/>
      </c>
      <c r="K38" s="105" t="s">
        <v>128</v>
      </c>
    </row>
    <row r="39" spans="1:11">
      <c r="A39" s="101" t="s">
        <v>167</v>
      </c>
      <c r="B39" s="127">
        <v>0</v>
      </c>
      <c r="C39" s="62" t="str">
        <f>IFERROR(B39/VLOOKUP($A39,PoolData!$A$10:$I$32,MATCH("XXX:FSN Ratio",PoolData!$A$10:$I$10,0),0),"")</f>
        <v/>
      </c>
      <c r="D39" s="58" t="str">
        <f>IFERROR(B39/VLOOKUP($A39,PoolData!$A$10:$I$32,MATCH("Coin 1 Pool Size",PoolData!$A$10:$I$10,0),0),"")</f>
        <v/>
      </c>
      <c r="E39" s="62" t="str">
        <f>IFERROR(VLOOKUP($A39,PoolData!$A$10:$I$32,MATCH("ANY Reward % to pool",PoolData!$A$10:$I$10,0),0)*DAILYANY*D39,"")</f>
        <v/>
      </c>
      <c r="F39" s="62" t="str">
        <f>IFERROR(VLOOKUP($A39,PoolData!$A$10:$T$32,MATCH("Trading Volume in FSN",PoolData!$A$10:$T$10,0),0)*FEEREWARDS*D39,"")</f>
        <v/>
      </c>
      <c r="G39" s="62" t="str">
        <f t="shared" si="0"/>
        <v/>
      </c>
      <c r="H39" s="93" t="str">
        <f t="shared" si="1"/>
        <v/>
      </c>
      <c r="I39" s="58" t="str">
        <f t="shared" si="2"/>
        <v/>
      </c>
      <c r="J39" s="42" t="str">
        <f t="shared" si="3"/>
        <v/>
      </c>
      <c r="K39" s="105" t="s">
        <v>128</v>
      </c>
    </row>
    <row r="40" spans="1:11">
      <c r="A40" s="101" t="s">
        <v>167</v>
      </c>
      <c r="B40" s="127">
        <v>0</v>
      </c>
      <c r="C40" s="62" t="str">
        <f>IFERROR(B40/VLOOKUP($A40,PoolData!$A$10:$I$32,MATCH("XXX:FSN Ratio",PoolData!$A$10:$I$10,0),0),"")</f>
        <v/>
      </c>
      <c r="D40" s="58" t="str">
        <f>IFERROR(B40/VLOOKUP($A40,PoolData!$A$10:$I$32,MATCH("Coin 1 Pool Size",PoolData!$A$10:$I$10,0),0),"")</f>
        <v/>
      </c>
      <c r="E40" s="62" t="str">
        <f>IFERROR(VLOOKUP($A40,PoolData!$A$10:$I$32,MATCH("ANY Reward % to pool",PoolData!$A$10:$I$10,0),0)*DAILYANY*D40,"")</f>
        <v/>
      </c>
      <c r="F40" s="62" t="str">
        <f>IFERROR(VLOOKUP($A40,PoolData!$A$10:$T$32,MATCH("Trading Volume in FSN",PoolData!$A$10:$T$10,0),0)*FEEREWARDS*D40,"")</f>
        <v/>
      </c>
      <c r="G40" s="62" t="str">
        <f t="shared" si="0"/>
        <v/>
      </c>
      <c r="H40" s="93" t="str">
        <f t="shared" si="1"/>
        <v/>
      </c>
      <c r="I40" s="58" t="str">
        <f t="shared" si="2"/>
        <v/>
      </c>
      <c r="J40" s="42" t="str">
        <f t="shared" si="3"/>
        <v/>
      </c>
      <c r="K40" s="105" t="s">
        <v>128</v>
      </c>
    </row>
    <row r="41" spans="1:11">
      <c r="A41" s="101" t="s">
        <v>167</v>
      </c>
      <c r="B41" s="127">
        <v>0</v>
      </c>
      <c r="C41" s="62" t="str">
        <f>IFERROR(B41/VLOOKUP($A41,PoolData!$A$10:$I$32,MATCH("XXX:FSN Ratio",PoolData!$A$10:$I$10,0),0),"")</f>
        <v/>
      </c>
      <c r="D41" s="58" t="str">
        <f>IFERROR(B41/VLOOKUP($A41,PoolData!$A$10:$I$32,MATCH("Coin 1 Pool Size",PoolData!$A$10:$I$10,0),0),"")</f>
        <v/>
      </c>
      <c r="E41" s="62" t="str">
        <f>IFERROR(VLOOKUP($A41,PoolData!$A$10:$I$32,MATCH("ANY Reward % to pool",PoolData!$A$10:$I$10,0),0)*DAILYANY*D41,"")</f>
        <v/>
      </c>
      <c r="F41" s="62" t="str">
        <f>IFERROR(VLOOKUP($A41,PoolData!$A$10:$T$32,MATCH("Trading Volume in FSN",PoolData!$A$10:$T$10,0),0)*FEEREWARDS*D41,"")</f>
        <v/>
      </c>
      <c r="G41" s="62" t="str">
        <f t="shared" si="0"/>
        <v/>
      </c>
      <c r="H41" s="93" t="str">
        <f t="shared" si="1"/>
        <v/>
      </c>
      <c r="I41" s="58" t="str">
        <f t="shared" si="2"/>
        <v/>
      </c>
      <c r="J41" s="42" t="str">
        <f t="shared" si="3"/>
        <v/>
      </c>
      <c r="K41" s="105" t="s">
        <v>128</v>
      </c>
    </row>
    <row r="42" spans="1:11">
      <c r="A42" s="101" t="s">
        <v>167</v>
      </c>
      <c r="B42" s="127">
        <v>0</v>
      </c>
      <c r="C42" s="62" t="str">
        <f>IFERROR(B42/VLOOKUP($A42,PoolData!$A$10:$I$32,MATCH("XXX:FSN Ratio",PoolData!$A$10:$I$10,0),0),"")</f>
        <v/>
      </c>
      <c r="D42" s="58" t="str">
        <f>IFERROR(B42/VLOOKUP($A42,PoolData!$A$10:$I$32,MATCH("Coin 1 Pool Size",PoolData!$A$10:$I$10,0),0),"")</f>
        <v/>
      </c>
      <c r="E42" s="62" t="str">
        <f>IFERROR(VLOOKUP($A42,PoolData!$A$10:$I$32,MATCH("ANY Reward % to pool",PoolData!$A$10:$I$10,0),0)*DAILYANY*D42,"")</f>
        <v/>
      </c>
      <c r="F42" s="62" t="str">
        <f>IFERROR(VLOOKUP($A42,PoolData!$A$10:$T$32,MATCH("Trading Volume in FSN",PoolData!$A$10:$T$10,0),0)*FEEREWARDS*D42,"")</f>
        <v/>
      </c>
      <c r="G42" s="62" t="str">
        <f t="shared" si="0"/>
        <v/>
      </c>
      <c r="H42" s="93" t="str">
        <f t="shared" si="1"/>
        <v/>
      </c>
      <c r="I42" s="58" t="str">
        <f t="shared" si="2"/>
        <v/>
      </c>
      <c r="J42" s="42" t="str">
        <f t="shared" si="3"/>
        <v/>
      </c>
      <c r="K42" s="105" t="s">
        <v>128</v>
      </c>
    </row>
    <row r="43" spans="1:11">
      <c r="A43" s="101" t="s">
        <v>167</v>
      </c>
      <c r="B43" s="127">
        <v>0</v>
      </c>
      <c r="C43" s="62" t="str">
        <f>IFERROR(B43/VLOOKUP($A43,PoolData!$A$10:$I$32,MATCH("XXX:FSN Ratio",PoolData!$A$10:$I$10,0),0),"")</f>
        <v/>
      </c>
      <c r="D43" s="58" t="str">
        <f>IFERROR(B43/VLOOKUP($A43,PoolData!$A$10:$I$32,MATCH("Coin 1 Pool Size",PoolData!$A$10:$I$10,0),0),"")</f>
        <v/>
      </c>
      <c r="E43" s="62" t="str">
        <f>IFERROR(VLOOKUP($A43,PoolData!$A$10:$I$32,MATCH("ANY Reward % to pool",PoolData!$A$10:$I$10,0),0)*DAILYANY*D43,"")</f>
        <v/>
      </c>
      <c r="F43" s="62" t="str">
        <f>IFERROR(VLOOKUP($A43,PoolData!$A$10:$T$32,MATCH("Trading Volume in FSN",PoolData!$A$10:$T$10,0),0)*FEEREWARDS*D43,"")</f>
        <v/>
      </c>
      <c r="G43" s="62" t="str">
        <f t="shared" si="0"/>
        <v/>
      </c>
      <c r="H43" s="93" t="str">
        <f t="shared" si="1"/>
        <v/>
      </c>
      <c r="I43" s="58" t="str">
        <f t="shared" si="2"/>
        <v/>
      </c>
      <c r="J43" s="42" t="str">
        <f t="shared" si="3"/>
        <v/>
      </c>
      <c r="K43" s="105" t="s">
        <v>128</v>
      </c>
    </row>
    <row r="44" spans="1:11">
      <c r="A44" s="101" t="s">
        <v>167</v>
      </c>
      <c r="B44" s="127">
        <v>0</v>
      </c>
      <c r="C44" s="62" t="str">
        <f>IFERROR(B44/VLOOKUP($A44,PoolData!$A$10:$I$32,MATCH("XXX:FSN Ratio",PoolData!$A$10:$I$10,0),0),"")</f>
        <v/>
      </c>
      <c r="D44" s="58" t="str">
        <f>IFERROR(B44/VLOOKUP($A44,PoolData!$A$10:$I$32,MATCH("Coin 1 Pool Size",PoolData!$A$10:$I$10,0),0),"")</f>
        <v/>
      </c>
      <c r="E44" s="62" t="str">
        <f>IFERROR(VLOOKUP($A44,PoolData!$A$10:$I$32,MATCH("ANY Reward % to pool",PoolData!$A$10:$I$10,0),0)*DAILYANY*D44,"")</f>
        <v/>
      </c>
      <c r="F44" s="62" t="str">
        <f>IFERROR(VLOOKUP($A44,PoolData!$A$10:$T$32,MATCH("Trading Volume in FSN",PoolData!$A$10:$T$10,0),0)*FEEREWARDS*D44,"")</f>
        <v/>
      </c>
      <c r="G44" s="62" t="str">
        <f t="shared" si="0"/>
        <v/>
      </c>
      <c r="H44" s="93" t="str">
        <f t="shared" si="1"/>
        <v/>
      </c>
      <c r="I44" s="58" t="str">
        <f t="shared" si="2"/>
        <v/>
      </c>
      <c r="J44" s="42" t="str">
        <f t="shared" si="3"/>
        <v/>
      </c>
      <c r="K44" s="105" t="s">
        <v>128</v>
      </c>
    </row>
    <row r="45" spans="1:11">
      <c r="A45" s="101" t="s">
        <v>167</v>
      </c>
      <c r="B45" s="127">
        <v>0</v>
      </c>
      <c r="C45" s="62" t="str">
        <f>IFERROR(B45/VLOOKUP($A45,PoolData!$A$10:$I$32,MATCH("XXX:FSN Ratio",PoolData!$A$10:$I$10,0),0),"")</f>
        <v/>
      </c>
      <c r="D45" s="58" t="str">
        <f>IFERROR(B45/VLOOKUP($A45,PoolData!$A$10:$I$32,MATCH("Coin 1 Pool Size",PoolData!$A$10:$I$10,0),0),"")</f>
        <v/>
      </c>
      <c r="E45" s="62" t="str">
        <f>IFERROR(VLOOKUP($A45,PoolData!$A$10:$I$32,MATCH("ANY Reward % to pool",PoolData!$A$10:$I$10,0),0)*DAILYANY*D45,"")</f>
        <v/>
      </c>
      <c r="F45" s="62" t="str">
        <f>IFERROR(VLOOKUP($A45,PoolData!$A$10:$T$32,MATCH("Trading Volume in FSN",PoolData!$A$10:$T$10,0),0)*FEEREWARDS*D45,"")</f>
        <v/>
      </c>
      <c r="G45" s="62" t="str">
        <f t="shared" ref="G45:G76" si="4">IFERROR(F45+E45*ANYFSN,"")</f>
        <v/>
      </c>
      <c r="H45" s="93" t="str">
        <f t="shared" ref="H45:H76" si="5">IFERROR(G45*FSNPRICE,"")</f>
        <v/>
      </c>
      <c r="I45" s="58" t="str">
        <f t="shared" si="2"/>
        <v/>
      </c>
      <c r="J45" s="42" t="str">
        <f t="shared" si="3"/>
        <v/>
      </c>
      <c r="K45" s="105" t="s">
        <v>128</v>
      </c>
    </row>
    <row r="46" spans="1:11">
      <c r="A46" s="101" t="s">
        <v>167</v>
      </c>
      <c r="B46" s="127">
        <v>0</v>
      </c>
      <c r="C46" s="62" t="str">
        <f>IFERROR(B46/VLOOKUP($A46,PoolData!$A$10:$I$32,MATCH("XXX:FSN Ratio",PoolData!$A$10:$I$10,0),0),"")</f>
        <v/>
      </c>
      <c r="D46" s="58" t="str">
        <f>IFERROR(B46/VLOOKUP($A46,PoolData!$A$10:$I$32,MATCH("Coin 1 Pool Size",PoolData!$A$10:$I$10,0),0),"")</f>
        <v/>
      </c>
      <c r="E46" s="62" t="str">
        <f>IFERROR(VLOOKUP($A46,PoolData!$A$10:$I$32,MATCH("ANY Reward % to pool",PoolData!$A$10:$I$10,0),0)*DAILYANY*D46,"")</f>
        <v/>
      </c>
      <c r="F46" s="62" t="str">
        <f>IFERROR(VLOOKUP($A46,PoolData!$A$10:$T$32,MATCH("Trading Volume in FSN",PoolData!$A$10:$T$10,0),0)*FEEREWARDS*D46,"")</f>
        <v/>
      </c>
      <c r="G46" s="62" t="str">
        <f t="shared" si="4"/>
        <v/>
      </c>
      <c r="H46" s="93" t="str">
        <f t="shared" si="5"/>
        <v/>
      </c>
      <c r="I46" s="58" t="str">
        <f t="shared" si="2"/>
        <v/>
      </c>
      <c r="J46" s="42" t="str">
        <f t="shared" si="3"/>
        <v/>
      </c>
      <c r="K46" s="105" t="s">
        <v>128</v>
      </c>
    </row>
    <row r="47" spans="1:11">
      <c r="A47" s="101" t="s">
        <v>167</v>
      </c>
      <c r="B47" s="127">
        <v>0</v>
      </c>
      <c r="C47" s="62" t="str">
        <f>IFERROR(B47/VLOOKUP($A47,PoolData!$A$10:$I$32,MATCH("XXX:FSN Ratio",PoolData!$A$10:$I$10,0),0),"")</f>
        <v/>
      </c>
      <c r="D47" s="58" t="str">
        <f>IFERROR(B47/VLOOKUP($A47,PoolData!$A$10:$I$32,MATCH("Coin 1 Pool Size",PoolData!$A$10:$I$10,0),0),"")</f>
        <v/>
      </c>
      <c r="E47" s="62" t="str">
        <f>IFERROR(VLOOKUP($A47,PoolData!$A$10:$I$32,MATCH("ANY Reward % to pool",PoolData!$A$10:$I$10,0),0)*DAILYANY*D47,"")</f>
        <v/>
      </c>
      <c r="F47" s="62" t="str">
        <f>IFERROR(VLOOKUP($A47,PoolData!$A$10:$T$32,MATCH("Trading Volume in FSN",PoolData!$A$10:$T$10,0),0)*FEEREWARDS*D47,"")</f>
        <v/>
      </c>
      <c r="G47" s="62" t="str">
        <f t="shared" si="4"/>
        <v/>
      </c>
      <c r="H47" s="93" t="str">
        <f t="shared" si="5"/>
        <v/>
      </c>
      <c r="I47" s="58" t="str">
        <f t="shared" si="2"/>
        <v/>
      </c>
      <c r="J47" s="42" t="str">
        <f t="shared" si="3"/>
        <v/>
      </c>
      <c r="K47" s="105" t="s">
        <v>128</v>
      </c>
    </row>
    <row r="48" spans="1:11">
      <c r="A48" s="101" t="s">
        <v>167</v>
      </c>
      <c r="B48" s="127">
        <v>0</v>
      </c>
      <c r="C48" s="62" t="str">
        <f>IFERROR(B48/VLOOKUP($A48,PoolData!$A$10:$I$32,MATCH("XXX:FSN Ratio",PoolData!$A$10:$I$10,0),0),"")</f>
        <v/>
      </c>
      <c r="D48" s="58" t="str">
        <f>IFERROR(B48/VLOOKUP($A48,PoolData!$A$10:$I$32,MATCH("Coin 1 Pool Size",PoolData!$A$10:$I$10,0),0),"")</f>
        <v/>
      </c>
      <c r="E48" s="62" t="str">
        <f>IFERROR(VLOOKUP($A48,PoolData!$A$10:$I$32,MATCH("ANY Reward % to pool",PoolData!$A$10:$I$10,0),0)*DAILYANY*D48,"")</f>
        <v/>
      </c>
      <c r="F48" s="62" t="str">
        <f>IFERROR(VLOOKUP($A48,PoolData!$A$10:$T$32,MATCH("Trading Volume in FSN",PoolData!$A$10:$T$10,0),0)*FEEREWARDS*D48,"")</f>
        <v/>
      </c>
      <c r="G48" s="62" t="str">
        <f t="shared" si="4"/>
        <v/>
      </c>
      <c r="H48" s="93" t="str">
        <f t="shared" si="5"/>
        <v/>
      </c>
      <c r="I48" s="58" t="str">
        <f t="shared" si="2"/>
        <v/>
      </c>
      <c r="J48" s="42" t="str">
        <f t="shared" si="3"/>
        <v/>
      </c>
      <c r="K48" s="105" t="s">
        <v>128</v>
      </c>
    </row>
    <row r="49" spans="1:11">
      <c r="A49" s="101" t="s">
        <v>167</v>
      </c>
      <c r="B49" s="127">
        <v>0</v>
      </c>
      <c r="C49" s="62" t="str">
        <f>IFERROR(B49/VLOOKUP($A49,PoolData!$A$10:$I$32,MATCH("XXX:FSN Ratio",PoolData!$A$10:$I$10,0),0),"")</f>
        <v/>
      </c>
      <c r="D49" s="58" t="str">
        <f>IFERROR(B49/VLOOKUP($A49,PoolData!$A$10:$I$32,MATCH("Coin 1 Pool Size",PoolData!$A$10:$I$10,0),0),"")</f>
        <v/>
      </c>
      <c r="E49" s="62" t="str">
        <f>IFERROR(VLOOKUP($A49,PoolData!$A$10:$I$32,MATCH("ANY Reward % to pool",PoolData!$A$10:$I$10,0),0)*DAILYANY*D49,"")</f>
        <v/>
      </c>
      <c r="F49" s="62" t="str">
        <f>IFERROR(VLOOKUP($A49,PoolData!$A$10:$T$32,MATCH("Trading Volume in FSN",PoolData!$A$10:$T$10,0),0)*FEEREWARDS*D49,"")</f>
        <v/>
      </c>
      <c r="G49" s="62" t="str">
        <f t="shared" si="4"/>
        <v/>
      </c>
      <c r="H49" s="93" t="str">
        <f t="shared" si="5"/>
        <v/>
      </c>
      <c r="I49" s="58" t="str">
        <f t="shared" si="2"/>
        <v/>
      </c>
      <c r="J49" s="42" t="str">
        <f t="shared" si="3"/>
        <v/>
      </c>
      <c r="K49" s="105" t="s">
        <v>128</v>
      </c>
    </row>
    <row r="50" spans="1:11">
      <c r="A50" s="101" t="s">
        <v>167</v>
      </c>
      <c r="B50" s="127">
        <v>0</v>
      </c>
      <c r="C50" s="62" t="str">
        <f>IFERROR(B50/VLOOKUP($A50,PoolData!$A$10:$I$32,MATCH("XXX:FSN Ratio",PoolData!$A$10:$I$10,0),0),"")</f>
        <v/>
      </c>
      <c r="D50" s="58" t="str">
        <f>IFERROR(B50/VLOOKUP($A50,PoolData!$A$10:$I$32,MATCH("Coin 1 Pool Size",PoolData!$A$10:$I$10,0),0),"")</f>
        <v/>
      </c>
      <c r="E50" s="62" t="str">
        <f>IFERROR(VLOOKUP($A50,PoolData!$A$10:$I$32,MATCH("ANY Reward % to pool",PoolData!$A$10:$I$10,0),0)*DAILYANY*D50,"")</f>
        <v/>
      </c>
      <c r="F50" s="62" t="str">
        <f>IFERROR(VLOOKUP($A50,PoolData!$A$10:$T$32,MATCH("Trading Volume in FSN",PoolData!$A$10:$T$10,0),0)*FEEREWARDS*D50,"")</f>
        <v/>
      </c>
      <c r="G50" s="62" t="str">
        <f t="shared" si="4"/>
        <v/>
      </c>
      <c r="H50" s="93" t="str">
        <f t="shared" si="5"/>
        <v/>
      </c>
      <c r="I50" s="58" t="str">
        <f t="shared" si="2"/>
        <v/>
      </c>
      <c r="J50" s="42" t="str">
        <f t="shared" si="3"/>
        <v/>
      </c>
      <c r="K50" s="105" t="s">
        <v>128</v>
      </c>
    </row>
    <row r="51" spans="1:11">
      <c r="A51" s="101" t="s">
        <v>167</v>
      </c>
      <c r="B51" s="127">
        <v>0</v>
      </c>
      <c r="C51" s="62" t="str">
        <f>IFERROR(B51/VLOOKUP($A51,PoolData!$A$10:$I$32,MATCH("XXX:FSN Ratio",PoolData!$A$10:$I$10,0),0),"")</f>
        <v/>
      </c>
      <c r="D51" s="58" t="str">
        <f>IFERROR(B51/VLOOKUP($A51,PoolData!$A$10:$I$32,MATCH("Coin 1 Pool Size",PoolData!$A$10:$I$10,0),0),"")</f>
        <v/>
      </c>
      <c r="E51" s="62" t="str">
        <f>IFERROR(VLOOKUP($A51,PoolData!$A$10:$I$32,MATCH("ANY Reward % to pool",PoolData!$A$10:$I$10,0),0)*DAILYANY*D51,"")</f>
        <v/>
      </c>
      <c r="F51" s="62" t="str">
        <f>IFERROR(VLOOKUP($A51,PoolData!$A$10:$T$32,MATCH("Trading Volume in FSN",PoolData!$A$10:$T$10,0),0)*FEEREWARDS*D51,"")</f>
        <v/>
      </c>
      <c r="G51" s="62" t="str">
        <f t="shared" si="4"/>
        <v/>
      </c>
      <c r="H51" s="93" t="str">
        <f t="shared" si="5"/>
        <v/>
      </c>
      <c r="I51" s="58" t="str">
        <f t="shared" si="2"/>
        <v/>
      </c>
      <c r="J51" s="42" t="str">
        <f t="shared" si="3"/>
        <v/>
      </c>
      <c r="K51" s="105" t="s">
        <v>128</v>
      </c>
    </row>
    <row r="52" spans="1:11">
      <c r="A52" s="101" t="s">
        <v>167</v>
      </c>
      <c r="B52" s="127">
        <v>0</v>
      </c>
      <c r="C52" s="62" t="str">
        <f>IFERROR(B52/VLOOKUP($A52,PoolData!$A$10:$I$32,MATCH("XXX:FSN Ratio",PoolData!$A$10:$I$10,0),0),"")</f>
        <v/>
      </c>
      <c r="D52" s="58" t="str">
        <f>IFERROR(B52/VLOOKUP($A52,PoolData!$A$10:$I$32,MATCH("Coin 1 Pool Size",PoolData!$A$10:$I$10,0),0),"")</f>
        <v/>
      </c>
      <c r="E52" s="62" t="str">
        <f>IFERROR(VLOOKUP($A52,PoolData!$A$10:$I$32,MATCH("ANY Reward % to pool",PoolData!$A$10:$I$10,0),0)*DAILYANY*D52,"")</f>
        <v/>
      </c>
      <c r="F52" s="62" t="str">
        <f>IFERROR(VLOOKUP($A52,PoolData!$A$10:$T$32,MATCH("Trading Volume in FSN",PoolData!$A$10:$T$10,0),0)*FEEREWARDS*D52,"")</f>
        <v/>
      </c>
      <c r="G52" s="62" t="str">
        <f t="shared" si="4"/>
        <v/>
      </c>
      <c r="H52" s="93" t="str">
        <f t="shared" si="5"/>
        <v/>
      </c>
      <c r="I52" s="58" t="str">
        <f t="shared" si="2"/>
        <v/>
      </c>
      <c r="J52" s="42" t="str">
        <f t="shared" si="3"/>
        <v/>
      </c>
      <c r="K52" s="105" t="s">
        <v>128</v>
      </c>
    </row>
    <row r="53" spans="1:11">
      <c r="A53" s="101" t="s">
        <v>167</v>
      </c>
      <c r="B53" s="127">
        <v>0</v>
      </c>
      <c r="C53" s="62" t="str">
        <f>IFERROR(B53/VLOOKUP($A53,PoolData!$A$10:$I$32,MATCH("XXX:FSN Ratio",PoolData!$A$10:$I$10,0),0),"")</f>
        <v/>
      </c>
      <c r="D53" s="58" t="str">
        <f>IFERROR(B53/VLOOKUP($A53,PoolData!$A$10:$I$32,MATCH("Coin 1 Pool Size",PoolData!$A$10:$I$10,0),0),"")</f>
        <v/>
      </c>
      <c r="E53" s="62" t="str">
        <f>IFERROR(VLOOKUP($A53,PoolData!$A$10:$I$32,MATCH("ANY Reward % to pool",PoolData!$A$10:$I$10,0),0)*DAILYANY*D53,"")</f>
        <v/>
      </c>
      <c r="F53" s="62" t="str">
        <f>IFERROR(VLOOKUP($A53,PoolData!$A$10:$T$32,MATCH("Trading Volume in FSN",PoolData!$A$10:$T$10,0),0)*FEEREWARDS*D53,"")</f>
        <v/>
      </c>
      <c r="G53" s="62" t="str">
        <f t="shared" si="4"/>
        <v/>
      </c>
      <c r="H53" s="93" t="str">
        <f t="shared" si="5"/>
        <v/>
      </c>
      <c r="I53" s="58" t="str">
        <f t="shared" si="2"/>
        <v/>
      </c>
      <c r="J53" s="42" t="str">
        <f t="shared" si="3"/>
        <v/>
      </c>
      <c r="K53" s="105" t="s">
        <v>128</v>
      </c>
    </row>
    <row r="54" spans="1:11">
      <c r="A54" s="101" t="s">
        <v>167</v>
      </c>
      <c r="B54" s="127">
        <v>0</v>
      </c>
      <c r="C54" s="62" t="str">
        <f>IFERROR(B54/VLOOKUP($A54,PoolData!$A$10:$I$32,MATCH("XXX:FSN Ratio",PoolData!$A$10:$I$10,0),0),"")</f>
        <v/>
      </c>
      <c r="D54" s="58" t="str">
        <f>IFERROR(B54/VLOOKUP($A54,PoolData!$A$10:$I$32,MATCH("Coin 1 Pool Size",PoolData!$A$10:$I$10,0),0),"")</f>
        <v/>
      </c>
      <c r="E54" s="62" t="str">
        <f>IFERROR(VLOOKUP($A54,PoolData!$A$10:$I$32,MATCH("ANY Reward % to pool",PoolData!$A$10:$I$10,0),0)*DAILYANY*D54,"")</f>
        <v/>
      </c>
      <c r="F54" s="62" t="str">
        <f>IFERROR(VLOOKUP($A54,PoolData!$A$10:$T$32,MATCH("Trading Volume in FSN",PoolData!$A$10:$T$10,0),0)*FEEREWARDS*D54,"")</f>
        <v/>
      </c>
      <c r="G54" s="62" t="str">
        <f t="shared" si="4"/>
        <v/>
      </c>
      <c r="H54" s="93" t="str">
        <f t="shared" si="5"/>
        <v/>
      </c>
      <c r="I54" s="58" t="str">
        <f t="shared" si="2"/>
        <v/>
      </c>
      <c r="J54" s="42" t="str">
        <f t="shared" si="3"/>
        <v/>
      </c>
      <c r="K54" s="105" t="s">
        <v>128</v>
      </c>
    </row>
    <row r="55" spans="1:11">
      <c r="A55" s="101" t="s">
        <v>167</v>
      </c>
      <c r="B55" s="127">
        <v>0</v>
      </c>
      <c r="C55" s="62" t="str">
        <f>IFERROR(B55/VLOOKUP($A55,PoolData!$A$10:$I$32,MATCH("XXX:FSN Ratio",PoolData!$A$10:$I$10,0),0),"")</f>
        <v/>
      </c>
      <c r="D55" s="58" t="str">
        <f>IFERROR(B55/VLOOKUP($A55,PoolData!$A$10:$I$32,MATCH("Coin 1 Pool Size",PoolData!$A$10:$I$10,0),0),"")</f>
        <v/>
      </c>
      <c r="E55" s="62" t="str">
        <f>IFERROR(VLOOKUP($A55,PoolData!$A$10:$I$32,MATCH("ANY Reward % to pool",PoolData!$A$10:$I$10,0),0)*DAILYANY*D55,"")</f>
        <v/>
      </c>
      <c r="F55" s="62" t="str">
        <f>IFERROR(VLOOKUP($A55,PoolData!$A$10:$T$32,MATCH("Trading Volume in FSN",PoolData!$A$10:$T$10,0),0)*FEEREWARDS*D55,"")</f>
        <v/>
      </c>
      <c r="G55" s="62" t="str">
        <f t="shared" si="4"/>
        <v/>
      </c>
      <c r="H55" s="93" t="str">
        <f t="shared" si="5"/>
        <v/>
      </c>
      <c r="I55" s="58" t="str">
        <f t="shared" si="2"/>
        <v/>
      </c>
      <c r="J55" s="42" t="str">
        <f t="shared" si="3"/>
        <v/>
      </c>
      <c r="K55" s="105" t="s">
        <v>128</v>
      </c>
    </row>
    <row r="56" spans="1:11">
      <c r="A56" s="101" t="s">
        <v>167</v>
      </c>
      <c r="B56" s="127">
        <v>0</v>
      </c>
      <c r="C56" s="62" t="str">
        <f>IFERROR(B56/VLOOKUP($A56,PoolData!$A$10:$I$32,MATCH("XXX:FSN Ratio",PoolData!$A$10:$I$10,0),0),"")</f>
        <v/>
      </c>
      <c r="D56" s="58" t="str">
        <f>IFERROR(B56/VLOOKUP($A56,PoolData!$A$10:$I$32,MATCH("Coin 1 Pool Size",PoolData!$A$10:$I$10,0),0),"")</f>
        <v/>
      </c>
      <c r="E56" s="62" t="str">
        <f>IFERROR(VLOOKUP($A56,PoolData!$A$10:$I$32,MATCH("ANY Reward % to pool",PoolData!$A$10:$I$10,0),0)*DAILYANY*D56,"")</f>
        <v/>
      </c>
      <c r="F56" s="62" t="str">
        <f>IFERROR(VLOOKUP($A56,PoolData!$A$10:$T$32,MATCH("Trading Volume in FSN",PoolData!$A$10:$T$10,0),0)*FEEREWARDS*D56,"")</f>
        <v/>
      </c>
      <c r="G56" s="62" t="str">
        <f t="shared" si="4"/>
        <v/>
      </c>
      <c r="H56" s="93" t="str">
        <f t="shared" si="5"/>
        <v/>
      </c>
      <c r="I56" s="58" t="str">
        <f t="shared" si="2"/>
        <v/>
      </c>
      <c r="J56" s="42" t="str">
        <f t="shared" si="3"/>
        <v/>
      </c>
      <c r="K56" s="105" t="s">
        <v>128</v>
      </c>
    </row>
    <row r="57" spans="1:11">
      <c r="A57" s="101" t="s">
        <v>167</v>
      </c>
      <c r="B57" s="127">
        <v>0</v>
      </c>
      <c r="C57" s="62" t="str">
        <f>IFERROR(B57/VLOOKUP($A57,PoolData!$A$10:$I$32,MATCH("XXX:FSN Ratio",PoolData!$A$10:$I$10,0),0),"")</f>
        <v/>
      </c>
      <c r="D57" s="58" t="str">
        <f>IFERROR(B57/VLOOKUP($A57,PoolData!$A$10:$I$32,MATCH("Coin 1 Pool Size",PoolData!$A$10:$I$10,0),0),"")</f>
        <v/>
      </c>
      <c r="E57" s="62" t="str">
        <f>IFERROR(VLOOKUP($A57,PoolData!$A$10:$I$32,MATCH("ANY Reward % to pool",PoolData!$A$10:$I$10,0),0)*DAILYANY*D57,"")</f>
        <v/>
      </c>
      <c r="F57" s="62" t="str">
        <f>IFERROR(VLOOKUP($A57,PoolData!$A$10:$T$32,MATCH("Trading Volume in FSN",PoolData!$A$10:$T$10,0),0)*FEEREWARDS*D57,"")</f>
        <v/>
      </c>
      <c r="G57" s="62" t="str">
        <f t="shared" si="4"/>
        <v/>
      </c>
      <c r="H57" s="93" t="str">
        <f t="shared" si="5"/>
        <v/>
      </c>
      <c r="I57" s="58" t="str">
        <f t="shared" si="2"/>
        <v/>
      </c>
      <c r="J57" s="42" t="str">
        <f t="shared" si="3"/>
        <v/>
      </c>
      <c r="K57" s="105" t="s">
        <v>128</v>
      </c>
    </row>
    <row r="58" spans="1:11">
      <c r="A58" s="101" t="s">
        <v>167</v>
      </c>
      <c r="B58" s="127">
        <v>0</v>
      </c>
      <c r="C58" s="62" t="str">
        <f>IFERROR(B58/VLOOKUP($A58,PoolData!$A$10:$I$32,MATCH("XXX:FSN Ratio",PoolData!$A$10:$I$10,0),0),"")</f>
        <v/>
      </c>
      <c r="D58" s="58" t="str">
        <f>IFERROR(B58/VLOOKUP($A58,PoolData!$A$10:$I$32,MATCH("Coin 1 Pool Size",PoolData!$A$10:$I$10,0),0),"")</f>
        <v/>
      </c>
      <c r="E58" s="62" t="str">
        <f>IFERROR(VLOOKUP($A58,PoolData!$A$10:$I$32,MATCH("ANY Reward % to pool",PoolData!$A$10:$I$10,0),0)*DAILYANY*D58,"")</f>
        <v/>
      </c>
      <c r="F58" s="62" t="str">
        <f>IFERROR(VLOOKUP($A58,PoolData!$A$10:$T$32,MATCH("Trading Volume in FSN",PoolData!$A$10:$T$10,0),0)*FEEREWARDS*D58,"")</f>
        <v/>
      </c>
      <c r="G58" s="62" t="str">
        <f t="shared" si="4"/>
        <v/>
      </c>
      <c r="H58" s="93" t="str">
        <f t="shared" si="5"/>
        <v/>
      </c>
      <c r="I58" s="58" t="str">
        <f t="shared" si="2"/>
        <v/>
      </c>
      <c r="J58" s="42" t="str">
        <f t="shared" si="3"/>
        <v/>
      </c>
      <c r="K58" s="105" t="s">
        <v>128</v>
      </c>
    </row>
    <row r="59" spans="1:11">
      <c r="A59" s="101" t="s">
        <v>167</v>
      </c>
      <c r="B59" s="127">
        <v>0</v>
      </c>
      <c r="C59" s="62" t="str">
        <f>IFERROR(B59/VLOOKUP($A59,PoolData!$A$10:$I$32,MATCH("XXX:FSN Ratio",PoolData!$A$10:$I$10,0),0),"")</f>
        <v/>
      </c>
      <c r="D59" s="58" t="str">
        <f>IFERROR(B59/VLOOKUP($A59,PoolData!$A$10:$I$32,MATCH("Coin 1 Pool Size",PoolData!$A$10:$I$10,0),0),"")</f>
        <v/>
      </c>
      <c r="E59" s="62" t="str">
        <f>IFERROR(VLOOKUP($A59,PoolData!$A$10:$I$32,MATCH("ANY Reward % to pool",PoolData!$A$10:$I$10,0),0)*DAILYANY*D59,"")</f>
        <v/>
      </c>
      <c r="F59" s="62" t="str">
        <f>IFERROR(VLOOKUP($A59,PoolData!$A$10:$T$32,MATCH("Trading Volume in FSN",PoolData!$A$10:$T$10,0),0)*FEEREWARDS*D59,"")</f>
        <v/>
      </c>
      <c r="G59" s="62" t="str">
        <f t="shared" si="4"/>
        <v/>
      </c>
      <c r="H59" s="93" t="str">
        <f t="shared" si="5"/>
        <v/>
      </c>
      <c r="I59" s="58" t="str">
        <f t="shared" si="2"/>
        <v/>
      </c>
      <c r="J59" s="42" t="str">
        <f t="shared" si="3"/>
        <v/>
      </c>
      <c r="K59" s="105" t="s">
        <v>128</v>
      </c>
    </row>
    <row r="60" spans="1:11">
      <c r="A60" s="101" t="s">
        <v>167</v>
      </c>
      <c r="B60" s="127">
        <v>0</v>
      </c>
      <c r="C60" s="62" t="str">
        <f>IFERROR(B60/VLOOKUP($A60,PoolData!$A$10:$I$32,MATCH("XXX:FSN Ratio",PoolData!$A$10:$I$10,0),0),"")</f>
        <v/>
      </c>
      <c r="D60" s="58" t="str">
        <f>IFERROR(B60/VLOOKUP($A60,PoolData!$A$10:$I$32,MATCH("Coin 1 Pool Size",PoolData!$A$10:$I$10,0),0),"")</f>
        <v/>
      </c>
      <c r="E60" s="62" t="str">
        <f>IFERROR(VLOOKUP($A60,PoolData!$A$10:$I$32,MATCH("ANY Reward % to pool",PoolData!$A$10:$I$10,0),0)*DAILYANY*D60,"")</f>
        <v/>
      </c>
      <c r="F60" s="62" t="str">
        <f>IFERROR(VLOOKUP($A60,PoolData!$A$10:$T$32,MATCH("Trading Volume in FSN",PoolData!$A$10:$T$10,0),0)*FEEREWARDS*D60,"")</f>
        <v/>
      </c>
      <c r="G60" s="62" t="str">
        <f t="shared" si="4"/>
        <v/>
      </c>
      <c r="H60" s="93" t="str">
        <f t="shared" si="5"/>
        <v/>
      </c>
      <c r="I60" s="58" t="str">
        <f t="shared" si="2"/>
        <v/>
      </c>
      <c r="J60" s="42" t="str">
        <f t="shared" si="3"/>
        <v/>
      </c>
      <c r="K60" s="105" t="s">
        <v>128</v>
      </c>
    </row>
    <row r="61" spans="1:11">
      <c r="A61" s="101" t="s">
        <v>167</v>
      </c>
      <c r="B61" s="127">
        <v>0</v>
      </c>
      <c r="C61" s="62" t="str">
        <f>IFERROR(B61/VLOOKUP($A61,PoolData!$A$10:$I$32,MATCH("XXX:FSN Ratio",PoolData!$A$10:$I$10,0),0),"")</f>
        <v/>
      </c>
      <c r="D61" s="58" t="str">
        <f>IFERROR(B61/VLOOKUP($A61,PoolData!$A$10:$I$32,MATCH("Coin 1 Pool Size",PoolData!$A$10:$I$10,0),0),"")</f>
        <v/>
      </c>
      <c r="E61" s="62" t="str">
        <f>IFERROR(VLOOKUP($A61,PoolData!$A$10:$I$32,MATCH("ANY Reward % to pool",PoolData!$A$10:$I$10,0),0)*DAILYANY*D61,"")</f>
        <v/>
      </c>
      <c r="F61" s="62" t="str">
        <f>IFERROR(VLOOKUP($A61,PoolData!$A$10:$T$32,MATCH("Trading Volume in FSN",PoolData!$A$10:$T$10,0),0)*FEEREWARDS*D61,"")</f>
        <v/>
      </c>
      <c r="G61" s="62" t="str">
        <f t="shared" si="4"/>
        <v/>
      </c>
      <c r="H61" s="93" t="str">
        <f t="shared" si="5"/>
        <v/>
      </c>
      <c r="I61" s="58" t="str">
        <f t="shared" si="2"/>
        <v/>
      </c>
      <c r="J61" s="42" t="str">
        <f t="shared" si="3"/>
        <v/>
      </c>
      <c r="K61" s="105" t="s">
        <v>128</v>
      </c>
    </row>
    <row r="62" spans="1:11">
      <c r="A62" s="101" t="s">
        <v>167</v>
      </c>
      <c r="B62" s="127">
        <v>0</v>
      </c>
      <c r="C62" s="62" t="str">
        <f>IFERROR(B62/VLOOKUP($A62,PoolData!$A$10:$I$32,MATCH("XXX:FSN Ratio",PoolData!$A$10:$I$10,0),0),"")</f>
        <v/>
      </c>
      <c r="D62" s="58" t="str">
        <f>IFERROR(B62/VLOOKUP($A62,PoolData!$A$10:$I$32,MATCH("Coin 1 Pool Size",PoolData!$A$10:$I$10,0),0),"")</f>
        <v/>
      </c>
      <c r="E62" s="62" t="str">
        <f>IFERROR(VLOOKUP($A62,PoolData!$A$10:$I$32,MATCH("ANY Reward % to pool",PoolData!$A$10:$I$10,0),0)*DAILYANY*D62,"")</f>
        <v/>
      </c>
      <c r="F62" s="62" t="str">
        <f>IFERROR(VLOOKUP($A62,PoolData!$A$10:$T$32,MATCH("Trading Volume in FSN",PoolData!$A$10:$T$10,0),0)*FEEREWARDS*D62,"")</f>
        <v/>
      </c>
      <c r="G62" s="62" t="str">
        <f t="shared" si="4"/>
        <v/>
      </c>
      <c r="H62" s="93" t="str">
        <f t="shared" si="5"/>
        <v/>
      </c>
      <c r="I62" s="58" t="str">
        <f t="shared" si="2"/>
        <v/>
      </c>
      <c r="J62" s="42" t="str">
        <f t="shared" si="3"/>
        <v/>
      </c>
      <c r="K62" s="105" t="s">
        <v>128</v>
      </c>
    </row>
    <row r="63" spans="1:11">
      <c r="A63" s="101" t="s">
        <v>167</v>
      </c>
      <c r="B63" s="127">
        <v>0</v>
      </c>
      <c r="C63" s="62" t="str">
        <f>IFERROR(B63/VLOOKUP($A63,PoolData!$A$10:$I$32,MATCH("XXX:FSN Ratio",PoolData!$A$10:$I$10,0),0),"")</f>
        <v/>
      </c>
      <c r="D63" s="58" t="str">
        <f>IFERROR(B63/VLOOKUP($A63,PoolData!$A$10:$I$32,MATCH("Coin 1 Pool Size",PoolData!$A$10:$I$10,0),0),"")</f>
        <v/>
      </c>
      <c r="E63" s="62" t="str">
        <f>IFERROR(VLOOKUP($A63,PoolData!$A$10:$I$32,MATCH("ANY Reward % to pool",PoolData!$A$10:$I$10,0),0)*DAILYANY*D63,"")</f>
        <v/>
      </c>
      <c r="F63" s="62" t="str">
        <f>IFERROR(VLOOKUP($A63,PoolData!$A$10:$T$32,MATCH("Trading Volume in FSN",PoolData!$A$10:$T$10,0),0)*FEEREWARDS*D63,"")</f>
        <v/>
      </c>
      <c r="G63" s="62" t="str">
        <f t="shared" si="4"/>
        <v/>
      </c>
      <c r="H63" s="93" t="str">
        <f t="shared" si="5"/>
        <v/>
      </c>
      <c r="I63" s="58" t="str">
        <f t="shared" si="2"/>
        <v/>
      </c>
      <c r="J63" s="42" t="str">
        <f t="shared" si="3"/>
        <v/>
      </c>
      <c r="K63" s="105" t="s">
        <v>128</v>
      </c>
    </row>
    <row r="64" spans="1:11">
      <c r="A64" s="101" t="s">
        <v>167</v>
      </c>
      <c r="B64" s="127">
        <v>0</v>
      </c>
      <c r="C64" s="62" t="str">
        <f>IFERROR(B64/VLOOKUP($A64,PoolData!$A$10:$I$32,MATCH("XXX:FSN Ratio",PoolData!$A$10:$I$10,0),0),"")</f>
        <v/>
      </c>
      <c r="D64" s="58" t="str">
        <f>IFERROR(B64/VLOOKUP($A64,PoolData!$A$10:$I$32,MATCH("Coin 1 Pool Size",PoolData!$A$10:$I$10,0),0),"")</f>
        <v/>
      </c>
      <c r="E64" s="62" t="str">
        <f>IFERROR(VLOOKUP($A64,PoolData!$A$10:$I$32,MATCH("ANY Reward % to pool",PoolData!$A$10:$I$10,0),0)*DAILYANY*D64,"")</f>
        <v/>
      </c>
      <c r="F64" s="62" t="str">
        <f>IFERROR(VLOOKUP($A64,PoolData!$A$10:$T$32,MATCH("Trading Volume in FSN",PoolData!$A$10:$T$10,0),0)*FEEREWARDS*D64,"")</f>
        <v/>
      </c>
      <c r="G64" s="62" t="str">
        <f t="shared" si="4"/>
        <v/>
      </c>
      <c r="H64" s="93" t="str">
        <f t="shared" si="5"/>
        <v/>
      </c>
      <c r="I64" s="58" t="str">
        <f t="shared" si="2"/>
        <v/>
      </c>
      <c r="J64" s="42" t="str">
        <f t="shared" si="3"/>
        <v/>
      </c>
      <c r="K64" s="105" t="s">
        <v>128</v>
      </c>
    </row>
    <row r="65" spans="1:11">
      <c r="A65" s="101" t="s">
        <v>167</v>
      </c>
      <c r="B65" s="127">
        <v>0</v>
      </c>
      <c r="C65" s="62" t="str">
        <f>IFERROR(B65/VLOOKUP($A65,PoolData!$A$10:$I$32,MATCH("XXX:FSN Ratio",PoolData!$A$10:$I$10,0),0),"")</f>
        <v/>
      </c>
      <c r="D65" s="58" t="str">
        <f>IFERROR(B65/VLOOKUP($A65,PoolData!$A$10:$I$32,MATCH("Coin 1 Pool Size",PoolData!$A$10:$I$10,0),0),"")</f>
        <v/>
      </c>
      <c r="E65" s="62" t="str">
        <f>IFERROR(VLOOKUP($A65,PoolData!$A$10:$I$32,MATCH("ANY Reward % to pool",PoolData!$A$10:$I$10,0),0)*DAILYANY*D65,"")</f>
        <v/>
      </c>
      <c r="F65" s="62" t="str">
        <f>IFERROR(VLOOKUP($A65,PoolData!$A$10:$T$32,MATCH("Trading Volume in FSN",PoolData!$A$10:$T$10,0),0)*FEEREWARDS*D65,"")</f>
        <v/>
      </c>
      <c r="G65" s="62" t="str">
        <f t="shared" si="4"/>
        <v/>
      </c>
      <c r="H65" s="93" t="str">
        <f t="shared" si="5"/>
        <v/>
      </c>
      <c r="I65" s="58" t="str">
        <f t="shared" si="2"/>
        <v/>
      </c>
      <c r="J65" s="42" t="str">
        <f t="shared" si="3"/>
        <v/>
      </c>
      <c r="K65" s="105" t="s">
        <v>128</v>
      </c>
    </row>
    <row r="66" spans="1:11">
      <c r="A66" s="101" t="s">
        <v>167</v>
      </c>
      <c r="B66" s="127">
        <v>0</v>
      </c>
      <c r="C66" s="62" t="str">
        <f>IFERROR(B66/VLOOKUP($A66,PoolData!$A$10:$I$32,MATCH("XXX:FSN Ratio",PoolData!$A$10:$I$10,0),0),"")</f>
        <v/>
      </c>
      <c r="D66" s="58" t="str">
        <f>IFERROR(B66/VLOOKUP($A66,PoolData!$A$10:$I$32,MATCH("Coin 1 Pool Size",PoolData!$A$10:$I$10,0),0),"")</f>
        <v/>
      </c>
      <c r="E66" s="62" t="str">
        <f>IFERROR(VLOOKUP($A66,PoolData!$A$10:$I$32,MATCH("ANY Reward % to pool",PoolData!$A$10:$I$10,0),0)*DAILYANY*D66,"")</f>
        <v/>
      </c>
      <c r="F66" s="62" t="str">
        <f>IFERROR(VLOOKUP($A66,PoolData!$A$10:$T$32,MATCH("Trading Volume in FSN",PoolData!$A$10:$T$10,0),0)*FEEREWARDS*D66,"")</f>
        <v/>
      </c>
      <c r="G66" s="62" t="str">
        <f t="shared" si="4"/>
        <v/>
      </c>
      <c r="H66" s="93" t="str">
        <f t="shared" si="5"/>
        <v/>
      </c>
      <c r="I66" s="58" t="str">
        <f t="shared" si="2"/>
        <v/>
      </c>
      <c r="J66" s="42" t="str">
        <f t="shared" si="3"/>
        <v/>
      </c>
      <c r="K66" s="105" t="s">
        <v>128</v>
      </c>
    </row>
    <row r="67" spans="1:11">
      <c r="A67" s="101" t="s">
        <v>167</v>
      </c>
      <c r="B67" s="127">
        <v>0</v>
      </c>
      <c r="C67" s="62" t="str">
        <f>IFERROR(B67/VLOOKUP($A67,PoolData!$A$10:$I$32,MATCH("XXX:FSN Ratio",PoolData!$A$10:$I$10,0),0),"")</f>
        <v/>
      </c>
      <c r="D67" s="58" t="str">
        <f>IFERROR(B67/VLOOKUP($A67,PoolData!$A$10:$I$32,MATCH("Coin 1 Pool Size",PoolData!$A$10:$I$10,0),0),"")</f>
        <v/>
      </c>
      <c r="E67" s="62" t="str">
        <f>IFERROR(VLOOKUP($A67,PoolData!$A$10:$I$32,MATCH("ANY Reward % to pool",PoolData!$A$10:$I$10,0),0)*DAILYANY*D67,"")</f>
        <v/>
      </c>
      <c r="F67" s="62" t="str">
        <f>IFERROR(VLOOKUP($A67,PoolData!$A$10:$T$32,MATCH("Trading Volume in FSN",PoolData!$A$10:$T$10,0),0)*FEEREWARDS*D67,"")</f>
        <v/>
      </c>
      <c r="G67" s="62" t="str">
        <f t="shared" si="4"/>
        <v/>
      </c>
      <c r="H67" s="93" t="str">
        <f t="shared" si="5"/>
        <v/>
      </c>
      <c r="I67" s="58" t="str">
        <f t="shared" si="2"/>
        <v/>
      </c>
      <c r="J67" s="42" t="str">
        <f t="shared" si="3"/>
        <v/>
      </c>
      <c r="K67" s="105" t="s">
        <v>128</v>
      </c>
    </row>
    <row r="68" spans="1:11">
      <c r="A68" s="101" t="s">
        <v>167</v>
      </c>
      <c r="B68" s="127">
        <v>0</v>
      </c>
      <c r="C68" s="62" t="str">
        <f>IFERROR(B68/VLOOKUP($A68,PoolData!$A$10:$I$32,MATCH("XXX:FSN Ratio",PoolData!$A$10:$I$10,0),0),"")</f>
        <v/>
      </c>
      <c r="D68" s="58" t="str">
        <f>IFERROR(B68/VLOOKUP($A68,PoolData!$A$10:$I$32,MATCH("Coin 1 Pool Size",PoolData!$A$10:$I$10,0),0),"")</f>
        <v/>
      </c>
      <c r="E68" s="62" t="str">
        <f>IFERROR(VLOOKUP($A68,PoolData!$A$10:$I$32,MATCH("ANY Reward % to pool",PoolData!$A$10:$I$10,0),0)*DAILYANY*D68,"")</f>
        <v/>
      </c>
      <c r="F68" s="62" t="str">
        <f>IFERROR(VLOOKUP($A68,PoolData!$A$10:$T$32,MATCH("Trading Volume in FSN",PoolData!$A$10:$T$10,0),0)*FEEREWARDS*D68,"")</f>
        <v/>
      </c>
      <c r="G68" s="62" t="str">
        <f t="shared" si="4"/>
        <v/>
      </c>
      <c r="H68" s="93" t="str">
        <f t="shared" si="5"/>
        <v/>
      </c>
      <c r="I68" s="58" t="str">
        <f t="shared" si="2"/>
        <v/>
      </c>
      <c r="J68" s="42" t="str">
        <f t="shared" si="3"/>
        <v/>
      </c>
      <c r="K68" s="105" t="s">
        <v>128</v>
      </c>
    </row>
    <row r="69" spans="1:11">
      <c r="A69" s="101" t="s">
        <v>167</v>
      </c>
      <c r="B69" s="127">
        <v>0</v>
      </c>
      <c r="C69" s="62" t="str">
        <f>IFERROR(B69/VLOOKUP($A69,PoolData!$A$10:$I$32,MATCH("XXX:FSN Ratio",PoolData!$A$10:$I$10,0),0),"")</f>
        <v/>
      </c>
      <c r="D69" s="58" t="str">
        <f>IFERROR(B69/VLOOKUP($A69,PoolData!$A$10:$I$32,MATCH("Coin 1 Pool Size",PoolData!$A$10:$I$10,0),0),"")</f>
        <v/>
      </c>
      <c r="E69" s="62" t="str">
        <f>IFERROR(VLOOKUP($A69,PoolData!$A$10:$I$32,MATCH("ANY Reward % to pool",PoolData!$A$10:$I$10,0),0)*DAILYANY*D69,"")</f>
        <v/>
      </c>
      <c r="F69" s="62" t="str">
        <f>IFERROR(VLOOKUP($A69,PoolData!$A$10:$T$32,MATCH("Trading Volume in FSN",PoolData!$A$10:$T$10,0),0)*FEEREWARDS*D69,"")</f>
        <v/>
      </c>
      <c r="G69" s="62" t="str">
        <f t="shared" si="4"/>
        <v/>
      </c>
      <c r="H69" s="93" t="str">
        <f t="shared" si="5"/>
        <v/>
      </c>
      <c r="I69" s="58" t="str">
        <f t="shared" si="2"/>
        <v/>
      </c>
      <c r="J69" s="42" t="str">
        <f t="shared" si="3"/>
        <v/>
      </c>
      <c r="K69" s="105" t="s">
        <v>128</v>
      </c>
    </row>
    <row r="70" spans="1:11">
      <c r="A70" s="101" t="s">
        <v>167</v>
      </c>
      <c r="B70" s="127">
        <v>0</v>
      </c>
      <c r="C70" s="62" t="str">
        <f>IFERROR(B70/VLOOKUP($A70,PoolData!$A$10:$I$32,MATCH("XXX:FSN Ratio",PoolData!$A$10:$I$10,0),0),"")</f>
        <v/>
      </c>
      <c r="D70" s="58" t="str">
        <f>IFERROR(B70/VLOOKUP($A70,PoolData!$A$10:$I$32,MATCH("Coin 1 Pool Size",PoolData!$A$10:$I$10,0),0),"")</f>
        <v/>
      </c>
      <c r="E70" s="62" t="str">
        <f>IFERROR(VLOOKUP($A70,PoolData!$A$10:$I$32,MATCH("ANY Reward % to pool",PoolData!$A$10:$I$10,0),0)*DAILYANY*D70,"")</f>
        <v/>
      </c>
      <c r="F70" s="62" t="str">
        <f>IFERROR(VLOOKUP($A70,PoolData!$A$10:$T$32,MATCH("Trading Volume in FSN",PoolData!$A$10:$T$10,0),0)*FEEREWARDS*D70,"")</f>
        <v/>
      </c>
      <c r="G70" s="62" t="str">
        <f t="shared" si="4"/>
        <v/>
      </c>
      <c r="H70" s="93" t="str">
        <f t="shared" si="5"/>
        <v/>
      </c>
      <c r="I70" s="58" t="str">
        <f t="shared" si="2"/>
        <v/>
      </c>
      <c r="J70" s="42" t="str">
        <f t="shared" si="3"/>
        <v/>
      </c>
      <c r="K70" s="105" t="s">
        <v>128</v>
      </c>
    </row>
    <row r="71" spans="1:11">
      <c r="A71" s="101" t="s">
        <v>167</v>
      </c>
      <c r="B71" s="127">
        <v>0</v>
      </c>
      <c r="C71" s="62" t="str">
        <f>IFERROR(B71/VLOOKUP($A71,PoolData!$A$10:$I$32,MATCH("XXX:FSN Ratio",PoolData!$A$10:$I$10,0),0),"")</f>
        <v/>
      </c>
      <c r="D71" s="58" t="str">
        <f>IFERROR(B71/VLOOKUP($A71,PoolData!$A$10:$I$32,MATCH("Coin 1 Pool Size",PoolData!$A$10:$I$10,0),0),"")</f>
        <v/>
      </c>
      <c r="E71" s="62" t="str">
        <f>IFERROR(VLOOKUP($A71,PoolData!$A$10:$I$32,MATCH("ANY Reward % to pool",PoolData!$A$10:$I$10,0),0)*DAILYANY*D71,"")</f>
        <v/>
      </c>
      <c r="F71" s="62" t="str">
        <f>IFERROR(VLOOKUP($A71,PoolData!$A$10:$T$32,MATCH("Trading Volume in FSN",PoolData!$A$10:$T$10,0),0)*FEEREWARDS*D71,"")</f>
        <v/>
      </c>
      <c r="G71" s="62" t="str">
        <f t="shared" si="4"/>
        <v/>
      </c>
      <c r="H71" s="93" t="str">
        <f t="shared" si="5"/>
        <v/>
      </c>
      <c r="I71" s="58" t="str">
        <f t="shared" si="2"/>
        <v/>
      </c>
      <c r="J71" s="42" t="str">
        <f t="shared" si="3"/>
        <v/>
      </c>
      <c r="K71" s="105" t="s">
        <v>128</v>
      </c>
    </row>
    <row r="72" spans="1:11">
      <c r="A72" s="101" t="s">
        <v>167</v>
      </c>
      <c r="B72" s="127">
        <v>0</v>
      </c>
      <c r="C72" s="62" t="str">
        <f>IFERROR(B72/VLOOKUP($A72,PoolData!$A$10:$I$32,MATCH("XXX:FSN Ratio",PoolData!$A$10:$I$10,0),0),"")</f>
        <v/>
      </c>
      <c r="D72" s="58" t="str">
        <f>IFERROR(B72/VLOOKUP($A72,PoolData!$A$10:$I$32,MATCH("Coin 1 Pool Size",PoolData!$A$10:$I$10,0),0),"")</f>
        <v/>
      </c>
      <c r="E72" s="62" t="str">
        <f>IFERROR(VLOOKUP($A72,PoolData!$A$10:$I$32,MATCH("ANY Reward % to pool",PoolData!$A$10:$I$10,0),0)*DAILYANY*D72,"")</f>
        <v/>
      </c>
      <c r="F72" s="62" t="str">
        <f>IFERROR(VLOOKUP($A72,PoolData!$A$10:$T$32,MATCH("Trading Volume in FSN",PoolData!$A$10:$T$10,0),0)*FEEREWARDS*D72,"")</f>
        <v/>
      </c>
      <c r="G72" s="62" t="str">
        <f t="shared" si="4"/>
        <v/>
      </c>
      <c r="H72" s="93" t="str">
        <f t="shared" si="5"/>
        <v/>
      </c>
      <c r="I72" s="58" t="str">
        <f t="shared" si="2"/>
        <v/>
      </c>
      <c r="J72" s="42" t="str">
        <f t="shared" si="3"/>
        <v/>
      </c>
      <c r="K72" s="105" t="s">
        <v>128</v>
      </c>
    </row>
    <row r="73" spans="1:11">
      <c r="A73" s="101" t="s">
        <v>167</v>
      </c>
      <c r="B73" s="127">
        <v>0</v>
      </c>
      <c r="C73" s="62" t="str">
        <f>IFERROR(B73/VLOOKUP($A73,PoolData!$A$10:$I$32,MATCH("XXX:FSN Ratio",PoolData!$A$10:$I$10,0),0),"")</f>
        <v/>
      </c>
      <c r="D73" s="58" t="str">
        <f>IFERROR(B73/VLOOKUP($A73,PoolData!$A$10:$I$32,MATCH("Coin 1 Pool Size",PoolData!$A$10:$I$10,0),0),"")</f>
        <v/>
      </c>
      <c r="E73" s="62" t="str">
        <f>IFERROR(VLOOKUP($A73,PoolData!$A$10:$I$32,MATCH("ANY Reward % to pool",PoolData!$A$10:$I$10,0),0)*DAILYANY*D73,"")</f>
        <v/>
      </c>
      <c r="F73" s="62" t="str">
        <f>IFERROR(VLOOKUP($A73,PoolData!$A$10:$T$32,MATCH("Trading Volume in FSN",PoolData!$A$10:$T$10,0),0)*FEEREWARDS*D73,"")</f>
        <v/>
      </c>
      <c r="G73" s="62" t="str">
        <f t="shared" si="4"/>
        <v/>
      </c>
      <c r="H73" s="93" t="str">
        <f t="shared" si="5"/>
        <v/>
      </c>
      <c r="I73" s="58" t="str">
        <f t="shared" si="2"/>
        <v/>
      </c>
      <c r="J73" s="42" t="str">
        <f t="shared" si="3"/>
        <v/>
      </c>
      <c r="K73" s="105" t="s">
        <v>128</v>
      </c>
    </row>
    <row r="74" spans="1:11">
      <c r="A74" s="101" t="s">
        <v>167</v>
      </c>
      <c r="B74" s="127">
        <v>0</v>
      </c>
      <c r="C74" s="62" t="str">
        <f>IFERROR(B74/VLOOKUP($A74,PoolData!$A$10:$I$32,MATCH("XXX:FSN Ratio",PoolData!$A$10:$I$10,0),0),"")</f>
        <v/>
      </c>
      <c r="D74" s="58" t="str">
        <f>IFERROR(B74/VLOOKUP($A74,PoolData!$A$10:$I$32,MATCH("Coin 1 Pool Size",PoolData!$A$10:$I$10,0),0),"")</f>
        <v/>
      </c>
      <c r="E74" s="62" t="str">
        <f>IFERROR(VLOOKUP($A74,PoolData!$A$10:$I$32,MATCH("ANY Reward % to pool",PoolData!$A$10:$I$10,0),0)*DAILYANY*D74,"")</f>
        <v/>
      </c>
      <c r="F74" s="62" t="str">
        <f>IFERROR(VLOOKUP($A74,PoolData!$A$10:$T$32,MATCH("Trading Volume in FSN",PoolData!$A$10:$T$10,0),0)*FEEREWARDS*D74,"")</f>
        <v/>
      </c>
      <c r="G74" s="62" t="str">
        <f t="shared" si="4"/>
        <v/>
      </c>
      <c r="H74" s="93" t="str">
        <f t="shared" si="5"/>
        <v/>
      </c>
      <c r="I74" s="58" t="str">
        <f t="shared" si="2"/>
        <v/>
      </c>
      <c r="J74" s="42" t="str">
        <f t="shared" si="3"/>
        <v/>
      </c>
      <c r="K74" s="105" t="s">
        <v>128</v>
      </c>
    </row>
    <row r="75" spans="1:11">
      <c r="A75" s="101" t="s">
        <v>167</v>
      </c>
      <c r="B75" s="127">
        <v>0</v>
      </c>
      <c r="C75" s="62" t="str">
        <f>IFERROR(B75/VLOOKUP($A75,PoolData!$A$10:$I$32,MATCH("XXX:FSN Ratio",PoolData!$A$10:$I$10,0),0),"")</f>
        <v/>
      </c>
      <c r="D75" s="58" t="str">
        <f>IFERROR(B75/VLOOKUP($A75,PoolData!$A$10:$I$32,MATCH("Coin 1 Pool Size",PoolData!$A$10:$I$10,0),0),"")</f>
        <v/>
      </c>
      <c r="E75" s="62" t="str">
        <f>IFERROR(VLOOKUP($A75,PoolData!$A$10:$I$32,MATCH("ANY Reward % to pool",PoolData!$A$10:$I$10,0),0)*DAILYANY*D75,"")</f>
        <v/>
      </c>
      <c r="F75" s="62" t="str">
        <f>IFERROR(VLOOKUP($A75,PoolData!$A$10:$T$32,MATCH("Trading Volume in FSN",PoolData!$A$10:$T$10,0),0)*FEEREWARDS*D75,"")</f>
        <v/>
      </c>
      <c r="G75" s="62" t="str">
        <f t="shared" si="4"/>
        <v/>
      </c>
      <c r="H75" s="93" t="str">
        <f t="shared" si="5"/>
        <v/>
      </c>
      <c r="I75" s="58" t="str">
        <f t="shared" si="2"/>
        <v/>
      </c>
      <c r="J75" s="42" t="str">
        <f t="shared" si="3"/>
        <v/>
      </c>
      <c r="K75" s="105" t="s">
        <v>128</v>
      </c>
    </row>
    <row r="76" spans="1:11">
      <c r="A76" s="101" t="s">
        <v>167</v>
      </c>
      <c r="B76" s="127">
        <v>0</v>
      </c>
      <c r="C76" s="62" t="str">
        <f>IFERROR(B76/VLOOKUP($A76,PoolData!$A$10:$I$32,MATCH("XXX:FSN Ratio",PoolData!$A$10:$I$10,0),0),"")</f>
        <v/>
      </c>
      <c r="D76" s="58" t="str">
        <f>IFERROR(B76/VLOOKUP($A76,PoolData!$A$10:$I$32,MATCH("Coin 1 Pool Size",PoolData!$A$10:$I$10,0),0),"")</f>
        <v/>
      </c>
      <c r="E76" s="62" t="str">
        <f>IFERROR(VLOOKUP($A76,PoolData!$A$10:$I$32,MATCH("ANY Reward % to pool",PoolData!$A$10:$I$10,0),0)*DAILYANY*D76,"")</f>
        <v/>
      </c>
      <c r="F76" s="62" t="str">
        <f>IFERROR(VLOOKUP($A76,PoolData!$A$10:$T$32,MATCH("Trading Volume in FSN",PoolData!$A$10:$T$10,0),0)*FEEREWARDS*D76,"")</f>
        <v/>
      </c>
      <c r="G76" s="62" t="str">
        <f t="shared" si="4"/>
        <v/>
      </c>
      <c r="H76" s="93" t="str">
        <f t="shared" si="5"/>
        <v/>
      </c>
      <c r="I76" s="58" t="str">
        <f t="shared" si="2"/>
        <v/>
      </c>
      <c r="J76" s="42" t="str">
        <f t="shared" si="3"/>
        <v/>
      </c>
      <c r="K76" s="105" t="s">
        <v>128</v>
      </c>
    </row>
    <row r="77" spans="1:11">
      <c r="A77" s="101" t="s">
        <v>167</v>
      </c>
      <c r="B77" s="127">
        <v>0</v>
      </c>
      <c r="C77" s="62" t="str">
        <f>IFERROR(B77/VLOOKUP($A77,PoolData!$A$10:$I$32,MATCH("XXX:FSN Ratio",PoolData!$A$10:$I$10,0),0),"")</f>
        <v/>
      </c>
      <c r="D77" s="58" t="str">
        <f>IFERROR(B77/VLOOKUP($A77,PoolData!$A$10:$I$32,MATCH("Coin 1 Pool Size",PoolData!$A$10:$I$10,0),0),"")</f>
        <v/>
      </c>
      <c r="E77" s="62" t="str">
        <f>IFERROR(VLOOKUP($A77,PoolData!$A$10:$I$32,MATCH("ANY Reward % to pool",PoolData!$A$10:$I$10,0),0)*DAILYANY*D77,"")</f>
        <v/>
      </c>
      <c r="F77" s="62" t="str">
        <f>IFERROR(VLOOKUP($A77,PoolData!$A$10:$T$32,MATCH("Trading Volume in FSN",PoolData!$A$10:$T$10,0),0)*FEEREWARDS*D77,"")</f>
        <v/>
      </c>
      <c r="G77" s="62" t="str">
        <f t="shared" ref="G77:G100" si="6">IFERROR(F77+E77*ANYFSN,"")</f>
        <v/>
      </c>
      <c r="H77" s="93" t="str">
        <f t="shared" ref="H77:H100" si="7">IFERROR(G77*FSNPRICE,"")</f>
        <v/>
      </c>
      <c r="I77" s="58" t="str">
        <f t="shared" si="2"/>
        <v/>
      </c>
      <c r="J77" s="42" t="str">
        <f t="shared" si="3"/>
        <v/>
      </c>
      <c r="K77" s="105" t="s">
        <v>128</v>
      </c>
    </row>
    <row r="78" spans="1:11">
      <c r="A78" s="101" t="s">
        <v>167</v>
      </c>
      <c r="B78" s="127">
        <v>0</v>
      </c>
      <c r="C78" s="62" t="str">
        <f>IFERROR(B78/VLOOKUP($A78,PoolData!$A$10:$I$32,MATCH("XXX:FSN Ratio",PoolData!$A$10:$I$10,0),0),"")</f>
        <v/>
      </c>
      <c r="D78" s="58" t="str">
        <f>IFERROR(B78/VLOOKUP($A78,PoolData!$A$10:$I$32,MATCH("Coin 1 Pool Size",PoolData!$A$10:$I$10,0),0),"")</f>
        <v/>
      </c>
      <c r="E78" s="62" t="str">
        <f>IFERROR(VLOOKUP($A78,PoolData!$A$10:$I$32,MATCH("ANY Reward % to pool",PoolData!$A$10:$I$10,0),0)*DAILYANY*D78,"")</f>
        <v/>
      </c>
      <c r="F78" s="62" t="str">
        <f>IFERROR(VLOOKUP($A78,PoolData!$A$10:$T$32,MATCH("Trading Volume in FSN",PoolData!$A$10:$T$10,0),0)*FEEREWARDS*D78,"")</f>
        <v/>
      </c>
      <c r="G78" s="62" t="str">
        <f t="shared" si="6"/>
        <v/>
      </c>
      <c r="H78" s="93" t="str">
        <f t="shared" si="7"/>
        <v/>
      </c>
      <c r="I78" s="58" t="str">
        <f t="shared" ref="I78:I100" si="8">IFERROR(G78/(2*B78),"")</f>
        <v/>
      </c>
      <c r="J78" s="42" t="str">
        <f t="shared" ref="J78:J100" si="9">IFERROR(I78*365,"")</f>
        <v/>
      </c>
      <c r="K78" s="105" t="s">
        <v>128</v>
      </c>
    </row>
    <row r="79" spans="1:11">
      <c r="A79" s="101" t="s">
        <v>167</v>
      </c>
      <c r="B79" s="127">
        <v>0</v>
      </c>
      <c r="C79" s="62" t="str">
        <f>IFERROR(B79/VLOOKUP($A79,PoolData!$A$10:$I$32,MATCH("XXX:FSN Ratio",PoolData!$A$10:$I$10,0),0),"")</f>
        <v/>
      </c>
      <c r="D79" s="58" t="str">
        <f>IFERROR(B79/VLOOKUP($A79,PoolData!$A$10:$I$32,MATCH("Coin 1 Pool Size",PoolData!$A$10:$I$10,0),0),"")</f>
        <v/>
      </c>
      <c r="E79" s="62" t="str">
        <f>IFERROR(VLOOKUP($A79,PoolData!$A$10:$I$32,MATCH("ANY Reward % to pool",PoolData!$A$10:$I$10,0),0)*DAILYANY*D79,"")</f>
        <v/>
      </c>
      <c r="F79" s="62" t="str">
        <f>IFERROR(VLOOKUP($A79,PoolData!$A$10:$T$32,MATCH("Trading Volume in FSN",PoolData!$A$10:$T$10,0),0)*FEEREWARDS*D79,"")</f>
        <v/>
      </c>
      <c r="G79" s="62" t="str">
        <f t="shared" si="6"/>
        <v/>
      </c>
      <c r="H79" s="93" t="str">
        <f t="shared" si="7"/>
        <v/>
      </c>
      <c r="I79" s="58" t="str">
        <f t="shared" si="8"/>
        <v/>
      </c>
      <c r="J79" s="42" t="str">
        <f t="shared" si="9"/>
        <v/>
      </c>
      <c r="K79" s="105" t="s">
        <v>128</v>
      </c>
    </row>
    <row r="80" spans="1:11">
      <c r="A80" s="101" t="s">
        <v>167</v>
      </c>
      <c r="B80" s="127">
        <v>0</v>
      </c>
      <c r="C80" s="62" t="str">
        <f>IFERROR(B80/VLOOKUP($A80,PoolData!$A$10:$I$32,MATCH("XXX:FSN Ratio",PoolData!$A$10:$I$10,0),0),"")</f>
        <v/>
      </c>
      <c r="D80" s="58" t="str">
        <f>IFERROR(B80/VLOOKUP($A80,PoolData!$A$10:$I$32,MATCH("Coin 1 Pool Size",PoolData!$A$10:$I$10,0),0),"")</f>
        <v/>
      </c>
      <c r="E80" s="62" t="str">
        <f>IFERROR(VLOOKUP($A80,PoolData!$A$10:$I$32,MATCH("ANY Reward % to pool",PoolData!$A$10:$I$10,0),0)*DAILYANY*D80,"")</f>
        <v/>
      </c>
      <c r="F80" s="62" t="str">
        <f>IFERROR(VLOOKUP($A80,PoolData!$A$10:$T$32,MATCH("Trading Volume in FSN",PoolData!$A$10:$T$10,0),0)*FEEREWARDS*D80,"")</f>
        <v/>
      </c>
      <c r="G80" s="62" t="str">
        <f t="shared" si="6"/>
        <v/>
      </c>
      <c r="H80" s="93" t="str">
        <f t="shared" si="7"/>
        <v/>
      </c>
      <c r="I80" s="58" t="str">
        <f t="shared" si="8"/>
        <v/>
      </c>
      <c r="J80" s="42" t="str">
        <f t="shared" si="9"/>
        <v/>
      </c>
      <c r="K80" s="105" t="s">
        <v>128</v>
      </c>
    </row>
    <row r="81" spans="1:11">
      <c r="A81" s="101" t="s">
        <v>167</v>
      </c>
      <c r="B81" s="127">
        <v>0</v>
      </c>
      <c r="C81" s="62" t="str">
        <f>IFERROR(B81/VLOOKUP($A81,PoolData!$A$10:$I$32,MATCH("XXX:FSN Ratio",PoolData!$A$10:$I$10,0),0),"")</f>
        <v/>
      </c>
      <c r="D81" s="58" t="str">
        <f>IFERROR(B81/VLOOKUP($A81,PoolData!$A$10:$I$32,MATCH("Coin 1 Pool Size",PoolData!$A$10:$I$10,0),0),"")</f>
        <v/>
      </c>
      <c r="E81" s="62" t="str">
        <f>IFERROR(VLOOKUP($A81,PoolData!$A$10:$I$32,MATCH("ANY Reward % to pool",PoolData!$A$10:$I$10,0),0)*DAILYANY*D81,"")</f>
        <v/>
      </c>
      <c r="F81" s="62" t="str">
        <f>IFERROR(VLOOKUP($A81,PoolData!$A$10:$T$32,MATCH("Trading Volume in FSN",PoolData!$A$10:$T$10,0),0)*FEEREWARDS*D81,"")</f>
        <v/>
      </c>
      <c r="G81" s="62" t="str">
        <f t="shared" si="6"/>
        <v/>
      </c>
      <c r="H81" s="93" t="str">
        <f t="shared" si="7"/>
        <v/>
      </c>
      <c r="I81" s="58" t="str">
        <f t="shared" si="8"/>
        <v/>
      </c>
      <c r="J81" s="42" t="str">
        <f t="shared" si="9"/>
        <v/>
      </c>
      <c r="K81" s="105" t="s">
        <v>128</v>
      </c>
    </row>
    <row r="82" spans="1:11">
      <c r="A82" s="101" t="s">
        <v>167</v>
      </c>
      <c r="B82" s="127">
        <v>0</v>
      </c>
      <c r="C82" s="62" t="str">
        <f>IFERROR(B82/VLOOKUP($A82,PoolData!$A$10:$I$32,MATCH("XXX:FSN Ratio",PoolData!$A$10:$I$10,0),0),"")</f>
        <v/>
      </c>
      <c r="D82" s="58" t="str">
        <f>IFERROR(B82/VLOOKUP($A82,PoolData!$A$10:$I$32,MATCH("Coin 1 Pool Size",PoolData!$A$10:$I$10,0),0),"")</f>
        <v/>
      </c>
      <c r="E82" s="62" t="str">
        <f>IFERROR(VLOOKUP($A82,PoolData!$A$10:$I$32,MATCH("ANY Reward % to pool",PoolData!$A$10:$I$10,0),0)*DAILYANY*D82,"")</f>
        <v/>
      </c>
      <c r="F82" s="62" t="str">
        <f>IFERROR(VLOOKUP($A82,PoolData!$A$10:$T$32,MATCH("Trading Volume in FSN",PoolData!$A$10:$T$10,0),0)*FEEREWARDS*D82,"")</f>
        <v/>
      </c>
      <c r="G82" s="62" t="str">
        <f t="shared" si="6"/>
        <v/>
      </c>
      <c r="H82" s="93" t="str">
        <f t="shared" si="7"/>
        <v/>
      </c>
      <c r="I82" s="58" t="str">
        <f t="shared" si="8"/>
        <v/>
      </c>
      <c r="J82" s="42" t="str">
        <f t="shared" si="9"/>
        <v/>
      </c>
      <c r="K82" s="105" t="s">
        <v>128</v>
      </c>
    </row>
    <row r="83" spans="1:11">
      <c r="A83" s="101" t="s">
        <v>167</v>
      </c>
      <c r="B83" s="127">
        <v>0</v>
      </c>
      <c r="C83" s="62" t="str">
        <f>IFERROR(B83/VLOOKUP($A83,PoolData!$A$10:$I$32,MATCH("XXX:FSN Ratio",PoolData!$A$10:$I$10,0),0),"")</f>
        <v/>
      </c>
      <c r="D83" s="58" t="str">
        <f>IFERROR(B83/VLOOKUP($A83,PoolData!$A$10:$I$32,MATCH("Coin 1 Pool Size",PoolData!$A$10:$I$10,0),0),"")</f>
        <v/>
      </c>
      <c r="E83" s="62" t="str">
        <f>IFERROR(VLOOKUP($A83,PoolData!$A$10:$I$32,MATCH("ANY Reward % to pool",PoolData!$A$10:$I$10,0),0)*DAILYANY*D83,"")</f>
        <v/>
      </c>
      <c r="F83" s="62" t="str">
        <f>IFERROR(VLOOKUP($A83,PoolData!$A$10:$T$32,MATCH("Trading Volume in FSN",PoolData!$A$10:$T$10,0),0)*FEEREWARDS*D83,"")</f>
        <v/>
      </c>
      <c r="G83" s="62" t="str">
        <f t="shared" si="6"/>
        <v/>
      </c>
      <c r="H83" s="93" t="str">
        <f t="shared" si="7"/>
        <v/>
      </c>
      <c r="I83" s="58" t="str">
        <f t="shared" si="8"/>
        <v/>
      </c>
      <c r="J83" s="42" t="str">
        <f t="shared" si="9"/>
        <v/>
      </c>
      <c r="K83" s="105" t="s">
        <v>128</v>
      </c>
    </row>
    <row r="84" spans="1:11">
      <c r="A84" s="101" t="s">
        <v>167</v>
      </c>
      <c r="B84" s="127">
        <v>0</v>
      </c>
      <c r="C84" s="62" t="str">
        <f>IFERROR(B84/VLOOKUP($A84,PoolData!$A$10:$I$32,MATCH("XXX:FSN Ratio",PoolData!$A$10:$I$10,0),0),"")</f>
        <v/>
      </c>
      <c r="D84" s="58" t="str">
        <f>IFERROR(B84/VLOOKUP($A84,PoolData!$A$10:$I$32,MATCH("Coin 1 Pool Size",PoolData!$A$10:$I$10,0),0),"")</f>
        <v/>
      </c>
      <c r="E84" s="62" t="str">
        <f>IFERROR(VLOOKUP($A84,PoolData!$A$10:$I$32,MATCH("ANY Reward % to pool",PoolData!$A$10:$I$10,0),0)*DAILYANY*D84,"")</f>
        <v/>
      </c>
      <c r="F84" s="62" t="str">
        <f>IFERROR(VLOOKUP($A84,PoolData!$A$10:$T$32,MATCH("Trading Volume in FSN",PoolData!$A$10:$T$10,0),0)*FEEREWARDS*D84,"")</f>
        <v/>
      </c>
      <c r="G84" s="62" t="str">
        <f t="shared" si="6"/>
        <v/>
      </c>
      <c r="H84" s="93" t="str">
        <f t="shared" si="7"/>
        <v/>
      </c>
      <c r="I84" s="58" t="str">
        <f t="shared" si="8"/>
        <v/>
      </c>
      <c r="J84" s="42" t="str">
        <f t="shared" si="9"/>
        <v/>
      </c>
      <c r="K84" s="105" t="s">
        <v>128</v>
      </c>
    </row>
    <row r="85" spans="1:11">
      <c r="A85" s="101" t="s">
        <v>167</v>
      </c>
      <c r="B85" s="127">
        <v>0</v>
      </c>
      <c r="C85" s="62" t="str">
        <f>IFERROR(B85/VLOOKUP($A85,PoolData!$A$10:$I$32,MATCH("XXX:FSN Ratio",PoolData!$A$10:$I$10,0),0),"")</f>
        <v/>
      </c>
      <c r="D85" s="58" t="str">
        <f>IFERROR(B85/VLOOKUP($A85,PoolData!$A$10:$I$32,MATCH("Coin 1 Pool Size",PoolData!$A$10:$I$10,0),0),"")</f>
        <v/>
      </c>
      <c r="E85" s="62" t="str">
        <f>IFERROR(VLOOKUP($A85,PoolData!$A$10:$I$32,MATCH("ANY Reward % to pool",PoolData!$A$10:$I$10,0),0)*DAILYANY*D85,"")</f>
        <v/>
      </c>
      <c r="F85" s="62" t="str">
        <f>IFERROR(VLOOKUP($A85,PoolData!$A$10:$T$32,MATCH("Trading Volume in FSN",PoolData!$A$10:$T$10,0),0)*FEEREWARDS*D85,"")</f>
        <v/>
      </c>
      <c r="G85" s="62" t="str">
        <f t="shared" si="6"/>
        <v/>
      </c>
      <c r="H85" s="93" t="str">
        <f t="shared" si="7"/>
        <v/>
      </c>
      <c r="I85" s="58" t="str">
        <f t="shared" si="8"/>
        <v/>
      </c>
      <c r="J85" s="42" t="str">
        <f t="shared" si="9"/>
        <v/>
      </c>
      <c r="K85" s="105" t="s">
        <v>128</v>
      </c>
    </row>
    <row r="86" spans="1:11">
      <c r="A86" s="101" t="s">
        <v>167</v>
      </c>
      <c r="B86" s="127">
        <v>0</v>
      </c>
      <c r="C86" s="62" t="str">
        <f>IFERROR(B86/VLOOKUP($A86,PoolData!$A$10:$I$32,MATCH("XXX:FSN Ratio",PoolData!$A$10:$I$10,0),0),"")</f>
        <v/>
      </c>
      <c r="D86" s="58" t="str">
        <f>IFERROR(B86/VLOOKUP($A86,PoolData!$A$10:$I$32,MATCH("Coin 1 Pool Size",PoolData!$A$10:$I$10,0),0),"")</f>
        <v/>
      </c>
      <c r="E86" s="62" t="str">
        <f>IFERROR(VLOOKUP($A86,PoolData!$A$10:$I$32,MATCH("ANY Reward % to pool",PoolData!$A$10:$I$10,0),0)*DAILYANY*D86,"")</f>
        <v/>
      </c>
      <c r="F86" s="62" t="str">
        <f>IFERROR(VLOOKUP($A86,PoolData!$A$10:$T$32,MATCH("Trading Volume in FSN",PoolData!$A$10:$T$10,0),0)*FEEREWARDS*D86,"")</f>
        <v/>
      </c>
      <c r="G86" s="62" t="str">
        <f t="shared" si="6"/>
        <v/>
      </c>
      <c r="H86" s="93" t="str">
        <f t="shared" si="7"/>
        <v/>
      </c>
      <c r="I86" s="58" t="str">
        <f t="shared" si="8"/>
        <v/>
      </c>
      <c r="J86" s="42" t="str">
        <f t="shared" si="9"/>
        <v/>
      </c>
      <c r="K86" s="105" t="s">
        <v>128</v>
      </c>
    </row>
    <row r="87" spans="1:11">
      <c r="A87" s="101" t="s">
        <v>167</v>
      </c>
      <c r="B87" s="127">
        <v>0</v>
      </c>
      <c r="C87" s="62" t="str">
        <f>IFERROR(B87/VLOOKUP($A87,PoolData!$A$10:$I$32,MATCH("XXX:FSN Ratio",PoolData!$A$10:$I$10,0),0),"")</f>
        <v/>
      </c>
      <c r="D87" s="58" t="str">
        <f>IFERROR(B87/VLOOKUP($A87,PoolData!$A$10:$I$32,MATCH("Coin 1 Pool Size",PoolData!$A$10:$I$10,0),0),"")</f>
        <v/>
      </c>
      <c r="E87" s="62" t="str">
        <f>IFERROR(VLOOKUP($A87,PoolData!$A$10:$I$32,MATCH("ANY Reward % to pool",PoolData!$A$10:$I$10,0),0)*DAILYANY*D87,"")</f>
        <v/>
      </c>
      <c r="F87" s="62" t="str">
        <f>IFERROR(VLOOKUP($A87,PoolData!$A$10:$T$32,MATCH("Trading Volume in FSN",PoolData!$A$10:$T$10,0),0)*FEEREWARDS*D87,"")</f>
        <v/>
      </c>
      <c r="G87" s="62" t="str">
        <f t="shared" si="6"/>
        <v/>
      </c>
      <c r="H87" s="93" t="str">
        <f t="shared" si="7"/>
        <v/>
      </c>
      <c r="I87" s="58" t="str">
        <f t="shared" si="8"/>
        <v/>
      </c>
      <c r="J87" s="42" t="str">
        <f t="shared" si="9"/>
        <v/>
      </c>
      <c r="K87" s="105" t="s">
        <v>128</v>
      </c>
    </row>
    <row r="88" spans="1:11">
      <c r="A88" s="101" t="s">
        <v>167</v>
      </c>
      <c r="B88" s="127">
        <v>0</v>
      </c>
      <c r="C88" s="62" t="str">
        <f>IFERROR(B88/VLOOKUP($A88,PoolData!$A$10:$I$32,MATCH("XXX:FSN Ratio",PoolData!$A$10:$I$10,0),0),"")</f>
        <v/>
      </c>
      <c r="D88" s="58" t="str">
        <f>IFERROR(B88/VLOOKUP($A88,PoolData!$A$10:$I$32,MATCH("Coin 1 Pool Size",PoolData!$A$10:$I$10,0),0),"")</f>
        <v/>
      </c>
      <c r="E88" s="62" t="str">
        <f>IFERROR(VLOOKUP($A88,PoolData!$A$10:$I$32,MATCH("ANY Reward % to pool",PoolData!$A$10:$I$10,0),0)*DAILYANY*D88,"")</f>
        <v/>
      </c>
      <c r="F88" s="62" t="str">
        <f>IFERROR(VLOOKUP($A88,PoolData!$A$10:$T$32,MATCH("Trading Volume in FSN",PoolData!$A$10:$T$10,0),0)*FEEREWARDS*D88,"")</f>
        <v/>
      </c>
      <c r="G88" s="62" t="str">
        <f t="shared" si="6"/>
        <v/>
      </c>
      <c r="H88" s="93" t="str">
        <f t="shared" si="7"/>
        <v/>
      </c>
      <c r="I88" s="58" t="str">
        <f t="shared" si="8"/>
        <v/>
      </c>
      <c r="J88" s="42" t="str">
        <f t="shared" si="9"/>
        <v/>
      </c>
      <c r="K88" s="105" t="s">
        <v>128</v>
      </c>
    </row>
    <row r="89" spans="1:11">
      <c r="A89" s="101" t="s">
        <v>167</v>
      </c>
      <c r="B89" s="127">
        <v>0</v>
      </c>
      <c r="C89" s="62" t="str">
        <f>IFERROR(B89/VLOOKUP($A89,PoolData!$A$10:$I$32,MATCH("XXX:FSN Ratio",PoolData!$A$10:$I$10,0),0),"")</f>
        <v/>
      </c>
      <c r="D89" s="58" t="str">
        <f>IFERROR(B89/VLOOKUP($A89,PoolData!$A$10:$I$32,MATCH("Coin 1 Pool Size",PoolData!$A$10:$I$10,0),0),"")</f>
        <v/>
      </c>
      <c r="E89" s="62" t="str">
        <f>IFERROR(VLOOKUP($A89,PoolData!$A$10:$I$32,MATCH("ANY Reward % to pool",PoolData!$A$10:$I$10,0),0)*DAILYANY*D89,"")</f>
        <v/>
      </c>
      <c r="F89" s="62" t="str">
        <f>IFERROR(VLOOKUP($A89,PoolData!$A$10:$T$32,MATCH("Trading Volume in FSN",PoolData!$A$10:$T$10,0),0)*FEEREWARDS*D89,"")</f>
        <v/>
      </c>
      <c r="G89" s="62" t="str">
        <f t="shared" si="6"/>
        <v/>
      </c>
      <c r="H89" s="93" t="str">
        <f t="shared" si="7"/>
        <v/>
      </c>
      <c r="I89" s="58" t="str">
        <f t="shared" si="8"/>
        <v/>
      </c>
      <c r="J89" s="42" t="str">
        <f t="shared" si="9"/>
        <v/>
      </c>
      <c r="K89" s="105" t="s">
        <v>128</v>
      </c>
    </row>
    <row r="90" spans="1:11">
      <c r="A90" s="101" t="s">
        <v>167</v>
      </c>
      <c r="B90" s="127">
        <v>0</v>
      </c>
      <c r="C90" s="62" t="str">
        <f>IFERROR(B90/VLOOKUP($A90,PoolData!$A$10:$I$32,MATCH("XXX:FSN Ratio",PoolData!$A$10:$I$10,0),0),"")</f>
        <v/>
      </c>
      <c r="D90" s="58" t="str">
        <f>IFERROR(B90/VLOOKUP($A90,PoolData!$A$10:$I$32,MATCH("Coin 1 Pool Size",PoolData!$A$10:$I$10,0),0),"")</f>
        <v/>
      </c>
      <c r="E90" s="62" t="str">
        <f>IFERROR(VLOOKUP($A90,PoolData!$A$10:$I$32,MATCH("ANY Reward % to pool",PoolData!$A$10:$I$10,0),0)*DAILYANY*D90,"")</f>
        <v/>
      </c>
      <c r="F90" s="62" t="str">
        <f>IFERROR(VLOOKUP($A90,PoolData!$A$10:$T$32,MATCH("Trading Volume in FSN",PoolData!$A$10:$T$10,0),0)*FEEREWARDS*D90,"")</f>
        <v/>
      </c>
      <c r="G90" s="62" t="str">
        <f t="shared" si="6"/>
        <v/>
      </c>
      <c r="H90" s="93" t="str">
        <f t="shared" si="7"/>
        <v/>
      </c>
      <c r="I90" s="58" t="str">
        <f t="shared" si="8"/>
        <v/>
      </c>
      <c r="J90" s="42" t="str">
        <f t="shared" si="9"/>
        <v/>
      </c>
      <c r="K90" s="105" t="s">
        <v>128</v>
      </c>
    </row>
    <row r="91" spans="1:11">
      <c r="A91" s="101" t="s">
        <v>167</v>
      </c>
      <c r="B91" s="127">
        <v>0</v>
      </c>
      <c r="C91" s="62" t="str">
        <f>IFERROR(B91/VLOOKUP($A91,PoolData!$A$10:$I$32,MATCH("XXX:FSN Ratio",PoolData!$A$10:$I$10,0),0),"")</f>
        <v/>
      </c>
      <c r="D91" s="58" t="str">
        <f>IFERROR(B91/VLOOKUP($A91,PoolData!$A$10:$I$32,MATCH("Coin 1 Pool Size",PoolData!$A$10:$I$10,0),0),"")</f>
        <v/>
      </c>
      <c r="E91" s="62" t="str">
        <f>IFERROR(VLOOKUP($A91,PoolData!$A$10:$I$32,MATCH("ANY Reward % to pool",PoolData!$A$10:$I$10,0),0)*DAILYANY*D91,"")</f>
        <v/>
      </c>
      <c r="F91" s="62" t="str">
        <f>IFERROR(VLOOKUP($A91,PoolData!$A$10:$T$32,MATCH("Trading Volume in FSN",PoolData!$A$10:$T$10,0),0)*FEEREWARDS*D91,"")</f>
        <v/>
      </c>
      <c r="G91" s="62" t="str">
        <f t="shared" si="6"/>
        <v/>
      </c>
      <c r="H91" s="93" t="str">
        <f t="shared" si="7"/>
        <v/>
      </c>
      <c r="I91" s="58" t="str">
        <f t="shared" si="8"/>
        <v/>
      </c>
      <c r="J91" s="42" t="str">
        <f t="shared" si="9"/>
        <v/>
      </c>
      <c r="K91" s="105" t="s">
        <v>128</v>
      </c>
    </row>
    <row r="92" spans="1:11">
      <c r="A92" s="101" t="s">
        <v>167</v>
      </c>
      <c r="B92" s="127">
        <v>0</v>
      </c>
      <c r="C92" s="62" t="str">
        <f>IFERROR(B92/VLOOKUP($A92,PoolData!$A$10:$I$32,MATCH("XXX:FSN Ratio",PoolData!$A$10:$I$10,0),0),"")</f>
        <v/>
      </c>
      <c r="D92" s="58" t="str">
        <f>IFERROR(B92/VLOOKUP($A92,PoolData!$A$10:$I$32,MATCH("Coin 1 Pool Size",PoolData!$A$10:$I$10,0),0),"")</f>
        <v/>
      </c>
      <c r="E92" s="62" t="str">
        <f>IFERROR(VLOOKUP($A92,PoolData!$A$10:$I$32,MATCH("ANY Reward % to pool",PoolData!$A$10:$I$10,0),0)*DAILYANY*D92,"")</f>
        <v/>
      </c>
      <c r="F92" s="62" t="str">
        <f>IFERROR(VLOOKUP($A92,PoolData!$A$10:$T$32,MATCH("Trading Volume in FSN",PoolData!$A$10:$T$10,0),0)*FEEREWARDS*D92,"")</f>
        <v/>
      </c>
      <c r="G92" s="62" t="str">
        <f t="shared" si="6"/>
        <v/>
      </c>
      <c r="H92" s="93" t="str">
        <f t="shared" si="7"/>
        <v/>
      </c>
      <c r="I92" s="58" t="str">
        <f t="shared" si="8"/>
        <v/>
      </c>
      <c r="J92" s="42" t="str">
        <f t="shared" si="9"/>
        <v/>
      </c>
      <c r="K92" s="105" t="s">
        <v>128</v>
      </c>
    </row>
    <row r="93" spans="1:11">
      <c r="A93" s="101" t="s">
        <v>167</v>
      </c>
      <c r="B93" s="127">
        <v>0</v>
      </c>
      <c r="C93" s="62" t="str">
        <f>IFERROR(B93/VLOOKUP($A93,PoolData!$A$10:$I$32,MATCH("XXX:FSN Ratio",PoolData!$A$10:$I$10,0),0),"")</f>
        <v/>
      </c>
      <c r="D93" s="58" t="str">
        <f>IFERROR(B93/VLOOKUP($A93,PoolData!$A$10:$I$32,MATCH("Coin 1 Pool Size",PoolData!$A$10:$I$10,0),0),"")</f>
        <v/>
      </c>
      <c r="E93" s="62" t="str">
        <f>IFERROR(VLOOKUP($A93,PoolData!$A$10:$I$32,MATCH("ANY Reward % to pool",PoolData!$A$10:$I$10,0),0)*DAILYANY*D93,"")</f>
        <v/>
      </c>
      <c r="F93" s="62" t="str">
        <f>IFERROR(VLOOKUP($A93,PoolData!$A$10:$T$32,MATCH("Trading Volume in FSN",PoolData!$A$10:$T$10,0),0)*FEEREWARDS*D93,"")</f>
        <v/>
      </c>
      <c r="G93" s="62" t="str">
        <f t="shared" si="6"/>
        <v/>
      </c>
      <c r="H93" s="93" t="str">
        <f t="shared" si="7"/>
        <v/>
      </c>
      <c r="I93" s="58" t="str">
        <f t="shared" si="8"/>
        <v/>
      </c>
      <c r="J93" s="42" t="str">
        <f t="shared" si="9"/>
        <v/>
      </c>
      <c r="K93" s="105" t="s">
        <v>128</v>
      </c>
    </row>
    <row r="94" spans="1:11">
      <c r="A94" s="101" t="s">
        <v>167</v>
      </c>
      <c r="B94" s="127">
        <v>0</v>
      </c>
      <c r="C94" s="62" t="str">
        <f>IFERROR(B94/VLOOKUP($A94,PoolData!$A$10:$I$32,MATCH("XXX:FSN Ratio",PoolData!$A$10:$I$10,0),0),"")</f>
        <v/>
      </c>
      <c r="D94" s="58" t="str">
        <f>IFERROR(B94/VLOOKUP($A94,PoolData!$A$10:$I$32,MATCH("Coin 1 Pool Size",PoolData!$A$10:$I$10,0),0),"")</f>
        <v/>
      </c>
      <c r="E94" s="62" t="str">
        <f>IFERROR(VLOOKUP($A94,PoolData!$A$10:$I$32,MATCH("ANY Reward % to pool",PoolData!$A$10:$I$10,0),0)*DAILYANY*D94,"")</f>
        <v/>
      </c>
      <c r="F94" s="62" t="str">
        <f>IFERROR(VLOOKUP($A94,PoolData!$A$10:$T$32,MATCH("Trading Volume in FSN",PoolData!$A$10:$T$10,0),0)*FEEREWARDS*D94,"")</f>
        <v/>
      </c>
      <c r="G94" s="62" t="str">
        <f t="shared" si="6"/>
        <v/>
      </c>
      <c r="H94" s="93" t="str">
        <f t="shared" si="7"/>
        <v/>
      </c>
      <c r="I94" s="58" t="str">
        <f t="shared" si="8"/>
        <v/>
      </c>
      <c r="J94" s="42" t="str">
        <f t="shared" si="9"/>
        <v/>
      </c>
      <c r="K94" s="105" t="s">
        <v>128</v>
      </c>
    </row>
    <row r="95" spans="1:11">
      <c r="A95" s="101" t="s">
        <v>167</v>
      </c>
      <c r="B95" s="127">
        <v>0</v>
      </c>
      <c r="C95" s="62" t="str">
        <f>IFERROR(B95/VLOOKUP($A95,PoolData!$A$10:$I$32,MATCH("XXX:FSN Ratio",PoolData!$A$10:$I$10,0),0),"")</f>
        <v/>
      </c>
      <c r="D95" s="58" t="str">
        <f>IFERROR(B95/VLOOKUP($A95,PoolData!$A$10:$I$32,MATCH("Coin 1 Pool Size",PoolData!$A$10:$I$10,0),0),"")</f>
        <v/>
      </c>
      <c r="E95" s="62" t="str">
        <f>IFERROR(VLOOKUP($A95,PoolData!$A$10:$I$32,MATCH("ANY Reward % to pool",PoolData!$A$10:$I$10,0),0)*DAILYANY*D95,"")</f>
        <v/>
      </c>
      <c r="F95" s="62" t="str">
        <f>IFERROR(VLOOKUP($A95,PoolData!$A$10:$T$32,MATCH("Trading Volume in FSN",PoolData!$A$10:$T$10,0),0)*FEEREWARDS*D95,"")</f>
        <v/>
      </c>
      <c r="G95" s="62" t="str">
        <f t="shared" si="6"/>
        <v/>
      </c>
      <c r="H95" s="93" t="str">
        <f t="shared" si="7"/>
        <v/>
      </c>
      <c r="I95" s="58" t="str">
        <f t="shared" si="8"/>
        <v/>
      </c>
      <c r="J95" s="42" t="str">
        <f t="shared" si="9"/>
        <v/>
      </c>
      <c r="K95" s="105" t="s">
        <v>128</v>
      </c>
    </row>
    <row r="96" spans="1:11">
      <c r="A96" s="101" t="s">
        <v>167</v>
      </c>
      <c r="B96" s="127">
        <v>0</v>
      </c>
      <c r="C96" s="62" t="str">
        <f>IFERROR(B96/VLOOKUP($A96,PoolData!$A$10:$I$32,MATCH("XXX:FSN Ratio",PoolData!$A$10:$I$10,0),0),"")</f>
        <v/>
      </c>
      <c r="D96" s="58" t="str">
        <f>IFERROR(B96/VLOOKUP($A96,PoolData!$A$10:$I$32,MATCH("Coin 1 Pool Size",PoolData!$A$10:$I$10,0),0),"")</f>
        <v/>
      </c>
      <c r="E96" s="62" t="str">
        <f>IFERROR(VLOOKUP($A96,PoolData!$A$10:$I$32,MATCH("ANY Reward % to pool",PoolData!$A$10:$I$10,0),0)*DAILYANY*D96,"")</f>
        <v/>
      </c>
      <c r="F96" s="62" t="str">
        <f>IFERROR(VLOOKUP($A96,PoolData!$A$10:$T$32,MATCH("Trading Volume in FSN",PoolData!$A$10:$T$10,0),0)*FEEREWARDS*D96,"")</f>
        <v/>
      </c>
      <c r="G96" s="62" t="str">
        <f t="shared" si="6"/>
        <v/>
      </c>
      <c r="H96" s="93" t="str">
        <f t="shared" si="7"/>
        <v/>
      </c>
      <c r="I96" s="58" t="str">
        <f t="shared" si="8"/>
        <v/>
      </c>
      <c r="J96" s="42" t="str">
        <f t="shared" si="9"/>
        <v/>
      </c>
      <c r="K96" s="105" t="s">
        <v>128</v>
      </c>
    </row>
    <row r="97" spans="1:11">
      <c r="A97" s="101" t="s">
        <v>167</v>
      </c>
      <c r="B97" s="127">
        <v>0</v>
      </c>
      <c r="C97" s="62" t="str">
        <f>IFERROR(B97/VLOOKUP($A97,PoolData!$A$10:$I$32,MATCH("XXX:FSN Ratio",PoolData!$A$10:$I$10,0),0),"")</f>
        <v/>
      </c>
      <c r="D97" s="58" t="str">
        <f>IFERROR(B97/VLOOKUP($A97,PoolData!$A$10:$I$32,MATCH("Coin 1 Pool Size",PoolData!$A$10:$I$10,0),0),"")</f>
        <v/>
      </c>
      <c r="E97" s="62" t="str">
        <f>IFERROR(VLOOKUP($A97,PoolData!$A$10:$I$32,MATCH("ANY Reward % to pool",PoolData!$A$10:$I$10,0),0)*DAILYANY*D97,"")</f>
        <v/>
      </c>
      <c r="F97" s="62" t="str">
        <f>IFERROR(VLOOKUP($A97,PoolData!$A$10:$T$32,MATCH("Trading Volume in FSN",PoolData!$A$10:$T$10,0),0)*FEEREWARDS*D97,"")</f>
        <v/>
      </c>
      <c r="G97" s="62" t="str">
        <f t="shared" si="6"/>
        <v/>
      </c>
      <c r="H97" s="93" t="str">
        <f t="shared" si="7"/>
        <v/>
      </c>
      <c r="I97" s="58" t="str">
        <f t="shared" si="8"/>
        <v/>
      </c>
      <c r="J97" s="42" t="str">
        <f t="shared" si="9"/>
        <v/>
      </c>
      <c r="K97" s="105" t="s">
        <v>128</v>
      </c>
    </row>
    <row r="98" spans="1:11">
      <c r="A98" s="101" t="s">
        <v>167</v>
      </c>
      <c r="B98" s="127">
        <v>0</v>
      </c>
      <c r="C98" s="62" t="str">
        <f>IFERROR(B98/VLOOKUP($A98,PoolData!$A$10:$I$32,MATCH("XXX:FSN Ratio",PoolData!$A$10:$I$10,0),0),"")</f>
        <v/>
      </c>
      <c r="D98" s="58" t="str">
        <f>IFERROR(B98/VLOOKUP($A98,PoolData!$A$10:$I$32,MATCH("Coin 1 Pool Size",PoolData!$A$10:$I$10,0),0),"")</f>
        <v/>
      </c>
      <c r="E98" s="62" t="str">
        <f>IFERROR(VLOOKUP($A98,PoolData!$A$10:$I$32,MATCH("ANY Reward % to pool",PoolData!$A$10:$I$10,0),0)*DAILYANY*D98,"")</f>
        <v/>
      </c>
      <c r="F98" s="62" t="str">
        <f>IFERROR(VLOOKUP($A98,PoolData!$A$10:$T$32,MATCH("Trading Volume in FSN",PoolData!$A$10:$T$10,0),0)*FEEREWARDS*D98,"")</f>
        <v/>
      </c>
      <c r="G98" s="62" t="str">
        <f t="shared" si="6"/>
        <v/>
      </c>
      <c r="H98" s="93" t="str">
        <f t="shared" si="7"/>
        <v/>
      </c>
      <c r="I98" s="58" t="str">
        <f t="shared" si="8"/>
        <v/>
      </c>
      <c r="J98" s="42" t="str">
        <f t="shared" si="9"/>
        <v/>
      </c>
      <c r="K98" s="105" t="s">
        <v>128</v>
      </c>
    </row>
    <row r="99" spans="1:11">
      <c r="A99" s="101" t="s">
        <v>167</v>
      </c>
      <c r="B99" s="127">
        <v>0</v>
      </c>
      <c r="C99" s="62" t="str">
        <f>IFERROR(B99/VLOOKUP($A99,PoolData!$A$10:$I$32,MATCH("XXX:FSN Ratio",PoolData!$A$10:$I$10,0),0),"")</f>
        <v/>
      </c>
      <c r="D99" s="58" t="str">
        <f>IFERROR(B99/VLOOKUP($A99,PoolData!$A$10:$I$32,MATCH("Coin 1 Pool Size",PoolData!$A$10:$I$10,0),0),"")</f>
        <v/>
      </c>
      <c r="E99" s="62" t="str">
        <f>IFERROR(VLOOKUP($A99,PoolData!$A$10:$I$32,MATCH("ANY Reward % to pool",PoolData!$A$10:$I$10,0),0)*DAILYANY*D99,"")</f>
        <v/>
      </c>
      <c r="F99" s="62" t="str">
        <f>IFERROR(VLOOKUP($A99,PoolData!$A$10:$T$32,MATCH("Trading Volume in FSN",PoolData!$A$10:$T$10,0),0)*FEEREWARDS*D99,"")</f>
        <v/>
      </c>
      <c r="G99" s="62" t="str">
        <f t="shared" si="6"/>
        <v/>
      </c>
      <c r="H99" s="93" t="str">
        <f t="shared" si="7"/>
        <v/>
      </c>
      <c r="I99" s="58" t="str">
        <f t="shared" si="8"/>
        <v/>
      </c>
      <c r="J99" s="42" t="str">
        <f t="shared" si="9"/>
        <v/>
      </c>
      <c r="K99" s="105" t="s">
        <v>128</v>
      </c>
    </row>
    <row r="100" spans="1:11">
      <c r="A100" s="101" t="s">
        <v>167</v>
      </c>
      <c r="B100" s="127">
        <v>0</v>
      </c>
      <c r="C100" s="62" t="str">
        <f>IFERROR(B100/VLOOKUP($A100,PoolData!$A$10:$I$32,MATCH("XXX:FSN Ratio",PoolData!$A$10:$I$10,0),0),"")</f>
        <v/>
      </c>
      <c r="D100" s="58" t="str">
        <f>IFERROR(B100/VLOOKUP($A100,PoolData!$A$10:$I$32,MATCH("Coin 1 Pool Size",PoolData!$A$10:$I$10,0),0),"")</f>
        <v/>
      </c>
      <c r="E100" s="62" t="str">
        <f>IFERROR(VLOOKUP($A100,PoolData!$A$10:$I$32,MATCH("ANY Reward % to pool",PoolData!$A$10:$I$10,0),0)*DAILYANY*D100,"")</f>
        <v/>
      </c>
      <c r="F100" s="62" t="str">
        <f>IFERROR(VLOOKUP($A100,PoolData!$A$10:$T$32,MATCH("Trading Volume in FSN",PoolData!$A$10:$T$10,0),0)*FEEREWARDS*D100,"")</f>
        <v/>
      </c>
      <c r="G100" s="62" t="str">
        <f t="shared" si="6"/>
        <v/>
      </c>
      <c r="H100" s="93" t="str">
        <f t="shared" si="7"/>
        <v/>
      </c>
      <c r="I100" s="58" t="str">
        <f t="shared" si="8"/>
        <v/>
      </c>
      <c r="J100" s="42" t="str">
        <f t="shared" si="9"/>
        <v/>
      </c>
      <c r="K100" s="105" t="s">
        <v>128</v>
      </c>
    </row>
    <row r="101" spans="1:11">
      <c r="A101" s="101" t="s">
        <v>167</v>
      </c>
      <c r="B101">
        <v>0</v>
      </c>
    </row>
    <row r="102" spans="1:11">
      <c r="A102" s="101" t="s">
        <v>167</v>
      </c>
      <c r="B102">
        <v>0</v>
      </c>
    </row>
  </sheetData>
  <mergeCells count="1">
    <mergeCell ref="A11:J11"/>
  </mergeCells>
  <dataValidations count="1">
    <dataValidation type="list" allowBlank="1" showInputMessage="1" showErrorMessage="1" sqref="K13:K100" xr:uid="{62343E0C-2305-41A6-91F0-F8F92F72B5E4}">
      <formula1>$Q$2:$Q$3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F1FF5E1-13E0-4C0C-87C4-6C840356BA2C}">
          <x14:formula1>
            <xm:f>PoolData!$A$11:$A$100</xm:f>
          </x14:formula1>
          <xm:sqref>A13:A100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9DBAB-5A68-4DFE-9E8A-D17C0968DE87}">
  <sheetPr codeName="Sheet4">
    <tabColor rgb="FFFFC000"/>
  </sheetPr>
  <dimension ref="A1:P100"/>
  <sheetViews>
    <sheetView showGridLines="0" zoomScale="85" zoomScaleNormal="85" workbookViewId="0">
      <selection activeCell="G8" sqref="G8"/>
    </sheetView>
  </sheetViews>
  <sheetFormatPr defaultRowHeight="15"/>
  <cols>
    <col min="1" max="1" width="15.140625" customWidth="1"/>
    <col min="2" max="2" width="28.85546875" customWidth="1"/>
    <col min="3" max="3" width="16.7109375" bestFit="1" customWidth="1"/>
    <col min="4" max="4" width="8.28515625" style="55" customWidth="1"/>
    <col min="5" max="5" width="52.7109375" bestFit="1" customWidth="1"/>
    <col min="6" max="6" width="35" bestFit="1" customWidth="1"/>
    <col min="7" max="7" width="7.140625" bestFit="1" customWidth="1"/>
    <col min="8" max="8" width="26.85546875" bestFit="1" customWidth="1"/>
    <col min="13" max="13" width="39" bestFit="1" customWidth="1"/>
    <col min="16" max="16" width="28.5703125" bestFit="1" customWidth="1"/>
  </cols>
  <sheetData>
    <row r="1" spans="1:16">
      <c r="E1" s="63" t="s">
        <v>140</v>
      </c>
      <c r="F1" s="40" t="str">
        <f>INDEX($A$14:$A$31,MATCH(G1,$J$14:$J$31,0))</f>
        <v>FSN-aUSDT</v>
      </c>
      <c r="G1" s="43">
        <f>MAX(J14:J31)</f>
        <v>3.4533013498928309</v>
      </c>
      <c r="H1" s="40" t="s">
        <v>99</v>
      </c>
    </row>
    <row r="2" spans="1:16">
      <c r="D2" s="86"/>
      <c r="E2" s="54" t="s">
        <v>141</v>
      </c>
    </row>
    <row r="3" spans="1:16">
      <c r="E3" s="40" t="s">
        <v>6</v>
      </c>
      <c r="F3" s="72">
        <f>'Impermanent Loss'!B1</f>
        <v>0.38126952444377737</v>
      </c>
    </row>
    <row r="4" spans="1:16">
      <c r="E4" s="40" t="s">
        <v>179</v>
      </c>
      <c r="F4" s="61">
        <f>ANYFSN</f>
        <v>2.4460031401693474</v>
      </c>
    </row>
    <row r="5" spans="1:16">
      <c r="E5" s="51" t="s">
        <v>117</v>
      </c>
      <c r="F5" s="40" t="s">
        <v>185</v>
      </c>
      <c r="G5" s="27" t="s">
        <v>99</v>
      </c>
    </row>
    <row r="6" spans="1:16">
      <c r="E6" s="40" t="s">
        <v>186</v>
      </c>
      <c r="F6" s="88">
        <f>PoolData!D7*100</f>
        <v>0.13021895115858378</v>
      </c>
      <c r="G6" s="138">
        <f>F6*$F$4/100*365/2</f>
        <v>0.581291633284305</v>
      </c>
      <c r="M6" s="51" t="s">
        <v>94</v>
      </c>
      <c r="N6" s="92" t="s">
        <v>99</v>
      </c>
      <c r="P6" s="139" t="s">
        <v>184</v>
      </c>
    </row>
    <row r="7" spans="1:16">
      <c r="E7" s="40" t="s">
        <v>187</v>
      </c>
      <c r="F7" s="88">
        <f>F6*2</f>
        <v>0.26043790231716757</v>
      </c>
      <c r="G7" s="138">
        <f>F7*$F$4/100*365/2</f>
        <v>1.16258326656861</v>
      </c>
      <c r="M7" s="40" t="s">
        <v>181</v>
      </c>
      <c r="N7" s="138">
        <f>G6</f>
        <v>0.581291633284305</v>
      </c>
      <c r="P7" s="134">
        <f>F6</f>
        <v>0.13021895115858378</v>
      </c>
    </row>
    <row r="8" spans="1:16">
      <c r="C8" s="40" t="s">
        <v>192</v>
      </c>
      <c r="D8" s="74">
        <v>3</v>
      </c>
      <c r="E8" s="70" t="s">
        <v>191</v>
      </c>
      <c r="F8" s="157">
        <f>F6*D8</f>
        <v>0.39065685347575135</v>
      </c>
      <c r="G8" s="138">
        <f>F8*$F$4/100*365/2</f>
        <v>1.7438748998529152</v>
      </c>
      <c r="M8" s="40" t="s">
        <v>182</v>
      </c>
      <c r="N8" s="138">
        <f>G7</f>
        <v>1.16258326656861</v>
      </c>
      <c r="P8" s="134">
        <f>F7</f>
        <v>0.26043790231716757</v>
      </c>
    </row>
    <row r="9" spans="1:16" hidden="1">
      <c r="E9" s="134" t="s">
        <v>176</v>
      </c>
      <c r="F9" s="134">
        <f>100/SUM(PoolData!L11:L33)*16500</f>
        <v>0.16445991364359444</v>
      </c>
      <c r="G9" s="135" t="s">
        <v>177</v>
      </c>
    </row>
    <row r="11" spans="1:16">
      <c r="E11" s="144" t="s">
        <v>120</v>
      </c>
      <c r="F11" s="145"/>
      <c r="H11" s="102" t="s">
        <v>126</v>
      </c>
    </row>
    <row r="12" spans="1:16">
      <c r="E12" s="97" t="str">
        <f>SUM(E14:E31)&amp;" ANY"</f>
        <v>17524.6923707492 ANY</v>
      </c>
      <c r="F12" s="97" t="str">
        <f>SUM(F14:F31)&amp;" FSN equivalent"</f>
        <v>30098.52 FSN equivalent</v>
      </c>
      <c r="H12" s="98">
        <f>SUM(H14:H31)</f>
        <v>27818.939123046523</v>
      </c>
    </row>
    <row r="13" spans="1:16">
      <c r="A13" s="146" t="s">
        <v>90</v>
      </c>
      <c r="B13" s="146"/>
      <c r="C13" s="146"/>
      <c r="D13" s="90"/>
      <c r="E13" s="92" t="s">
        <v>118</v>
      </c>
      <c r="F13" s="92" t="s">
        <v>173</v>
      </c>
      <c r="H13" s="99" t="s">
        <v>119</v>
      </c>
      <c r="J13" s="92" t="s">
        <v>99</v>
      </c>
      <c r="M13" s="27" t="s">
        <v>180</v>
      </c>
      <c r="N13" s="92" t="s">
        <v>99</v>
      </c>
    </row>
    <row r="14" spans="1:16">
      <c r="A14" s="40" t="str">
        <f>PoolData!A11</f>
        <v>FSN-aUSDT</v>
      </c>
      <c r="B14" s="40" t="str">
        <f>PoolData!C11</f>
        <v>FSN</v>
      </c>
      <c r="C14" s="40" t="str">
        <f>PoolData!D11</f>
        <v>aUSDT</v>
      </c>
      <c r="D14" s="91"/>
      <c r="E14" s="57">
        <f>VLOOKUP($A14,PoolData!$A$10:$U$32,MATCH(E$13,PoolData!$A$10:$U$10,0),0)</f>
        <v>992.96148403724351</v>
      </c>
      <c r="F14" s="57">
        <f>VLOOKUP($A14,PoolData!$A$10:$U$32,MATCH(F$13,PoolData!$A$10:$U$10,0),0)</f>
        <v>12000</v>
      </c>
      <c r="H14" s="100">
        <f>VLOOKUP($A14,PoolData!$A$10:$U$32,MATCH(H$13,PoolData!$A$10:$U$10,0),0)</f>
        <v>5501.256722722268</v>
      </c>
      <c r="J14" s="137">
        <f>VLOOKUP($A14,PoolData!$A$10:$U$32,MATCH(J$13,PoolData!$A$10:$U$10,0),0)</f>
        <v>3.4533013498928309</v>
      </c>
      <c r="M14" s="40" t="str">
        <f t="shared" ref="M14:M17" si="0">A14</f>
        <v>FSN-aUSDT</v>
      </c>
      <c r="N14" s="43">
        <f>J14</f>
        <v>3.4533013498928309</v>
      </c>
    </row>
    <row r="15" spans="1:16">
      <c r="A15" s="40" t="str">
        <f>PoolData!A12</f>
        <v>FSN-aETH</v>
      </c>
      <c r="B15" s="40" t="str">
        <f>PoolData!C12</f>
        <v>FSN</v>
      </c>
      <c r="C15" s="40" t="str">
        <f>PoolData!D12</f>
        <v>aETH</v>
      </c>
      <c r="D15" s="91"/>
      <c r="E15" s="57">
        <f>VLOOKUP($A15,PoolData!$A$10:$U$32,MATCH(E$13,PoolData!$A$10:$U$10,0),0)</f>
        <v>317.10968138453416</v>
      </c>
      <c r="F15" s="57">
        <f>VLOOKUP($A15,PoolData!$A$10:$U$32,MATCH(F$13,PoolData!$A$10:$U$10,0),0)</f>
        <v>2318.52</v>
      </c>
      <c r="H15" s="100">
        <f>VLOOKUP($A15,PoolData!$A$10:$U$32,MATCH(H$13,PoolData!$A$10:$U$10,0),0)</f>
        <v>1179.7132111176556</v>
      </c>
      <c r="I15" s="71"/>
      <c r="J15" s="137">
        <f>VLOOKUP($A15,PoolData!$A$10:$U$32,MATCH(J$13,PoolData!$A$10:$U$10,0),0)</f>
        <v>2.318846019554258</v>
      </c>
      <c r="M15" s="40" t="str">
        <f t="shared" si="0"/>
        <v>FSN-aETH</v>
      </c>
      <c r="N15" s="43">
        <f t="shared" ref="N15:N17" si="1">J15</f>
        <v>2.318846019554258</v>
      </c>
    </row>
    <row r="16" spans="1:16">
      <c r="A16" s="40" t="str">
        <f>PoolData!A13</f>
        <v>FSN-ANY</v>
      </c>
      <c r="B16" s="40" t="str">
        <f>PoolData!C13</f>
        <v>FSN</v>
      </c>
      <c r="C16" s="40" t="str">
        <f>PoolData!D13</f>
        <v>ANY</v>
      </c>
      <c r="D16" s="91"/>
      <c r="E16" s="57">
        <f>VLOOKUP($A16,PoolData!$A$10:$U$32,MATCH(E$13,PoolData!$A$10:$U$10,0),0)</f>
        <v>14650.7450130465</v>
      </c>
      <c r="F16" s="57">
        <f>VLOOKUP($A16,PoolData!$A$10:$U$32,MATCH(F$13,PoolData!$A$10:$U$10,0),0)</f>
        <v>15780</v>
      </c>
      <c r="H16" s="100">
        <f>VLOOKUP($A16,PoolData!$A$10:$U$32,MATCH(H$13,PoolData!$A$10:$U$10,0),0)</f>
        <v>19679.51943648923</v>
      </c>
      <c r="I16" s="71"/>
      <c r="J16" s="137">
        <f>VLOOKUP($A16,PoolData!$A$10:$U$32,MATCH(J$13,PoolData!$A$10:$U$10,0),0)</f>
        <v>1.6745177056160439</v>
      </c>
      <c r="M16" s="40" t="str">
        <f t="shared" si="0"/>
        <v>FSN-ANY</v>
      </c>
      <c r="N16" s="43">
        <f t="shared" si="1"/>
        <v>1.6745177056160439</v>
      </c>
    </row>
    <row r="17" spans="1:14">
      <c r="A17" s="40" t="str">
        <f>PoolData!A14</f>
        <v>FSN-UNI</v>
      </c>
      <c r="B17" s="40" t="str">
        <f>PoolData!C14</f>
        <v>FSN</v>
      </c>
      <c r="C17" s="40" t="str">
        <f>PoolData!D14</f>
        <v>UNI</v>
      </c>
      <c r="D17" s="86"/>
      <c r="E17" s="57">
        <f>VLOOKUP($A17,PoolData!$A$10:$U$32,MATCH(E$13,PoolData!$A$10:$U$10,0),0)</f>
        <v>26.837636157137997</v>
      </c>
      <c r="F17" s="57">
        <f>VLOOKUP($A17,PoolData!$A$10:$U$32,MATCH(F$13,PoolData!$A$10:$U$10,0),0)</f>
        <v>0</v>
      </c>
      <c r="H17" s="100">
        <f>VLOOKUP($A17,PoolData!$A$10:$U$32,MATCH(H$13,PoolData!$A$10:$U$10,0),0)</f>
        <v>25.028415938610497</v>
      </c>
      <c r="J17" s="42">
        <f>VLOOKUP($A17,PoolData!$A$10:$U$32,MATCH(J$13,PoolData!$A$10:$U$10,0),0)</f>
        <v>0.58129163328430522</v>
      </c>
      <c r="M17" s="40" t="str">
        <f t="shared" si="0"/>
        <v>FSN-UNI</v>
      </c>
      <c r="N17" s="43">
        <f t="shared" si="1"/>
        <v>0.58129163328430522</v>
      </c>
    </row>
    <row r="18" spans="1:14">
      <c r="A18" s="40" t="str">
        <f>PoolData!A15</f>
        <v>FSN-aBTC</v>
      </c>
      <c r="B18" s="40" t="str">
        <f>PoolData!C15</f>
        <v>FSN</v>
      </c>
      <c r="C18" s="40" t="str">
        <f>PoolData!D15</f>
        <v>aBTC</v>
      </c>
      <c r="D18" s="86"/>
      <c r="E18" s="57">
        <f>VLOOKUP($A18,PoolData!$A$10:$U$32,MATCH(E$13,PoolData!$A$10:$U$10,0),0)</f>
        <v>1537.0385561237572</v>
      </c>
      <c r="F18" s="57">
        <f>VLOOKUP($A18,PoolData!$A$10:$U$32,MATCH(F$13,PoolData!$A$10:$U$10,0),0)</f>
        <v>0</v>
      </c>
      <c r="H18" s="100">
        <f>VLOOKUP($A18,PoolData!$A$10:$U$32,MATCH(H$13,PoolData!$A$10:$U$10,0),0)</f>
        <v>1433.421336778759</v>
      </c>
      <c r="J18" s="42">
        <f>VLOOKUP($A18,PoolData!$A$10:$U$32,MATCH(J$13,PoolData!$A$10:$U$10,0),0)</f>
        <v>1.7438748998529152</v>
      </c>
      <c r="M18" s="40" t="str">
        <f t="shared" ref="M18" si="2">A18</f>
        <v>FSN-aBTC</v>
      </c>
      <c r="N18" s="43">
        <f t="shared" ref="N18" si="3">J18</f>
        <v>1.7438748998529152</v>
      </c>
    </row>
    <row r="19" spans="1:14">
      <c r="A19" s="40" t="str">
        <f>PoolData!A16</f>
        <v>-</v>
      </c>
      <c r="B19" s="40">
        <f>PoolData!C16</f>
        <v>0</v>
      </c>
      <c r="C19" s="40">
        <f>PoolData!D16</f>
        <v>0</v>
      </c>
      <c r="D19" s="86"/>
      <c r="E19" s="57">
        <f>VLOOKUP($A19,PoolData!$A$10:$U$32,MATCH(E$13,PoolData!$A$10:$U$10,0),0)</f>
        <v>0</v>
      </c>
      <c r="F19" s="57">
        <f>VLOOKUP($A19,PoolData!$A$10:$U$32,MATCH(F$13,PoolData!$A$10:$U$10,0),0)</f>
        <v>0</v>
      </c>
      <c r="H19" s="100">
        <f>VLOOKUP($A19,PoolData!$A$10:$U$32,MATCH(H$13,PoolData!$A$10:$U$10,0),0)</f>
        <v>0</v>
      </c>
      <c r="J19" s="42">
        <f>VLOOKUP($A19,PoolData!$A$10:$U$32,MATCH(J$13,PoolData!$A$10:$U$10,0),0)</f>
        <v>0</v>
      </c>
    </row>
    <row r="20" spans="1:14">
      <c r="A20" s="40" t="str">
        <f>PoolData!A17</f>
        <v>-</v>
      </c>
      <c r="B20" s="40">
        <f>PoolData!C17</f>
        <v>0</v>
      </c>
      <c r="C20" s="40">
        <f>PoolData!D17</f>
        <v>0</v>
      </c>
      <c r="D20" s="86"/>
      <c r="E20" s="57">
        <f>VLOOKUP($A20,PoolData!$A$10:$U$32,MATCH(E$13,PoolData!$A$10:$U$10,0),0)</f>
        <v>0</v>
      </c>
      <c r="F20" s="57">
        <f>VLOOKUP($A20,PoolData!$A$10:$U$32,MATCH(F$13,PoolData!$A$10:$U$10,0),0)</f>
        <v>0</v>
      </c>
      <c r="H20" s="100">
        <f>VLOOKUP($A20,PoolData!$A$10:$U$32,MATCH(H$13,PoolData!$A$10:$U$10,0),0)</f>
        <v>0</v>
      </c>
      <c r="J20" s="42">
        <f>VLOOKUP($A20,PoolData!$A$10:$U$32,MATCH(J$13,PoolData!$A$10:$U$10,0),0)</f>
        <v>0</v>
      </c>
    </row>
    <row r="21" spans="1:14">
      <c r="A21" s="40" t="str">
        <f>PoolData!A18</f>
        <v>-</v>
      </c>
      <c r="B21" s="40">
        <f>PoolData!C18</f>
        <v>0</v>
      </c>
      <c r="C21" s="40">
        <f>PoolData!D18</f>
        <v>0</v>
      </c>
      <c r="D21" s="86"/>
      <c r="E21" s="57">
        <f>VLOOKUP($A21,PoolData!$A$10:$U$32,MATCH(E$13,PoolData!$A$10:$U$10,0),0)</f>
        <v>0</v>
      </c>
      <c r="F21" s="57">
        <f>VLOOKUP($A21,PoolData!$A$10:$U$32,MATCH(F$13,PoolData!$A$10:$U$10,0),0)</f>
        <v>0</v>
      </c>
      <c r="H21" s="100">
        <f>VLOOKUP($A21,PoolData!$A$10:$U$32,MATCH(H$13,PoolData!$A$10:$U$10,0),0)</f>
        <v>0</v>
      </c>
      <c r="J21" s="42">
        <f>VLOOKUP($A21,PoolData!$A$10:$U$32,MATCH(J$13,PoolData!$A$10:$U$10,0),0)</f>
        <v>0</v>
      </c>
    </row>
    <row r="22" spans="1:14">
      <c r="A22" s="40" t="str">
        <f>PoolData!A19</f>
        <v>-</v>
      </c>
      <c r="B22" s="40">
        <f>PoolData!C19</f>
        <v>0</v>
      </c>
      <c r="C22" s="40">
        <f>PoolData!D19</f>
        <v>0</v>
      </c>
      <c r="D22" s="86"/>
      <c r="E22" s="57">
        <f>VLOOKUP($A22,PoolData!$A$10:$U$32,MATCH(E$13,PoolData!$A$10:$U$10,0),0)</f>
        <v>0</v>
      </c>
      <c r="F22" s="57">
        <f>VLOOKUP($A22,PoolData!$A$10:$U$32,MATCH(F$13,PoolData!$A$10:$U$10,0),0)</f>
        <v>0</v>
      </c>
      <c r="H22" s="100">
        <f>VLOOKUP($A22,PoolData!$A$10:$U$32,MATCH(H$13,PoolData!$A$10:$U$10,0),0)</f>
        <v>0</v>
      </c>
      <c r="J22" s="42">
        <f>VLOOKUP($A22,PoolData!$A$10:$U$32,MATCH(J$13,PoolData!$A$10:$U$10,0),0)</f>
        <v>0</v>
      </c>
    </row>
    <row r="23" spans="1:14">
      <c r="A23" s="40" t="str">
        <f>PoolData!A20</f>
        <v>-</v>
      </c>
      <c r="B23" s="40">
        <f>PoolData!C20</f>
        <v>0</v>
      </c>
      <c r="C23" s="40">
        <f>PoolData!D20</f>
        <v>0</v>
      </c>
      <c r="D23" s="86"/>
      <c r="E23" s="57">
        <f>VLOOKUP($A23,PoolData!$A$10:$U$32,MATCH(E$13,PoolData!$A$10:$U$10,0),0)</f>
        <v>0</v>
      </c>
      <c r="F23" s="57">
        <f>VLOOKUP($A23,PoolData!$A$10:$U$32,MATCH(F$13,PoolData!$A$10:$U$10,0),0)</f>
        <v>0</v>
      </c>
      <c r="H23" s="100">
        <f>VLOOKUP($A23,PoolData!$A$10:$U$32,MATCH(H$13,PoolData!$A$10:$U$10,0),0)</f>
        <v>0</v>
      </c>
      <c r="J23" s="42">
        <f>VLOOKUP($A23,PoolData!$A$10:$U$32,MATCH(J$13,PoolData!$A$10:$U$10,0),0)</f>
        <v>0</v>
      </c>
    </row>
    <row r="24" spans="1:14">
      <c r="A24" s="40" t="str">
        <f>PoolData!A21</f>
        <v>-</v>
      </c>
      <c r="B24" s="40">
        <f>PoolData!C21</f>
        <v>0</v>
      </c>
      <c r="C24" s="40">
        <f>PoolData!D21</f>
        <v>0</v>
      </c>
      <c r="D24" s="86"/>
      <c r="E24" s="57">
        <f>VLOOKUP($A24,PoolData!$A$10:$U$32,MATCH(E$13,PoolData!$A$10:$U$10,0),0)</f>
        <v>0</v>
      </c>
      <c r="F24" s="57">
        <f>VLOOKUP($A24,PoolData!$A$10:$U$32,MATCH(F$13,PoolData!$A$10:$U$10,0),0)</f>
        <v>0</v>
      </c>
      <c r="H24" s="100">
        <f>VLOOKUP($A24,PoolData!$A$10:$U$32,MATCH(H$13,PoolData!$A$10:$U$10,0),0)</f>
        <v>0</v>
      </c>
      <c r="J24" s="42">
        <f>VLOOKUP($A24,PoolData!$A$10:$U$32,MATCH(J$13,PoolData!$A$10:$U$10,0),0)</f>
        <v>0</v>
      </c>
    </row>
    <row r="25" spans="1:14">
      <c r="A25" s="40" t="str">
        <f>PoolData!A22</f>
        <v>-</v>
      </c>
      <c r="B25" s="40">
        <f>PoolData!C22</f>
        <v>0</v>
      </c>
      <c r="C25" s="40">
        <f>PoolData!D22</f>
        <v>0</v>
      </c>
      <c r="D25" s="86"/>
      <c r="E25" s="57">
        <f>VLOOKUP($A25,PoolData!$A$10:$U$32,MATCH(E$13,PoolData!$A$10:$U$10,0),0)</f>
        <v>0</v>
      </c>
      <c r="F25" s="57">
        <f>VLOOKUP($A25,PoolData!$A$10:$U$32,MATCH(F$13,PoolData!$A$10:$U$10,0),0)</f>
        <v>0</v>
      </c>
      <c r="H25" s="100">
        <f>VLOOKUP($A25,PoolData!$A$10:$U$32,MATCH(H$13,PoolData!$A$10:$U$10,0),0)</f>
        <v>0</v>
      </c>
      <c r="J25" s="42">
        <f>VLOOKUP($A25,PoolData!$A$10:$U$32,MATCH(J$13,PoolData!$A$10:$U$10,0),0)</f>
        <v>0</v>
      </c>
    </row>
    <row r="26" spans="1:14">
      <c r="A26" s="40" t="str">
        <f>PoolData!A23</f>
        <v>-</v>
      </c>
      <c r="B26" s="40">
        <f>PoolData!C23</f>
        <v>0</v>
      </c>
      <c r="C26" s="40">
        <f>PoolData!D23</f>
        <v>0</v>
      </c>
      <c r="D26" s="86"/>
      <c r="E26" s="57">
        <f>VLOOKUP($A26,PoolData!$A$10:$U$32,MATCH(E$13,PoolData!$A$10:$U$10,0),0)</f>
        <v>0</v>
      </c>
      <c r="F26" s="57">
        <f>VLOOKUP($A26,PoolData!$A$10:$U$32,MATCH(F$13,PoolData!$A$10:$U$10,0),0)</f>
        <v>0</v>
      </c>
      <c r="H26" s="100">
        <f>VLOOKUP($A26,PoolData!$A$10:$U$32,MATCH(H$13,PoolData!$A$10:$U$10,0),0)</f>
        <v>0</v>
      </c>
      <c r="J26" s="42">
        <f>VLOOKUP($A26,PoolData!$A$10:$U$32,MATCH(J$13,PoolData!$A$10:$U$10,0),0)</f>
        <v>0</v>
      </c>
    </row>
    <row r="27" spans="1:14">
      <c r="A27" s="40" t="str">
        <f>PoolData!A24</f>
        <v>-</v>
      </c>
      <c r="B27" s="40">
        <f>PoolData!C24</f>
        <v>0</v>
      </c>
      <c r="C27" s="40">
        <f>PoolData!D24</f>
        <v>0</v>
      </c>
      <c r="D27" s="86"/>
      <c r="E27" s="57">
        <f>VLOOKUP($A27,PoolData!$A$10:$U$32,MATCH(E$13,PoolData!$A$10:$U$10,0),0)</f>
        <v>0</v>
      </c>
      <c r="F27" s="57">
        <f>VLOOKUP($A27,PoolData!$A$10:$U$32,MATCH(F$13,PoolData!$A$10:$U$10,0),0)</f>
        <v>0</v>
      </c>
      <c r="H27" s="100">
        <f>VLOOKUP($A27,PoolData!$A$10:$U$32,MATCH(H$13,PoolData!$A$10:$U$10,0),0)</f>
        <v>0</v>
      </c>
      <c r="J27" s="42">
        <f>VLOOKUP($A27,PoolData!$A$10:$U$32,MATCH(J$13,PoolData!$A$10:$U$10,0),0)</f>
        <v>0</v>
      </c>
    </row>
    <row r="28" spans="1:14">
      <c r="A28" s="40" t="str">
        <f>PoolData!A25</f>
        <v>-</v>
      </c>
      <c r="B28" s="40">
        <f>PoolData!C25</f>
        <v>0</v>
      </c>
      <c r="C28" s="40">
        <f>PoolData!D25</f>
        <v>0</v>
      </c>
      <c r="D28" s="86"/>
      <c r="E28" s="57">
        <f>VLOOKUP($A28,PoolData!$A$10:$U$32,MATCH(E$13,PoolData!$A$10:$U$10,0),0)</f>
        <v>0</v>
      </c>
      <c r="F28" s="57">
        <f>VLOOKUP($A28,PoolData!$A$10:$U$32,MATCH(F$13,PoolData!$A$10:$U$10,0),0)</f>
        <v>0</v>
      </c>
      <c r="H28" s="100">
        <f>VLOOKUP($A28,PoolData!$A$10:$U$32,MATCH(H$13,PoolData!$A$10:$U$10,0),0)</f>
        <v>0</v>
      </c>
      <c r="J28" s="42">
        <f>VLOOKUP($A28,PoolData!$A$10:$U$32,MATCH(J$13,PoolData!$A$10:$U$10,0),0)</f>
        <v>0</v>
      </c>
    </row>
    <row r="29" spans="1:14">
      <c r="A29" s="40" t="str">
        <f>PoolData!A26</f>
        <v>-</v>
      </c>
      <c r="B29" s="40">
        <f>PoolData!C26</f>
        <v>0</v>
      </c>
      <c r="C29" s="40">
        <f>PoolData!D26</f>
        <v>0</v>
      </c>
      <c r="D29" s="86"/>
      <c r="E29" s="57">
        <f>VLOOKUP($A29,PoolData!$A$10:$U$32,MATCH(E$13,PoolData!$A$10:$U$10,0),0)</f>
        <v>0</v>
      </c>
      <c r="F29" s="57">
        <f>VLOOKUP($A29,PoolData!$A$10:$U$32,MATCH(F$13,PoolData!$A$10:$U$10,0),0)</f>
        <v>0</v>
      </c>
      <c r="H29" s="100">
        <f>VLOOKUP($A29,PoolData!$A$10:$U$32,MATCH(H$13,PoolData!$A$10:$U$10,0),0)</f>
        <v>0</v>
      </c>
      <c r="J29" s="42">
        <f>VLOOKUP($A29,PoolData!$A$10:$U$32,MATCH(J$13,PoolData!$A$10:$U$10,0),0)</f>
        <v>0</v>
      </c>
    </row>
    <row r="30" spans="1:14">
      <c r="A30" s="40" t="str">
        <f>PoolData!A27</f>
        <v>-</v>
      </c>
      <c r="B30" s="40">
        <f>PoolData!C27</f>
        <v>0</v>
      </c>
      <c r="C30" s="40">
        <f>PoolData!D27</f>
        <v>0</v>
      </c>
      <c r="D30" s="86"/>
      <c r="E30" s="57">
        <f>VLOOKUP($A30,PoolData!$A$10:$U$32,MATCH(E$13,PoolData!$A$10:$U$10,0),0)</f>
        <v>0</v>
      </c>
      <c r="F30" s="57">
        <f>VLOOKUP($A30,PoolData!$A$10:$U$32,MATCH(F$13,PoolData!$A$10:$U$10,0),0)</f>
        <v>0</v>
      </c>
      <c r="H30" s="100">
        <f>VLOOKUP($A30,PoolData!$A$10:$U$32,MATCH(H$13,PoolData!$A$10:$U$10,0),0)</f>
        <v>0</v>
      </c>
      <c r="J30" s="42">
        <f>VLOOKUP($A30,PoolData!$A$10:$U$32,MATCH(J$13,PoolData!$A$10:$U$10,0),0)</f>
        <v>0</v>
      </c>
    </row>
    <row r="31" spans="1:14">
      <c r="A31" s="40" t="str">
        <f>PoolData!A28</f>
        <v>-</v>
      </c>
      <c r="B31" s="40">
        <f>PoolData!C28</f>
        <v>0</v>
      </c>
      <c r="C31" s="40">
        <f>PoolData!D28</f>
        <v>0</v>
      </c>
      <c r="D31" s="86"/>
      <c r="E31" s="57">
        <f>VLOOKUP($A31,PoolData!$A$10:$U$32,MATCH(E$13,PoolData!$A$10:$U$10,0),0)</f>
        <v>0</v>
      </c>
      <c r="F31" s="57">
        <f>VLOOKUP($A31,PoolData!$A$10:$U$32,MATCH(F$13,PoolData!$A$10:$U$10,0),0)</f>
        <v>0</v>
      </c>
      <c r="H31" s="100">
        <f>VLOOKUP($A31,PoolData!$A$10:$U$32,MATCH(H$13,PoolData!$A$10:$U$10,0),0)</f>
        <v>0</v>
      </c>
      <c r="J31" s="42">
        <f>VLOOKUP($A31,PoolData!$A$10:$U$32,MATCH(J$13,PoolData!$A$10:$U$10,0),0)</f>
        <v>0</v>
      </c>
    </row>
    <row r="32" spans="1:14">
      <c r="A32" s="40" t="str">
        <f>PoolData!A29</f>
        <v>-</v>
      </c>
      <c r="B32" s="40">
        <f>PoolData!C29</f>
        <v>0</v>
      </c>
      <c r="C32" s="40">
        <f>PoolData!D29</f>
        <v>0</v>
      </c>
      <c r="D32" s="86"/>
      <c r="E32" s="57">
        <f>VLOOKUP($A32,PoolData!$A$10:$U$32,MATCH(E$13,PoolData!$A$10:$U$10,0),0)</f>
        <v>0</v>
      </c>
      <c r="F32" s="57">
        <f>VLOOKUP($A32,PoolData!$A$10:$U$32,MATCH(F$13,PoolData!$A$10:$U$10,0),0)</f>
        <v>0</v>
      </c>
      <c r="H32" s="100">
        <f>VLOOKUP($A32,PoolData!$A$10:$U$32,MATCH(H$13,PoolData!$A$10:$U$10,0),0)</f>
        <v>0</v>
      </c>
      <c r="J32" s="42">
        <f>VLOOKUP($A32,PoolData!$A$10:$U$32,MATCH(J$13,PoolData!$A$10:$U$10,0),0)</f>
        <v>0</v>
      </c>
    </row>
    <row r="33" spans="1:10">
      <c r="A33" s="40" t="str">
        <f>PoolData!A30</f>
        <v>-</v>
      </c>
      <c r="B33" s="40">
        <f>PoolData!C30</f>
        <v>0</v>
      </c>
      <c r="C33" s="40">
        <f>PoolData!D30</f>
        <v>0</v>
      </c>
      <c r="D33" s="86"/>
      <c r="E33" s="57">
        <f>VLOOKUP($A33,PoolData!$A$10:$U$32,MATCH(E$13,PoolData!$A$10:$U$10,0),0)</f>
        <v>0</v>
      </c>
      <c r="F33" s="57">
        <f>VLOOKUP($A33,PoolData!$A$10:$U$32,MATCH(F$13,PoolData!$A$10:$U$10,0),0)</f>
        <v>0</v>
      </c>
      <c r="H33" s="100">
        <f>VLOOKUP($A33,PoolData!$A$10:$U$32,MATCH(H$13,PoolData!$A$10:$U$10,0),0)</f>
        <v>0</v>
      </c>
      <c r="J33" s="42">
        <f>VLOOKUP($A33,PoolData!$A$10:$U$32,MATCH(J$13,PoolData!$A$10:$U$10,0),0)</f>
        <v>0</v>
      </c>
    </row>
    <row r="34" spans="1:10">
      <c r="A34" s="40" t="str">
        <f>PoolData!A31</f>
        <v>-</v>
      </c>
      <c r="B34" s="40">
        <f>PoolData!C31</f>
        <v>0</v>
      </c>
      <c r="C34" s="40">
        <f>PoolData!D31</f>
        <v>0</v>
      </c>
      <c r="D34" s="86"/>
      <c r="E34" s="57">
        <f>VLOOKUP($A34,PoolData!$A$10:$U$32,MATCH(E$13,PoolData!$A$10:$U$10,0),0)</f>
        <v>0</v>
      </c>
      <c r="F34" s="57">
        <f>VLOOKUP($A34,PoolData!$A$10:$U$32,MATCH(F$13,PoolData!$A$10:$U$10,0),0)</f>
        <v>0</v>
      </c>
      <c r="H34" s="100">
        <f>VLOOKUP($A34,PoolData!$A$10:$U$32,MATCH(H$13,PoolData!$A$10:$U$10,0),0)</f>
        <v>0</v>
      </c>
      <c r="J34" s="42">
        <f>VLOOKUP($A34,PoolData!$A$10:$U$32,MATCH(J$13,PoolData!$A$10:$U$10,0),0)</f>
        <v>0</v>
      </c>
    </row>
    <row r="35" spans="1:10">
      <c r="A35" s="40" t="str">
        <f>PoolData!A32</f>
        <v>-</v>
      </c>
      <c r="B35" s="40">
        <f>PoolData!C32</f>
        <v>0</v>
      </c>
      <c r="C35" s="40">
        <f>PoolData!D32</f>
        <v>0</v>
      </c>
      <c r="D35" s="86"/>
      <c r="E35" s="57">
        <f>VLOOKUP($A35,PoolData!$A$10:$U$32,MATCH(E$13,PoolData!$A$10:$U$10,0),0)</f>
        <v>0</v>
      </c>
      <c r="F35" s="57">
        <f>VLOOKUP($A35,PoolData!$A$10:$U$32,MATCH(F$13,PoolData!$A$10:$U$10,0),0)</f>
        <v>0</v>
      </c>
      <c r="H35" s="100">
        <f>VLOOKUP($A35,PoolData!$A$10:$U$32,MATCH(H$13,PoolData!$A$10:$U$10,0),0)</f>
        <v>0</v>
      </c>
      <c r="J35" s="42">
        <f>VLOOKUP($A35,PoolData!$A$10:$U$32,MATCH(J$13,PoolData!$A$10:$U$10,0),0)</f>
        <v>0</v>
      </c>
    </row>
    <row r="36" spans="1:10">
      <c r="A36" s="40" t="str">
        <f>PoolData!A33</f>
        <v>-</v>
      </c>
      <c r="B36" s="40">
        <f>PoolData!C33</f>
        <v>0</v>
      </c>
      <c r="C36" s="40">
        <f>PoolData!D33</f>
        <v>0</v>
      </c>
      <c r="D36" s="86"/>
      <c r="E36" s="57">
        <f>VLOOKUP($A36,PoolData!$A$10:$U$32,MATCH(E$13,PoolData!$A$10:$U$10,0),0)</f>
        <v>0</v>
      </c>
      <c r="F36" s="57">
        <f>VLOOKUP($A36,PoolData!$A$10:$U$32,MATCH(F$13,PoolData!$A$10:$U$10,0),0)</f>
        <v>0</v>
      </c>
      <c r="H36" s="100">
        <f>VLOOKUP($A36,PoolData!$A$10:$U$32,MATCH(H$13,PoolData!$A$10:$U$10,0),0)</f>
        <v>0</v>
      </c>
      <c r="J36" s="42">
        <f>VLOOKUP($A36,PoolData!$A$10:$U$32,MATCH(J$13,PoolData!$A$10:$U$10,0),0)</f>
        <v>0</v>
      </c>
    </row>
    <row r="37" spans="1:10">
      <c r="A37" s="40" t="str">
        <f>PoolData!A34</f>
        <v>-</v>
      </c>
      <c r="B37" s="40">
        <f>PoolData!C34</f>
        <v>0</v>
      </c>
      <c r="C37" s="40">
        <f>PoolData!D34</f>
        <v>0</v>
      </c>
      <c r="D37" s="86"/>
      <c r="E37" s="57">
        <f>VLOOKUP($A37,PoolData!$A$10:$U$32,MATCH(E$13,PoolData!$A$10:$U$10,0),0)</f>
        <v>0</v>
      </c>
      <c r="F37" s="57">
        <f>VLOOKUP($A37,PoolData!$A$10:$U$32,MATCH(F$13,PoolData!$A$10:$U$10,0),0)</f>
        <v>0</v>
      </c>
      <c r="H37" s="100">
        <f>VLOOKUP($A37,PoolData!$A$10:$U$32,MATCH(H$13,PoolData!$A$10:$U$10,0),0)</f>
        <v>0</v>
      </c>
      <c r="J37" s="42">
        <f>VLOOKUP($A37,PoolData!$A$10:$U$32,MATCH(J$13,PoolData!$A$10:$U$10,0),0)</f>
        <v>0</v>
      </c>
    </row>
    <row r="38" spans="1:10">
      <c r="A38" s="40" t="str">
        <f>PoolData!A35</f>
        <v>-</v>
      </c>
      <c r="B38" s="40">
        <f>PoolData!C35</f>
        <v>0</v>
      </c>
      <c r="C38" s="40">
        <f>PoolData!D35</f>
        <v>0</v>
      </c>
      <c r="D38" s="86"/>
      <c r="E38" s="57">
        <f>VLOOKUP($A38,PoolData!$A$10:$U$32,MATCH(E$13,PoolData!$A$10:$U$10,0),0)</f>
        <v>0</v>
      </c>
      <c r="F38" s="57">
        <f>VLOOKUP($A38,PoolData!$A$10:$U$32,MATCH(F$13,PoolData!$A$10:$U$10,0),0)</f>
        <v>0</v>
      </c>
      <c r="H38" s="100">
        <f>VLOOKUP($A38,PoolData!$A$10:$U$32,MATCH(H$13,PoolData!$A$10:$U$10,0),0)</f>
        <v>0</v>
      </c>
      <c r="J38" s="42">
        <f>VLOOKUP($A38,PoolData!$A$10:$U$32,MATCH(J$13,PoolData!$A$10:$U$10,0),0)</f>
        <v>0</v>
      </c>
    </row>
    <row r="39" spans="1:10">
      <c r="A39" s="40" t="str">
        <f>PoolData!A36</f>
        <v>-</v>
      </c>
      <c r="B39" s="40">
        <f>PoolData!C36</f>
        <v>0</v>
      </c>
      <c r="C39" s="40">
        <f>PoolData!D36</f>
        <v>0</v>
      </c>
      <c r="D39" s="86"/>
      <c r="E39" s="57">
        <f>VLOOKUP($A39,PoolData!$A$10:$U$32,MATCH(E$13,PoolData!$A$10:$U$10,0),0)</f>
        <v>0</v>
      </c>
      <c r="F39" s="57">
        <f>VLOOKUP($A39,PoolData!$A$10:$U$32,MATCH(F$13,PoolData!$A$10:$U$10,0),0)</f>
        <v>0</v>
      </c>
      <c r="H39" s="100">
        <f>VLOOKUP($A39,PoolData!$A$10:$U$32,MATCH(H$13,PoolData!$A$10:$U$10,0),0)</f>
        <v>0</v>
      </c>
      <c r="J39" s="42">
        <f>VLOOKUP($A39,PoolData!$A$10:$U$32,MATCH(J$13,PoolData!$A$10:$U$10,0),0)</f>
        <v>0</v>
      </c>
    </row>
    <row r="40" spans="1:10">
      <c r="A40" s="40" t="str">
        <f>PoolData!A37</f>
        <v>-</v>
      </c>
      <c r="B40" s="40">
        <f>PoolData!C37</f>
        <v>0</v>
      </c>
      <c r="C40" s="40">
        <f>PoolData!D37</f>
        <v>0</v>
      </c>
      <c r="D40" s="86"/>
      <c r="E40" s="57">
        <f>VLOOKUP($A40,PoolData!$A$10:$U$32,MATCH(E$13,PoolData!$A$10:$U$10,0),0)</f>
        <v>0</v>
      </c>
      <c r="F40" s="57">
        <f>VLOOKUP($A40,PoolData!$A$10:$U$32,MATCH(F$13,PoolData!$A$10:$U$10,0),0)</f>
        <v>0</v>
      </c>
      <c r="H40" s="100">
        <f>VLOOKUP($A40,PoolData!$A$10:$U$32,MATCH(H$13,PoolData!$A$10:$U$10,0),0)</f>
        <v>0</v>
      </c>
      <c r="J40" s="42">
        <f>VLOOKUP($A40,PoolData!$A$10:$U$32,MATCH(J$13,PoolData!$A$10:$U$10,0),0)</f>
        <v>0</v>
      </c>
    </row>
    <row r="41" spans="1:10">
      <c r="A41" s="40" t="str">
        <f>PoolData!A38</f>
        <v>-</v>
      </c>
      <c r="B41" s="40">
        <f>PoolData!C38</f>
        <v>0</v>
      </c>
      <c r="C41" s="40">
        <f>PoolData!D38</f>
        <v>0</v>
      </c>
      <c r="D41" s="86"/>
      <c r="E41" s="57">
        <f>VLOOKUP($A41,PoolData!$A$10:$U$32,MATCH(E$13,PoolData!$A$10:$U$10,0),0)</f>
        <v>0</v>
      </c>
      <c r="F41" s="57">
        <f>VLOOKUP($A41,PoolData!$A$10:$U$32,MATCH(F$13,PoolData!$A$10:$U$10,0),0)</f>
        <v>0</v>
      </c>
      <c r="H41" s="100">
        <f>VLOOKUP($A41,PoolData!$A$10:$U$32,MATCH(H$13,PoolData!$A$10:$U$10,0),0)</f>
        <v>0</v>
      </c>
      <c r="J41" s="42">
        <f>VLOOKUP($A41,PoolData!$A$10:$U$32,MATCH(J$13,PoolData!$A$10:$U$10,0),0)</f>
        <v>0</v>
      </c>
    </row>
    <row r="42" spans="1:10">
      <c r="A42" s="40" t="str">
        <f>PoolData!A39</f>
        <v>-</v>
      </c>
      <c r="B42" s="40">
        <f>PoolData!C39</f>
        <v>0</v>
      </c>
      <c r="C42" s="40">
        <f>PoolData!D39</f>
        <v>0</v>
      </c>
      <c r="D42" s="86"/>
      <c r="E42" s="57">
        <f>VLOOKUP($A42,PoolData!$A$10:$U$32,MATCH(E$13,PoolData!$A$10:$U$10,0),0)</f>
        <v>0</v>
      </c>
      <c r="F42" s="57">
        <f>VLOOKUP($A42,PoolData!$A$10:$U$32,MATCH(F$13,PoolData!$A$10:$U$10,0),0)</f>
        <v>0</v>
      </c>
      <c r="H42" s="100">
        <f>VLOOKUP($A42,PoolData!$A$10:$U$32,MATCH(H$13,PoolData!$A$10:$U$10,0),0)</f>
        <v>0</v>
      </c>
      <c r="J42" s="42">
        <f>VLOOKUP($A42,PoolData!$A$10:$U$32,MATCH(J$13,PoolData!$A$10:$U$10,0),0)</f>
        <v>0</v>
      </c>
    </row>
    <row r="43" spans="1:10">
      <c r="A43" s="40" t="str">
        <f>PoolData!A40</f>
        <v>-</v>
      </c>
      <c r="B43" s="40">
        <f>PoolData!C40</f>
        <v>0</v>
      </c>
      <c r="C43" s="40">
        <f>PoolData!D40</f>
        <v>0</v>
      </c>
      <c r="D43" s="86"/>
      <c r="E43" s="57">
        <f>VLOOKUP($A43,PoolData!$A$10:$U$32,MATCH(E$13,PoolData!$A$10:$U$10,0),0)</f>
        <v>0</v>
      </c>
      <c r="F43" s="57">
        <f>VLOOKUP($A43,PoolData!$A$10:$U$32,MATCH(F$13,PoolData!$A$10:$U$10,0),0)</f>
        <v>0</v>
      </c>
      <c r="H43" s="100">
        <f>VLOOKUP($A43,PoolData!$A$10:$U$32,MATCH(H$13,PoolData!$A$10:$U$10,0),0)</f>
        <v>0</v>
      </c>
      <c r="J43" s="42">
        <f>VLOOKUP($A43,PoolData!$A$10:$U$32,MATCH(J$13,PoolData!$A$10:$U$10,0),0)</f>
        <v>0</v>
      </c>
    </row>
    <row r="44" spans="1:10">
      <c r="A44" s="40" t="str">
        <f>PoolData!A41</f>
        <v>-</v>
      </c>
      <c r="B44" s="40">
        <f>PoolData!C41</f>
        <v>0</v>
      </c>
      <c r="C44" s="40">
        <f>PoolData!D41</f>
        <v>0</v>
      </c>
      <c r="D44" s="86"/>
      <c r="E44" s="57">
        <f>VLOOKUP($A44,PoolData!$A$10:$U$32,MATCH(E$13,PoolData!$A$10:$U$10,0),0)</f>
        <v>0</v>
      </c>
      <c r="F44" s="57">
        <f>VLOOKUP($A44,PoolData!$A$10:$U$32,MATCH(F$13,PoolData!$A$10:$U$10,0),0)</f>
        <v>0</v>
      </c>
      <c r="H44" s="100">
        <f>VLOOKUP($A44,PoolData!$A$10:$U$32,MATCH(H$13,PoolData!$A$10:$U$10,0),0)</f>
        <v>0</v>
      </c>
      <c r="J44" s="42">
        <f>VLOOKUP($A44,PoolData!$A$10:$U$32,MATCH(J$13,PoolData!$A$10:$U$10,0),0)</f>
        <v>0</v>
      </c>
    </row>
    <row r="45" spans="1:10">
      <c r="A45" s="40" t="str">
        <f>PoolData!A42</f>
        <v>-</v>
      </c>
      <c r="B45" s="40">
        <f>PoolData!C42</f>
        <v>0</v>
      </c>
      <c r="C45" s="40">
        <f>PoolData!D42</f>
        <v>0</v>
      </c>
      <c r="D45" s="86"/>
      <c r="E45" s="57">
        <f>VLOOKUP($A45,PoolData!$A$10:$U$32,MATCH(E$13,PoolData!$A$10:$U$10,0),0)</f>
        <v>0</v>
      </c>
      <c r="F45" s="57">
        <f>VLOOKUP($A45,PoolData!$A$10:$U$32,MATCH(F$13,PoolData!$A$10:$U$10,0),0)</f>
        <v>0</v>
      </c>
      <c r="H45" s="100">
        <f>VLOOKUP($A45,PoolData!$A$10:$U$32,MATCH(H$13,PoolData!$A$10:$U$10,0),0)</f>
        <v>0</v>
      </c>
      <c r="J45" s="42">
        <f>VLOOKUP($A45,PoolData!$A$10:$U$32,MATCH(J$13,PoolData!$A$10:$U$10,0),0)</f>
        <v>0</v>
      </c>
    </row>
    <row r="46" spans="1:10">
      <c r="A46" s="40" t="str">
        <f>PoolData!A43</f>
        <v>-</v>
      </c>
      <c r="B46" s="40">
        <f>PoolData!C43</f>
        <v>0</v>
      </c>
      <c r="C46" s="40">
        <f>PoolData!D43</f>
        <v>0</v>
      </c>
      <c r="D46" s="86"/>
      <c r="E46" s="57">
        <f>VLOOKUP($A46,PoolData!$A$10:$U$32,MATCH(E$13,PoolData!$A$10:$U$10,0),0)</f>
        <v>0</v>
      </c>
      <c r="F46" s="57">
        <f>VLOOKUP($A46,PoolData!$A$10:$U$32,MATCH(F$13,PoolData!$A$10:$U$10,0),0)</f>
        <v>0</v>
      </c>
      <c r="H46" s="100">
        <f>VLOOKUP($A46,PoolData!$A$10:$U$32,MATCH(H$13,PoolData!$A$10:$U$10,0),0)</f>
        <v>0</v>
      </c>
      <c r="J46" s="42">
        <f>VLOOKUP($A46,PoolData!$A$10:$U$32,MATCH(J$13,PoolData!$A$10:$U$10,0),0)</f>
        <v>0</v>
      </c>
    </row>
    <row r="47" spans="1:10">
      <c r="A47" s="40" t="str">
        <f>PoolData!A44</f>
        <v>-</v>
      </c>
      <c r="B47" s="40">
        <f>PoolData!C44</f>
        <v>0</v>
      </c>
      <c r="C47" s="40">
        <f>PoolData!D44</f>
        <v>0</v>
      </c>
      <c r="D47" s="86"/>
      <c r="E47" s="57">
        <f>VLOOKUP($A47,PoolData!$A$10:$U$32,MATCH(E$13,PoolData!$A$10:$U$10,0),0)</f>
        <v>0</v>
      </c>
      <c r="F47" s="57">
        <f>VLOOKUP($A47,PoolData!$A$10:$U$32,MATCH(F$13,PoolData!$A$10:$U$10,0),0)</f>
        <v>0</v>
      </c>
      <c r="H47" s="100">
        <f>VLOOKUP($A47,PoolData!$A$10:$U$32,MATCH(H$13,PoolData!$A$10:$U$10,0),0)</f>
        <v>0</v>
      </c>
      <c r="J47" s="42">
        <f>VLOOKUP($A47,PoolData!$A$10:$U$32,MATCH(J$13,PoolData!$A$10:$U$10,0),0)</f>
        <v>0</v>
      </c>
    </row>
    <row r="48" spans="1:10">
      <c r="A48" s="40" t="str">
        <f>PoolData!A45</f>
        <v>-</v>
      </c>
      <c r="B48" s="40">
        <f>PoolData!C45</f>
        <v>0</v>
      </c>
      <c r="C48" s="40">
        <f>PoolData!D45</f>
        <v>0</v>
      </c>
      <c r="D48" s="86"/>
      <c r="E48" s="57">
        <f>VLOOKUP($A48,PoolData!$A$10:$U$32,MATCH(E$13,PoolData!$A$10:$U$10,0),0)</f>
        <v>0</v>
      </c>
      <c r="F48" s="57">
        <f>VLOOKUP($A48,PoolData!$A$10:$U$32,MATCH(F$13,PoolData!$A$10:$U$10,0),0)</f>
        <v>0</v>
      </c>
      <c r="H48" s="100">
        <f>VLOOKUP($A48,PoolData!$A$10:$U$32,MATCH(H$13,PoolData!$A$10:$U$10,0),0)</f>
        <v>0</v>
      </c>
      <c r="J48" s="42">
        <f>VLOOKUP($A48,PoolData!$A$10:$U$32,MATCH(J$13,PoolData!$A$10:$U$10,0),0)</f>
        <v>0</v>
      </c>
    </row>
    <row r="49" spans="1:10">
      <c r="A49" s="40" t="str">
        <f>PoolData!A46</f>
        <v>-</v>
      </c>
      <c r="B49" s="40">
        <f>PoolData!C46</f>
        <v>0</v>
      </c>
      <c r="C49" s="40">
        <f>PoolData!D46</f>
        <v>0</v>
      </c>
      <c r="D49" s="86"/>
      <c r="E49" s="57">
        <f>VLOOKUP($A49,PoolData!$A$10:$U$32,MATCH(E$13,PoolData!$A$10:$U$10,0),0)</f>
        <v>0</v>
      </c>
      <c r="F49" s="57">
        <f>VLOOKUP($A49,PoolData!$A$10:$U$32,MATCH(F$13,PoolData!$A$10:$U$10,0),0)</f>
        <v>0</v>
      </c>
      <c r="H49" s="100">
        <f>VLOOKUP($A49,PoolData!$A$10:$U$32,MATCH(H$13,PoolData!$A$10:$U$10,0),0)</f>
        <v>0</v>
      </c>
      <c r="J49" s="42">
        <f>VLOOKUP($A49,PoolData!$A$10:$U$32,MATCH(J$13,PoolData!$A$10:$U$10,0),0)</f>
        <v>0</v>
      </c>
    </row>
    <row r="50" spans="1:10">
      <c r="A50" s="40" t="str">
        <f>PoolData!A47</f>
        <v>-</v>
      </c>
      <c r="B50" s="40">
        <f>PoolData!C47</f>
        <v>0</v>
      </c>
      <c r="C50" s="40">
        <f>PoolData!D47</f>
        <v>0</v>
      </c>
      <c r="D50" s="86"/>
      <c r="E50" s="57">
        <f>VLOOKUP($A50,PoolData!$A$10:$U$32,MATCH(E$13,PoolData!$A$10:$U$10,0),0)</f>
        <v>0</v>
      </c>
      <c r="F50" s="57">
        <f>VLOOKUP($A50,PoolData!$A$10:$U$32,MATCH(F$13,PoolData!$A$10:$U$10,0),0)</f>
        <v>0</v>
      </c>
      <c r="H50" s="100">
        <f>VLOOKUP($A50,PoolData!$A$10:$U$32,MATCH(H$13,PoolData!$A$10:$U$10,0),0)</f>
        <v>0</v>
      </c>
      <c r="J50" s="42">
        <f>VLOOKUP($A50,PoolData!$A$10:$U$32,MATCH(J$13,PoolData!$A$10:$U$10,0),0)</f>
        <v>0</v>
      </c>
    </row>
    <row r="51" spans="1:10">
      <c r="A51" s="40" t="str">
        <f>PoolData!A48</f>
        <v>-</v>
      </c>
      <c r="B51" s="40">
        <f>PoolData!C48</f>
        <v>0</v>
      </c>
      <c r="C51" s="40">
        <f>PoolData!D48</f>
        <v>0</v>
      </c>
      <c r="D51" s="86"/>
      <c r="E51" s="57">
        <f>VLOOKUP($A51,PoolData!$A$10:$U$32,MATCH(E$13,PoolData!$A$10:$U$10,0),0)</f>
        <v>0</v>
      </c>
      <c r="F51" s="57">
        <f>VLOOKUP($A51,PoolData!$A$10:$U$32,MATCH(F$13,PoolData!$A$10:$U$10,0),0)</f>
        <v>0</v>
      </c>
      <c r="H51" s="100">
        <f>VLOOKUP($A51,PoolData!$A$10:$U$32,MATCH(H$13,PoolData!$A$10:$U$10,0),0)</f>
        <v>0</v>
      </c>
      <c r="J51" s="42">
        <f>VLOOKUP($A51,PoolData!$A$10:$U$32,MATCH(J$13,PoolData!$A$10:$U$10,0),0)</f>
        <v>0</v>
      </c>
    </row>
    <row r="52" spans="1:10">
      <c r="A52" s="40" t="str">
        <f>PoolData!A49</f>
        <v>-</v>
      </c>
      <c r="B52" s="40">
        <f>PoolData!C49</f>
        <v>0</v>
      </c>
      <c r="C52" s="40">
        <f>PoolData!D49</f>
        <v>0</v>
      </c>
      <c r="D52" s="86"/>
      <c r="E52" s="57">
        <f>VLOOKUP($A52,PoolData!$A$10:$U$32,MATCH(E$13,PoolData!$A$10:$U$10,0),0)</f>
        <v>0</v>
      </c>
      <c r="F52" s="57">
        <f>VLOOKUP($A52,PoolData!$A$10:$U$32,MATCH(F$13,PoolData!$A$10:$U$10,0),0)</f>
        <v>0</v>
      </c>
      <c r="H52" s="100">
        <f>VLOOKUP($A52,PoolData!$A$10:$U$32,MATCH(H$13,PoolData!$A$10:$U$10,0),0)</f>
        <v>0</v>
      </c>
      <c r="J52" s="42">
        <f>VLOOKUP($A52,PoolData!$A$10:$U$32,MATCH(J$13,PoolData!$A$10:$U$10,0),0)</f>
        <v>0</v>
      </c>
    </row>
    <row r="53" spans="1:10">
      <c r="A53" s="40" t="str">
        <f>PoolData!A50</f>
        <v>-</v>
      </c>
      <c r="B53" s="40">
        <f>PoolData!C50</f>
        <v>0</v>
      </c>
      <c r="C53" s="40">
        <f>PoolData!D50</f>
        <v>0</v>
      </c>
      <c r="D53" s="86"/>
      <c r="E53" s="57">
        <f>VLOOKUP($A53,PoolData!$A$10:$U$32,MATCH(E$13,PoolData!$A$10:$U$10,0),0)</f>
        <v>0</v>
      </c>
      <c r="F53" s="57">
        <f>VLOOKUP($A53,PoolData!$A$10:$U$32,MATCH(F$13,PoolData!$A$10:$U$10,0),0)</f>
        <v>0</v>
      </c>
      <c r="H53" s="100">
        <f>VLOOKUP($A53,PoolData!$A$10:$U$32,MATCH(H$13,PoolData!$A$10:$U$10,0),0)</f>
        <v>0</v>
      </c>
      <c r="J53" s="42">
        <f>VLOOKUP($A53,PoolData!$A$10:$U$32,MATCH(J$13,PoolData!$A$10:$U$10,0),0)</f>
        <v>0</v>
      </c>
    </row>
    <row r="54" spans="1:10">
      <c r="A54" s="40" t="str">
        <f>PoolData!A51</f>
        <v>-</v>
      </c>
      <c r="B54" s="40">
        <f>PoolData!C51</f>
        <v>0</v>
      </c>
      <c r="C54" s="40">
        <f>PoolData!D51</f>
        <v>0</v>
      </c>
      <c r="D54" s="86"/>
      <c r="E54" s="57">
        <f>VLOOKUP($A54,PoolData!$A$10:$U$32,MATCH(E$13,PoolData!$A$10:$U$10,0),0)</f>
        <v>0</v>
      </c>
      <c r="F54" s="57">
        <f>VLOOKUP($A54,PoolData!$A$10:$U$32,MATCH(F$13,PoolData!$A$10:$U$10,0),0)</f>
        <v>0</v>
      </c>
      <c r="H54" s="100">
        <f>VLOOKUP($A54,PoolData!$A$10:$U$32,MATCH(H$13,PoolData!$A$10:$U$10,0),0)</f>
        <v>0</v>
      </c>
      <c r="J54" s="42">
        <f>VLOOKUP($A54,PoolData!$A$10:$U$32,MATCH(J$13,PoolData!$A$10:$U$10,0),0)</f>
        <v>0</v>
      </c>
    </row>
    <row r="55" spans="1:10">
      <c r="A55" s="40" t="str">
        <f>PoolData!A52</f>
        <v>-</v>
      </c>
      <c r="B55" s="40">
        <f>PoolData!C52</f>
        <v>0</v>
      </c>
      <c r="C55" s="40">
        <f>PoolData!D52</f>
        <v>0</v>
      </c>
      <c r="D55" s="86"/>
      <c r="E55" s="57">
        <f>VLOOKUP($A55,PoolData!$A$10:$U$32,MATCH(E$13,PoolData!$A$10:$U$10,0),0)</f>
        <v>0</v>
      </c>
      <c r="F55" s="57">
        <f>VLOOKUP($A55,PoolData!$A$10:$U$32,MATCH(F$13,PoolData!$A$10:$U$10,0),0)</f>
        <v>0</v>
      </c>
      <c r="H55" s="100">
        <f>VLOOKUP($A55,PoolData!$A$10:$U$32,MATCH(H$13,PoolData!$A$10:$U$10,0),0)</f>
        <v>0</v>
      </c>
      <c r="J55" s="42">
        <f>VLOOKUP($A55,PoolData!$A$10:$U$32,MATCH(J$13,PoolData!$A$10:$U$10,0),0)</f>
        <v>0</v>
      </c>
    </row>
    <row r="56" spans="1:10">
      <c r="A56" s="40" t="str">
        <f>PoolData!A53</f>
        <v>-</v>
      </c>
      <c r="B56" s="40">
        <f>PoolData!C53</f>
        <v>0</v>
      </c>
      <c r="C56" s="40">
        <f>PoolData!D53</f>
        <v>0</v>
      </c>
      <c r="D56" s="86"/>
      <c r="E56" s="57">
        <f>VLOOKUP($A56,PoolData!$A$10:$U$32,MATCH(E$13,PoolData!$A$10:$U$10,0),0)</f>
        <v>0</v>
      </c>
      <c r="F56" s="57">
        <f>VLOOKUP($A56,PoolData!$A$10:$U$32,MATCH(F$13,PoolData!$A$10:$U$10,0),0)</f>
        <v>0</v>
      </c>
      <c r="H56" s="100">
        <f>VLOOKUP($A56,PoolData!$A$10:$U$32,MATCH(H$13,PoolData!$A$10:$U$10,0),0)</f>
        <v>0</v>
      </c>
      <c r="J56" s="42">
        <f>VLOOKUP($A56,PoolData!$A$10:$U$32,MATCH(J$13,PoolData!$A$10:$U$10,0),0)</f>
        <v>0</v>
      </c>
    </row>
    <row r="57" spans="1:10">
      <c r="A57" s="40" t="str">
        <f>PoolData!A54</f>
        <v>-</v>
      </c>
      <c r="B57" s="40">
        <f>PoolData!C54</f>
        <v>0</v>
      </c>
      <c r="C57" s="40">
        <f>PoolData!D54</f>
        <v>0</v>
      </c>
      <c r="D57" s="86"/>
      <c r="E57" s="57">
        <f>VLOOKUP($A57,PoolData!$A$10:$U$32,MATCH(E$13,PoolData!$A$10:$U$10,0),0)</f>
        <v>0</v>
      </c>
      <c r="F57" s="57">
        <f>VLOOKUP($A57,PoolData!$A$10:$U$32,MATCH(F$13,PoolData!$A$10:$U$10,0),0)</f>
        <v>0</v>
      </c>
      <c r="H57" s="100">
        <f>VLOOKUP($A57,PoolData!$A$10:$U$32,MATCH(H$13,PoolData!$A$10:$U$10,0),0)</f>
        <v>0</v>
      </c>
      <c r="J57" s="42">
        <f>VLOOKUP($A57,PoolData!$A$10:$U$32,MATCH(J$13,PoolData!$A$10:$U$10,0),0)</f>
        <v>0</v>
      </c>
    </row>
    <row r="58" spans="1:10">
      <c r="A58" s="40" t="str">
        <f>PoolData!A55</f>
        <v>-</v>
      </c>
      <c r="B58" s="40">
        <f>PoolData!C55</f>
        <v>0</v>
      </c>
      <c r="C58" s="40">
        <f>PoolData!D55</f>
        <v>0</v>
      </c>
      <c r="D58" s="86"/>
      <c r="E58" s="57">
        <f>VLOOKUP($A58,PoolData!$A$10:$U$32,MATCH(E$13,PoolData!$A$10:$U$10,0),0)</f>
        <v>0</v>
      </c>
      <c r="F58" s="57">
        <f>VLOOKUP($A58,PoolData!$A$10:$U$32,MATCH(F$13,PoolData!$A$10:$U$10,0),0)</f>
        <v>0</v>
      </c>
      <c r="H58" s="100">
        <f>VLOOKUP($A58,PoolData!$A$10:$U$32,MATCH(H$13,PoolData!$A$10:$U$10,0),0)</f>
        <v>0</v>
      </c>
      <c r="J58" s="42">
        <f>VLOOKUP($A58,PoolData!$A$10:$U$32,MATCH(J$13,PoolData!$A$10:$U$10,0),0)</f>
        <v>0</v>
      </c>
    </row>
    <row r="59" spans="1:10">
      <c r="A59" s="40" t="str">
        <f>PoolData!A56</f>
        <v>-</v>
      </c>
      <c r="B59" s="40">
        <f>PoolData!C56</f>
        <v>0</v>
      </c>
      <c r="C59" s="40">
        <f>PoolData!D56</f>
        <v>0</v>
      </c>
      <c r="D59" s="86"/>
      <c r="E59" s="57">
        <f>VLOOKUP($A59,PoolData!$A$10:$U$32,MATCH(E$13,PoolData!$A$10:$U$10,0),0)</f>
        <v>0</v>
      </c>
      <c r="F59" s="57">
        <f>VLOOKUP($A59,PoolData!$A$10:$U$32,MATCH(F$13,PoolData!$A$10:$U$10,0),0)</f>
        <v>0</v>
      </c>
      <c r="H59" s="100">
        <f>VLOOKUP($A59,PoolData!$A$10:$U$32,MATCH(H$13,PoolData!$A$10:$U$10,0),0)</f>
        <v>0</v>
      </c>
      <c r="J59" s="42">
        <f>VLOOKUP($A59,PoolData!$A$10:$U$32,MATCH(J$13,PoolData!$A$10:$U$10,0),0)</f>
        <v>0</v>
      </c>
    </row>
    <row r="60" spans="1:10">
      <c r="A60" s="40" t="str">
        <f>PoolData!A57</f>
        <v>-</v>
      </c>
      <c r="B60" s="40">
        <f>PoolData!C57</f>
        <v>0</v>
      </c>
      <c r="C60" s="40">
        <f>PoolData!D57</f>
        <v>0</v>
      </c>
      <c r="D60" s="86"/>
      <c r="E60" s="57">
        <f>VLOOKUP($A60,PoolData!$A$10:$U$32,MATCH(E$13,PoolData!$A$10:$U$10,0),0)</f>
        <v>0</v>
      </c>
      <c r="F60" s="57">
        <f>VLOOKUP($A60,PoolData!$A$10:$U$32,MATCH(F$13,PoolData!$A$10:$U$10,0),0)</f>
        <v>0</v>
      </c>
      <c r="H60" s="100">
        <f>VLOOKUP($A60,PoolData!$A$10:$U$32,MATCH(H$13,PoolData!$A$10:$U$10,0),0)</f>
        <v>0</v>
      </c>
      <c r="J60" s="42">
        <f>VLOOKUP($A60,PoolData!$A$10:$U$32,MATCH(J$13,PoolData!$A$10:$U$10,0),0)</f>
        <v>0</v>
      </c>
    </row>
    <row r="61" spans="1:10">
      <c r="A61" s="40" t="str">
        <f>PoolData!A58</f>
        <v>-</v>
      </c>
      <c r="B61" s="40">
        <f>PoolData!C58</f>
        <v>0</v>
      </c>
      <c r="C61" s="40">
        <f>PoolData!D58</f>
        <v>0</v>
      </c>
      <c r="D61" s="86"/>
      <c r="E61" s="57">
        <f>VLOOKUP($A61,PoolData!$A$10:$U$32,MATCH(E$13,PoolData!$A$10:$U$10,0),0)</f>
        <v>0</v>
      </c>
      <c r="F61" s="57">
        <f>VLOOKUP($A61,PoolData!$A$10:$U$32,MATCH(F$13,PoolData!$A$10:$U$10,0),0)</f>
        <v>0</v>
      </c>
      <c r="H61" s="100">
        <f>VLOOKUP($A61,PoolData!$A$10:$U$32,MATCH(H$13,PoolData!$A$10:$U$10,0),0)</f>
        <v>0</v>
      </c>
      <c r="J61" s="42">
        <f>VLOOKUP($A61,PoolData!$A$10:$U$32,MATCH(J$13,PoolData!$A$10:$U$10,0),0)</f>
        <v>0</v>
      </c>
    </row>
    <row r="62" spans="1:10">
      <c r="A62" s="40" t="str">
        <f>PoolData!A59</f>
        <v>-</v>
      </c>
      <c r="B62" s="40">
        <f>PoolData!C59</f>
        <v>0</v>
      </c>
      <c r="C62" s="40">
        <f>PoolData!D59</f>
        <v>0</v>
      </c>
      <c r="D62" s="86"/>
      <c r="E62" s="57">
        <f>VLOOKUP($A62,PoolData!$A$10:$U$32,MATCH(E$13,PoolData!$A$10:$U$10,0),0)</f>
        <v>0</v>
      </c>
      <c r="F62" s="57">
        <f>VLOOKUP($A62,PoolData!$A$10:$U$32,MATCH(F$13,PoolData!$A$10:$U$10,0),0)</f>
        <v>0</v>
      </c>
      <c r="H62" s="100">
        <f>VLOOKUP($A62,PoolData!$A$10:$U$32,MATCH(H$13,PoolData!$A$10:$U$10,0),0)</f>
        <v>0</v>
      </c>
      <c r="J62" s="42">
        <f>VLOOKUP($A62,PoolData!$A$10:$U$32,MATCH(J$13,PoolData!$A$10:$U$10,0),0)</f>
        <v>0</v>
      </c>
    </row>
    <row r="63" spans="1:10">
      <c r="A63" s="40" t="str">
        <f>PoolData!A60</f>
        <v>-</v>
      </c>
      <c r="B63" s="40">
        <f>PoolData!C60</f>
        <v>0</v>
      </c>
      <c r="C63" s="40">
        <f>PoolData!D60</f>
        <v>0</v>
      </c>
      <c r="D63" s="86"/>
      <c r="E63" s="57">
        <f>VLOOKUP($A63,PoolData!$A$10:$U$32,MATCH(E$13,PoolData!$A$10:$U$10,0),0)</f>
        <v>0</v>
      </c>
      <c r="F63" s="57">
        <f>VLOOKUP($A63,PoolData!$A$10:$U$32,MATCH(F$13,PoolData!$A$10:$U$10,0),0)</f>
        <v>0</v>
      </c>
      <c r="H63" s="100">
        <f>VLOOKUP($A63,PoolData!$A$10:$U$32,MATCH(H$13,PoolData!$A$10:$U$10,0),0)</f>
        <v>0</v>
      </c>
      <c r="J63" s="42">
        <f>VLOOKUP($A63,PoolData!$A$10:$U$32,MATCH(J$13,PoolData!$A$10:$U$10,0),0)</f>
        <v>0</v>
      </c>
    </row>
    <row r="64" spans="1:10">
      <c r="A64" s="40" t="str">
        <f>PoolData!A61</f>
        <v>-</v>
      </c>
      <c r="B64" s="40">
        <f>PoolData!C61</f>
        <v>0</v>
      </c>
      <c r="C64" s="40">
        <f>PoolData!D61</f>
        <v>0</v>
      </c>
      <c r="D64" s="86"/>
      <c r="E64" s="57">
        <f>VLOOKUP($A64,PoolData!$A$10:$U$32,MATCH(E$13,PoolData!$A$10:$U$10,0),0)</f>
        <v>0</v>
      </c>
      <c r="F64" s="57">
        <f>VLOOKUP($A64,PoolData!$A$10:$U$32,MATCH(F$13,PoolData!$A$10:$U$10,0),0)</f>
        <v>0</v>
      </c>
      <c r="H64" s="100">
        <f>VLOOKUP($A64,PoolData!$A$10:$U$32,MATCH(H$13,PoolData!$A$10:$U$10,0),0)</f>
        <v>0</v>
      </c>
      <c r="J64" s="42">
        <f>VLOOKUP($A64,PoolData!$A$10:$U$32,MATCH(J$13,PoolData!$A$10:$U$10,0),0)</f>
        <v>0</v>
      </c>
    </row>
    <row r="65" spans="1:10">
      <c r="A65" s="40" t="str">
        <f>PoolData!A62</f>
        <v>-</v>
      </c>
      <c r="B65" s="40">
        <f>PoolData!C62</f>
        <v>0</v>
      </c>
      <c r="C65" s="40">
        <f>PoolData!D62</f>
        <v>0</v>
      </c>
      <c r="D65" s="86"/>
      <c r="E65" s="57">
        <f>VLOOKUP($A65,PoolData!$A$10:$U$32,MATCH(E$13,PoolData!$A$10:$U$10,0),0)</f>
        <v>0</v>
      </c>
      <c r="F65" s="57">
        <f>VLOOKUP($A65,PoolData!$A$10:$U$32,MATCH(F$13,PoolData!$A$10:$U$10,0),0)</f>
        <v>0</v>
      </c>
      <c r="H65" s="100">
        <f>VLOOKUP($A65,PoolData!$A$10:$U$32,MATCH(H$13,PoolData!$A$10:$U$10,0),0)</f>
        <v>0</v>
      </c>
      <c r="J65" s="42">
        <f>VLOOKUP($A65,PoolData!$A$10:$U$32,MATCH(J$13,PoolData!$A$10:$U$10,0),0)</f>
        <v>0</v>
      </c>
    </row>
    <row r="66" spans="1:10">
      <c r="A66" s="40" t="str">
        <f>PoolData!A63</f>
        <v>-</v>
      </c>
      <c r="B66" s="40">
        <f>PoolData!C63</f>
        <v>0</v>
      </c>
      <c r="C66" s="40">
        <f>PoolData!D63</f>
        <v>0</v>
      </c>
      <c r="D66" s="86"/>
      <c r="E66" s="57">
        <f>VLOOKUP($A66,PoolData!$A$10:$U$32,MATCH(E$13,PoolData!$A$10:$U$10,0),0)</f>
        <v>0</v>
      </c>
      <c r="F66" s="57">
        <f>VLOOKUP($A66,PoolData!$A$10:$U$32,MATCH(F$13,PoolData!$A$10:$U$10,0),0)</f>
        <v>0</v>
      </c>
      <c r="H66" s="100">
        <f>VLOOKUP($A66,PoolData!$A$10:$U$32,MATCH(H$13,PoolData!$A$10:$U$10,0),0)</f>
        <v>0</v>
      </c>
      <c r="J66" s="42">
        <f>VLOOKUP($A66,PoolData!$A$10:$U$32,MATCH(J$13,PoolData!$A$10:$U$10,0),0)</f>
        <v>0</v>
      </c>
    </row>
    <row r="67" spans="1:10">
      <c r="A67" s="40" t="str">
        <f>PoolData!A64</f>
        <v>-</v>
      </c>
      <c r="B67" s="40">
        <f>PoolData!C64</f>
        <v>0</v>
      </c>
      <c r="C67" s="40">
        <f>PoolData!D64</f>
        <v>0</v>
      </c>
      <c r="D67" s="86"/>
      <c r="E67" s="57">
        <f>VLOOKUP($A67,PoolData!$A$10:$U$32,MATCH(E$13,PoolData!$A$10:$U$10,0),0)</f>
        <v>0</v>
      </c>
      <c r="F67" s="57">
        <f>VLOOKUP($A67,PoolData!$A$10:$U$32,MATCH(F$13,PoolData!$A$10:$U$10,0),0)</f>
        <v>0</v>
      </c>
      <c r="H67" s="100">
        <f>VLOOKUP($A67,PoolData!$A$10:$U$32,MATCH(H$13,PoolData!$A$10:$U$10,0),0)</f>
        <v>0</v>
      </c>
      <c r="J67" s="42">
        <f>VLOOKUP($A67,PoolData!$A$10:$U$32,MATCH(J$13,PoolData!$A$10:$U$10,0),0)</f>
        <v>0</v>
      </c>
    </row>
    <row r="68" spans="1:10">
      <c r="A68" s="40" t="str">
        <f>PoolData!A65</f>
        <v>-</v>
      </c>
      <c r="B68" s="40">
        <f>PoolData!C65</f>
        <v>0</v>
      </c>
      <c r="C68" s="40">
        <f>PoolData!D65</f>
        <v>0</v>
      </c>
      <c r="D68" s="86"/>
      <c r="E68" s="57">
        <f>VLOOKUP($A68,PoolData!$A$10:$U$32,MATCH(E$13,PoolData!$A$10:$U$10,0),0)</f>
        <v>0</v>
      </c>
      <c r="F68" s="57">
        <f>VLOOKUP($A68,PoolData!$A$10:$U$32,MATCH(F$13,PoolData!$A$10:$U$10,0),0)</f>
        <v>0</v>
      </c>
      <c r="H68" s="100">
        <f>VLOOKUP($A68,PoolData!$A$10:$U$32,MATCH(H$13,PoolData!$A$10:$U$10,0),0)</f>
        <v>0</v>
      </c>
      <c r="J68" s="42">
        <f>VLOOKUP($A68,PoolData!$A$10:$U$32,MATCH(J$13,PoolData!$A$10:$U$10,0),0)</f>
        <v>0</v>
      </c>
    </row>
    <row r="69" spans="1:10">
      <c r="A69" s="40" t="str">
        <f>PoolData!A66</f>
        <v>-</v>
      </c>
      <c r="B69" s="40">
        <f>PoolData!C66</f>
        <v>0</v>
      </c>
      <c r="C69" s="40">
        <f>PoolData!D66</f>
        <v>0</v>
      </c>
      <c r="D69" s="86"/>
      <c r="E69" s="57">
        <f>VLOOKUP($A69,PoolData!$A$10:$U$32,MATCH(E$13,PoolData!$A$10:$U$10,0),0)</f>
        <v>0</v>
      </c>
      <c r="F69" s="57">
        <f>VLOOKUP($A69,PoolData!$A$10:$U$32,MATCH(F$13,PoolData!$A$10:$U$10,0),0)</f>
        <v>0</v>
      </c>
      <c r="H69" s="100">
        <f>VLOOKUP($A69,PoolData!$A$10:$U$32,MATCH(H$13,PoolData!$A$10:$U$10,0),0)</f>
        <v>0</v>
      </c>
      <c r="J69" s="42">
        <f>VLOOKUP($A69,PoolData!$A$10:$U$32,MATCH(J$13,PoolData!$A$10:$U$10,0),0)</f>
        <v>0</v>
      </c>
    </row>
    <row r="70" spans="1:10">
      <c r="A70" s="40" t="str">
        <f>PoolData!A67</f>
        <v>-</v>
      </c>
      <c r="B70" s="40">
        <f>PoolData!C67</f>
        <v>0</v>
      </c>
      <c r="C70" s="40">
        <f>PoolData!D67</f>
        <v>0</v>
      </c>
      <c r="D70" s="86"/>
      <c r="E70" s="57">
        <f>VLOOKUP($A70,PoolData!$A$10:$U$32,MATCH(E$13,PoolData!$A$10:$U$10,0),0)</f>
        <v>0</v>
      </c>
      <c r="F70" s="57">
        <f>VLOOKUP($A70,PoolData!$A$10:$U$32,MATCH(F$13,PoolData!$A$10:$U$10,0),0)</f>
        <v>0</v>
      </c>
      <c r="H70" s="100">
        <f>VLOOKUP($A70,PoolData!$A$10:$U$32,MATCH(H$13,PoolData!$A$10:$U$10,0),0)</f>
        <v>0</v>
      </c>
      <c r="J70" s="42">
        <f>VLOOKUP($A70,PoolData!$A$10:$U$32,MATCH(J$13,PoolData!$A$10:$U$10,0),0)</f>
        <v>0</v>
      </c>
    </row>
    <row r="71" spans="1:10">
      <c r="A71" s="40" t="str">
        <f>PoolData!A68</f>
        <v>-</v>
      </c>
      <c r="B71" s="40">
        <f>PoolData!C68</f>
        <v>0</v>
      </c>
      <c r="C71" s="40">
        <f>PoolData!D68</f>
        <v>0</v>
      </c>
      <c r="D71" s="86"/>
      <c r="E71" s="57">
        <f>VLOOKUP($A71,PoolData!$A$10:$U$32,MATCH(E$13,PoolData!$A$10:$U$10,0),0)</f>
        <v>0</v>
      </c>
      <c r="F71" s="57">
        <f>VLOOKUP($A71,PoolData!$A$10:$U$32,MATCH(F$13,PoolData!$A$10:$U$10,0),0)</f>
        <v>0</v>
      </c>
      <c r="H71" s="100">
        <f>VLOOKUP($A71,PoolData!$A$10:$U$32,MATCH(H$13,PoolData!$A$10:$U$10,0),0)</f>
        <v>0</v>
      </c>
      <c r="J71" s="42">
        <f>VLOOKUP($A71,PoolData!$A$10:$U$32,MATCH(J$13,PoolData!$A$10:$U$10,0),0)</f>
        <v>0</v>
      </c>
    </row>
    <row r="72" spans="1:10">
      <c r="A72" s="40" t="str">
        <f>PoolData!A69</f>
        <v>-</v>
      </c>
      <c r="B72" s="40">
        <f>PoolData!C69</f>
        <v>0</v>
      </c>
      <c r="C72" s="40">
        <f>PoolData!D69</f>
        <v>0</v>
      </c>
      <c r="D72" s="86"/>
      <c r="E72" s="57">
        <f>VLOOKUP($A72,PoolData!$A$10:$U$32,MATCH(E$13,PoolData!$A$10:$U$10,0),0)</f>
        <v>0</v>
      </c>
      <c r="F72" s="57">
        <f>VLOOKUP($A72,PoolData!$A$10:$U$32,MATCH(F$13,PoolData!$A$10:$U$10,0),0)</f>
        <v>0</v>
      </c>
      <c r="H72" s="100">
        <f>VLOOKUP($A72,PoolData!$A$10:$U$32,MATCH(H$13,PoolData!$A$10:$U$10,0),0)</f>
        <v>0</v>
      </c>
      <c r="J72" s="42">
        <f>VLOOKUP($A72,PoolData!$A$10:$U$32,MATCH(J$13,PoolData!$A$10:$U$10,0),0)</f>
        <v>0</v>
      </c>
    </row>
    <row r="73" spans="1:10">
      <c r="A73" s="40" t="str">
        <f>PoolData!A70</f>
        <v>-</v>
      </c>
      <c r="B73" s="40">
        <f>PoolData!C70</f>
        <v>0</v>
      </c>
      <c r="C73" s="40">
        <f>PoolData!D70</f>
        <v>0</v>
      </c>
      <c r="D73" s="86"/>
      <c r="E73" s="57">
        <f>VLOOKUP($A73,PoolData!$A$10:$U$32,MATCH(E$13,PoolData!$A$10:$U$10,0),0)</f>
        <v>0</v>
      </c>
      <c r="F73" s="57">
        <f>VLOOKUP($A73,PoolData!$A$10:$U$32,MATCH(F$13,PoolData!$A$10:$U$10,0),0)</f>
        <v>0</v>
      </c>
      <c r="H73" s="100">
        <f>VLOOKUP($A73,PoolData!$A$10:$U$32,MATCH(H$13,PoolData!$A$10:$U$10,0),0)</f>
        <v>0</v>
      </c>
      <c r="J73" s="42">
        <f>VLOOKUP($A73,PoolData!$A$10:$U$32,MATCH(J$13,PoolData!$A$10:$U$10,0),0)</f>
        <v>0</v>
      </c>
    </row>
    <row r="74" spans="1:10">
      <c r="A74" s="40" t="str">
        <f>PoolData!A71</f>
        <v>-</v>
      </c>
      <c r="B74" s="40">
        <f>PoolData!C71</f>
        <v>0</v>
      </c>
      <c r="C74" s="40">
        <f>PoolData!D71</f>
        <v>0</v>
      </c>
      <c r="D74" s="86"/>
      <c r="E74" s="57">
        <f>VLOOKUP($A74,PoolData!$A$10:$U$32,MATCH(E$13,PoolData!$A$10:$U$10,0),0)</f>
        <v>0</v>
      </c>
      <c r="F74" s="57">
        <f>VLOOKUP($A74,PoolData!$A$10:$U$32,MATCH(F$13,PoolData!$A$10:$U$10,0),0)</f>
        <v>0</v>
      </c>
      <c r="H74" s="100">
        <f>VLOOKUP($A74,PoolData!$A$10:$U$32,MATCH(H$13,PoolData!$A$10:$U$10,0),0)</f>
        <v>0</v>
      </c>
      <c r="J74" s="42">
        <f>VLOOKUP($A74,PoolData!$A$10:$U$32,MATCH(J$13,PoolData!$A$10:$U$10,0),0)</f>
        <v>0</v>
      </c>
    </row>
    <row r="75" spans="1:10">
      <c r="A75" s="40" t="str">
        <f>PoolData!A72</f>
        <v>-</v>
      </c>
      <c r="B75" s="40">
        <f>PoolData!C72</f>
        <v>0</v>
      </c>
      <c r="C75" s="40">
        <f>PoolData!D72</f>
        <v>0</v>
      </c>
      <c r="D75" s="86"/>
      <c r="E75" s="57">
        <f>VLOOKUP($A75,PoolData!$A$10:$U$32,MATCH(E$13,PoolData!$A$10:$U$10,0),0)</f>
        <v>0</v>
      </c>
      <c r="F75" s="57">
        <f>VLOOKUP($A75,PoolData!$A$10:$U$32,MATCH(F$13,PoolData!$A$10:$U$10,0),0)</f>
        <v>0</v>
      </c>
      <c r="H75" s="100">
        <f>VLOOKUP($A75,PoolData!$A$10:$U$32,MATCH(H$13,PoolData!$A$10:$U$10,0),0)</f>
        <v>0</v>
      </c>
      <c r="J75" s="42">
        <f>VLOOKUP($A75,PoolData!$A$10:$U$32,MATCH(J$13,PoolData!$A$10:$U$10,0),0)</f>
        <v>0</v>
      </c>
    </row>
    <row r="76" spans="1:10">
      <c r="A76" s="40" t="str">
        <f>PoolData!A73</f>
        <v>-</v>
      </c>
      <c r="B76" s="40">
        <f>PoolData!C73</f>
        <v>0</v>
      </c>
      <c r="C76" s="40">
        <f>PoolData!D73</f>
        <v>0</v>
      </c>
      <c r="D76" s="86"/>
      <c r="E76" s="57">
        <f>VLOOKUP($A76,PoolData!$A$10:$U$32,MATCH(E$13,PoolData!$A$10:$U$10,0),0)</f>
        <v>0</v>
      </c>
      <c r="F76" s="57">
        <f>VLOOKUP($A76,PoolData!$A$10:$U$32,MATCH(F$13,PoolData!$A$10:$U$10,0),0)</f>
        <v>0</v>
      </c>
      <c r="H76" s="100">
        <f>VLOOKUP($A76,PoolData!$A$10:$U$32,MATCH(H$13,PoolData!$A$10:$U$10,0),0)</f>
        <v>0</v>
      </c>
      <c r="J76" s="42">
        <f>VLOOKUP($A76,PoolData!$A$10:$U$32,MATCH(J$13,PoolData!$A$10:$U$10,0),0)</f>
        <v>0</v>
      </c>
    </row>
    <row r="77" spans="1:10">
      <c r="A77" s="40" t="str">
        <f>PoolData!A74</f>
        <v>-</v>
      </c>
      <c r="B77" s="40">
        <f>PoolData!C74</f>
        <v>0</v>
      </c>
      <c r="C77" s="40">
        <f>PoolData!D74</f>
        <v>0</v>
      </c>
      <c r="D77" s="86"/>
      <c r="E77" s="57">
        <f>VLOOKUP($A77,PoolData!$A$10:$U$32,MATCH(E$13,PoolData!$A$10:$U$10,0),0)</f>
        <v>0</v>
      </c>
      <c r="F77" s="57">
        <f>VLOOKUP($A77,PoolData!$A$10:$U$32,MATCH(F$13,PoolData!$A$10:$U$10,0),0)</f>
        <v>0</v>
      </c>
      <c r="H77" s="100">
        <f>VLOOKUP($A77,PoolData!$A$10:$U$32,MATCH(H$13,PoolData!$A$10:$U$10,0),0)</f>
        <v>0</v>
      </c>
      <c r="J77" s="42">
        <f>VLOOKUP($A77,PoolData!$A$10:$U$32,MATCH(J$13,PoolData!$A$10:$U$10,0),0)</f>
        <v>0</v>
      </c>
    </row>
    <row r="78" spans="1:10">
      <c r="A78" s="40" t="str">
        <f>PoolData!A75</f>
        <v>-</v>
      </c>
      <c r="B78" s="40">
        <f>PoolData!C75</f>
        <v>0</v>
      </c>
      <c r="C78" s="40">
        <f>PoolData!D75</f>
        <v>0</v>
      </c>
      <c r="D78" s="86"/>
      <c r="E78" s="57">
        <f>VLOOKUP($A78,PoolData!$A$10:$U$32,MATCH(E$13,PoolData!$A$10:$U$10,0),0)</f>
        <v>0</v>
      </c>
      <c r="F78" s="57">
        <f>VLOOKUP($A78,PoolData!$A$10:$U$32,MATCH(F$13,PoolData!$A$10:$U$10,0),0)</f>
        <v>0</v>
      </c>
      <c r="H78" s="100">
        <f>VLOOKUP($A78,PoolData!$A$10:$U$32,MATCH(H$13,PoolData!$A$10:$U$10,0),0)</f>
        <v>0</v>
      </c>
      <c r="J78" s="42">
        <f>VLOOKUP($A78,PoolData!$A$10:$U$32,MATCH(J$13,PoolData!$A$10:$U$10,0),0)</f>
        <v>0</v>
      </c>
    </row>
    <row r="79" spans="1:10">
      <c r="A79" s="40" t="str">
        <f>PoolData!A76</f>
        <v>-</v>
      </c>
      <c r="B79" s="40">
        <f>PoolData!C76</f>
        <v>0</v>
      </c>
      <c r="C79" s="40">
        <f>PoolData!D76</f>
        <v>0</v>
      </c>
      <c r="D79" s="86"/>
      <c r="E79" s="57">
        <f>VLOOKUP($A79,PoolData!$A$10:$U$32,MATCH(E$13,PoolData!$A$10:$U$10,0),0)</f>
        <v>0</v>
      </c>
      <c r="F79" s="57">
        <f>VLOOKUP($A79,PoolData!$A$10:$U$32,MATCH(F$13,PoolData!$A$10:$U$10,0),0)</f>
        <v>0</v>
      </c>
      <c r="H79" s="100">
        <f>VLOOKUP($A79,PoolData!$A$10:$U$32,MATCH(H$13,PoolData!$A$10:$U$10,0),0)</f>
        <v>0</v>
      </c>
      <c r="J79" s="42">
        <f>VLOOKUP($A79,PoolData!$A$10:$U$32,MATCH(J$13,PoolData!$A$10:$U$10,0),0)</f>
        <v>0</v>
      </c>
    </row>
    <row r="80" spans="1:10">
      <c r="A80" s="40" t="str">
        <f>PoolData!A77</f>
        <v>-</v>
      </c>
      <c r="B80" s="40">
        <f>PoolData!C77</f>
        <v>0</v>
      </c>
      <c r="C80" s="40">
        <f>PoolData!D77</f>
        <v>0</v>
      </c>
      <c r="D80" s="86"/>
      <c r="E80" s="57">
        <f>VLOOKUP($A80,PoolData!$A$10:$U$32,MATCH(E$13,PoolData!$A$10:$U$10,0),0)</f>
        <v>0</v>
      </c>
      <c r="F80" s="57">
        <f>VLOOKUP($A80,PoolData!$A$10:$U$32,MATCH(F$13,PoolData!$A$10:$U$10,0),0)</f>
        <v>0</v>
      </c>
      <c r="H80" s="100">
        <f>VLOOKUP($A80,PoolData!$A$10:$U$32,MATCH(H$13,PoolData!$A$10:$U$10,0),0)</f>
        <v>0</v>
      </c>
      <c r="J80" s="42">
        <f>VLOOKUP($A80,PoolData!$A$10:$U$32,MATCH(J$13,PoolData!$A$10:$U$10,0),0)</f>
        <v>0</v>
      </c>
    </row>
    <row r="81" spans="1:10">
      <c r="A81" s="40" t="str">
        <f>PoolData!A78</f>
        <v>-</v>
      </c>
      <c r="B81" s="40">
        <f>PoolData!C78</f>
        <v>0</v>
      </c>
      <c r="C81" s="40">
        <f>PoolData!D78</f>
        <v>0</v>
      </c>
      <c r="D81" s="86"/>
      <c r="E81" s="57">
        <f>VLOOKUP($A81,PoolData!$A$10:$U$32,MATCH(E$13,PoolData!$A$10:$U$10,0),0)</f>
        <v>0</v>
      </c>
      <c r="F81" s="57">
        <f>VLOOKUP($A81,PoolData!$A$10:$U$32,MATCH(F$13,PoolData!$A$10:$U$10,0),0)</f>
        <v>0</v>
      </c>
      <c r="H81" s="100">
        <f>VLOOKUP($A81,PoolData!$A$10:$U$32,MATCH(H$13,PoolData!$A$10:$U$10,0),0)</f>
        <v>0</v>
      </c>
      <c r="J81" s="42">
        <f>VLOOKUP($A81,PoolData!$A$10:$U$32,MATCH(J$13,PoolData!$A$10:$U$10,0),0)</f>
        <v>0</v>
      </c>
    </row>
    <row r="82" spans="1:10">
      <c r="A82" s="40" t="str">
        <f>PoolData!A79</f>
        <v>-</v>
      </c>
      <c r="B82" s="40">
        <f>PoolData!C79</f>
        <v>0</v>
      </c>
      <c r="C82" s="40">
        <f>PoolData!D79</f>
        <v>0</v>
      </c>
      <c r="D82" s="86"/>
      <c r="E82" s="57">
        <f>VLOOKUP($A82,PoolData!$A$10:$U$32,MATCH(E$13,PoolData!$A$10:$U$10,0),0)</f>
        <v>0</v>
      </c>
      <c r="F82" s="57">
        <f>VLOOKUP($A82,PoolData!$A$10:$U$32,MATCH(F$13,PoolData!$A$10:$U$10,0),0)</f>
        <v>0</v>
      </c>
      <c r="H82" s="100">
        <f>VLOOKUP($A82,PoolData!$A$10:$U$32,MATCH(H$13,PoolData!$A$10:$U$10,0),0)</f>
        <v>0</v>
      </c>
      <c r="J82" s="42">
        <f>VLOOKUP($A82,PoolData!$A$10:$U$32,MATCH(J$13,PoolData!$A$10:$U$10,0),0)</f>
        <v>0</v>
      </c>
    </row>
    <row r="83" spans="1:10">
      <c r="A83" s="40" t="str">
        <f>PoolData!A80</f>
        <v>-</v>
      </c>
      <c r="B83" s="40">
        <f>PoolData!C80</f>
        <v>0</v>
      </c>
      <c r="C83" s="40">
        <f>PoolData!D80</f>
        <v>0</v>
      </c>
      <c r="D83" s="86"/>
      <c r="E83" s="57">
        <f>VLOOKUP($A83,PoolData!$A$10:$U$32,MATCH(E$13,PoolData!$A$10:$U$10,0),0)</f>
        <v>0</v>
      </c>
      <c r="F83" s="57">
        <f>VLOOKUP($A83,PoolData!$A$10:$U$32,MATCH(F$13,PoolData!$A$10:$U$10,0),0)</f>
        <v>0</v>
      </c>
      <c r="H83" s="100">
        <f>VLOOKUP($A83,PoolData!$A$10:$U$32,MATCH(H$13,PoolData!$A$10:$U$10,0),0)</f>
        <v>0</v>
      </c>
      <c r="J83" s="42">
        <f>VLOOKUP($A83,PoolData!$A$10:$U$32,MATCH(J$13,PoolData!$A$10:$U$10,0),0)</f>
        <v>0</v>
      </c>
    </row>
    <row r="84" spans="1:10">
      <c r="A84" s="40" t="str">
        <f>PoolData!A81</f>
        <v>-</v>
      </c>
      <c r="B84" s="40">
        <f>PoolData!C81</f>
        <v>0</v>
      </c>
      <c r="C84" s="40">
        <f>PoolData!D81</f>
        <v>0</v>
      </c>
      <c r="D84" s="86"/>
      <c r="E84" s="57">
        <f>VLOOKUP($A84,PoolData!$A$10:$U$32,MATCH(E$13,PoolData!$A$10:$U$10,0),0)</f>
        <v>0</v>
      </c>
      <c r="F84" s="57">
        <f>VLOOKUP($A84,PoolData!$A$10:$U$32,MATCH(F$13,PoolData!$A$10:$U$10,0),0)</f>
        <v>0</v>
      </c>
      <c r="H84" s="100">
        <f>VLOOKUP($A84,PoolData!$A$10:$U$32,MATCH(H$13,PoolData!$A$10:$U$10,0),0)</f>
        <v>0</v>
      </c>
      <c r="J84" s="42">
        <f>VLOOKUP($A84,PoolData!$A$10:$U$32,MATCH(J$13,PoolData!$A$10:$U$10,0),0)</f>
        <v>0</v>
      </c>
    </row>
    <row r="85" spans="1:10">
      <c r="A85" s="40" t="str">
        <f>PoolData!A82</f>
        <v>-</v>
      </c>
      <c r="B85" s="40">
        <f>PoolData!C82</f>
        <v>0</v>
      </c>
      <c r="C85" s="40">
        <f>PoolData!D82</f>
        <v>0</v>
      </c>
      <c r="D85" s="86"/>
      <c r="E85" s="57">
        <f>VLOOKUP($A85,PoolData!$A$10:$U$32,MATCH(E$13,PoolData!$A$10:$U$10,0),0)</f>
        <v>0</v>
      </c>
      <c r="F85" s="57">
        <f>VLOOKUP($A85,PoolData!$A$10:$U$32,MATCH(F$13,PoolData!$A$10:$U$10,0),0)</f>
        <v>0</v>
      </c>
      <c r="H85" s="100">
        <f>VLOOKUP($A85,PoolData!$A$10:$U$32,MATCH(H$13,PoolData!$A$10:$U$10,0),0)</f>
        <v>0</v>
      </c>
      <c r="J85" s="42">
        <f>VLOOKUP($A85,PoolData!$A$10:$U$32,MATCH(J$13,PoolData!$A$10:$U$10,0),0)</f>
        <v>0</v>
      </c>
    </row>
    <row r="86" spans="1:10">
      <c r="A86" s="40" t="str">
        <f>PoolData!A83</f>
        <v>-</v>
      </c>
      <c r="B86" s="40">
        <f>PoolData!C83</f>
        <v>0</v>
      </c>
      <c r="C86" s="40">
        <f>PoolData!D83</f>
        <v>0</v>
      </c>
      <c r="D86" s="86"/>
      <c r="E86" s="57">
        <f>VLOOKUP($A86,PoolData!$A$10:$U$32,MATCH(E$13,PoolData!$A$10:$U$10,0),0)</f>
        <v>0</v>
      </c>
      <c r="F86" s="57">
        <f>VLOOKUP($A86,PoolData!$A$10:$U$32,MATCH(F$13,PoolData!$A$10:$U$10,0),0)</f>
        <v>0</v>
      </c>
      <c r="H86" s="100">
        <f>VLOOKUP($A86,PoolData!$A$10:$U$32,MATCH(H$13,PoolData!$A$10:$U$10,0),0)</f>
        <v>0</v>
      </c>
      <c r="J86" s="42">
        <f>VLOOKUP($A86,PoolData!$A$10:$U$32,MATCH(J$13,PoolData!$A$10:$U$10,0),0)</f>
        <v>0</v>
      </c>
    </row>
    <row r="87" spans="1:10">
      <c r="A87" s="40" t="str">
        <f>PoolData!A84</f>
        <v>-</v>
      </c>
      <c r="B87" s="40">
        <f>PoolData!C84</f>
        <v>0</v>
      </c>
      <c r="C87" s="40">
        <f>PoolData!D84</f>
        <v>0</v>
      </c>
      <c r="D87" s="86"/>
      <c r="E87" s="57">
        <f>VLOOKUP($A87,PoolData!$A$10:$U$32,MATCH(E$13,PoolData!$A$10:$U$10,0),0)</f>
        <v>0</v>
      </c>
      <c r="F87" s="57">
        <f>VLOOKUP($A87,PoolData!$A$10:$U$32,MATCH(F$13,PoolData!$A$10:$U$10,0),0)</f>
        <v>0</v>
      </c>
      <c r="H87" s="100">
        <f>VLOOKUP($A87,PoolData!$A$10:$U$32,MATCH(H$13,PoolData!$A$10:$U$10,0),0)</f>
        <v>0</v>
      </c>
      <c r="J87" s="42">
        <f>VLOOKUP($A87,PoolData!$A$10:$U$32,MATCH(J$13,PoolData!$A$10:$U$10,0),0)</f>
        <v>0</v>
      </c>
    </row>
    <row r="88" spans="1:10">
      <c r="A88" s="40" t="str">
        <f>PoolData!A85</f>
        <v>-</v>
      </c>
      <c r="B88" s="40">
        <f>PoolData!C85</f>
        <v>0</v>
      </c>
      <c r="C88" s="40">
        <f>PoolData!D85</f>
        <v>0</v>
      </c>
      <c r="D88" s="86"/>
      <c r="E88" s="57">
        <f>VLOOKUP($A88,PoolData!$A$10:$U$32,MATCH(E$13,PoolData!$A$10:$U$10,0),0)</f>
        <v>0</v>
      </c>
      <c r="F88" s="57">
        <f>VLOOKUP($A88,PoolData!$A$10:$U$32,MATCH(F$13,PoolData!$A$10:$U$10,0),0)</f>
        <v>0</v>
      </c>
      <c r="H88" s="100">
        <f>VLOOKUP($A88,PoolData!$A$10:$U$32,MATCH(H$13,PoolData!$A$10:$U$10,0),0)</f>
        <v>0</v>
      </c>
      <c r="J88" s="42">
        <f>VLOOKUP($A88,PoolData!$A$10:$U$32,MATCH(J$13,PoolData!$A$10:$U$10,0),0)</f>
        <v>0</v>
      </c>
    </row>
    <row r="89" spans="1:10">
      <c r="A89" s="40" t="str">
        <f>PoolData!A86</f>
        <v>-</v>
      </c>
      <c r="B89" s="40">
        <f>PoolData!C86</f>
        <v>0</v>
      </c>
      <c r="C89" s="40">
        <f>PoolData!D86</f>
        <v>0</v>
      </c>
      <c r="D89" s="86"/>
      <c r="E89" s="57">
        <f>VLOOKUP($A89,PoolData!$A$10:$U$32,MATCH(E$13,PoolData!$A$10:$U$10,0),0)</f>
        <v>0</v>
      </c>
      <c r="F89" s="57">
        <f>VLOOKUP($A89,PoolData!$A$10:$U$32,MATCH(F$13,PoolData!$A$10:$U$10,0),0)</f>
        <v>0</v>
      </c>
      <c r="H89" s="100">
        <f>VLOOKUP($A89,PoolData!$A$10:$U$32,MATCH(H$13,PoolData!$A$10:$U$10,0),0)</f>
        <v>0</v>
      </c>
      <c r="J89" s="42">
        <f>VLOOKUP($A89,PoolData!$A$10:$U$32,MATCH(J$13,PoolData!$A$10:$U$10,0),0)</f>
        <v>0</v>
      </c>
    </row>
    <row r="90" spans="1:10">
      <c r="A90" s="40" t="str">
        <f>PoolData!A87</f>
        <v>-</v>
      </c>
      <c r="B90" s="40">
        <f>PoolData!C87</f>
        <v>0</v>
      </c>
      <c r="C90" s="40">
        <f>PoolData!D87</f>
        <v>0</v>
      </c>
      <c r="D90" s="86"/>
      <c r="E90" s="57">
        <f>VLOOKUP($A90,PoolData!$A$10:$U$32,MATCH(E$13,PoolData!$A$10:$U$10,0),0)</f>
        <v>0</v>
      </c>
      <c r="F90" s="57">
        <f>VLOOKUP($A90,PoolData!$A$10:$U$32,MATCH(F$13,PoolData!$A$10:$U$10,0),0)</f>
        <v>0</v>
      </c>
      <c r="H90" s="100">
        <f>VLOOKUP($A90,PoolData!$A$10:$U$32,MATCH(H$13,PoolData!$A$10:$U$10,0),0)</f>
        <v>0</v>
      </c>
      <c r="J90" s="42">
        <f>VLOOKUP($A90,PoolData!$A$10:$U$32,MATCH(J$13,PoolData!$A$10:$U$10,0),0)</f>
        <v>0</v>
      </c>
    </row>
    <row r="91" spans="1:10">
      <c r="A91" s="40" t="str">
        <f>PoolData!A88</f>
        <v>-</v>
      </c>
      <c r="B91" s="40">
        <f>PoolData!C88</f>
        <v>0</v>
      </c>
      <c r="C91" s="40">
        <f>PoolData!D88</f>
        <v>0</v>
      </c>
      <c r="D91" s="86"/>
      <c r="E91" s="57">
        <f>VLOOKUP($A91,PoolData!$A$10:$U$32,MATCH(E$13,PoolData!$A$10:$U$10,0),0)</f>
        <v>0</v>
      </c>
      <c r="F91" s="57">
        <f>VLOOKUP($A91,PoolData!$A$10:$U$32,MATCH(F$13,PoolData!$A$10:$U$10,0),0)</f>
        <v>0</v>
      </c>
      <c r="H91" s="100">
        <f>VLOOKUP($A91,PoolData!$A$10:$U$32,MATCH(H$13,PoolData!$A$10:$U$10,0),0)</f>
        <v>0</v>
      </c>
      <c r="J91" s="42">
        <f>VLOOKUP($A91,PoolData!$A$10:$U$32,MATCH(J$13,PoolData!$A$10:$U$10,0),0)</f>
        <v>0</v>
      </c>
    </row>
    <row r="92" spans="1:10">
      <c r="A92" s="40" t="str">
        <f>PoolData!A89</f>
        <v>-</v>
      </c>
      <c r="B92" s="40">
        <f>PoolData!C89</f>
        <v>0</v>
      </c>
      <c r="C92" s="40">
        <f>PoolData!D89</f>
        <v>0</v>
      </c>
      <c r="D92" s="86"/>
      <c r="E92" s="57">
        <f>VLOOKUP($A92,PoolData!$A$10:$U$32,MATCH(E$13,PoolData!$A$10:$U$10,0),0)</f>
        <v>0</v>
      </c>
      <c r="F92" s="57">
        <f>VLOOKUP($A92,PoolData!$A$10:$U$32,MATCH(F$13,PoolData!$A$10:$U$10,0),0)</f>
        <v>0</v>
      </c>
      <c r="H92" s="100">
        <f>VLOOKUP($A92,PoolData!$A$10:$U$32,MATCH(H$13,PoolData!$A$10:$U$10,0),0)</f>
        <v>0</v>
      </c>
      <c r="J92" s="42">
        <f>VLOOKUP($A92,PoolData!$A$10:$U$32,MATCH(J$13,PoolData!$A$10:$U$10,0),0)</f>
        <v>0</v>
      </c>
    </row>
    <row r="93" spans="1:10">
      <c r="A93" s="40" t="str">
        <f>PoolData!A90</f>
        <v>-</v>
      </c>
      <c r="B93" s="40">
        <f>PoolData!C90</f>
        <v>0</v>
      </c>
      <c r="C93" s="40">
        <f>PoolData!D90</f>
        <v>0</v>
      </c>
      <c r="D93" s="86"/>
      <c r="E93" s="57">
        <f>VLOOKUP($A93,PoolData!$A$10:$U$32,MATCH(E$13,PoolData!$A$10:$U$10,0),0)</f>
        <v>0</v>
      </c>
      <c r="F93" s="57">
        <f>VLOOKUP($A93,PoolData!$A$10:$U$32,MATCH(F$13,PoolData!$A$10:$U$10,0),0)</f>
        <v>0</v>
      </c>
      <c r="H93" s="100">
        <f>VLOOKUP($A93,PoolData!$A$10:$U$32,MATCH(H$13,PoolData!$A$10:$U$10,0),0)</f>
        <v>0</v>
      </c>
      <c r="J93" s="42">
        <f>VLOOKUP($A93,PoolData!$A$10:$U$32,MATCH(J$13,PoolData!$A$10:$U$10,0),0)</f>
        <v>0</v>
      </c>
    </row>
    <row r="94" spans="1:10">
      <c r="A94" s="40" t="str">
        <f>PoolData!A91</f>
        <v>-</v>
      </c>
      <c r="B94" s="40">
        <f>PoolData!C91</f>
        <v>0</v>
      </c>
      <c r="C94" s="40">
        <f>PoolData!D91</f>
        <v>0</v>
      </c>
      <c r="D94" s="86"/>
      <c r="E94" s="57">
        <f>VLOOKUP($A94,PoolData!$A$10:$U$32,MATCH(E$13,PoolData!$A$10:$U$10,0),0)</f>
        <v>0</v>
      </c>
      <c r="F94" s="57">
        <f>VLOOKUP($A94,PoolData!$A$10:$U$32,MATCH(F$13,PoolData!$A$10:$U$10,0),0)</f>
        <v>0</v>
      </c>
      <c r="H94" s="100">
        <f>VLOOKUP($A94,PoolData!$A$10:$U$32,MATCH(H$13,PoolData!$A$10:$U$10,0),0)</f>
        <v>0</v>
      </c>
      <c r="J94" s="42">
        <f>VLOOKUP($A94,PoolData!$A$10:$U$32,MATCH(J$13,PoolData!$A$10:$U$10,0),0)</f>
        <v>0</v>
      </c>
    </row>
    <row r="95" spans="1:10">
      <c r="A95" s="40" t="str">
        <f>PoolData!A92</f>
        <v>-</v>
      </c>
      <c r="B95" s="40">
        <f>PoolData!C92</f>
        <v>0</v>
      </c>
      <c r="C95" s="40">
        <f>PoolData!D92</f>
        <v>0</v>
      </c>
      <c r="D95" s="86"/>
      <c r="E95" s="57">
        <f>VLOOKUP($A95,PoolData!$A$10:$U$32,MATCH(E$13,PoolData!$A$10:$U$10,0),0)</f>
        <v>0</v>
      </c>
      <c r="F95" s="57">
        <f>VLOOKUP($A95,PoolData!$A$10:$U$32,MATCH(F$13,PoolData!$A$10:$U$10,0),0)</f>
        <v>0</v>
      </c>
      <c r="H95" s="100">
        <f>VLOOKUP($A95,PoolData!$A$10:$U$32,MATCH(H$13,PoolData!$A$10:$U$10,0),0)</f>
        <v>0</v>
      </c>
      <c r="J95" s="42">
        <f>VLOOKUP($A95,PoolData!$A$10:$U$32,MATCH(J$13,PoolData!$A$10:$U$10,0),0)</f>
        <v>0</v>
      </c>
    </row>
    <row r="96" spans="1:10">
      <c r="A96" s="40" t="str">
        <f>PoolData!A93</f>
        <v>-</v>
      </c>
      <c r="B96" s="40">
        <f>PoolData!C93</f>
        <v>0</v>
      </c>
      <c r="C96" s="40">
        <f>PoolData!D93</f>
        <v>0</v>
      </c>
      <c r="D96" s="86"/>
      <c r="E96" s="57">
        <f>VLOOKUP($A96,PoolData!$A$10:$U$32,MATCH(E$13,PoolData!$A$10:$U$10,0),0)</f>
        <v>0</v>
      </c>
      <c r="F96" s="57">
        <f>VLOOKUP($A96,PoolData!$A$10:$U$32,MATCH(F$13,PoolData!$A$10:$U$10,0),0)</f>
        <v>0</v>
      </c>
      <c r="H96" s="100">
        <f>VLOOKUP($A96,PoolData!$A$10:$U$32,MATCH(H$13,PoolData!$A$10:$U$10,0),0)</f>
        <v>0</v>
      </c>
      <c r="J96" s="42">
        <f>VLOOKUP($A96,PoolData!$A$10:$U$32,MATCH(J$13,PoolData!$A$10:$U$10,0),0)</f>
        <v>0</v>
      </c>
    </row>
    <row r="97" spans="1:10">
      <c r="A97" s="40" t="str">
        <f>PoolData!A94</f>
        <v>-</v>
      </c>
      <c r="B97" s="40">
        <f>PoolData!C94</f>
        <v>0</v>
      </c>
      <c r="C97" s="40">
        <f>PoolData!D94</f>
        <v>0</v>
      </c>
      <c r="D97" s="86"/>
      <c r="E97" s="57">
        <f>VLOOKUP($A97,PoolData!$A$10:$U$32,MATCH(E$13,PoolData!$A$10:$U$10,0),0)</f>
        <v>0</v>
      </c>
      <c r="F97" s="57">
        <f>VLOOKUP($A97,PoolData!$A$10:$U$32,MATCH(F$13,PoolData!$A$10:$U$10,0),0)</f>
        <v>0</v>
      </c>
      <c r="H97" s="100">
        <f>VLOOKUP($A97,PoolData!$A$10:$U$32,MATCH(H$13,PoolData!$A$10:$U$10,0),0)</f>
        <v>0</v>
      </c>
      <c r="J97" s="42">
        <f>VLOOKUP($A97,PoolData!$A$10:$U$32,MATCH(J$13,PoolData!$A$10:$U$10,0),0)</f>
        <v>0</v>
      </c>
    </row>
    <row r="98" spans="1:10">
      <c r="A98" s="40" t="str">
        <f>PoolData!A95</f>
        <v>-</v>
      </c>
      <c r="B98" s="40">
        <f>PoolData!C95</f>
        <v>0</v>
      </c>
      <c r="C98" s="40">
        <f>PoolData!D95</f>
        <v>0</v>
      </c>
      <c r="D98" s="86"/>
      <c r="E98" s="57">
        <f>VLOOKUP($A98,PoolData!$A$10:$U$32,MATCH(E$13,PoolData!$A$10:$U$10,0),0)</f>
        <v>0</v>
      </c>
      <c r="F98" s="57">
        <f>VLOOKUP($A98,PoolData!$A$10:$U$32,MATCH(F$13,PoolData!$A$10:$U$10,0),0)</f>
        <v>0</v>
      </c>
      <c r="H98" s="100">
        <f>VLOOKUP($A98,PoolData!$A$10:$U$32,MATCH(H$13,PoolData!$A$10:$U$10,0),0)</f>
        <v>0</v>
      </c>
      <c r="J98" s="42">
        <f>VLOOKUP($A98,PoolData!$A$10:$U$32,MATCH(J$13,PoolData!$A$10:$U$10,0),0)</f>
        <v>0</v>
      </c>
    </row>
    <row r="99" spans="1:10">
      <c r="A99" s="40" t="str">
        <f>PoolData!A96</f>
        <v>-</v>
      </c>
      <c r="B99" s="40">
        <f>PoolData!C96</f>
        <v>0</v>
      </c>
      <c r="C99" s="40">
        <f>PoolData!D96</f>
        <v>0</v>
      </c>
      <c r="D99" s="86"/>
      <c r="E99" s="57">
        <f>VLOOKUP($A99,PoolData!$A$10:$U$32,MATCH(E$13,PoolData!$A$10:$U$10,0),0)</f>
        <v>0</v>
      </c>
      <c r="F99" s="57">
        <f>VLOOKUP($A99,PoolData!$A$10:$U$32,MATCH(F$13,PoolData!$A$10:$U$10,0),0)</f>
        <v>0</v>
      </c>
      <c r="H99" s="100">
        <f>VLOOKUP($A99,PoolData!$A$10:$U$32,MATCH(H$13,PoolData!$A$10:$U$10,0),0)</f>
        <v>0</v>
      </c>
      <c r="J99" s="42">
        <f>VLOOKUP($A99,PoolData!$A$10:$U$32,MATCH(J$13,PoolData!$A$10:$U$10,0),0)</f>
        <v>0</v>
      </c>
    </row>
    <row r="100" spans="1:10">
      <c r="A100" s="40" t="str">
        <f>PoolData!A97</f>
        <v>-</v>
      </c>
      <c r="B100" s="40">
        <f>PoolData!C97</f>
        <v>0</v>
      </c>
      <c r="C100" s="40">
        <f>PoolData!D97</f>
        <v>0</v>
      </c>
      <c r="D100" s="86"/>
      <c r="E100" s="57">
        <f>VLOOKUP($A100,PoolData!$A$10:$U$32,MATCH(E$13,PoolData!$A$10:$U$10,0),0)</f>
        <v>0</v>
      </c>
      <c r="F100" s="57">
        <f>VLOOKUP($A100,PoolData!$A$10:$U$32,MATCH(F$13,PoolData!$A$10:$U$10,0),0)</f>
        <v>0</v>
      </c>
      <c r="H100" s="100">
        <f>VLOOKUP($A100,PoolData!$A$10:$U$32,MATCH(H$13,PoolData!$A$10:$U$10,0),0)</f>
        <v>0</v>
      </c>
      <c r="J100" s="42">
        <f>VLOOKUP($A100,PoolData!$A$10:$U$32,MATCH(J$13,PoolData!$A$10:$U$10,0),0)</f>
        <v>0</v>
      </c>
    </row>
  </sheetData>
  <mergeCells count="2">
    <mergeCell ref="E11:F11"/>
    <mergeCell ref="A13:C13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08DE3-E40A-48A5-A94F-C3AC1BF91E99}">
  <sheetPr codeName="Sheet2">
    <tabColor theme="5" tint="0.39997558519241921"/>
  </sheetPr>
  <dimension ref="A1:AH94"/>
  <sheetViews>
    <sheetView zoomScale="70" zoomScaleNormal="70" workbookViewId="0">
      <selection activeCell="E6" sqref="E6"/>
    </sheetView>
  </sheetViews>
  <sheetFormatPr defaultRowHeight="15"/>
  <cols>
    <col min="1" max="1" width="20.5703125" bestFit="1" customWidth="1"/>
    <col min="2" max="2" width="15.42578125" bestFit="1" customWidth="1"/>
    <col min="3" max="3" width="45.140625" bestFit="1" customWidth="1"/>
    <col min="6" max="6" width="11.42578125" hidden="1" customWidth="1"/>
    <col min="7" max="7" width="13.5703125" hidden="1" customWidth="1"/>
    <col min="8" max="9" width="12.85546875" customWidth="1"/>
    <col min="10" max="10" width="18.42578125" hidden="1" customWidth="1"/>
    <col min="11" max="11" width="18.140625" hidden="1" customWidth="1"/>
    <col min="15" max="15" width="13.7109375" bestFit="1" customWidth="1"/>
    <col min="17" max="17" width="24.42578125" bestFit="1" customWidth="1"/>
    <col min="18" max="18" width="21.7109375" bestFit="1" customWidth="1"/>
    <col min="20" max="20" width="10.7109375" bestFit="1" customWidth="1"/>
    <col min="21" max="21" width="11.140625" customWidth="1"/>
    <col min="22" max="22" width="15.28515625" bestFit="1" customWidth="1"/>
    <col min="25" max="25" width="13.140625" bestFit="1" customWidth="1"/>
    <col min="26" max="31" width="13.140625" customWidth="1"/>
    <col min="32" max="32" width="15.42578125" bestFit="1" customWidth="1"/>
    <col min="33" max="34" width="15.7109375" bestFit="1" customWidth="1"/>
  </cols>
  <sheetData>
    <row r="1" spans="1:34" ht="23.25">
      <c r="A1" s="40" t="s">
        <v>151</v>
      </c>
      <c r="B1" s="72">
        <f>FSNPRICE</f>
        <v>0.38126952444377737</v>
      </c>
      <c r="C1" s="128" t="s">
        <v>170</v>
      </c>
      <c r="U1" s="63" t="s">
        <v>153</v>
      </c>
      <c r="V1" s="71">
        <f>SUM(V5:V47)</f>
        <v>13.631834461951598</v>
      </c>
      <c r="AH1" s="71">
        <f>SUM(AH5:AH47)</f>
        <v>13.631834461951598</v>
      </c>
    </row>
    <row r="2" spans="1:34">
      <c r="C2" s="54" t="s">
        <v>171</v>
      </c>
    </row>
    <row r="3" spans="1:34" ht="26.25">
      <c r="D3" s="148" t="s">
        <v>146</v>
      </c>
      <c r="E3" s="148"/>
      <c r="F3" s="120" t="s">
        <v>145</v>
      </c>
      <c r="G3" s="121" t="s">
        <v>144</v>
      </c>
      <c r="H3" s="148" t="s">
        <v>158</v>
      </c>
      <c r="I3" s="148"/>
      <c r="J3" s="111"/>
      <c r="M3" s="148" t="s">
        <v>155</v>
      </c>
      <c r="N3" s="148"/>
      <c r="O3" s="148"/>
      <c r="Y3" s="147" t="s">
        <v>162</v>
      </c>
      <c r="Z3" s="147"/>
      <c r="AA3" s="147"/>
      <c r="AB3" s="147"/>
      <c r="AC3" s="147"/>
      <c r="AD3" s="147"/>
      <c r="AE3" s="147"/>
      <c r="AF3" s="147"/>
      <c r="AG3" s="147"/>
      <c r="AH3" s="147"/>
    </row>
    <row r="4" spans="1:34" ht="30">
      <c r="B4" s="112" t="s">
        <v>90</v>
      </c>
      <c r="C4" s="122" t="s">
        <v>168</v>
      </c>
      <c r="D4" s="123" t="s">
        <v>13</v>
      </c>
      <c r="E4" s="123" t="s">
        <v>143</v>
      </c>
      <c r="F4" s="123"/>
      <c r="G4" s="123" t="s">
        <v>13</v>
      </c>
      <c r="H4" s="123" t="s">
        <v>13</v>
      </c>
      <c r="I4" s="123" t="s">
        <v>143</v>
      </c>
      <c r="J4" s="124" t="s">
        <v>147</v>
      </c>
      <c r="K4" s="123" t="s">
        <v>148</v>
      </c>
      <c r="L4" s="125"/>
      <c r="M4" s="123" t="s">
        <v>13</v>
      </c>
      <c r="N4" s="126"/>
      <c r="O4" s="123" t="s">
        <v>154</v>
      </c>
      <c r="Q4" s="123" t="s">
        <v>150</v>
      </c>
      <c r="R4" s="123" t="s">
        <v>149</v>
      </c>
      <c r="S4" s="126"/>
      <c r="T4" s="123" t="s">
        <v>156</v>
      </c>
      <c r="U4" s="123" t="s">
        <v>157</v>
      </c>
      <c r="V4" s="123" t="s">
        <v>152</v>
      </c>
      <c r="Y4" s="126"/>
      <c r="Z4" s="126"/>
      <c r="AA4" s="126" t="s">
        <v>163</v>
      </c>
      <c r="AB4" s="126"/>
      <c r="AC4" s="126" t="s">
        <v>164</v>
      </c>
      <c r="AD4" s="126" t="s">
        <v>165</v>
      </c>
      <c r="AE4" s="126" t="s">
        <v>166</v>
      </c>
      <c r="AF4" s="126" t="s">
        <v>159</v>
      </c>
      <c r="AG4" s="126" t="s">
        <v>160</v>
      </c>
      <c r="AH4" s="126" t="s">
        <v>161</v>
      </c>
    </row>
    <row r="5" spans="1:34">
      <c r="B5" s="113" t="s">
        <v>136</v>
      </c>
      <c r="C5" s="117">
        <f>1/F5</f>
        <v>0.6</v>
      </c>
      <c r="D5" s="74">
        <v>1000</v>
      </c>
      <c r="E5" s="74">
        <v>600</v>
      </c>
      <c r="F5" s="61">
        <f>D5/E5</f>
        <v>1.6666666666666667</v>
      </c>
      <c r="G5" s="61">
        <f>VLOOKUP(B5,PoolData!$A$11:$L$100,MATCH("XXX:FSN Ratio",PoolData!$A$10:$L$10,0),0)</f>
        <v>2.6228165008962359</v>
      </c>
      <c r="H5" s="62">
        <f>SQRT(G5/F5)*D5</f>
        <v>1254.4679750945184</v>
      </c>
      <c r="I5" s="62">
        <f>SQRT(F5/G5)*E5</f>
        <v>478.29040829423542</v>
      </c>
      <c r="J5" s="119">
        <f>D5*E5</f>
        <v>600000</v>
      </c>
      <c r="K5" s="40">
        <f>H5*I5</f>
        <v>599999.99999999988</v>
      </c>
      <c r="L5" s="46"/>
      <c r="M5" s="62">
        <f>H5-D5</f>
        <v>254.46797509451835</v>
      </c>
      <c r="N5" s="115" t="str">
        <f>RIGHT(B5,LEN(B5)-FIND("-",B5))</f>
        <v>aUSDT</v>
      </c>
      <c r="O5" s="62">
        <f>I5-E5</f>
        <v>-121.70959170576458</v>
      </c>
      <c r="Q5" s="40">
        <f>D5*2</f>
        <v>2000</v>
      </c>
      <c r="R5" s="57">
        <f>H5*2</f>
        <v>2508.9359501890367</v>
      </c>
      <c r="S5" s="40"/>
      <c r="T5" s="72">
        <f>Q5*C5</f>
        <v>1200</v>
      </c>
      <c r="U5" s="72">
        <f>R5*$B$1</f>
        <v>956.58081658847073</v>
      </c>
      <c r="V5" s="72">
        <f>U5-T5</f>
        <v>-243.41918341152927</v>
      </c>
      <c r="Y5" s="40" t="str">
        <f>PoolData!A11</f>
        <v>FSN-aUSDT</v>
      </c>
      <c r="Z5" s="115" t="str">
        <f>LEFT(Y5,FIND("-",Y5)-1)</f>
        <v>FSN</v>
      </c>
      <c r="AA5" s="57">
        <f>SUMIF($B:$B,$Y5,D:D)</f>
        <v>2000</v>
      </c>
      <c r="AB5" s="115" t="str">
        <f>RIGHT(Y5,LEN(Y5)-FIND("-",Y5))</f>
        <v>aUSDT</v>
      </c>
      <c r="AC5" s="62">
        <f>SUMIF($B:$B,$Y5,E:E)</f>
        <v>1000</v>
      </c>
      <c r="AD5" s="62">
        <f t="shared" ref="AD5:AE7" si="0">SUMIF($B:$B,$Y5,H:H)</f>
        <v>2278.7367876425205</v>
      </c>
      <c r="AE5" s="62">
        <f t="shared" si="0"/>
        <v>868.81289135700467</v>
      </c>
      <c r="AF5" s="62">
        <f>SUMIF($B:$B,$Y5,M:M)</f>
        <v>278.73678764252054</v>
      </c>
      <c r="AG5" s="62">
        <f>SUMIF($B:$B,$Y5,O:O)</f>
        <v>-131.18710864299527</v>
      </c>
      <c r="AH5" s="72">
        <f>SUMIF($B:$B,$Y5,V:V)</f>
        <v>-262.37421728599054</v>
      </c>
    </row>
    <row r="6" spans="1:34">
      <c r="B6" s="113" t="s">
        <v>137</v>
      </c>
      <c r="C6" s="118">
        <v>0.8</v>
      </c>
      <c r="D6" s="74">
        <v>1000</v>
      </c>
      <c r="E6" s="133">
        <v>2</v>
      </c>
      <c r="F6" s="61">
        <f>D6/E6</f>
        <v>500</v>
      </c>
      <c r="G6" s="61">
        <f>VLOOKUP(B6,PoolData!$A$11:$L$100,MATCH("XXX:FSN Ratio",PoolData!$A$10:$L$10,0),0)</f>
        <v>949.53303108242358</v>
      </c>
      <c r="H6" s="62">
        <f>SQRT(G6/F6)*D6</f>
        <v>1378.06605870867</v>
      </c>
      <c r="I6" s="62">
        <f>SQRT(F6/G6)*E6</f>
        <v>1.4513092368548133</v>
      </c>
      <c r="J6" s="119">
        <f>D6*E6</f>
        <v>2000</v>
      </c>
      <c r="K6" s="40">
        <f>H6*I6</f>
        <v>2000.0000000000002</v>
      </c>
      <c r="L6" s="46"/>
      <c r="M6" s="62">
        <f t="shared" ref="M6:M7" si="1">H6-D6</f>
        <v>378.06605870866997</v>
      </c>
      <c r="N6" s="115" t="str">
        <f>RIGHT(B6,LEN(B6)-FIND("-",B6))</f>
        <v>aETH</v>
      </c>
      <c r="O6" s="62">
        <f>I6-E6</f>
        <v>-0.54869076314518672</v>
      </c>
      <c r="Q6" s="40">
        <f t="shared" ref="Q6:Q7" si="2">D6*2</f>
        <v>2000</v>
      </c>
      <c r="R6" s="57">
        <f>H6*2</f>
        <v>2756.1321174173399</v>
      </c>
      <c r="S6" s="40"/>
      <c r="T6" s="72">
        <f t="shared" ref="T6:T7" si="3">Q6*C6</f>
        <v>1600</v>
      </c>
      <c r="U6" s="72">
        <f t="shared" ref="U6:U7" si="4">R6*$B$1</f>
        <v>1050.8291817119305</v>
      </c>
      <c r="V6" s="72">
        <f t="shared" ref="V6:V7" si="5">U6-T6</f>
        <v>-549.17081828806954</v>
      </c>
      <c r="Y6" s="40" t="str">
        <f>PoolData!A12</f>
        <v>FSN-aETH</v>
      </c>
      <c r="Z6" s="115" t="str">
        <f>LEFT(Y6,FIND("-",Y6)-1)</f>
        <v>FSN</v>
      </c>
      <c r="AA6" s="57">
        <f t="shared" ref="AA6:AA69" si="6">SUMIF($B:$B,$Y6,D:D)</f>
        <v>1000</v>
      </c>
      <c r="AB6" s="115" t="str">
        <f t="shared" ref="AB6:AB69" si="7">RIGHT(Y6,LEN(Y6)-FIND("-",Y6))</f>
        <v>aETH</v>
      </c>
      <c r="AC6" s="62">
        <f t="shared" ref="AC6:AC7" si="8">SUMIF($B:$B,$Y6,E:E)</f>
        <v>2</v>
      </c>
      <c r="AD6" s="62">
        <f t="shared" si="0"/>
        <v>1378.06605870867</v>
      </c>
      <c r="AE6" s="62">
        <f t="shared" si="0"/>
        <v>1.4513092368548133</v>
      </c>
      <c r="AF6" s="62">
        <f t="shared" ref="AF6:AF7" si="9">SUMIF($B:$B,$Y6,M:M)</f>
        <v>378.06605870866997</v>
      </c>
      <c r="AG6" s="62">
        <f t="shared" ref="AG6:AG7" si="10">SUMIF($B:$B,$Y6,O:O)</f>
        <v>-0.54869076314518672</v>
      </c>
      <c r="AH6" s="72">
        <f t="shared" ref="AH6:AH7" si="11">SUMIF($B:$B,$Y6,V:V)</f>
        <v>-549.17081828806954</v>
      </c>
    </row>
    <row r="7" spans="1:34">
      <c r="B7" s="113" t="s">
        <v>138</v>
      </c>
      <c r="C7" s="116">
        <v>0.39</v>
      </c>
      <c r="D7" s="74">
        <v>1000</v>
      </c>
      <c r="E7" s="74">
        <v>1000</v>
      </c>
      <c r="F7" s="61">
        <f>D7/E7</f>
        <v>1</v>
      </c>
      <c r="G7" s="61">
        <f>VLOOKUP(B7,PoolData!$A$11:$L$100,MATCH("XXX:FSN Ratio",PoolData!$A$10:$L$10,0),0)</f>
        <v>2.4460031401693474</v>
      </c>
      <c r="H7" s="62">
        <f>SQRT(G7/F7)*D7</f>
        <v>1563.9703130716221</v>
      </c>
      <c r="I7" s="62">
        <f>SQRT(F7/G7)*E7</f>
        <v>639.39832594137295</v>
      </c>
      <c r="J7" s="40">
        <f>D7*E7</f>
        <v>1000000</v>
      </c>
      <c r="K7" s="40">
        <f>H7*I7</f>
        <v>1000000.0000000001</v>
      </c>
      <c r="L7" s="40"/>
      <c r="M7" s="62">
        <f t="shared" si="1"/>
        <v>563.97031307162206</v>
      </c>
      <c r="N7" s="115" t="str">
        <f>RIGHT(B7,LEN(B7)-FIND("-",B7))</f>
        <v>ANY</v>
      </c>
      <c r="O7" s="62">
        <f>I7-E7</f>
        <v>-360.60167405862705</v>
      </c>
      <c r="Q7" s="40">
        <f t="shared" si="2"/>
        <v>2000</v>
      </c>
      <c r="R7" s="57">
        <f>H7*2</f>
        <v>3127.9406261432441</v>
      </c>
      <c r="S7" s="40"/>
      <c r="T7" s="72">
        <f t="shared" si="3"/>
        <v>780</v>
      </c>
      <c r="U7" s="72">
        <f t="shared" si="4"/>
        <v>1192.5884350180058</v>
      </c>
      <c r="V7" s="72">
        <f t="shared" si="5"/>
        <v>412.58843501800584</v>
      </c>
      <c r="Y7" s="40" t="str">
        <f>PoolData!A13</f>
        <v>FSN-ANY</v>
      </c>
      <c r="Z7" s="115" t="str">
        <f>LEFT(Y7,FIND("-",Y7)-1)</f>
        <v>FSN</v>
      </c>
      <c r="AA7" s="57">
        <f t="shared" si="6"/>
        <v>2000</v>
      </c>
      <c r="AB7" s="115" t="str">
        <f t="shared" si="7"/>
        <v>ANY</v>
      </c>
      <c r="AC7" s="62">
        <f t="shared" si="8"/>
        <v>2000</v>
      </c>
      <c r="AD7" s="62">
        <f t="shared" si="0"/>
        <v>3127.9406261432441</v>
      </c>
      <c r="AE7" s="62">
        <f t="shared" si="0"/>
        <v>1278.7966518827459</v>
      </c>
      <c r="AF7" s="62">
        <f t="shared" si="9"/>
        <v>1127.9406261432441</v>
      </c>
      <c r="AG7" s="62">
        <f t="shared" si="10"/>
        <v>-721.20334811725411</v>
      </c>
      <c r="AH7" s="72">
        <f t="shared" si="11"/>
        <v>825.17687003601168</v>
      </c>
    </row>
    <row r="8" spans="1:34">
      <c r="B8" s="113" t="s">
        <v>138</v>
      </c>
      <c r="C8" s="116">
        <v>0.39</v>
      </c>
      <c r="D8" s="74">
        <v>1000</v>
      </c>
      <c r="E8" s="74">
        <v>1000</v>
      </c>
      <c r="F8" s="61">
        <f>D8/E8</f>
        <v>1</v>
      </c>
      <c r="G8" s="61">
        <f>VLOOKUP(B8,PoolData!$A$11:$L$100,MATCH("XXX:FSN Ratio",PoolData!$A$10:$L$10,0),0)</f>
        <v>2.4460031401693474</v>
      </c>
      <c r="H8" s="62">
        <f>SQRT(G8/F8)*D8</f>
        <v>1563.9703130716221</v>
      </c>
      <c r="I8" s="62">
        <f>SQRT(F8/G8)*E8</f>
        <v>639.39832594137295</v>
      </c>
      <c r="J8" s="40">
        <f>D8*E8</f>
        <v>1000000</v>
      </c>
      <c r="K8" s="40">
        <f>H8*I8</f>
        <v>1000000.0000000001</v>
      </c>
      <c r="L8" s="40"/>
      <c r="M8" s="62">
        <f t="shared" ref="M8" si="12">H8-D8</f>
        <v>563.97031307162206</v>
      </c>
      <c r="N8" s="115" t="str">
        <f>RIGHT(B8,LEN(B8)-FIND("-",B8))</f>
        <v>ANY</v>
      </c>
      <c r="O8" s="62">
        <f>I8-E8</f>
        <v>-360.60167405862705</v>
      </c>
      <c r="Q8" s="40">
        <f t="shared" ref="Q8" si="13">D8*2</f>
        <v>2000</v>
      </c>
      <c r="R8" s="57">
        <f>H8*2</f>
        <v>3127.9406261432441</v>
      </c>
      <c r="S8" s="40"/>
      <c r="T8" s="72">
        <f t="shared" ref="T8" si="14">Q8*C8</f>
        <v>780</v>
      </c>
      <c r="U8" s="72">
        <f t="shared" ref="U8" si="15">R8*$B$1</f>
        <v>1192.5884350180058</v>
      </c>
      <c r="V8" s="72">
        <f t="shared" ref="V8" si="16">U8-T8</f>
        <v>412.58843501800584</v>
      </c>
      <c r="Y8" s="40" t="str">
        <f>PoolData!A14</f>
        <v>FSN-UNI</v>
      </c>
      <c r="Z8" s="115" t="str">
        <f>LEFT(Y8,FIND("-",Y8)-1)</f>
        <v>FSN</v>
      </c>
      <c r="AA8" s="57">
        <f t="shared" ref="AA8" si="17">SUMIF($B:$B,$Y8,D:D)</f>
        <v>0</v>
      </c>
      <c r="AB8" s="115" t="str">
        <f t="shared" ref="AB8" si="18">RIGHT(Y8,LEN(Y8)-FIND("-",Y8))</f>
        <v>UNI</v>
      </c>
      <c r="AC8" s="62">
        <f t="shared" ref="AC8" si="19">SUMIF($B:$B,$Y8,E:E)</f>
        <v>0</v>
      </c>
      <c r="AD8" s="62">
        <f t="shared" ref="AD8" si="20">SUMIF($B:$B,$Y8,H:H)</f>
        <v>0</v>
      </c>
      <c r="AE8" s="62">
        <f t="shared" ref="AE8" si="21">SUMIF($B:$B,$Y8,I:I)</f>
        <v>0</v>
      </c>
      <c r="AF8" s="62">
        <f t="shared" ref="AF8" si="22">SUMIF($B:$B,$Y8,M:M)</f>
        <v>0</v>
      </c>
      <c r="AG8" s="62">
        <f t="shared" ref="AG8" si="23">SUMIF($B:$B,$Y8,O:O)</f>
        <v>0</v>
      </c>
      <c r="AH8" s="72">
        <f t="shared" ref="AH8" si="24">SUMIF($B:$B,$Y8,V:V)</f>
        <v>0</v>
      </c>
    </row>
    <row r="9" spans="1:34">
      <c r="B9" s="113" t="s">
        <v>136</v>
      </c>
      <c r="C9" s="114">
        <f>1/F9</f>
        <v>0.4</v>
      </c>
      <c r="D9" s="74">
        <v>1000</v>
      </c>
      <c r="E9" s="74">
        <v>400</v>
      </c>
      <c r="F9" s="61">
        <f>D9/E9</f>
        <v>2.5</v>
      </c>
      <c r="G9" s="61">
        <f>VLOOKUP(B9,PoolData!$A$11:$L$100,MATCH("XXX:FSN Ratio",PoolData!$A$10:$L$10,0),0)</f>
        <v>2.6228165008962359</v>
      </c>
      <c r="H9" s="62">
        <f>SQRT(G9/F9)*D9</f>
        <v>1024.2688125480022</v>
      </c>
      <c r="I9" s="62">
        <f>SQRT(F9/G9)*E9</f>
        <v>390.52248306276931</v>
      </c>
      <c r="J9" s="40">
        <f>D9*E9</f>
        <v>400000</v>
      </c>
      <c r="K9" s="40">
        <f>H9*I9</f>
        <v>400000</v>
      </c>
      <c r="L9" s="40"/>
      <c r="M9" s="62">
        <f>H9-D9</f>
        <v>24.268812548002188</v>
      </c>
      <c r="N9" s="115" t="str">
        <f>RIGHT(B9,LEN(B9)-FIND("-",B9))</f>
        <v>aUSDT</v>
      </c>
      <c r="O9" s="62">
        <f>I9-E9</f>
        <v>-9.4775169372306891</v>
      </c>
      <c r="Q9" s="40">
        <f>D9*2</f>
        <v>2000</v>
      </c>
      <c r="R9" s="57">
        <f>H9*2</f>
        <v>2048.5376250960044</v>
      </c>
      <c r="S9" s="40"/>
      <c r="T9" s="72">
        <f>Q9*C9</f>
        <v>800</v>
      </c>
      <c r="U9" s="72">
        <f>R9*$B$1</f>
        <v>781.04496612553874</v>
      </c>
      <c r="V9" s="72">
        <f>U9-T9</f>
        <v>-18.955033874461265</v>
      </c>
      <c r="Y9" s="40" t="str">
        <f>PoolData!A15</f>
        <v>FSN-aBTC</v>
      </c>
      <c r="Z9" s="115" t="str">
        <f t="shared" ref="Z9:Z71" si="25">LEFT(Y9,FIND("-",Y9)-1)</f>
        <v>FSN</v>
      </c>
      <c r="AA9" s="57">
        <f t="shared" si="6"/>
        <v>0</v>
      </c>
      <c r="AB9" s="115" t="str">
        <f t="shared" si="7"/>
        <v>aBTC</v>
      </c>
      <c r="AC9" s="62">
        <f t="shared" ref="AC9:AC71" si="26">SUMIF($B:$B,$Y9,E:E)</f>
        <v>0</v>
      </c>
      <c r="AD9" s="62">
        <f t="shared" ref="AD9:AD71" si="27">SUMIF($B:$B,$Y9,H:H)</f>
        <v>0</v>
      </c>
      <c r="AE9" s="62">
        <f t="shared" ref="AE9:AE71" si="28">SUMIF($B:$B,$Y9,I:I)</f>
        <v>0</v>
      </c>
      <c r="AF9" s="62">
        <f t="shared" ref="AF9:AF71" si="29">SUMIF($B:$B,$Y9,M:M)</f>
        <v>0</v>
      </c>
      <c r="AG9" s="62">
        <f t="shared" ref="AG9:AG71" si="30">SUMIF($B:$B,$Y9,O:O)</f>
        <v>0</v>
      </c>
      <c r="AH9" s="72">
        <f t="shared" ref="AH9:AH71" si="31">SUMIF($B:$B,$Y9,V:V)</f>
        <v>0</v>
      </c>
    </row>
    <row r="10" spans="1:34"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Q10" s="40"/>
      <c r="R10" s="40"/>
      <c r="S10" s="40"/>
      <c r="T10" s="40"/>
      <c r="U10" s="40"/>
      <c r="V10" s="40"/>
      <c r="Y10" s="40" t="str">
        <f>PoolData!A16</f>
        <v>-</v>
      </c>
      <c r="Z10" s="115" t="str">
        <f t="shared" si="25"/>
        <v/>
      </c>
      <c r="AA10" s="57">
        <f t="shared" si="6"/>
        <v>0</v>
      </c>
      <c r="AB10" s="115" t="str">
        <f t="shared" si="7"/>
        <v/>
      </c>
      <c r="AC10" s="62">
        <f t="shared" si="26"/>
        <v>0</v>
      </c>
      <c r="AD10" s="62">
        <f t="shared" si="27"/>
        <v>0</v>
      </c>
      <c r="AE10" s="62">
        <f t="shared" si="28"/>
        <v>0</v>
      </c>
      <c r="AF10" s="62">
        <f t="shared" si="29"/>
        <v>0</v>
      </c>
      <c r="AG10" s="62">
        <f t="shared" si="30"/>
        <v>0</v>
      </c>
      <c r="AH10" s="72">
        <f t="shared" si="31"/>
        <v>0</v>
      </c>
    </row>
    <row r="11" spans="1:34"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Q11" s="40"/>
      <c r="R11" s="40"/>
      <c r="S11" s="40"/>
      <c r="T11" s="40"/>
      <c r="U11" s="40"/>
      <c r="V11" s="40"/>
      <c r="Y11" s="40" t="str">
        <f>PoolData!A17</f>
        <v>-</v>
      </c>
      <c r="Z11" s="115" t="str">
        <f t="shared" si="25"/>
        <v/>
      </c>
      <c r="AA11" s="57">
        <f t="shared" si="6"/>
        <v>0</v>
      </c>
      <c r="AB11" s="115" t="str">
        <f t="shared" si="7"/>
        <v/>
      </c>
      <c r="AC11" s="62">
        <f t="shared" si="26"/>
        <v>0</v>
      </c>
      <c r="AD11" s="62">
        <f t="shared" si="27"/>
        <v>0</v>
      </c>
      <c r="AE11" s="62">
        <f t="shared" si="28"/>
        <v>0</v>
      </c>
      <c r="AF11" s="62">
        <f t="shared" si="29"/>
        <v>0</v>
      </c>
      <c r="AG11" s="62">
        <f t="shared" si="30"/>
        <v>0</v>
      </c>
      <c r="AH11" s="72">
        <f t="shared" si="31"/>
        <v>0</v>
      </c>
    </row>
    <row r="12" spans="1:34"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Q12" s="40"/>
      <c r="R12" s="40"/>
      <c r="S12" s="40"/>
      <c r="T12" s="40"/>
      <c r="U12" s="40"/>
      <c r="V12" s="40"/>
      <c r="Y12" s="40" t="str">
        <f>PoolData!A18</f>
        <v>-</v>
      </c>
      <c r="Z12" s="115" t="str">
        <f t="shared" si="25"/>
        <v/>
      </c>
      <c r="AA12" s="57">
        <f t="shared" si="6"/>
        <v>0</v>
      </c>
      <c r="AB12" s="115" t="str">
        <f t="shared" si="7"/>
        <v/>
      </c>
      <c r="AC12" s="62">
        <f t="shared" si="26"/>
        <v>0</v>
      </c>
      <c r="AD12" s="62">
        <f t="shared" si="27"/>
        <v>0</v>
      </c>
      <c r="AE12" s="62">
        <f t="shared" si="28"/>
        <v>0</v>
      </c>
      <c r="AF12" s="62">
        <f t="shared" si="29"/>
        <v>0</v>
      </c>
      <c r="AG12" s="62">
        <f t="shared" si="30"/>
        <v>0</v>
      </c>
      <c r="AH12" s="72">
        <f t="shared" si="31"/>
        <v>0</v>
      </c>
    </row>
    <row r="13" spans="1:34"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Q13" s="40"/>
      <c r="R13" s="40"/>
      <c r="S13" s="40"/>
      <c r="T13" s="40"/>
      <c r="U13" s="40"/>
      <c r="V13" s="40"/>
      <c r="Y13" s="40" t="str">
        <f>PoolData!A19</f>
        <v>-</v>
      </c>
      <c r="Z13" s="115" t="str">
        <f t="shared" si="25"/>
        <v/>
      </c>
      <c r="AA13" s="57">
        <f t="shared" si="6"/>
        <v>0</v>
      </c>
      <c r="AB13" s="115" t="str">
        <f t="shared" si="7"/>
        <v/>
      </c>
      <c r="AC13" s="62">
        <f t="shared" si="26"/>
        <v>0</v>
      </c>
      <c r="AD13" s="62">
        <f t="shared" si="27"/>
        <v>0</v>
      </c>
      <c r="AE13" s="62">
        <f t="shared" si="28"/>
        <v>0</v>
      </c>
      <c r="AF13" s="62">
        <f t="shared" si="29"/>
        <v>0</v>
      </c>
      <c r="AG13" s="62">
        <f t="shared" si="30"/>
        <v>0</v>
      </c>
      <c r="AH13" s="72">
        <f t="shared" si="31"/>
        <v>0</v>
      </c>
    </row>
    <row r="14" spans="1:34"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Q14" s="40"/>
      <c r="R14" s="40"/>
      <c r="S14" s="40"/>
      <c r="T14" s="40"/>
      <c r="U14" s="40"/>
      <c r="V14" s="40"/>
      <c r="Y14" s="40" t="str">
        <f>PoolData!A20</f>
        <v>-</v>
      </c>
      <c r="Z14" s="115" t="str">
        <f t="shared" si="25"/>
        <v/>
      </c>
      <c r="AA14" s="57">
        <f t="shared" si="6"/>
        <v>0</v>
      </c>
      <c r="AB14" s="115" t="str">
        <f t="shared" si="7"/>
        <v/>
      </c>
      <c r="AC14" s="62">
        <f t="shared" si="26"/>
        <v>0</v>
      </c>
      <c r="AD14" s="62">
        <f t="shared" si="27"/>
        <v>0</v>
      </c>
      <c r="AE14" s="62">
        <f t="shared" si="28"/>
        <v>0</v>
      </c>
      <c r="AF14" s="62">
        <f t="shared" si="29"/>
        <v>0</v>
      </c>
      <c r="AG14" s="62">
        <f t="shared" si="30"/>
        <v>0</v>
      </c>
      <c r="AH14" s="72">
        <f t="shared" si="31"/>
        <v>0</v>
      </c>
    </row>
    <row r="15" spans="1:34"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Q15" s="40"/>
      <c r="R15" s="40"/>
      <c r="S15" s="40"/>
      <c r="T15" s="40"/>
      <c r="U15" s="40"/>
      <c r="V15" s="40"/>
      <c r="Y15" s="40" t="str">
        <f>PoolData!A21</f>
        <v>-</v>
      </c>
      <c r="Z15" s="115" t="str">
        <f t="shared" si="25"/>
        <v/>
      </c>
      <c r="AA15" s="57">
        <f t="shared" si="6"/>
        <v>0</v>
      </c>
      <c r="AB15" s="115" t="str">
        <f t="shared" si="7"/>
        <v/>
      </c>
      <c r="AC15" s="62">
        <f t="shared" si="26"/>
        <v>0</v>
      </c>
      <c r="AD15" s="62">
        <f t="shared" si="27"/>
        <v>0</v>
      </c>
      <c r="AE15" s="62">
        <f t="shared" si="28"/>
        <v>0</v>
      </c>
      <c r="AF15" s="62">
        <f t="shared" si="29"/>
        <v>0</v>
      </c>
      <c r="AG15" s="62">
        <f t="shared" si="30"/>
        <v>0</v>
      </c>
      <c r="AH15" s="72">
        <f t="shared" si="31"/>
        <v>0</v>
      </c>
    </row>
    <row r="16" spans="1:34"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Q16" s="40"/>
      <c r="R16" s="40"/>
      <c r="S16" s="40"/>
      <c r="T16" s="40"/>
      <c r="U16" s="40"/>
      <c r="V16" s="40"/>
      <c r="Y16" s="40" t="str">
        <f>PoolData!A22</f>
        <v>-</v>
      </c>
      <c r="Z16" s="115" t="str">
        <f t="shared" si="25"/>
        <v/>
      </c>
      <c r="AA16" s="57">
        <f t="shared" si="6"/>
        <v>0</v>
      </c>
      <c r="AB16" s="115" t="str">
        <f t="shared" si="7"/>
        <v/>
      </c>
      <c r="AC16" s="62">
        <f t="shared" si="26"/>
        <v>0</v>
      </c>
      <c r="AD16" s="62">
        <f t="shared" si="27"/>
        <v>0</v>
      </c>
      <c r="AE16" s="62">
        <f t="shared" si="28"/>
        <v>0</v>
      </c>
      <c r="AF16" s="62">
        <f t="shared" si="29"/>
        <v>0</v>
      </c>
      <c r="AG16" s="62">
        <f t="shared" si="30"/>
        <v>0</v>
      </c>
      <c r="AH16" s="72">
        <f t="shared" si="31"/>
        <v>0</v>
      </c>
    </row>
    <row r="17" spans="2:34"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Q17" s="40"/>
      <c r="R17" s="40"/>
      <c r="S17" s="40"/>
      <c r="T17" s="40"/>
      <c r="U17" s="40"/>
      <c r="V17" s="40"/>
      <c r="Y17" s="40" t="str">
        <f>PoolData!A23</f>
        <v>-</v>
      </c>
      <c r="Z17" s="115" t="str">
        <f t="shared" si="25"/>
        <v/>
      </c>
      <c r="AA17" s="57">
        <f t="shared" si="6"/>
        <v>0</v>
      </c>
      <c r="AB17" s="115" t="str">
        <f t="shared" si="7"/>
        <v/>
      </c>
      <c r="AC17" s="62">
        <f t="shared" si="26"/>
        <v>0</v>
      </c>
      <c r="AD17" s="62">
        <f t="shared" si="27"/>
        <v>0</v>
      </c>
      <c r="AE17" s="62">
        <f t="shared" si="28"/>
        <v>0</v>
      </c>
      <c r="AF17" s="62">
        <f t="shared" si="29"/>
        <v>0</v>
      </c>
      <c r="AG17" s="62">
        <f t="shared" si="30"/>
        <v>0</v>
      </c>
      <c r="AH17" s="72">
        <f t="shared" si="31"/>
        <v>0</v>
      </c>
    </row>
    <row r="18" spans="2:34"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Q18" s="40"/>
      <c r="R18" s="40"/>
      <c r="S18" s="40"/>
      <c r="T18" s="40"/>
      <c r="U18" s="40"/>
      <c r="V18" s="40"/>
      <c r="Y18" s="40" t="str">
        <f>PoolData!A24</f>
        <v>-</v>
      </c>
      <c r="Z18" s="115" t="str">
        <f t="shared" si="25"/>
        <v/>
      </c>
      <c r="AA18" s="57">
        <f t="shared" si="6"/>
        <v>0</v>
      </c>
      <c r="AB18" s="115" t="str">
        <f t="shared" si="7"/>
        <v/>
      </c>
      <c r="AC18" s="62">
        <f t="shared" si="26"/>
        <v>0</v>
      </c>
      <c r="AD18" s="62">
        <f t="shared" si="27"/>
        <v>0</v>
      </c>
      <c r="AE18" s="62">
        <f t="shared" si="28"/>
        <v>0</v>
      </c>
      <c r="AF18" s="62">
        <f t="shared" si="29"/>
        <v>0</v>
      </c>
      <c r="AG18" s="62">
        <f t="shared" si="30"/>
        <v>0</v>
      </c>
      <c r="AH18" s="72">
        <f t="shared" si="31"/>
        <v>0</v>
      </c>
    </row>
    <row r="19" spans="2:34"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Q19" s="40"/>
      <c r="R19" s="40"/>
      <c r="S19" s="40"/>
      <c r="T19" s="40"/>
      <c r="U19" s="40"/>
      <c r="V19" s="40"/>
      <c r="Y19" s="40" t="str">
        <f>PoolData!A25</f>
        <v>-</v>
      </c>
      <c r="Z19" s="115" t="str">
        <f t="shared" si="25"/>
        <v/>
      </c>
      <c r="AA19" s="57">
        <f t="shared" si="6"/>
        <v>0</v>
      </c>
      <c r="AB19" s="115" t="str">
        <f t="shared" si="7"/>
        <v/>
      </c>
      <c r="AC19" s="62">
        <f t="shared" si="26"/>
        <v>0</v>
      </c>
      <c r="AD19" s="62">
        <f t="shared" si="27"/>
        <v>0</v>
      </c>
      <c r="AE19" s="62">
        <f t="shared" si="28"/>
        <v>0</v>
      </c>
      <c r="AF19" s="62">
        <f t="shared" si="29"/>
        <v>0</v>
      </c>
      <c r="AG19" s="62">
        <f t="shared" si="30"/>
        <v>0</v>
      </c>
      <c r="AH19" s="72">
        <f t="shared" si="31"/>
        <v>0</v>
      </c>
    </row>
    <row r="20" spans="2:34"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Q20" s="40"/>
      <c r="R20" s="40"/>
      <c r="S20" s="40"/>
      <c r="T20" s="40"/>
      <c r="U20" s="40"/>
      <c r="V20" s="40"/>
      <c r="Y20" s="40" t="str">
        <f>PoolData!A26</f>
        <v>-</v>
      </c>
      <c r="Z20" s="115" t="str">
        <f t="shared" si="25"/>
        <v/>
      </c>
      <c r="AA20" s="57">
        <f t="shared" si="6"/>
        <v>0</v>
      </c>
      <c r="AB20" s="115" t="str">
        <f t="shared" si="7"/>
        <v/>
      </c>
      <c r="AC20" s="62">
        <f t="shared" si="26"/>
        <v>0</v>
      </c>
      <c r="AD20" s="62">
        <f t="shared" si="27"/>
        <v>0</v>
      </c>
      <c r="AE20" s="62">
        <f t="shared" si="28"/>
        <v>0</v>
      </c>
      <c r="AF20" s="62">
        <f t="shared" si="29"/>
        <v>0</v>
      </c>
      <c r="AG20" s="62">
        <f t="shared" si="30"/>
        <v>0</v>
      </c>
      <c r="AH20" s="72">
        <f t="shared" si="31"/>
        <v>0</v>
      </c>
    </row>
    <row r="21" spans="2:34"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Q21" s="40"/>
      <c r="R21" s="40"/>
      <c r="S21" s="40"/>
      <c r="T21" s="40"/>
      <c r="U21" s="40"/>
      <c r="V21" s="40"/>
      <c r="Y21" s="40" t="str">
        <f>PoolData!A27</f>
        <v>-</v>
      </c>
      <c r="Z21" s="115" t="str">
        <f t="shared" si="25"/>
        <v/>
      </c>
      <c r="AA21" s="57">
        <f t="shared" si="6"/>
        <v>0</v>
      </c>
      <c r="AB21" s="115" t="str">
        <f t="shared" si="7"/>
        <v/>
      </c>
      <c r="AC21" s="62">
        <f t="shared" si="26"/>
        <v>0</v>
      </c>
      <c r="AD21" s="62">
        <f t="shared" si="27"/>
        <v>0</v>
      </c>
      <c r="AE21" s="62">
        <f t="shared" si="28"/>
        <v>0</v>
      </c>
      <c r="AF21" s="62">
        <f t="shared" si="29"/>
        <v>0</v>
      </c>
      <c r="AG21" s="62">
        <f t="shared" si="30"/>
        <v>0</v>
      </c>
      <c r="AH21" s="72">
        <f t="shared" si="31"/>
        <v>0</v>
      </c>
    </row>
    <row r="22" spans="2:34"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Q22" s="40"/>
      <c r="R22" s="40"/>
      <c r="S22" s="40"/>
      <c r="T22" s="40"/>
      <c r="U22" s="40"/>
      <c r="V22" s="40"/>
      <c r="Y22" s="40" t="str">
        <f>PoolData!A28</f>
        <v>-</v>
      </c>
      <c r="Z22" s="115" t="str">
        <f t="shared" si="25"/>
        <v/>
      </c>
      <c r="AA22" s="57">
        <f t="shared" si="6"/>
        <v>0</v>
      </c>
      <c r="AB22" s="115" t="str">
        <f t="shared" si="7"/>
        <v/>
      </c>
      <c r="AC22" s="62">
        <f t="shared" si="26"/>
        <v>0</v>
      </c>
      <c r="AD22" s="62">
        <f t="shared" si="27"/>
        <v>0</v>
      </c>
      <c r="AE22" s="62">
        <f t="shared" si="28"/>
        <v>0</v>
      </c>
      <c r="AF22" s="62">
        <f t="shared" si="29"/>
        <v>0</v>
      </c>
      <c r="AG22" s="62">
        <f t="shared" si="30"/>
        <v>0</v>
      </c>
      <c r="AH22" s="72">
        <f t="shared" si="31"/>
        <v>0</v>
      </c>
    </row>
    <row r="23" spans="2:34"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Q23" s="40"/>
      <c r="R23" s="40"/>
      <c r="S23" s="40"/>
      <c r="T23" s="40"/>
      <c r="U23" s="40"/>
      <c r="V23" s="40"/>
      <c r="Y23" s="40" t="str">
        <f>PoolData!A29</f>
        <v>-</v>
      </c>
      <c r="Z23" s="115" t="str">
        <f t="shared" si="25"/>
        <v/>
      </c>
      <c r="AA23" s="57">
        <f t="shared" si="6"/>
        <v>0</v>
      </c>
      <c r="AB23" s="115" t="str">
        <f t="shared" si="7"/>
        <v/>
      </c>
      <c r="AC23" s="62">
        <f t="shared" si="26"/>
        <v>0</v>
      </c>
      <c r="AD23" s="62">
        <f t="shared" si="27"/>
        <v>0</v>
      </c>
      <c r="AE23" s="62">
        <f t="shared" si="28"/>
        <v>0</v>
      </c>
      <c r="AF23" s="62">
        <f t="shared" si="29"/>
        <v>0</v>
      </c>
      <c r="AG23" s="62">
        <f t="shared" si="30"/>
        <v>0</v>
      </c>
      <c r="AH23" s="72">
        <f t="shared" si="31"/>
        <v>0</v>
      </c>
    </row>
    <row r="24" spans="2:34"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Q24" s="40"/>
      <c r="R24" s="40"/>
      <c r="S24" s="40"/>
      <c r="T24" s="40"/>
      <c r="U24" s="40"/>
      <c r="V24" s="40"/>
      <c r="Y24" s="40" t="str">
        <f>PoolData!A30</f>
        <v>-</v>
      </c>
      <c r="Z24" s="115" t="str">
        <f t="shared" si="25"/>
        <v/>
      </c>
      <c r="AA24" s="57">
        <f t="shared" si="6"/>
        <v>0</v>
      </c>
      <c r="AB24" s="115" t="str">
        <f t="shared" si="7"/>
        <v/>
      </c>
      <c r="AC24" s="62">
        <f t="shared" si="26"/>
        <v>0</v>
      </c>
      <c r="AD24" s="62">
        <f t="shared" si="27"/>
        <v>0</v>
      </c>
      <c r="AE24" s="62">
        <f t="shared" si="28"/>
        <v>0</v>
      </c>
      <c r="AF24" s="62">
        <f t="shared" si="29"/>
        <v>0</v>
      </c>
      <c r="AG24" s="62">
        <f t="shared" si="30"/>
        <v>0</v>
      </c>
      <c r="AH24" s="72">
        <f t="shared" si="31"/>
        <v>0</v>
      </c>
    </row>
    <row r="25" spans="2:34"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Q25" s="40"/>
      <c r="R25" s="40"/>
      <c r="S25" s="40"/>
      <c r="T25" s="40"/>
      <c r="U25" s="40"/>
      <c r="V25" s="40"/>
      <c r="Y25" s="40" t="str">
        <f>PoolData!A31</f>
        <v>-</v>
      </c>
      <c r="Z25" s="115" t="str">
        <f t="shared" si="25"/>
        <v/>
      </c>
      <c r="AA25" s="57">
        <f t="shared" si="6"/>
        <v>0</v>
      </c>
      <c r="AB25" s="115" t="str">
        <f t="shared" si="7"/>
        <v/>
      </c>
      <c r="AC25" s="62">
        <f t="shared" si="26"/>
        <v>0</v>
      </c>
      <c r="AD25" s="62">
        <f t="shared" si="27"/>
        <v>0</v>
      </c>
      <c r="AE25" s="62">
        <f t="shared" si="28"/>
        <v>0</v>
      </c>
      <c r="AF25" s="62">
        <f t="shared" si="29"/>
        <v>0</v>
      </c>
      <c r="AG25" s="62">
        <f t="shared" si="30"/>
        <v>0</v>
      </c>
      <c r="AH25" s="72">
        <f t="shared" si="31"/>
        <v>0</v>
      </c>
    </row>
    <row r="26" spans="2:34"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Q26" s="40"/>
      <c r="R26" s="40"/>
      <c r="S26" s="40"/>
      <c r="T26" s="40"/>
      <c r="U26" s="40"/>
      <c r="V26" s="40"/>
      <c r="Y26" s="40" t="str">
        <f>PoolData!A32</f>
        <v>-</v>
      </c>
      <c r="Z26" s="115" t="str">
        <f t="shared" si="25"/>
        <v/>
      </c>
      <c r="AA26" s="57">
        <f t="shared" si="6"/>
        <v>0</v>
      </c>
      <c r="AB26" s="115" t="str">
        <f t="shared" si="7"/>
        <v/>
      </c>
      <c r="AC26" s="62">
        <f t="shared" si="26"/>
        <v>0</v>
      </c>
      <c r="AD26" s="62">
        <f t="shared" si="27"/>
        <v>0</v>
      </c>
      <c r="AE26" s="62">
        <f t="shared" si="28"/>
        <v>0</v>
      </c>
      <c r="AF26" s="62">
        <f t="shared" si="29"/>
        <v>0</v>
      </c>
      <c r="AG26" s="62">
        <f t="shared" si="30"/>
        <v>0</v>
      </c>
      <c r="AH26" s="72">
        <f t="shared" si="31"/>
        <v>0</v>
      </c>
    </row>
    <row r="27" spans="2:34"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Q27" s="40"/>
      <c r="R27" s="40"/>
      <c r="S27" s="40"/>
      <c r="T27" s="40"/>
      <c r="U27" s="40"/>
      <c r="V27" s="40"/>
      <c r="Y27" s="40" t="str">
        <f>PoolData!A33</f>
        <v>-</v>
      </c>
      <c r="Z27" s="115" t="str">
        <f t="shared" si="25"/>
        <v/>
      </c>
      <c r="AA27" s="57">
        <f t="shared" si="6"/>
        <v>0</v>
      </c>
      <c r="AB27" s="115" t="str">
        <f t="shared" si="7"/>
        <v/>
      </c>
      <c r="AC27" s="62">
        <f t="shared" si="26"/>
        <v>0</v>
      </c>
      <c r="AD27" s="62">
        <f t="shared" si="27"/>
        <v>0</v>
      </c>
      <c r="AE27" s="62">
        <f t="shared" si="28"/>
        <v>0</v>
      </c>
      <c r="AF27" s="62">
        <f t="shared" si="29"/>
        <v>0</v>
      </c>
      <c r="AG27" s="62">
        <f t="shared" si="30"/>
        <v>0</v>
      </c>
      <c r="AH27" s="72">
        <f t="shared" si="31"/>
        <v>0</v>
      </c>
    </row>
    <row r="28" spans="2:34"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Q28" s="40"/>
      <c r="R28" s="40"/>
      <c r="S28" s="40"/>
      <c r="T28" s="40"/>
      <c r="U28" s="40"/>
      <c r="V28" s="40"/>
      <c r="Y28" s="40" t="str">
        <f>PoolData!A34</f>
        <v>-</v>
      </c>
      <c r="Z28" s="115" t="str">
        <f t="shared" si="25"/>
        <v/>
      </c>
      <c r="AA28" s="57">
        <f t="shared" si="6"/>
        <v>0</v>
      </c>
      <c r="AB28" s="115" t="str">
        <f t="shared" si="7"/>
        <v/>
      </c>
      <c r="AC28" s="62">
        <f t="shared" si="26"/>
        <v>0</v>
      </c>
      <c r="AD28" s="62">
        <f t="shared" si="27"/>
        <v>0</v>
      </c>
      <c r="AE28" s="62">
        <f t="shared" si="28"/>
        <v>0</v>
      </c>
      <c r="AF28" s="62">
        <f t="shared" si="29"/>
        <v>0</v>
      </c>
      <c r="AG28" s="62">
        <f t="shared" si="30"/>
        <v>0</v>
      </c>
      <c r="AH28" s="72">
        <f t="shared" si="31"/>
        <v>0</v>
      </c>
    </row>
    <row r="29" spans="2:34"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Q29" s="40"/>
      <c r="R29" s="40"/>
      <c r="S29" s="40"/>
      <c r="T29" s="40"/>
      <c r="U29" s="40"/>
      <c r="V29" s="40"/>
      <c r="Y29" s="40" t="str">
        <f>PoolData!A35</f>
        <v>-</v>
      </c>
      <c r="Z29" s="115" t="str">
        <f t="shared" si="25"/>
        <v/>
      </c>
      <c r="AA29" s="57">
        <f t="shared" si="6"/>
        <v>0</v>
      </c>
      <c r="AB29" s="115" t="str">
        <f t="shared" si="7"/>
        <v/>
      </c>
      <c r="AC29" s="62">
        <f t="shared" si="26"/>
        <v>0</v>
      </c>
      <c r="AD29" s="62">
        <f t="shared" si="27"/>
        <v>0</v>
      </c>
      <c r="AE29" s="62">
        <f t="shared" si="28"/>
        <v>0</v>
      </c>
      <c r="AF29" s="62">
        <f t="shared" si="29"/>
        <v>0</v>
      </c>
      <c r="AG29" s="62">
        <f t="shared" si="30"/>
        <v>0</v>
      </c>
      <c r="AH29" s="72">
        <f t="shared" si="31"/>
        <v>0</v>
      </c>
    </row>
    <row r="30" spans="2:34"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Q30" s="40"/>
      <c r="R30" s="40"/>
      <c r="S30" s="40"/>
      <c r="T30" s="40"/>
      <c r="U30" s="40"/>
      <c r="V30" s="40"/>
      <c r="Y30" s="40" t="str">
        <f>PoolData!A36</f>
        <v>-</v>
      </c>
      <c r="Z30" s="115" t="str">
        <f t="shared" si="25"/>
        <v/>
      </c>
      <c r="AA30" s="57">
        <f t="shared" si="6"/>
        <v>0</v>
      </c>
      <c r="AB30" s="115" t="str">
        <f t="shared" si="7"/>
        <v/>
      </c>
      <c r="AC30" s="62">
        <f t="shared" si="26"/>
        <v>0</v>
      </c>
      <c r="AD30" s="62">
        <f t="shared" si="27"/>
        <v>0</v>
      </c>
      <c r="AE30" s="62">
        <f t="shared" si="28"/>
        <v>0</v>
      </c>
      <c r="AF30" s="62">
        <f t="shared" si="29"/>
        <v>0</v>
      </c>
      <c r="AG30" s="62">
        <f t="shared" si="30"/>
        <v>0</v>
      </c>
      <c r="AH30" s="72">
        <f t="shared" si="31"/>
        <v>0</v>
      </c>
    </row>
    <row r="31" spans="2:34"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Q31" s="40"/>
      <c r="R31" s="40"/>
      <c r="S31" s="40"/>
      <c r="T31" s="40"/>
      <c r="U31" s="40"/>
      <c r="V31" s="40"/>
      <c r="Y31" s="40" t="str">
        <f>PoolData!A37</f>
        <v>-</v>
      </c>
      <c r="Z31" s="115" t="str">
        <f t="shared" si="25"/>
        <v/>
      </c>
      <c r="AA31" s="57">
        <f t="shared" si="6"/>
        <v>0</v>
      </c>
      <c r="AB31" s="115" t="str">
        <f t="shared" si="7"/>
        <v/>
      </c>
      <c r="AC31" s="62">
        <f t="shared" si="26"/>
        <v>0</v>
      </c>
      <c r="AD31" s="62">
        <f t="shared" si="27"/>
        <v>0</v>
      </c>
      <c r="AE31" s="62">
        <f t="shared" si="28"/>
        <v>0</v>
      </c>
      <c r="AF31" s="62">
        <f t="shared" si="29"/>
        <v>0</v>
      </c>
      <c r="AG31" s="62">
        <f t="shared" si="30"/>
        <v>0</v>
      </c>
      <c r="AH31" s="72">
        <f t="shared" si="31"/>
        <v>0</v>
      </c>
    </row>
    <row r="32" spans="2:34"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Q32" s="40"/>
      <c r="R32" s="40"/>
      <c r="S32" s="40"/>
      <c r="T32" s="40"/>
      <c r="U32" s="40"/>
      <c r="V32" s="40"/>
      <c r="Y32" s="40" t="str">
        <f>PoolData!A38</f>
        <v>-</v>
      </c>
      <c r="Z32" s="115" t="str">
        <f t="shared" si="25"/>
        <v/>
      </c>
      <c r="AA32" s="57">
        <f t="shared" si="6"/>
        <v>0</v>
      </c>
      <c r="AB32" s="115" t="str">
        <f t="shared" si="7"/>
        <v/>
      </c>
      <c r="AC32" s="62">
        <f t="shared" si="26"/>
        <v>0</v>
      </c>
      <c r="AD32" s="62">
        <f t="shared" si="27"/>
        <v>0</v>
      </c>
      <c r="AE32" s="62">
        <f t="shared" si="28"/>
        <v>0</v>
      </c>
      <c r="AF32" s="62">
        <f t="shared" si="29"/>
        <v>0</v>
      </c>
      <c r="AG32" s="62">
        <f t="shared" si="30"/>
        <v>0</v>
      </c>
      <c r="AH32" s="72">
        <f t="shared" si="31"/>
        <v>0</v>
      </c>
    </row>
    <row r="33" spans="2:34"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Q33" s="40"/>
      <c r="R33" s="40"/>
      <c r="S33" s="40"/>
      <c r="T33" s="40"/>
      <c r="U33" s="40"/>
      <c r="V33" s="40"/>
      <c r="Y33" s="40" t="str">
        <f>PoolData!A39</f>
        <v>-</v>
      </c>
      <c r="Z33" s="115" t="str">
        <f t="shared" si="25"/>
        <v/>
      </c>
      <c r="AA33" s="57">
        <f t="shared" si="6"/>
        <v>0</v>
      </c>
      <c r="AB33" s="115" t="str">
        <f t="shared" si="7"/>
        <v/>
      </c>
      <c r="AC33" s="62">
        <f t="shared" si="26"/>
        <v>0</v>
      </c>
      <c r="AD33" s="62">
        <f t="shared" si="27"/>
        <v>0</v>
      </c>
      <c r="AE33" s="62">
        <f t="shared" si="28"/>
        <v>0</v>
      </c>
      <c r="AF33" s="62">
        <f t="shared" si="29"/>
        <v>0</v>
      </c>
      <c r="AG33" s="62">
        <f t="shared" si="30"/>
        <v>0</v>
      </c>
      <c r="AH33" s="72">
        <f t="shared" si="31"/>
        <v>0</v>
      </c>
    </row>
    <row r="34" spans="2:34"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Q34" s="40"/>
      <c r="R34" s="40"/>
      <c r="S34" s="40"/>
      <c r="T34" s="40"/>
      <c r="U34" s="40"/>
      <c r="V34" s="40"/>
      <c r="Y34" s="40" t="str">
        <f>PoolData!A40</f>
        <v>-</v>
      </c>
      <c r="Z34" s="115" t="str">
        <f t="shared" si="25"/>
        <v/>
      </c>
      <c r="AA34" s="57">
        <f t="shared" si="6"/>
        <v>0</v>
      </c>
      <c r="AB34" s="115" t="str">
        <f t="shared" si="7"/>
        <v/>
      </c>
      <c r="AC34" s="62">
        <f t="shared" si="26"/>
        <v>0</v>
      </c>
      <c r="AD34" s="62">
        <f t="shared" si="27"/>
        <v>0</v>
      </c>
      <c r="AE34" s="62">
        <f t="shared" si="28"/>
        <v>0</v>
      </c>
      <c r="AF34" s="62">
        <f t="shared" si="29"/>
        <v>0</v>
      </c>
      <c r="AG34" s="62">
        <f t="shared" si="30"/>
        <v>0</v>
      </c>
      <c r="AH34" s="72">
        <f t="shared" si="31"/>
        <v>0</v>
      </c>
    </row>
    <row r="35" spans="2:34"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Q35" s="40"/>
      <c r="R35" s="40"/>
      <c r="S35" s="40"/>
      <c r="T35" s="40"/>
      <c r="U35" s="40"/>
      <c r="V35" s="40"/>
      <c r="Y35" s="40" t="str">
        <f>PoolData!A41</f>
        <v>-</v>
      </c>
      <c r="Z35" s="115" t="str">
        <f t="shared" si="25"/>
        <v/>
      </c>
      <c r="AA35" s="57">
        <f t="shared" si="6"/>
        <v>0</v>
      </c>
      <c r="AB35" s="115" t="str">
        <f t="shared" si="7"/>
        <v/>
      </c>
      <c r="AC35" s="62">
        <f t="shared" si="26"/>
        <v>0</v>
      </c>
      <c r="AD35" s="62">
        <f t="shared" si="27"/>
        <v>0</v>
      </c>
      <c r="AE35" s="62">
        <f t="shared" si="28"/>
        <v>0</v>
      </c>
      <c r="AF35" s="62">
        <f t="shared" si="29"/>
        <v>0</v>
      </c>
      <c r="AG35" s="62">
        <f t="shared" si="30"/>
        <v>0</v>
      </c>
      <c r="AH35" s="72">
        <f t="shared" si="31"/>
        <v>0</v>
      </c>
    </row>
    <row r="36" spans="2:34"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Q36" s="40"/>
      <c r="R36" s="40"/>
      <c r="S36" s="40"/>
      <c r="T36" s="40"/>
      <c r="U36" s="40"/>
      <c r="V36" s="40"/>
      <c r="Y36" s="40" t="str">
        <f>PoolData!A42</f>
        <v>-</v>
      </c>
      <c r="Z36" s="115" t="str">
        <f t="shared" si="25"/>
        <v/>
      </c>
      <c r="AA36" s="57">
        <f t="shared" si="6"/>
        <v>0</v>
      </c>
      <c r="AB36" s="115" t="str">
        <f t="shared" si="7"/>
        <v/>
      </c>
      <c r="AC36" s="62">
        <f t="shared" si="26"/>
        <v>0</v>
      </c>
      <c r="AD36" s="62">
        <f t="shared" si="27"/>
        <v>0</v>
      </c>
      <c r="AE36" s="62">
        <f t="shared" si="28"/>
        <v>0</v>
      </c>
      <c r="AF36" s="62">
        <f t="shared" si="29"/>
        <v>0</v>
      </c>
      <c r="AG36" s="62">
        <f t="shared" si="30"/>
        <v>0</v>
      </c>
      <c r="AH36" s="72">
        <f t="shared" si="31"/>
        <v>0</v>
      </c>
    </row>
    <row r="37" spans="2:34"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Q37" s="40"/>
      <c r="R37" s="40"/>
      <c r="S37" s="40"/>
      <c r="T37" s="40"/>
      <c r="U37" s="40"/>
      <c r="V37" s="40"/>
      <c r="Y37" s="40" t="str">
        <f>PoolData!A43</f>
        <v>-</v>
      </c>
      <c r="Z37" s="115" t="str">
        <f t="shared" si="25"/>
        <v/>
      </c>
      <c r="AA37" s="57">
        <f t="shared" si="6"/>
        <v>0</v>
      </c>
      <c r="AB37" s="115" t="str">
        <f t="shared" si="7"/>
        <v/>
      </c>
      <c r="AC37" s="62">
        <f t="shared" si="26"/>
        <v>0</v>
      </c>
      <c r="AD37" s="62">
        <f t="shared" si="27"/>
        <v>0</v>
      </c>
      <c r="AE37" s="62">
        <f t="shared" si="28"/>
        <v>0</v>
      </c>
      <c r="AF37" s="62">
        <f t="shared" si="29"/>
        <v>0</v>
      </c>
      <c r="AG37" s="62">
        <f t="shared" si="30"/>
        <v>0</v>
      </c>
      <c r="AH37" s="72">
        <f t="shared" si="31"/>
        <v>0</v>
      </c>
    </row>
    <row r="38" spans="2:34"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Q38" s="40"/>
      <c r="R38" s="40"/>
      <c r="S38" s="40"/>
      <c r="T38" s="40"/>
      <c r="U38" s="40"/>
      <c r="V38" s="40"/>
      <c r="Y38" s="40" t="str">
        <f>PoolData!A44</f>
        <v>-</v>
      </c>
      <c r="Z38" s="115" t="str">
        <f t="shared" si="25"/>
        <v/>
      </c>
      <c r="AA38" s="57">
        <f t="shared" si="6"/>
        <v>0</v>
      </c>
      <c r="AB38" s="115" t="str">
        <f t="shared" si="7"/>
        <v/>
      </c>
      <c r="AC38" s="62">
        <f t="shared" si="26"/>
        <v>0</v>
      </c>
      <c r="AD38" s="62">
        <f t="shared" si="27"/>
        <v>0</v>
      </c>
      <c r="AE38" s="62">
        <f t="shared" si="28"/>
        <v>0</v>
      </c>
      <c r="AF38" s="62">
        <f t="shared" si="29"/>
        <v>0</v>
      </c>
      <c r="AG38" s="62">
        <f t="shared" si="30"/>
        <v>0</v>
      </c>
      <c r="AH38" s="72">
        <f t="shared" si="31"/>
        <v>0</v>
      </c>
    </row>
    <row r="39" spans="2:34"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Q39" s="40"/>
      <c r="R39" s="40"/>
      <c r="S39" s="40"/>
      <c r="T39" s="40"/>
      <c r="U39" s="40"/>
      <c r="V39" s="40"/>
      <c r="Y39" s="40" t="str">
        <f>PoolData!A45</f>
        <v>-</v>
      </c>
      <c r="Z39" s="115" t="str">
        <f t="shared" si="25"/>
        <v/>
      </c>
      <c r="AA39" s="57">
        <f t="shared" si="6"/>
        <v>0</v>
      </c>
      <c r="AB39" s="115" t="str">
        <f t="shared" si="7"/>
        <v/>
      </c>
      <c r="AC39" s="62">
        <f t="shared" si="26"/>
        <v>0</v>
      </c>
      <c r="AD39" s="62">
        <f t="shared" si="27"/>
        <v>0</v>
      </c>
      <c r="AE39" s="62">
        <f t="shared" si="28"/>
        <v>0</v>
      </c>
      <c r="AF39" s="62">
        <f t="shared" si="29"/>
        <v>0</v>
      </c>
      <c r="AG39" s="62">
        <f t="shared" si="30"/>
        <v>0</v>
      </c>
      <c r="AH39" s="72">
        <f t="shared" si="31"/>
        <v>0</v>
      </c>
    </row>
    <row r="40" spans="2:34"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Q40" s="40"/>
      <c r="R40" s="40"/>
      <c r="S40" s="40"/>
      <c r="T40" s="40"/>
      <c r="U40" s="40"/>
      <c r="V40" s="40"/>
      <c r="Y40" s="40" t="str">
        <f>PoolData!A46</f>
        <v>-</v>
      </c>
      <c r="Z40" s="115" t="str">
        <f t="shared" si="25"/>
        <v/>
      </c>
      <c r="AA40" s="57">
        <f t="shared" si="6"/>
        <v>0</v>
      </c>
      <c r="AB40" s="115" t="str">
        <f t="shared" si="7"/>
        <v/>
      </c>
      <c r="AC40" s="62">
        <f t="shared" si="26"/>
        <v>0</v>
      </c>
      <c r="AD40" s="62">
        <f t="shared" si="27"/>
        <v>0</v>
      </c>
      <c r="AE40" s="62">
        <f t="shared" si="28"/>
        <v>0</v>
      </c>
      <c r="AF40" s="62">
        <f t="shared" si="29"/>
        <v>0</v>
      </c>
      <c r="AG40" s="62">
        <f t="shared" si="30"/>
        <v>0</v>
      </c>
      <c r="AH40" s="72">
        <f t="shared" si="31"/>
        <v>0</v>
      </c>
    </row>
    <row r="41" spans="2:34"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Q41" s="40"/>
      <c r="R41" s="40"/>
      <c r="S41" s="40"/>
      <c r="T41" s="40"/>
      <c r="U41" s="40"/>
      <c r="V41" s="40"/>
      <c r="Y41" s="40" t="str">
        <f>PoolData!A47</f>
        <v>-</v>
      </c>
      <c r="Z41" s="115" t="str">
        <f t="shared" si="25"/>
        <v/>
      </c>
      <c r="AA41" s="57">
        <f t="shared" si="6"/>
        <v>0</v>
      </c>
      <c r="AB41" s="115" t="str">
        <f t="shared" si="7"/>
        <v/>
      </c>
      <c r="AC41" s="62">
        <f t="shared" si="26"/>
        <v>0</v>
      </c>
      <c r="AD41" s="62">
        <f t="shared" si="27"/>
        <v>0</v>
      </c>
      <c r="AE41" s="62">
        <f t="shared" si="28"/>
        <v>0</v>
      </c>
      <c r="AF41" s="62">
        <f t="shared" si="29"/>
        <v>0</v>
      </c>
      <c r="AG41" s="62">
        <f t="shared" si="30"/>
        <v>0</v>
      </c>
      <c r="AH41" s="72">
        <f t="shared" si="31"/>
        <v>0</v>
      </c>
    </row>
    <row r="42" spans="2:34"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Q42" s="40"/>
      <c r="R42" s="40"/>
      <c r="S42" s="40"/>
      <c r="T42" s="40"/>
      <c r="U42" s="40"/>
      <c r="V42" s="40"/>
      <c r="Y42" s="40" t="str">
        <f>PoolData!A48</f>
        <v>-</v>
      </c>
      <c r="Z42" s="115" t="str">
        <f t="shared" si="25"/>
        <v/>
      </c>
      <c r="AA42" s="57">
        <f t="shared" si="6"/>
        <v>0</v>
      </c>
      <c r="AB42" s="115" t="str">
        <f t="shared" si="7"/>
        <v/>
      </c>
      <c r="AC42" s="62">
        <f t="shared" si="26"/>
        <v>0</v>
      </c>
      <c r="AD42" s="62">
        <f t="shared" si="27"/>
        <v>0</v>
      </c>
      <c r="AE42" s="62">
        <f t="shared" si="28"/>
        <v>0</v>
      </c>
      <c r="AF42" s="62">
        <f t="shared" si="29"/>
        <v>0</v>
      </c>
      <c r="AG42" s="62">
        <f t="shared" si="30"/>
        <v>0</v>
      </c>
      <c r="AH42" s="72">
        <f t="shared" si="31"/>
        <v>0</v>
      </c>
    </row>
    <row r="43" spans="2:34"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Q43" s="40"/>
      <c r="R43" s="40"/>
      <c r="S43" s="40"/>
      <c r="T43" s="40"/>
      <c r="U43" s="40"/>
      <c r="V43" s="40"/>
      <c r="Y43" s="40" t="str">
        <f>PoolData!A49</f>
        <v>-</v>
      </c>
      <c r="Z43" s="115" t="str">
        <f t="shared" si="25"/>
        <v/>
      </c>
      <c r="AA43" s="57">
        <f t="shared" si="6"/>
        <v>0</v>
      </c>
      <c r="AB43" s="115" t="str">
        <f t="shared" si="7"/>
        <v/>
      </c>
      <c r="AC43" s="62">
        <f t="shared" si="26"/>
        <v>0</v>
      </c>
      <c r="AD43" s="62">
        <f t="shared" si="27"/>
        <v>0</v>
      </c>
      <c r="AE43" s="62">
        <f t="shared" si="28"/>
        <v>0</v>
      </c>
      <c r="AF43" s="62">
        <f t="shared" si="29"/>
        <v>0</v>
      </c>
      <c r="AG43" s="62">
        <f t="shared" si="30"/>
        <v>0</v>
      </c>
      <c r="AH43" s="72">
        <f t="shared" si="31"/>
        <v>0</v>
      </c>
    </row>
    <row r="44" spans="2:34"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40"/>
      <c r="O44" s="40"/>
      <c r="Q44" s="40"/>
      <c r="R44" s="40"/>
      <c r="S44" s="40"/>
      <c r="T44" s="40"/>
      <c r="U44" s="40"/>
      <c r="V44" s="40"/>
      <c r="Y44" s="40" t="str">
        <f>PoolData!A50</f>
        <v>-</v>
      </c>
      <c r="Z44" s="115" t="str">
        <f t="shared" si="25"/>
        <v/>
      </c>
      <c r="AA44" s="57">
        <f t="shared" si="6"/>
        <v>0</v>
      </c>
      <c r="AB44" s="115" t="str">
        <f t="shared" si="7"/>
        <v/>
      </c>
      <c r="AC44" s="62">
        <f t="shared" si="26"/>
        <v>0</v>
      </c>
      <c r="AD44" s="62">
        <f t="shared" si="27"/>
        <v>0</v>
      </c>
      <c r="AE44" s="62">
        <f t="shared" si="28"/>
        <v>0</v>
      </c>
      <c r="AF44" s="62">
        <f t="shared" si="29"/>
        <v>0</v>
      </c>
      <c r="AG44" s="62">
        <f t="shared" si="30"/>
        <v>0</v>
      </c>
      <c r="AH44" s="72">
        <f t="shared" si="31"/>
        <v>0</v>
      </c>
    </row>
    <row r="45" spans="2:34"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Q45" s="40"/>
      <c r="R45" s="40"/>
      <c r="S45" s="40"/>
      <c r="T45" s="40"/>
      <c r="U45" s="40"/>
      <c r="V45" s="40"/>
      <c r="Y45" s="40" t="str">
        <f>PoolData!A51</f>
        <v>-</v>
      </c>
      <c r="Z45" s="115" t="str">
        <f t="shared" si="25"/>
        <v/>
      </c>
      <c r="AA45" s="57">
        <f t="shared" si="6"/>
        <v>0</v>
      </c>
      <c r="AB45" s="115" t="str">
        <f t="shared" si="7"/>
        <v/>
      </c>
      <c r="AC45" s="62">
        <f t="shared" si="26"/>
        <v>0</v>
      </c>
      <c r="AD45" s="62">
        <f t="shared" si="27"/>
        <v>0</v>
      </c>
      <c r="AE45" s="62">
        <f t="shared" si="28"/>
        <v>0</v>
      </c>
      <c r="AF45" s="62">
        <f t="shared" si="29"/>
        <v>0</v>
      </c>
      <c r="AG45" s="62">
        <f t="shared" si="30"/>
        <v>0</v>
      </c>
      <c r="AH45" s="72">
        <f t="shared" si="31"/>
        <v>0</v>
      </c>
    </row>
    <row r="46" spans="2:34">
      <c r="B46" s="40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Q46" s="40"/>
      <c r="R46" s="40"/>
      <c r="S46" s="40"/>
      <c r="T46" s="40"/>
      <c r="U46" s="40"/>
      <c r="V46" s="40"/>
      <c r="Y46" s="40" t="str">
        <f>PoolData!A52</f>
        <v>-</v>
      </c>
      <c r="Z46" s="115" t="str">
        <f t="shared" si="25"/>
        <v/>
      </c>
      <c r="AA46" s="57">
        <f t="shared" si="6"/>
        <v>0</v>
      </c>
      <c r="AB46" s="115" t="str">
        <f t="shared" si="7"/>
        <v/>
      </c>
      <c r="AC46" s="62">
        <f t="shared" si="26"/>
        <v>0</v>
      </c>
      <c r="AD46" s="62">
        <f t="shared" si="27"/>
        <v>0</v>
      </c>
      <c r="AE46" s="62">
        <f t="shared" si="28"/>
        <v>0</v>
      </c>
      <c r="AF46" s="62">
        <f t="shared" si="29"/>
        <v>0</v>
      </c>
      <c r="AG46" s="62">
        <f t="shared" si="30"/>
        <v>0</v>
      </c>
      <c r="AH46" s="72">
        <f t="shared" si="31"/>
        <v>0</v>
      </c>
    </row>
    <row r="47" spans="2:34">
      <c r="B47" s="40"/>
      <c r="C47" s="40"/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Q47" s="40"/>
      <c r="R47" s="40"/>
      <c r="S47" s="40"/>
      <c r="T47" s="40"/>
      <c r="U47" s="40"/>
      <c r="V47" s="40"/>
      <c r="Y47" s="40" t="str">
        <f>PoolData!A53</f>
        <v>-</v>
      </c>
      <c r="Z47" s="115" t="str">
        <f t="shared" si="25"/>
        <v/>
      </c>
      <c r="AA47" s="57">
        <f t="shared" si="6"/>
        <v>0</v>
      </c>
      <c r="AB47" s="115" t="str">
        <f t="shared" si="7"/>
        <v/>
      </c>
      <c r="AC47" s="62">
        <f t="shared" si="26"/>
        <v>0</v>
      </c>
      <c r="AD47" s="62">
        <f t="shared" si="27"/>
        <v>0</v>
      </c>
      <c r="AE47" s="62">
        <f t="shared" si="28"/>
        <v>0</v>
      </c>
      <c r="AF47" s="62">
        <f t="shared" si="29"/>
        <v>0</v>
      </c>
      <c r="AG47" s="62">
        <f t="shared" si="30"/>
        <v>0</v>
      </c>
      <c r="AH47" s="72">
        <f t="shared" si="31"/>
        <v>0</v>
      </c>
    </row>
    <row r="48" spans="2:34"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Q48" s="40"/>
      <c r="R48" s="40"/>
      <c r="S48" s="40"/>
      <c r="T48" s="40"/>
      <c r="U48" s="40"/>
      <c r="V48" s="40"/>
      <c r="Y48" s="40" t="str">
        <f>PoolData!A54</f>
        <v>-</v>
      </c>
      <c r="Z48" s="115" t="str">
        <f t="shared" si="25"/>
        <v/>
      </c>
      <c r="AA48" s="57">
        <f t="shared" si="6"/>
        <v>0</v>
      </c>
      <c r="AB48" s="115" t="str">
        <f t="shared" si="7"/>
        <v/>
      </c>
      <c r="AC48" s="62">
        <f t="shared" si="26"/>
        <v>0</v>
      </c>
      <c r="AD48" s="62">
        <f t="shared" si="27"/>
        <v>0</v>
      </c>
      <c r="AE48" s="62">
        <f t="shared" si="28"/>
        <v>0</v>
      </c>
      <c r="AF48" s="62">
        <f t="shared" si="29"/>
        <v>0</v>
      </c>
      <c r="AG48" s="62">
        <f t="shared" si="30"/>
        <v>0</v>
      </c>
      <c r="AH48" s="72">
        <f t="shared" si="31"/>
        <v>0</v>
      </c>
    </row>
    <row r="49" spans="2:34"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Q49" s="40"/>
      <c r="R49" s="40"/>
      <c r="S49" s="40"/>
      <c r="T49" s="40"/>
      <c r="U49" s="40"/>
      <c r="V49" s="40"/>
      <c r="Y49" s="40" t="str">
        <f>PoolData!A55</f>
        <v>-</v>
      </c>
      <c r="Z49" s="115" t="str">
        <f t="shared" si="25"/>
        <v/>
      </c>
      <c r="AA49" s="57">
        <f t="shared" si="6"/>
        <v>0</v>
      </c>
      <c r="AB49" s="115" t="str">
        <f t="shared" si="7"/>
        <v/>
      </c>
      <c r="AC49" s="62">
        <f t="shared" si="26"/>
        <v>0</v>
      </c>
      <c r="AD49" s="62">
        <f t="shared" si="27"/>
        <v>0</v>
      </c>
      <c r="AE49" s="62">
        <f t="shared" si="28"/>
        <v>0</v>
      </c>
      <c r="AF49" s="62">
        <f t="shared" si="29"/>
        <v>0</v>
      </c>
      <c r="AG49" s="62">
        <f t="shared" si="30"/>
        <v>0</v>
      </c>
      <c r="AH49" s="72">
        <f t="shared" si="31"/>
        <v>0</v>
      </c>
    </row>
    <row r="50" spans="2:34"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Q50" s="40"/>
      <c r="R50" s="40"/>
      <c r="S50" s="40"/>
      <c r="T50" s="40"/>
      <c r="U50" s="40"/>
      <c r="V50" s="40"/>
      <c r="Y50" s="40" t="str">
        <f>PoolData!A56</f>
        <v>-</v>
      </c>
      <c r="Z50" s="115" t="str">
        <f t="shared" si="25"/>
        <v/>
      </c>
      <c r="AA50" s="57">
        <f t="shared" si="6"/>
        <v>0</v>
      </c>
      <c r="AB50" s="115" t="str">
        <f t="shared" si="7"/>
        <v/>
      </c>
      <c r="AC50" s="62">
        <f t="shared" si="26"/>
        <v>0</v>
      </c>
      <c r="AD50" s="62">
        <f t="shared" si="27"/>
        <v>0</v>
      </c>
      <c r="AE50" s="62">
        <f t="shared" si="28"/>
        <v>0</v>
      </c>
      <c r="AF50" s="62">
        <f t="shared" si="29"/>
        <v>0</v>
      </c>
      <c r="AG50" s="62">
        <f t="shared" si="30"/>
        <v>0</v>
      </c>
      <c r="AH50" s="72">
        <f t="shared" si="31"/>
        <v>0</v>
      </c>
    </row>
    <row r="51" spans="2:34"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Q51" s="40"/>
      <c r="R51" s="40"/>
      <c r="S51" s="40"/>
      <c r="T51" s="40"/>
      <c r="U51" s="40"/>
      <c r="V51" s="40"/>
      <c r="Y51" s="40" t="str">
        <f>PoolData!A57</f>
        <v>-</v>
      </c>
      <c r="Z51" s="115" t="str">
        <f t="shared" si="25"/>
        <v/>
      </c>
      <c r="AA51" s="57">
        <f t="shared" si="6"/>
        <v>0</v>
      </c>
      <c r="AB51" s="115" t="str">
        <f t="shared" si="7"/>
        <v/>
      </c>
      <c r="AC51" s="62">
        <f t="shared" si="26"/>
        <v>0</v>
      </c>
      <c r="AD51" s="62">
        <f t="shared" si="27"/>
        <v>0</v>
      </c>
      <c r="AE51" s="62">
        <f t="shared" si="28"/>
        <v>0</v>
      </c>
      <c r="AF51" s="62">
        <f t="shared" si="29"/>
        <v>0</v>
      </c>
      <c r="AG51" s="62">
        <f t="shared" si="30"/>
        <v>0</v>
      </c>
      <c r="AH51" s="72">
        <f t="shared" si="31"/>
        <v>0</v>
      </c>
    </row>
    <row r="52" spans="2:34"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0"/>
      <c r="N52" s="40"/>
      <c r="O52" s="40"/>
      <c r="Q52" s="40"/>
      <c r="R52" s="40"/>
      <c r="S52" s="40"/>
      <c r="T52" s="40"/>
      <c r="U52" s="40"/>
      <c r="V52" s="40"/>
      <c r="Y52" s="40" t="str">
        <f>PoolData!A58</f>
        <v>-</v>
      </c>
      <c r="Z52" s="115" t="str">
        <f t="shared" si="25"/>
        <v/>
      </c>
      <c r="AA52" s="57">
        <f t="shared" si="6"/>
        <v>0</v>
      </c>
      <c r="AB52" s="115" t="str">
        <f t="shared" si="7"/>
        <v/>
      </c>
      <c r="AC52" s="62">
        <f t="shared" si="26"/>
        <v>0</v>
      </c>
      <c r="AD52" s="62">
        <f t="shared" si="27"/>
        <v>0</v>
      </c>
      <c r="AE52" s="62">
        <f t="shared" si="28"/>
        <v>0</v>
      </c>
      <c r="AF52" s="62">
        <f t="shared" si="29"/>
        <v>0</v>
      </c>
      <c r="AG52" s="62">
        <f t="shared" si="30"/>
        <v>0</v>
      </c>
      <c r="AH52" s="72">
        <f t="shared" si="31"/>
        <v>0</v>
      </c>
    </row>
    <row r="53" spans="2:34"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40"/>
      <c r="Q53" s="40"/>
      <c r="R53" s="40"/>
      <c r="S53" s="40"/>
      <c r="T53" s="40"/>
      <c r="U53" s="40"/>
      <c r="V53" s="40"/>
      <c r="Y53" s="40" t="str">
        <f>PoolData!A59</f>
        <v>-</v>
      </c>
      <c r="Z53" s="115" t="str">
        <f t="shared" si="25"/>
        <v/>
      </c>
      <c r="AA53" s="57">
        <f t="shared" si="6"/>
        <v>0</v>
      </c>
      <c r="AB53" s="115" t="str">
        <f t="shared" si="7"/>
        <v/>
      </c>
      <c r="AC53" s="62">
        <f t="shared" si="26"/>
        <v>0</v>
      </c>
      <c r="AD53" s="62">
        <f t="shared" si="27"/>
        <v>0</v>
      </c>
      <c r="AE53" s="62">
        <f t="shared" si="28"/>
        <v>0</v>
      </c>
      <c r="AF53" s="62">
        <f t="shared" si="29"/>
        <v>0</v>
      </c>
      <c r="AG53" s="62">
        <f t="shared" si="30"/>
        <v>0</v>
      </c>
      <c r="AH53" s="72">
        <f t="shared" si="31"/>
        <v>0</v>
      </c>
    </row>
    <row r="54" spans="2:34"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0"/>
      <c r="N54" s="40"/>
      <c r="O54" s="40"/>
      <c r="Q54" s="40"/>
      <c r="R54" s="40"/>
      <c r="S54" s="40"/>
      <c r="T54" s="40"/>
      <c r="U54" s="40"/>
      <c r="V54" s="40"/>
      <c r="Y54" s="40" t="str">
        <f>PoolData!A60</f>
        <v>-</v>
      </c>
      <c r="Z54" s="115" t="str">
        <f t="shared" si="25"/>
        <v/>
      </c>
      <c r="AA54" s="57">
        <f t="shared" si="6"/>
        <v>0</v>
      </c>
      <c r="AB54" s="115" t="str">
        <f t="shared" si="7"/>
        <v/>
      </c>
      <c r="AC54" s="62">
        <f t="shared" si="26"/>
        <v>0</v>
      </c>
      <c r="AD54" s="62">
        <f t="shared" si="27"/>
        <v>0</v>
      </c>
      <c r="AE54" s="62">
        <f t="shared" si="28"/>
        <v>0</v>
      </c>
      <c r="AF54" s="62">
        <f t="shared" si="29"/>
        <v>0</v>
      </c>
      <c r="AG54" s="62">
        <f t="shared" si="30"/>
        <v>0</v>
      </c>
      <c r="AH54" s="72">
        <f t="shared" si="31"/>
        <v>0</v>
      </c>
    </row>
    <row r="55" spans="2:34"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Q55" s="40"/>
      <c r="R55" s="40"/>
      <c r="S55" s="40"/>
      <c r="T55" s="40"/>
      <c r="U55" s="40"/>
      <c r="V55" s="40"/>
      <c r="Y55" s="40" t="str">
        <f>PoolData!A61</f>
        <v>-</v>
      </c>
      <c r="Z55" s="115" t="str">
        <f t="shared" si="25"/>
        <v/>
      </c>
      <c r="AA55" s="57">
        <f t="shared" si="6"/>
        <v>0</v>
      </c>
      <c r="AB55" s="115" t="str">
        <f t="shared" si="7"/>
        <v/>
      </c>
      <c r="AC55" s="62">
        <f t="shared" si="26"/>
        <v>0</v>
      </c>
      <c r="AD55" s="62">
        <f t="shared" si="27"/>
        <v>0</v>
      </c>
      <c r="AE55" s="62">
        <f t="shared" si="28"/>
        <v>0</v>
      </c>
      <c r="AF55" s="62">
        <f t="shared" si="29"/>
        <v>0</v>
      </c>
      <c r="AG55" s="62">
        <f t="shared" si="30"/>
        <v>0</v>
      </c>
      <c r="AH55" s="72">
        <f t="shared" si="31"/>
        <v>0</v>
      </c>
    </row>
    <row r="56" spans="2:34"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Q56" s="40"/>
      <c r="R56" s="40"/>
      <c r="S56" s="40"/>
      <c r="T56" s="40"/>
      <c r="U56" s="40"/>
      <c r="V56" s="40"/>
      <c r="Y56" s="40" t="str">
        <f>PoolData!A62</f>
        <v>-</v>
      </c>
      <c r="Z56" s="115" t="str">
        <f t="shared" si="25"/>
        <v/>
      </c>
      <c r="AA56" s="57">
        <f t="shared" si="6"/>
        <v>0</v>
      </c>
      <c r="AB56" s="115" t="str">
        <f t="shared" si="7"/>
        <v/>
      </c>
      <c r="AC56" s="62">
        <f t="shared" si="26"/>
        <v>0</v>
      </c>
      <c r="AD56" s="62">
        <f t="shared" si="27"/>
        <v>0</v>
      </c>
      <c r="AE56" s="62">
        <f t="shared" si="28"/>
        <v>0</v>
      </c>
      <c r="AF56" s="62">
        <f t="shared" si="29"/>
        <v>0</v>
      </c>
      <c r="AG56" s="62">
        <f t="shared" si="30"/>
        <v>0</v>
      </c>
      <c r="AH56" s="72">
        <f t="shared" si="31"/>
        <v>0</v>
      </c>
    </row>
    <row r="57" spans="2:34"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Q57" s="40"/>
      <c r="R57" s="40"/>
      <c r="S57" s="40"/>
      <c r="T57" s="40"/>
      <c r="U57" s="40"/>
      <c r="V57" s="40"/>
      <c r="Y57" s="40" t="str">
        <f>PoolData!A63</f>
        <v>-</v>
      </c>
      <c r="Z57" s="115" t="str">
        <f t="shared" si="25"/>
        <v/>
      </c>
      <c r="AA57" s="57">
        <f t="shared" si="6"/>
        <v>0</v>
      </c>
      <c r="AB57" s="115" t="str">
        <f t="shared" si="7"/>
        <v/>
      </c>
      <c r="AC57" s="62">
        <f t="shared" si="26"/>
        <v>0</v>
      </c>
      <c r="AD57" s="62">
        <f t="shared" si="27"/>
        <v>0</v>
      </c>
      <c r="AE57" s="62">
        <f t="shared" si="28"/>
        <v>0</v>
      </c>
      <c r="AF57" s="62">
        <f t="shared" si="29"/>
        <v>0</v>
      </c>
      <c r="AG57" s="62">
        <f t="shared" si="30"/>
        <v>0</v>
      </c>
      <c r="AH57" s="72">
        <f t="shared" si="31"/>
        <v>0</v>
      </c>
    </row>
    <row r="58" spans="2:34"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0"/>
      <c r="N58" s="40"/>
      <c r="O58" s="40"/>
      <c r="Q58" s="40"/>
      <c r="R58" s="40"/>
      <c r="S58" s="40"/>
      <c r="T58" s="40"/>
      <c r="U58" s="40"/>
      <c r="V58" s="40"/>
      <c r="Y58" s="40" t="str">
        <f>PoolData!A64</f>
        <v>-</v>
      </c>
      <c r="Z58" s="115" t="str">
        <f t="shared" si="25"/>
        <v/>
      </c>
      <c r="AA58" s="57">
        <f t="shared" si="6"/>
        <v>0</v>
      </c>
      <c r="AB58" s="115" t="str">
        <f t="shared" si="7"/>
        <v/>
      </c>
      <c r="AC58" s="62">
        <f t="shared" si="26"/>
        <v>0</v>
      </c>
      <c r="AD58" s="62">
        <f t="shared" si="27"/>
        <v>0</v>
      </c>
      <c r="AE58" s="62">
        <f t="shared" si="28"/>
        <v>0</v>
      </c>
      <c r="AF58" s="62">
        <f t="shared" si="29"/>
        <v>0</v>
      </c>
      <c r="AG58" s="62">
        <f t="shared" si="30"/>
        <v>0</v>
      </c>
      <c r="AH58" s="72">
        <f t="shared" si="31"/>
        <v>0</v>
      </c>
    </row>
    <row r="59" spans="2:34"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Q59" s="40"/>
      <c r="R59" s="40"/>
      <c r="S59" s="40"/>
      <c r="T59" s="40"/>
      <c r="U59" s="40"/>
      <c r="V59" s="40"/>
      <c r="Y59" s="40" t="str">
        <f>PoolData!A65</f>
        <v>-</v>
      </c>
      <c r="Z59" s="115" t="str">
        <f t="shared" si="25"/>
        <v/>
      </c>
      <c r="AA59" s="57">
        <f t="shared" si="6"/>
        <v>0</v>
      </c>
      <c r="AB59" s="115" t="str">
        <f t="shared" si="7"/>
        <v/>
      </c>
      <c r="AC59" s="62">
        <f t="shared" si="26"/>
        <v>0</v>
      </c>
      <c r="AD59" s="62">
        <f t="shared" si="27"/>
        <v>0</v>
      </c>
      <c r="AE59" s="62">
        <f t="shared" si="28"/>
        <v>0</v>
      </c>
      <c r="AF59" s="62">
        <f t="shared" si="29"/>
        <v>0</v>
      </c>
      <c r="AG59" s="62">
        <f t="shared" si="30"/>
        <v>0</v>
      </c>
      <c r="AH59" s="72">
        <f t="shared" si="31"/>
        <v>0</v>
      </c>
    </row>
    <row r="60" spans="2:34"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Q60" s="40"/>
      <c r="R60" s="40"/>
      <c r="S60" s="40"/>
      <c r="T60" s="40"/>
      <c r="U60" s="40"/>
      <c r="V60" s="40"/>
      <c r="Y60" s="40" t="str">
        <f>PoolData!A66</f>
        <v>-</v>
      </c>
      <c r="Z60" s="115" t="str">
        <f t="shared" si="25"/>
        <v/>
      </c>
      <c r="AA60" s="57">
        <f t="shared" si="6"/>
        <v>0</v>
      </c>
      <c r="AB60" s="115" t="str">
        <f t="shared" si="7"/>
        <v/>
      </c>
      <c r="AC60" s="62">
        <f t="shared" si="26"/>
        <v>0</v>
      </c>
      <c r="AD60" s="62">
        <f t="shared" si="27"/>
        <v>0</v>
      </c>
      <c r="AE60" s="62">
        <f t="shared" si="28"/>
        <v>0</v>
      </c>
      <c r="AF60" s="62">
        <f t="shared" si="29"/>
        <v>0</v>
      </c>
      <c r="AG60" s="62">
        <f t="shared" si="30"/>
        <v>0</v>
      </c>
      <c r="AH60" s="72">
        <f t="shared" si="31"/>
        <v>0</v>
      </c>
    </row>
    <row r="61" spans="2:34"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Q61" s="40"/>
      <c r="R61" s="40"/>
      <c r="S61" s="40"/>
      <c r="T61" s="40"/>
      <c r="U61" s="40"/>
      <c r="V61" s="40"/>
      <c r="Y61" s="40" t="str">
        <f>PoolData!A67</f>
        <v>-</v>
      </c>
      <c r="Z61" s="115" t="str">
        <f t="shared" si="25"/>
        <v/>
      </c>
      <c r="AA61" s="57">
        <f t="shared" si="6"/>
        <v>0</v>
      </c>
      <c r="AB61" s="115" t="str">
        <f t="shared" si="7"/>
        <v/>
      </c>
      <c r="AC61" s="62">
        <f t="shared" si="26"/>
        <v>0</v>
      </c>
      <c r="AD61" s="62">
        <f t="shared" si="27"/>
        <v>0</v>
      </c>
      <c r="AE61" s="62">
        <f t="shared" si="28"/>
        <v>0</v>
      </c>
      <c r="AF61" s="62">
        <f t="shared" si="29"/>
        <v>0</v>
      </c>
      <c r="AG61" s="62">
        <f t="shared" si="30"/>
        <v>0</v>
      </c>
      <c r="AH61" s="72">
        <f t="shared" si="31"/>
        <v>0</v>
      </c>
    </row>
    <row r="62" spans="2:34"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0"/>
      <c r="N62" s="40"/>
      <c r="O62" s="40"/>
      <c r="Q62" s="40"/>
      <c r="R62" s="40"/>
      <c r="S62" s="40"/>
      <c r="T62" s="40"/>
      <c r="U62" s="40"/>
      <c r="V62" s="40"/>
      <c r="Y62" s="40" t="str">
        <f>PoolData!A68</f>
        <v>-</v>
      </c>
      <c r="Z62" s="115" t="str">
        <f t="shared" si="25"/>
        <v/>
      </c>
      <c r="AA62" s="57">
        <f t="shared" si="6"/>
        <v>0</v>
      </c>
      <c r="AB62" s="115" t="str">
        <f t="shared" si="7"/>
        <v/>
      </c>
      <c r="AC62" s="62">
        <f t="shared" si="26"/>
        <v>0</v>
      </c>
      <c r="AD62" s="62">
        <f t="shared" si="27"/>
        <v>0</v>
      </c>
      <c r="AE62" s="62">
        <f t="shared" si="28"/>
        <v>0</v>
      </c>
      <c r="AF62" s="62">
        <f t="shared" si="29"/>
        <v>0</v>
      </c>
      <c r="AG62" s="62">
        <f t="shared" si="30"/>
        <v>0</v>
      </c>
      <c r="AH62" s="72">
        <f t="shared" si="31"/>
        <v>0</v>
      </c>
    </row>
    <row r="63" spans="2:34"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0"/>
      <c r="N63" s="40"/>
      <c r="O63" s="40"/>
      <c r="Q63" s="40"/>
      <c r="R63" s="40"/>
      <c r="S63" s="40"/>
      <c r="T63" s="40"/>
      <c r="U63" s="40"/>
      <c r="V63" s="40"/>
      <c r="Y63" s="40" t="str">
        <f>PoolData!A69</f>
        <v>-</v>
      </c>
      <c r="Z63" s="115" t="str">
        <f t="shared" si="25"/>
        <v/>
      </c>
      <c r="AA63" s="57">
        <f t="shared" si="6"/>
        <v>0</v>
      </c>
      <c r="AB63" s="115" t="str">
        <f t="shared" si="7"/>
        <v/>
      </c>
      <c r="AC63" s="62">
        <f t="shared" si="26"/>
        <v>0</v>
      </c>
      <c r="AD63" s="62">
        <f t="shared" si="27"/>
        <v>0</v>
      </c>
      <c r="AE63" s="62">
        <f t="shared" si="28"/>
        <v>0</v>
      </c>
      <c r="AF63" s="62">
        <f t="shared" si="29"/>
        <v>0</v>
      </c>
      <c r="AG63" s="62">
        <f t="shared" si="30"/>
        <v>0</v>
      </c>
      <c r="AH63" s="72">
        <f t="shared" si="31"/>
        <v>0</v>
      </c>
    </row>
    <row r="64" spans="2:34"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Q64" s="40"/>
      <c r="R64" s="40"/>
      <c r="S64" s="40"/>
      <c r="T64" s="40"/>
      <c r="U64" s="40"/>
      <c r="V64" s="40"/>
      <c r="Y64" s="40" t="str">
        <f>PoolData!A70</f>
        <v>-</v>
      </c>
      <c r="Z64" s="115" t="str">
        <f t="shared" si="25"/>
        <v/>
      </c>
      <c r="AA64" s="57">
        <f t="shared" si="6"/>
        <v>0</v>
      </c>
      <c r="AB64" s="115" t="str">
        <f t="shared" si="7"/>
        <v/>
      </c>
      <c r="AC64" s="62">
        <f t="shared" si="26"/>
        <v>0</v>
      </c>
      <c r="AD64" s="62">
        <f t="shared" si="27"/>
        <v>0</v>
      </c>
      <c r="AE64" s="62">
        <f t="shared" si="28"/>
        <v>0</v>
      </c>
      <c r="AF64" s="62">
        <f t="shared" si="29"/>
        <v>0</v>
      </c>
      <c r="AG64" s="62">
        <f t="shared" si="30"/>
        <v>0</v>
      </c>
      <c r="AH64" s="72">
        <f t="shared" si="31"/>
        <v>0</v>
      </c>
    </row>
    <row r="65" spans="2:34"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0"/>
      <c r="N65" s="40"/>
      <c r="O65" s="40"/>
      <c r="Q65" s="40"/>
      <c r="R65" s="40"/>
      <c r="S65" s="40"/>
      <c r="T65" s="40"/>
      <c r="U65" s="40"/>
      <c r="V65" s="40"/>
      <c r="Y65" s="40" t="str">
        <f>PoolData!A71</f>
        <v>-</v>
      </c>
      <c r="Z65" s="115" t="str">
        <f t="shared" si="25"/>
        <v/>
      </c>
      <c r="AA65" s="57">
        <f t="shared" si="6"/>
        <v>0</v>
      </c>
      <c r="AB65" s="115" t="str">
        <f t="shared" si="7"/>
        <v/>
      </c>
      <c r="AC65" s="62">
        <f t="shared" si="26"/>
        <v>0</v>
      </c>
      <c r="AD65" s="62">
        <f t="shared" si="27"/>
        <v>0</v>
      </c>
      <c r="AE65" s="62">
        <f t="shared" si="28"/>
        <v>0</v>
      </c>
      <c r="AF65" s="62">
        <f t="shared" si="29"/>
        <v>0</v>
      </c>
      <c r="AG65" s="62">
        <f t="shared" si="30"/>
        <v>0</v>
      </c>
      <c r="AH65" s="72">
        <f t="shared" si="31"/>
        <v>0</v>
      </c>
    </row>
    <row r="66" spans="2:34"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Q66" s="40"/>
      <c r="R66" s="40"/>
      <c r="S66" s="40"/>
      <c r="T66" s="40"/>
      <c r="U66" s="40"/>
      <c r="V66" s="40"/>
      <c r="Y66" s="40" t="str">
        <f>PoolData!A72</f>
        <v>-</v>
      </c>
      <c r="Z66" s="115" t="str">
        <f t="shared" si="25"/>
        <v/>
      </c>
      <c r="AA66" s="57">
        <f t="shared" si="6"/>
        <v>0</v>
      </c>
      <c r="AB66" s="115" t="str">
        <f t="shared" si="7"/>
        <v/>
      </c>
      <c r="AC66" s="62">
        <f t="shared" si="26"/>
        <v>0</v>
      </c>
      <c r="AD66" s="62">
        <f t="shared" si="27"/>
        <v>0</v>
      </c>
      <c r="AE66" s="62">
        <f t="shared" si="28"/>
        <v>0</v>
      </c>
      <c r="AF66" s="62">
        <f t="shared" si="29"/>
        <v>0</v>
      </c>
      <c r="AG66" s="62">
        <f t="shared" si="30"/>
        <v>0</v>
      </c>
      <c r="AH66" s="72">
        <f t="shared" si="31"/>
        <v>0</v>
      </c>
    </row>
    <row r="67" spans="2:34"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40"/>
      <c r="N67" s="40"/>
      <c r="O67" s="40"/>
      <c r="Q67" s="40"/>
      <c r="R67" s="40"/>
      <c r="S67" s="40"/>
      <c r="T67" s="40"/>
      <c r="U67" s="40"/>
      <c r="V67" s="40"/>
      <c r="Y67" s="40" t="str">
        <f>PoolData!A73</f>
        <v>-</v>
      </c>
      <c r="Z67" s="115" t="str">
        <f t="shared" si="25"/>
        <v/>
      </c>
      <c r="AA67" s="57">
        <f t="shared" si="6"/>
        <v>0</v>
      </c>
      <c r="AB67" s="115" t="str">
        <f t="shared" si="7"/>
        <v/>
      </c>
      <c r="AC67" s="62">
        <f t="shared" si="26"/>
        <v>0</v>
      </c>
      <c r="AD67" s="62">
        <f t="shared" si="27"/>
        <v>0</v>
      </c>
      <c r="AE67" s="62">
        <f t="shared" si="28"/>
        <v>0</v>
      </c>
      <c r="AF67" s="62">
        <f t="shared" si="29"/>
        <v>0</v>
      </c>
      <c r="AG67" s="62">
        <f t="shared" si="30"/>
        <v>0</v>
      </c>
      <c r="AH67" s="72">
        <f t="shared" si="31"/>
        <v>0</v>
      </c>
    </row>
    <row r="68" spans="2:34"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Q68" s="40"/>
      <c r="R68" s="40"/>
      <c r="S68" s="40"/>
      <c r="T68" s="40"/>
      <c r="U68" s="40"/>
      <c r="V68" s="40"/>
      <c r="Y68" s="40" t="str">
        <f>PoolData!A74</f>
        <v>-</v>
      </c>
      <c r="Z68" s="115" t="str">
        <f t="shared" si="25"/>
        <v/>
      </c>
      <c r="AA68" s="57">
        <f t="shared" si="6"/>
        <v>0</v>
      </c>
      <c r="AB68" s="115" t="str">
        <f t="shared" si="7"/>
        <v/>
      </c>
      <c r="AC68" s="62">
        <f t="shared" si="26"/>
        <v>0</v>
      </c>
      <c r="AD68" s="62">
        <f t="shared" si="27"/>
        <v>0</v>
      </c>
      <c r="AE68" s="62">
        <f t="shared" si="28"/>
        <v>0</v>
      </c>
      <c r="AF68" s="62">
        <f t="shared" si="29"/>
        <v>0</v>
      </c>
      <c r="AG68" s="62">
        <f t="shared" si="30"/>
        <v>0</v>
      </c>
      <c r="AH68" s="72">
        <f t="shared" si="31"/>
        <v>0</v>
      </c>
    </row>
    <row r="69" spans="2:34">
      <c r="B69" s="40"/>
      <c r="C69" s="40"/>
      <c r="D69" s="40"/>
      <c r="E69" s="40"/>
      <c r="F69" s="40"/>
      <c r="G69" s="40"/>
      <c r="H69" s="40"/>
      <c r="I69" s="40"/>
      <c r="J69" s="40"/>
      <c r="K69" s="40"/>
      <c r="L69" s="40"/>
      <c r="M69" s="40"/>
      <c r="N69" s="40"/>
      <c r="O69" s="40"/>
      <c r="Q69" s="40"/>
      <c r="R69" s="40"/>
      <c r="S69" s="40"/>
      <c r="T69" s="40"/>
      <c r="U69" s="40"/>
      <c r="V69" s="40"/>
      <c r="Y69" s="40" t="str">
        <f>PoolData!A75</f>
        <v>-</v>
      </c>
      <c r="Z69" s="115" t="str">
        <f t="shared" si="25"/>
        <v/>
      </c>
      <c r="AA69" s="57">
        <f t="shared" si="6"/>
        <v>0</v>
      </c>
      <c r="AB69" s="115" t="str">
        <f t="shared" si="7"/>
        <v/>
      </c>
      <c r="AC69" s="62">
        <f t="shared" si="26"/>
        <v>0</v>
      </c>
      <c r="AD69" s="62">
        <f t="shared" si="27"/>
        <v>0</v>
      </c>
      <c r="AE69" s="62">
        <f t="shared" si="28"/>
        <v>0</v>
      </c>
      <c r="AF69" s="62">
        <f t="shared" si="29"/>
        <v>0</v>
      </c>
      <c r="AG69" s="62">
        <f t="shared" si="30"/>
        <v>0</v>
      </c>
      <c r="AH69" s="72">
        <f t="shared" si="31"/>
        <v>0</v>
      </c>
    </row>
    <row r="70" spans="2:34">
      <c r="B70" s="40"/>
      <c r="C70" s="40"/>
      <c r="D70" s="40"/>
      <c r="E70" s="40"/>
      <c r="F70" s="40"/>
      <c r="G70" s="40"/>
      <c r="H70" s="40"/>
      <c r="I70" s="40"/>
      <c r="J70" s="40"/>
      <c r="K70" s="40"/>
      <c r="L70" s="40"/>
      <c r="M70" s="40"/>
      <c r="N70" s="40"/>
      <c r="O70" s="40"/>
      <c r="Q70" s="40"/>
      <c r="R70" s="40"/>
      <c r="S70" s="40"/>
      <c r="T70" s="40"/>
      <c r="U70" s="40"/>
      <c r="V70" s="40"/>
      <c r="Y70" s="40" t="str">
        <f>PoolData!A76</f>
        <v>-</v>
      </c>
      <c r="Z70" s="115" t="str">
        <f t="shared" si="25"/>
        <v/>
      </c>
      <c r="AA70" s="57">
        <f t="shared" ref="AA70:AA94" si="32">SUMIF($B:$B,$Y70,D:D)</f>
        <v>0</v>
      </c>
      <c r="AB70" s="115" t="str">
        <f t="shared" ref="AB70:AB94" si="33">RIGHT(Y70,LEN(Y70)-FIND("-",Y70))</f>
        <v/>
      </c>
      <c r="AC70" s="62">
        <f t="shared" si="26"/>
        <v>0</v>
      </c>
      <c r="AD70" s="62">
        <f t="shared" si="27"/>
        <v>0</v>
      </c>
      <c r="AE70" s="62">
        <f t="shared" si="28"/>
        <v>0</v>
      </c>
      <c r="AF70" s="62">
        <f t="shared" si="29"/>
        <v>0</v>
      </c>
      <c r="AG70" s="62">
        <f t="shared" si="30"/>
        <v>0</v>
      </c>
      <c r="AH70" s="72">
        <f t="shared" si="31"/>
        <v>0</v>
      </c>
    </row>
    <row r="71" spans="2:34">
      <c r="B71" s="40"/>
      <c r="C71" s="40"/>
      <c r="D71" s="40"/>
      <c r="E71" s="40"/>
      <c r="F71" s="40"/>
      <c r="G71" s="40"/>
      <c r="H71" s="40"/>
      <c r="I71" s="40"/>
      <c r="J71" s="40"/>
      <c r="K71" s="40"/>
      <c r="L71" s="40"/>
      <c r="M71" s="40"/>
      <c r="N71" s="40"/>
      <c r="O71" s="40"/>
      <c r="Q71" s="40"/>
      <c r="R71" s="40"/>
      <c r="S71" s="40"/>
      <c r="T71" s="40"/>
      <c r="U71" s="40"/>
      <c r="V71" s="40"/>
      <c r="Y71" s="40" t="str">
        <f>PoolData!A77</f>
        <v>-</v>
      </c>
      <c r="Z71" s="115" t="str">
        <f t="shared" si="25"/>
        <v/>
      </c>
      <c r="AA71" s="57">
        <f t="shared" si="32"/>
        <v>0</v>
      </c>
      <c r="AB71" s="115" t="str">
        <f t="shared" si="33"/>
        <v/>
      </c>
      <c r="AC71" s="62">
        <f t="shared" si="26"/>
        <v>0</v>
      </c>
      <c r="AD71" s="62">
        <f t="shared" si="27"/>
        <v>0</v>
      </c>
      <c r="AE71" s="62">
        <f t="shared" si="28"/>
        <v>0</v>
      </c>
      <c r="AF71" s="62">
        <f t="shared" si="29"/>
        <v>0</v>
      </c>
      <c r="AG71" s="62">
        <f t="shared" si="30"/>
        <v>0</v>
      </c>
      <c r="AH71" s="72">
        <f t="shared" si="31"/>
        <v>0</v>
      </c>
    </row>
    <row r="72" spans="2:34">
      <c r="B72" s="40"/>
      <c r="C72" s="40"/>
      <c r="D72" s="40"/>
      <c r="E72" s="40"/>
      <c r="F72" s="40"/>
      <c r="G72" s="40"/>
      <c r="H72" s="40"/>
      <c r="I72" s="40"/>
      <c r="J72" s="40"/>
      <c r="K72" s="40"/>
      <c r="L72" s="40"/>
      <c r="M72" s="40"/>
      <c r="N72" s="40"/>
      <c r="O72" s="40"/>
      <c r="Q72" s="40"/>
      <c r="R72" s="40"/>
      <c r="S72" s="40"/>
      <c r="T72" s="40"/>
      <c r="U72" s="40"/>
      <c r="V72" s="40"/>
      <c r="Y72" s="40" t="str">
        <f>PoolData!A78</f>
        <v>-</v>
      </c>
      <c r="Z72" s="115" t="str">
        <f t="shared" ref="Z72:Z94" si="34">LEFT(Y72,FIND("-",Y72)-1)</f>
        <v/>
      </c>
      <c r="AA72" s="57">
        <f t="shared" si="32"/>
        <v>0</v>
      </c>
      <c r="AB72" s="115" t="str">
        <f t="shared" si="33"/>
        <v/>
      </c>
      <c r="AC72" s="62">
        <f t="shared" ref="AC72:AC94" si="35">SUMIF($B:$B,$Y72,E:E)</f>
        <v>0</v>
      </c>
      <c r="AD72" s="62">
        <f t="shared" ref="AD72:AD94" si="36">SUMIF($B:$B,$Y72,H:H)</f>
        <v>0</v>
      </c>
      <c r="AE72" s="62">
        <f t="shared" ref="AE72:AE94" si="37">SUMIF($B:$B,$Y72,I:I)</f>
        <v>0</v>
      </c>
      <c r="AF72" s="62">
        <f t="shared" ref="AF72:AF94" si="38">SUMIF($B:$B,$Y72,M:M)</f>
        <v>0</v>
      </c>
      <c r="AG72" s="62">
        <f t="shared" ref="AG72:AG94" si="39">SUMIF($B:$B,$Y72,O:O)</f>
        <v>0</v>
      </c>
      <c r="AH72" s="72">
        <f t="shared" ref="AH72:AH94" si="40">SUMIF($B:$B,$Y72,V:V)</f>
        <v>0</v>
      </c>
    </row>
    <row r="73" spans="2:34">
      <c r="B73" s="40"/>
      <c r="C73" s="40"/>
      <c r="D73" s="40"/>
      <c r="E73" s="40"/>
      <c r="F73" s="40"/>
      <c r="G73" s="40"/>
      <c r="H73" s="40"/>
      <c r="I73" s="40"/>
      <c r="J73" s="40"/>
      <c r="K73" s="40"/>
      <c r="L73" s="40"/>
      <c r="M73" s="40"/>
      <c r="N73" s="40"/>
      <c r="O73" s="40"/>
      <c r="Q73" s="40"/>
      <c r="R73" s="40"/>
      <c r="S73" s="40"/>
      <c r="T73" s="40"/>
      <c r="U73" s="40"/>
      <c r="V73" s="40"/>
      <c r="Y73" s="40" t="str">
        <f>PoolData!A79</f>
        <v>-</v>
      </c>
      <c r="Z73" s="115" t="str">
        <f t="shared" si="34"/>
        <v/>
      </c>
      <c r="AA73" s="57">
        <f t="shared" si="32"/>
        <v>0</v>
      </c>
      <c r="AB73" s="115" t="str">
        <f t="shared" si="33"/>
        <v/>
      </c>
      <c r="AC73" s="62">
        <f t="shared" si="35"/>
        <v>0</v>
      </c>
      <c r="AD73" s="62">
        <f t="shared" si="36"/>
        <v>0</v>
      </c>
      <c r="AE73" s="62">
        <f t="shared" si="37"/>
        <v>0</v>
      </c>
      <c r="AF73" s="62">
        <f t="shared" si="38"/>
        <v>0</v>
      </c>
      <c r="AG73" s="62">
        <f t="shared" si="39"/>
        <v>0</v>
      </c>
      <c r="AH73" s="72">
        <f t="shared" si="40"/>
        <v>0</v>
      </c>
    </row>
    <row r="74" spans="2:34">
      <c r="B74" s="40"/>
      <c r="C74" s="40"/>
      <c r="D74" s="40"/>
      <c r="E74" s="40"/>
      <c r="F74" s="40"/>
      <c r="G74" s="40"/>
      <c r="H74" s="40"/>
      <c r="I74" s="40"/>
      <c r="J74" s="40"/>
      <c r="K74" s="40"/>
      <c r="L74" s="40"/>
      <c r="M74" s="40"/>
      <c r="N74" s="40"/>
      <c r="O74" s="40"/>
      <c r="Q74" s="40"/>
      <c r="R74" s="40"/>
      <c r="S74" s="40"/>
      <c r="T74" s="40"/>
      <c r="U74" s="40"/>
      <c r="V74" s="40"/>
      <c r="Y74" s="40" t="str">
        <f>PoolData!A80</f>
        <v>-</v>
      </c>
      <c r="Z74" s="115" t="str">
        <f t="shared" si="34"/>
        <v/>
      </c>
      <c r="AA74" s="57">
        <f t="shared" si="32"/>
        <v>0</v>
      </c>
      <c r="AB74" s="115" t="str">
        <f t="shared" si="33"/>
        <v/>
      </c>
      <c r="AC74" s="62">
        <f t="shared" si="35"/>
        <v>0</v>
      </c>
      <c r="AD74" s="62">
        <f t="shared" si="36"/>
        <v>0</v>
      </c>
      <c r="AE74" s="62">
        <f t="shared" si="37"/>
        <v>0</v>
      </c>
      <c r="AF74" s="62">
        <f t="shared" si="38"/>
        <v>0</v>
      </c>
      <c r="AG74" s="62">
        <f t="shared" si="39"/>
        <v>0</v>
      </c>
      <c r="AH74" s="72">
        <f t="shared" si="40"/>
        <v>0</v>
      </c>
    </row>
    <row r="75" spans="2:34">
      <c r="B75" s="40"/>
      <c r="C75" s="40"/>
      <c r="D75" s="40"/>
      <c r="E75" s="40"/>
      <c r="F75" s="40"/>
      <c r="G75" s="40"/>
      <c r="H75" s="40"/>
      <c r="I75" s="40"/>
      <c r="J75" s="40"/>
      <c r="K75" s="40"/>
      <c r="L75" s="40"/>
      <c r="M75" s="40"/>
      <c r="N75" s="40"/>
      <c r="O75" s="40"/>
      <c r="Q75" s="40"/>
      <c r="R75" s="40"/>
      <c r="S75" s="40"/>
      <c r="T75" s="40"/>
      <c r="U75" s="40"/>
      <c r="V75" s="40"/>
      <c r="Y75" s="40" t="str">
        <f>PoolData!A81</f>
        <v>-</v>
      </c>
      <c r="Z75" s="115" t="str">
        <f t="shared" si="34"/>
        <v/>
      </c>
      <c r="AA75" s="57">
        <f t="shared" si="32"/>
        <v>0</v>
      </c>
      <c r="AB75" s="115" t="str">
        <f t="shared" si="33"/>
        <v/>
      </c>
      <c r="AC75" s="62">
        <f t="shared" si="35"/>
        <v>0</v>
      </c>
      <c r="AD75" s="62">
        <f t="shared" si="36"/>
        <v>0</v>
      </c>
      <c r="AE75" s="62">
        <f t="shared" si="37"/>
        <v>0</v>
      </c>
      <c r="AF75" s="62">
        <f t="shared" si="38"/>
        <v>0</v>
      </c>
      <c r="AG75" s="62">
        <f t="shared" si="39"/>
        <v>0</v>
      </c>
      <c r="AH75" s="72">
        <f t="shared" si="40"/>
        <v>0</v>
      </c>
    </row>
    <row r="76" spans="2:34">
      <c r="B76" s="40"/>
      <c r="C76" s="40"/>
      <c r="D76" s="40"/>
      <c r="E76" s="40"/>
      <c r="F76" s="40"/>
      <c r="G76" s="40"/>
      <c r="H76" s="40"/>
      <c r="I76" s="40"/>
      <c r="J76" s="40"/>
      <c r="K76" s="40"/>
      <c r="L76" s="40"/>
      <c r="M76" s="40"/>
      <c r="N76" s="40"/>
      <c r="O76" s="40"/>
      <c r="Q76" s="40"/>
      <c r="R76" s="40"/>
      <c r="S76" s="40"/>
      <c r="T76" s="40"/>
      <c r="U76" s="40"/>
      <c r="V76" s="40"/>
      <c r="Y76" s="40" t="str">
        <f>PoolData!A82</f>
        <v>-</v>
      </c>
      <c r="Z76" s="115" t="str">
        <f t="shared" si="34"/>
        <v/>
      </c>
      <c r="AA76" s="57">
        <f t="shared" si="32"/>
        <v>0</v>
      </c>
      <c r="AB76" s="115" t="str">
        <f t="shared" si="33"/>
        <v/>
      </c>
      <c r="AC76" s="62">
        <f t="shared" si="35"/>
        <v>0</v>
      </c>
      <c r="AD76" s="62">
        <f t="shared" si="36"/>
        <v>0</v>
      </c>
      <c r="AE76" s="62">
        <f t="shared" si="37"/>
        <v>0</v>
      </c>
      <c r="AF76" s="62">
        <f t="shared" si="38"/>
        <v>0</v>
      </c>
      <c r="AG76" s="62">
        <f t="shared" si="39"/>
        <v>0</v>
      </c>
      <c r="AH76" s="72">
        <f t="shared" si="40"/>
        <v>0</v>
      </c>
    </row>
    <row r="77" spans="2:34">
      <c r="B77" s="40"/>
      <c r="C77" s="40"/>
      <c r="D77" s="40"/>
      <c r="E77" s="40"/>
      <c r="F77" s="40"/>
      <c r="G77" s="40"/>
      <c r="H77" s="40"/>
      <c r="I77" s="40"/>
      <c r="J77" s="40"/>
      <c r="K77" s="40"/>
      <c r="L77" s="40"/>
      <c r="M77" s="40"/>
      <c r="N77" s="40"/>
      <c r="O77" s="40"/>
      <c r="Q77" s="40"/>
      <c r="R77" s="40"/>
      <c r="S77" s="40"/>
      <c r="T77" s="40"/>
      <c r="U77" s="40"/>
      <c r="V77" s="40"/>
      <c r="Y77" s="40" t="str">
        <f>PoolData!A83</f>
        <v>-</v>
      </c>
      <c r="Z77" s="115" t="str">
        <f t="shared" si="34"/>
        <v/>
      </c>
      <c r="AA77" s="57">
        <f t="shared" si="32"/>
        <v>0</v>
      </c>
      <c r="AB77" s="115" t="str">
        <f t="shared" si="33"/>
        <v/>
      </c>
      <c r="AC77" s="62">
        <f t="shared" si="35"/>
        <v>0</v>
      </c>
      <c r="AD77" s="62">
        <f t="shared" si="36"/>
        <v>0</v>
      </c>
      <c r="AE77" s="62">
        <f t="shared" si="37"/>
        <v>0</v>
      </c>
      <c r="AF77" s="62">
        <f t="shared" si="38"/>
        <v>0</v>
      </c>
      <c r="AG77" s="62">
        <f t="shared" si="39"/>
        <v>0</v>
      </c>
      <c r="AH77" s="72">
        <f t="shared" si="40"/>
        <v>0</v>
      </c>
    </row>
    <row r="78" spans="2:34">
      <c r="B78" s="40"/>
      <c r="C78" s="40"/>
      <c r="D78" s="40"/>
      <c r="E78" s="40"/>
      <c r="F78" s="40"/>
      <c r="G78" s="40"/>
      <c r="H78" s="40"/>
      <c r="I78" s="40"/>
      <c r="J78" s="40"/>
      <c r="K78" s="40"/>
      <c r="L78" s="40"/>
      <c r="M78" s="40"/>
      <c r="N78" s="40"/>
      <c r="O78" s="40"/>
      <c r="Q78" s="40"/>
      <c r="R78" s="40"/>
      <c r="S78" s="40"/>
      <c r="T78" s="40"/>
      <c r="U78" s="40"/>
      <c r="V78" s="40"/>
      <c r="Y78" s="40" t="str">
        <f>PoolData!A84</f>
        <v>-</v>
      </c>
      <c r="Z78" s="115" t="str">
        <f t="shared" si="34"/>
        <v/>
      </c>
      <c r="AA78" s="57">
        <f t="shared" si="32"/>
        <v>0</v>
      </c>
      <c r="AB78" s="115" t="str">
        <f t="shared" si="33"/>
        <v/>
      </c>
      <c r="AC78" s="62">
        <f t="shared" si="35"/>
        <v>0</v>
      </c>
      <c r="AD78" s="62">
        <f t="shared" si="36"/>
        <v>0</v>
      </c>
      <c r="AE78" s="62">
        <f t="shared" si="37"/>
        <v>0</v>
      </c>
      <c r="AF78" s="62">
        <f t="shared" si="38"/>
        <v>0</v>
      </c>
      <c r="AG78" s="62">
        <f t="shared" si="39"/>
        <v>0</v>
      </c>
      <c r="AH78" s="72">
        <f t="shared" si="40"/>
        <v>0</v>
      </c>
    </row>
    <row r="79" spans="2:34">
      <c r="B79" s="40"/>
      <c r="C79" s="40"/>
      <c r="D79" s="40"/>
      <c r="E79" s="40"/>
      <c r="F79" s="40"/>
      <c r="G79" s="40"/>
      <c r="H79" s="40"/>
      <c r="I79" s="40"/>
      <c r="J79" s="40"/>
      <c r="K79" s="40"/>
      <c r="L79" s="40"/>
      <c r="M79" s="40"/>
      <c r="N79" s="40"/>
      <c r="O79" s="40"/>
      <c r="Q79" s="40"/>
      <c r="R79" s="40"/>
      <c r="S79" s="40"/>
      <c r="T79" s="40"/>
      <c r="U79" s="40"/>
      <c r="V79" s="40"/>
      <c r="Y79" s="40" t="str">
        <f>PoolData!A85</f>
        <v>-</v>
      </c>
      <c r="Z79" s="115" t="str">
        <f t="shared" si="34"/>
        <v/>
      </c>
      <c r="AA79" s="57">
        <f t="shared" si="32"/>
        <v>0</v>
      </c>
      <c r="AB79" s="115" t="str">
        <f t="shared" si="33"/>
        <v/>
      </c>
      <c r="AC79" s="62">
        <f t="shared" si="35"/>
        <v>0</v>
      </c>
      <c r="AD79" s="62">
        <f t="shared" si="36"/>
        <v>0</v>
      </c>
      <c r="AE79" s="62">
        <f t="shared" si="37"/>
        <v>0</v>
      </c>
      <c r="AF79" s="62">
        <f t="shared" si="38"/>
        <v>0</v>
      </c>
      <c r="AG79" s="62">
        <f t="shared" si="39"/>
        <v>0</v>
      </c>
      <c r="AH79" s="72">
        <f t="shared" si="40"/>
        <v>0</v>
      </c>
    </row>
    <row r="80" spans="2:34">
      <c r="B80" s="40"/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40"/>
      <c r="N80" s="40"/>
      <c r="O80" s="40"/>
      <c r="Q80" s="40"/>
      <c r="R80" s="40"/>
      <c r="S80" s="40"/>
      <c r="T80" s="40"/>
      <c r="U80" s="40"/>
      <c r="V80" s="40"/>
      <c r="Y80" s="40" t="str">
        <f>PoolData!A86</f>
        <v>-</v>
      </c>
      <c r="Z80" s="115" t="str">
        <f t="shared" si="34"/>
        <v/>
      </c>
      <c r="AA80" s="57">
        <f t="shared" si="32"/>
        <v>0</v>
      </c>
      <c r="AB80" s="115" t="str">
        <f t="shared" si="33"/>
        <v/>
      </c>
      <c r="AC80" s="62">
        <f t="shared" si="35"/>
        <v>0</v>
      </c>
      <c r="AD80" s="62">
        <f t="shared" si="36"/>
        <v>0</v>
      </c>
      <c r="AE80" s="62">
        <f t="shared" si="37"/>
        <v>0</v>
      </c>
      <c r="AF80" s="62">
        <f t="shared" si="38"/>
        <v>0</v>
      </c>
      <c r="AG80" s="62">
        <f t="shared" si="39"/>
        <v>0</v>
      </c>
      <c r="AH80" s="72">
        <f t="shared" si="40"/>
        <v>0</v>
      </c>
    </row>
    <row r="81" spans="2:34">
      <c r="B81" s="40"/>
      <c r="C81" s="40"/>
      <c r="D81" s="40"/>
      <c r="E81" s="40"/>
      <c r="F81" s="40"/>
      <c r="G81" s="40"/>
      <c r="H81" s="40"/>
      <c r="I81" s="40"/>
      <c r="J81" s="40"/>
      <c r="K81" s="40"/>
      <c r="L81" s="40"/>
      <c r="M81" s="40"/>
      <c r="N81" s="40"/>
      <c r="O81" s="40"/>
      <c r="Q81" s="40"/>
      <c r="R81" s="40"/>
      <c r="S81" s="40"/>
      <c r="T81" s="40"/>
      <c r="U81" s="40"/>
      <c r="V81" s="40"/>
      <c r="Y81" s="40" t="str">
        <f>PoolData!A87</f>
        <v>-</v>
      </c>
      <c r="Z81" s="115" t="str">
        <f t="shared" si="34"/>
        <v/>
      </c>
      <c r="AA81" s="57">
        <f t="shared" si="32"/>
        <v>0</v>
      </c>
      <c r="AB81" s="115" t="str">
        <f t="shared" si="33"/>
        <v/>
      </c>
      <c r="AC81" s="62">
        <f t="shared" si="35"/>
        <v>0</v>
      </c>
      <c r="AD81" s="62">
        <f t="shared" si="36"/>
        <v>0</v>
      </c>
      <c r="AE81" s="62">
        <f t="shared" si="37"/>
        <v>0</v>
      </c>
      <c r="AF81" s="62">
        <f t="shared" si="38"/>
        <v>0</v>
      </c>
      <c r="AG81" s="62">
        <f t="shared" si="39"/>
        <v>0</v>
      </c>
      <c r="AH81" s="72">
        <f t="shared" si="40"/>
        <v>0</v>
      </c>
    </row>
    <row r="82" spans="2:34">
      <c r="B82" s="40"/>
      <c r="C82" s="40"/>
      <c r="D82" s="40"/>
      <c r="E82" s="40"/>
      <c r="F82" s="40"/>
      <c r="G82" s="40"/>
      <c r="H82" s="40"/>
      <c r="I82" s="40"/>
      <c r="J82" s="40"/>
      <c r="K82" s="40"/>
      <c r="L82" s="40"/>
      <c r="M82" s="40"/>
      <c r="N82" s="40"/>
      <c r="O82" s="40"/>
      <c r="Q82" s="40"/>
      <c r="R82" s="40"/>
      <c r="S82" s="40"/>
      <c r="T82" s="40"/>
      <c r="U82" s="40"/>
      <c r="V82" s="40"/>
      <c r="Y82" s="40" t="str">
        <f>PoolData!A88</f>
        <v>-</v>
      </c>
      <c r="Z82" s="115" t="str">
        <f t="shared" si="34"/>
        <v/>
      </c>
      <c r="AA82" s="57">
        <f t="shared" si="32"/>
        <v>0</v>
      </c>
      <c r="AB82" s="115" t="str">
        <f t="shared" si="33"/>
        <v/>
      </c>
      <c r="AC82" s="62">
        <f t="shared" si="35"/>
        <v>0</v>
      </c>
      <c r="AD82" s="62">
        <f t="shared" si="36"/>
        <v>0</v>
      </c>
      <c r="AE82" s="62">
        <f t="shared" si="37"/>
        <v>0</v>
      </c>
      <c r="AF82" s="62">
        <f t="shared" si="38"/>
        <v>0</v>
      </c>
      <c r="AG82" s="62">
        <f t="shared" si="39"/>
        <v>0</v>
      </c>
      <c r="AH82" s="72">
        <f t="shared" si="40"/>
        <v>0</v>
      </c>
    </row>
    <row r="83" spans="2:34">
      <c r="B83" s="40"/>
      <c r="C83" s="40"/>
      <c r="D83" s="40"/>
      <c r="E83" s="40"/>
      <c r="F83" s="40"/>
      <c r="G83" s="40"/>
      <c r="H83" s="40"/>
      <c r="I83" s="40"/>
      <c r="J83" s="40"/>
      <c r="K83" s="40"/>
      <c r="L83" s="40"/>
      <c r="M83" s="40"/>
      <c r="N83" s="40"/>
      <c r="O83" s="40"/>
      <c r="Q83" s="40"/>
      <c r="R83" s="40"/>
      <c r="S83" s="40"/>
      <c r="T83" s="40"/>
      <c r="U83" s="40"/>
      <c r="V83" s="40"/>
      <c r="Y83" s="40" t="str">
        <f>PoolData!A89</f>
        <v>-</v>
      </c>
      <c r="Z83" s="115" t="str">
        <f t="shared" si="34"/>
        <v/>
      </c>
      <c r="AA83" s="57">
        <f t="shared" si="32"/>
        <v>0</v>
      </c>
      <c r="AB83" s="115" t="str">
        <f t="shared" si="33"/>
        <v/>
      </c>
      <c r="AC83" s="62">
        <f t="shared" si="35"/>
        <v>0</v>
      </c>
      <c r="AD83" s="62">
        <f t="shared" si="36"/>
        <v>0</v>
      </c>
      <c r="AE83" s="62">
        <f t="shared" si="37"/>
        <v>0</v>
      </c>
      <c r="AF83" s="62">
        <f t="shared" si="38"/>
        <v>0</v>
      </c>
      <c r="AG83" s="62">
        <f t="shared" si="39"/>
        <v>0</v>
      </c>
      <c r="AH83" s="72">
        <f t="shared" si="40"/>
        <v>0</v>
      </c>
    </row>
    <row r="84" spans="2:34"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40"/>
      <c r="N84" s="40"/>
      <c r="O84" s="40"/>
      <c r="Q84" s="40"/>
      <c r="R84" s="40"/>
      <c r="S84" s="40"/>
      <c r="T84" s="40"/>
      <c r="U84" s="40"/>
      <c r="V84" s="40"/>
      <c r="Y84" s="40" t="str">
        <f>PoolData!A90</f>
        <v>-</v>
      </c>
      <c r="Z84" s="115" t="str">
        <f t="shared" si="34"/>
        <v/>
      </c>
      <c r="AA84" s="57">
        <f t="shared" si="32"/>
        <v>0</v>
      </c>
      <c r="AB84" s="115" t="str">
        <f t="shared" si="33"/>
        <v/>
      </c>
      <c r="AC84" s="62">
        <f t="shared" si="35"/>
        <v>0</v>
      </c>
      <c r="AD84" s="62">
        <f t="shared" si="36"/>
        <v>0</v>
      </c>
      <c r="AE84" s="62">
        <f t="shared" si="37"/>
        <v>0</v>
      </c>
      <c r="AF84" s="62">
        <f t="shared" si="38"/>
        <v>0</v>
      </c>
      <c r="AG84" s="62">
        <f t="shared" si="39"/>
        <v>0</v>
      </c>
      <c r="AH84" s="72">
        <f t="shared" si="40"/>
        <v>0</v>
      </c>
    </row>
    <row r="85" spans="2:34">
      <c r="B85" s="40"/>
      <c r="C85" s="40"/>
      <c r="D85" s="40"/>
      <c r="E85" s="40"/>
      <c r="F85" s="40"/>
      <c r="G85" s="40"/>
      <c r="H85" s="40"/>
      <c r="I85" s="40"/>
      <c r="J85" s="40"/>
      <c r="K85" s="40"/>
      <c r="L85" s="40"/>
      <c r="M85" s="40"/>
      <c r="N85" s="40"/>
      <c r="O85" s="40"/>
      <c r="Q85" s="40"/>
      <c r="R85" s="40"/>
      <c r="S85" s="40"/>
      <c r="T85" s="40"/>
      <c r="U85" s="40"/>
      <c r="V85" s="40"/>
      <c r="Y85" s="40" t="str">
        <f>PoolData!A91</f>
        <v>-</v>
      </c>
      <c r="Z85" s="115" t="str">
        <f t="shared" si="34"/>
        <v/>
      </c>
      <c r="AA85" s="57">
        <f t="shared" si="32"/>
        <v>0</v>
      </c>
      <c r="AB85" s="115" t="str">
        <f t="shared" si="33"/>
        <v/>
      </c>
      <c r="AC85" s="62">
        <f t="shared" si="35"/>
        <v>0</v>
      </c>
      <c r="AD85" s="62">
        <f t="shared" si="36"/>
        <v>0</v>
      </c>
      <c r="AE85" s="62">
        <f t="shared" si="37"/>
        <v>0</v>
      </c>
      <c r="AF85" s="62">
        <f t="shared" si="38"/>
        <v>0</v>
      </c>
      <c r="AG85" s="62">
        <f t="shared" si="39"/>
        <v>0</v>
      </c>
      <c r="AH85" s="72">
        <f t="shared" si="40"/>
        <v>0</v>
      </c>
    </row>
    <row r="86" spans="2:34">
      <c r="B86" s="40"/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40"/>
      <c r="N86" s="40"/>
      <c r="O86" s="40"/>
      <c r="Q86" s="40"/>
      <c r="R86" s="40"/>
      <c r="S86" s="40"/>
      <c r="T86" s="40"/>
      <c r="U86" s="40"/>
      <c r="V86" s="40"/>
      <c r="Y86" s="40" t="str">
        <f>PoolData!A92</f>
        <v>-</v>
      </c>
      <c r="Z86" s="115" t="str">
        <f t="shared" si="34"/>
        <v/>
      </c>
      <c r="AA86" s="57">
        <f t="shared" si="32"/>
        <v>0</v>
      </c>
      <c r="AB86" s="115" t="str">
        <f t="shared" si="33"/>
        <v/>
      </c>
      <c r="AC86" s="62">
        <f t="shared" si="35"/>
        <v>0</v>
      </c>
      <c r="AD86" s="62">
        <f t="shared" si="36"/>
        <v>0</v>
      </c>
      <c r="AE86" s="62">
        <f t="shared" si="37"/>
        <v>0</v>
      </c>
      <c r="AF86" s="62">
        <f t="shared" si="38"/>
        <v>0</v>
      </c>
      <c r="AG86" s="62">
        <f t="shared" si="39"/>
        <v>0</v>
      </c>
      <c r="AH86" s="72">
        <f t="shared" si="40"/>
        <v>0</v>
      </c>
    </row>
    <row r="87" spans="2:34">
      <c r="B87" s="40"/>
      <c r="C87" s="40"/>
      <c r="D87" s="40"/>
      <c r="E87" s="40"/>
      <c r="F87" s="40"/>
      <c r="G87" s="40"/>
      <c r="H87" s="40"/>
      <c r="I87" s="40"/>
      <c r="J87" s="40"/>
      <c r="K87" s="40"/>
      <c r="L87" s="40"/>
      <c r="M87" s="40"/>
      <c r="N87" s="40"/>
      <c r="O87" s="40"/>
      <c r="Q87" s="40"/>
      <c r="R87" s="40"/>
      <c r="S87" s="40"/>
      <c r="T87" s="40"/>
      <c r="U87" s="40"/>
      <c r="V87" s="40"/>
      <c r="Y87" s="40" t="str">
        <f>PoolData!A93</f>
        <v>-</v>
      </c>
      <c r="Z87" s="115" t="str">
        <f t="shared" si="34"/>
        <v/>
      </c>
      <c r="AA87" s="57">
        <f t="shared" si="32"/>
        <v>0</v>
      </c>
      <c r="AB87" s="115" t="str">
        <f t="shared" si="33"/>
        <v/>
      </c>
      <c r="AC87" s="62">
        <f t="shared" si="35"/>
        <v>0</v>
      </c>
      <c r="AD87" s="62">
        <f t="shared" si="36"/>
        <v>0</v>
      </c>
      <c r="AE87" s="62">
        <f t="shared" si="37"/>
        <v>0</v>
      </c>
      <c r="AF87" s="62">
        <f t="shared" si="38"/>
        <v>0</v>
      </c>
      <c r="AG87" s="62">
        <f t="shared" si="39"/>
        <v>0</v>
      </c>
      <c r="AH87" s="72">
        <f t="shared" si="40"/>
        <v>0</v>
      </c>
    </row>
    <row r="88" spans="2:34">
      <c r="B88" s="40"/>
      <c r="C88" s="40"/>
      <c r="D88" s="40"/>
      <c r="E88" s="40"/>
      <c r="F88" s="40"/>
      <c r="G88" s="40"/>
      <c r="H88" s="40"/>
      <c r="I88" s="40"/>
      <c r="J88" s="40"/>
      <c r="K88" s="40"/>
      <c r="L88" s="40"/>
      <c r="M88" s="40"/>
      <c r="N88" s="40"/>
      <c r="O88" s="40"/>
      <c r="Q88" s="40"/>
      <c r="R88" s="40"/>
      <c r="S88" s="40"/>
      <c r="T88" s="40"/>
      <c r="U88" s="40"/>
      <c r="V88" s="40"/>
      <c r="Y88" s="40" t="str">
        <f>PoolData!A94</f>
        <v>-</v>
      </c>
      <c r="Z88" s="115" t="str">
        <f t="shared" si="34"/>
        <v/>
      </c>
      <c r="AA88" s="57">
        <f t="shared" si="32"/>
        <v>0</v>
      </c>
      <c r="AB88" s="115" t="str">
        <f t="shared" si="33"/>
        <v/>
      </c>
      <c r="AC88" s="62">
        <f t="shared" si="35"/>
        <v>0</v>
      </c>
      <c r="AD88" s="62">
        <f t="shared" si="36"/>
        <v>0</v>
      </c>
      <c r="AE88" s="62">
        <f t="shared" si="37"/>
        <v>0</v>
      </c>
      <c r="AF88" s="62">
        <f t="shared" si="38"/>
        <v>0</v>
      </c>
      <c r="AG88" s="62">
        <f t="shared" si="39"/>
        <v>0</v>
      </c>
      <c r="AH88" s="72">
        <f t="shared" si="40"/>
        <v>0</v>
      </c>
    </row>
    <row r="89" spans="2:34"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  <c r="N89" s="40"/>
      <c r="O89" s="40"/>
      <c r="Q89" s="40"/>
      <c r="R89" s="40"/>
      <c r="S89" s="40"/>
      <c r="T89" s="40"/>
      <c r="U89" s="40"/>
      <c r="V89" s="40"/>
      <c r="Y89" s="40" t="str">
        <f>PoolData!A95</f>
        <v>-</v>
      </c>
      <c r="Z89" s="115" t="str">
        <f t="shared" si="34"/>
        <v/>
      </c>
      <c r="AA89" s="57">
        <f t="shared" si="32"/>
        <v>0</v>
      </c>
      <c r="AB89" s="115" t="str">
        <f t="shared" si="33"/>
        <v/>
      </c>
      <c r="AC89" s="62">
        <f t="shared" si="35"/>
        <v>0</v>
      </c>
      <c r="AD89" s="62">
        <f t="shared" si="36"/>
        <v>0</v>
      </c>
      <c r="AE89" s="62">
        <f t="shared" si="37"/>
        <v>0</v>
      </c>
      <c r="AF89" s="62">
        <f t="shared" si="38"/>
        <v>0</v>
      </c>
      <c r="AG89" s="62">
        <f t="shared" si="39"/>
        <v>0</v>
      </c>
      <c r="AH89" s="72">
        <f t="shared" si="40"/>
        <v>0</v>
      </c>
    </row>
    <row r="90" spans="2:34"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Q90" s="40"/>
      <c r="R90" s="40"/>
      <c r="S90" s="40"/>
      <c r="T90" s="40"/>
      <c r="U90" s="40"/>
      <c r="V90" s="40"/>
      <c r="Y90" s="40" t="str">
        <f>PoolData!A96</f>
        <v>-</v>
      </c>
      <c r="Z90" s="115" t="str">
        <f t="shared" si="34"/>
        <v/>
      </c>
      <c r="AA90" s="57">
        <f t="shared" si="32"/>
        <v>0</v>
      </c>
      <c r="AB90" s="115" t="str">
        <f t="shared" si="33"/>
        <v/>
      </c>
      <c r="AC90" s="62">
        <f t="shared" si="35"/>
        <v>0</v>
      </c>
      <c r="AD90" s="62">
        <f t="shared" si="36"/>
        <v>0</v>
      </c>
      <c r="AE90" s="62">
        <f t="shared" si="37"/>
        <v>0</v>
      </c>
      <c r="AF90" s="62">
        <f t="shared" si="38"/>
        <v>0</v>
      </c>
      <c r="AG90" s="62">
        <f t="shared" si="39"/>
        <v>0</v>
      </c>
      <c r="AH90" s="72">
        <f t="shared" si="40"/>
        <v>0</v>
      </c>
    </row>
    <row r="91" spans="2:34">
      <c r="B91" s="40"/>
      <c r="C91" s="40"/>
      <c r="D91" s="40"/>
      <c r="E91" s="40"/>
      <c r="F91" s="40"/>
      <c r="G91" s="40"/>
      <c r="H91" s="40"/>
      <c r="I91" s="40"/>
      <c r="J91" s="40"/>
      <c r="K91" s="40"/>
      <c r="L91" s="40"/>
      <c r="M91" s="40"/>
      <c r="N91" s="40"/>
      <c r="O91" s="40"/>
      <c r="Q91" s="40"/>
      <c r="R91" s="40"/>
      <c r="S91" s="40"/>
      <c r="T91" s="40"/>
      <c r="U91" s="40"/>
      <c r="V91" s="40"/>
      <c r="Y91" s="40" t="str">
        <f>PoolData!A97</f>
        <v>-</v>
      </c>
      <c r="Z91" s="115" t="str">
        <f t="shared" si="34"/>
        <v/>
      </c>
      <c r="AA91" s="57">
        <f t="shared" si="32"/>
        <v>0</v>
      </c>
      <c r="AB91" s="115" t="str">
        <f t="shared" si="33"/>
        <v/>
      </c>
      <c r="AC91" s="62">
        <f t="shared" si="35"/>
        <v>0</v>
      </c>
      <c r="AD91" s="62">
        <f t="shared" si="36"/>
        <v>0</v>
      </c>
      <c r="AE91" s="62">
        <f t="shared" si="37"/>
        <v>0</v>
      </c>
      <c r="AF91" s="62">
        <f t="shared" si="38"/>
        <v>0</v>
      </c>
      <c r="AG91" s="62">
        <f t="shared" si="39"/>
        <v>0</v>
      </c>
      <c r="AH91" s="72">
        <f t="shared" si="40"/>
        <v>0</v>
      </c>
    </row>
    <row r="92" spans="2:34">
      <c r="B92" s="40"/>
      <c r="C92" s="40"/>
      <c r="D92" s="40"/>
      <c r="E92" s="40"/>
      <c r="F92" s="40"/>
      <c r="G92" s="40"/>
      <c r="H92" s="40"/>
      <c r="I92" s="40"/>
      <c r="J92" s="40"/>
      <c r="K92" s="40"/>
      <c r="L92" s="40"/>
      <c r="M92" s="40"/>
      <c r="N92" s="40"/>
      <c r="O92" s="40"/>
      <c r="Q92" s="40"/>
      <c r="R92" s="40"/>
      <c r="S92" s="40"/>
      <c r="T92" s="40"/>
      <c r="U92" s="40"/>
      <c r="V92" s="40"/>
      <c r="Y92" s="40" t="str">
        <f>PoolData!A98</f>
        <v>-</v>
      </c>
      <c r="Z92" s="115" t="str">
        <f t="shared" si="34"/>
        <v/>
      </c>
      <c r="AA92" s="57">
        <f t="shared" si="32"/>
        <v>0</v>
      </c>
      <c r="AB92" s="115" t="str">
        <f t="shared" si="33"/>
        <v/>
      </c>
      <c r="AC92" s="62">
        <f t="shared" si="35"/>
        <v>0</v>
      </c>
      <c r="AD92" s="62">
        <f t="shared" si="36"/>
        <v>0</v>
      </c>
      <c r="AE92" s="62">
        <f t="shared" si="37"/>
        <v>0</v>
      </c>
      <c r="AF92" s="62">
        <f t="shared" si="38"/>
        <v>0</v>
      </c>
      <c r="AG92" s="62">
        <f t="shared" si="39"/>
        <v>0</v>
      </c>
      <c r="AH92" s="72">
        <f t="shared" si="40"/>
        <v>0</v>
      </c>
    </row>
    <row r="93" spans="2:34">
      <c r="B93" s="40"/>
      <c r="C93" s="40"/>
      <c r="D93" s="40"/>
      <c r="E93" s="40"/>
      <c r="F93" s="40"/>
      <c r="G93" s="40"/>
      <c r="H93" s="40"/>
      <c r="I93" s="40"/>
      <c r="J93" s="40"/>
      <c r="K93" s="40"/>
      <c r="L93" s="40"/>
      <c r="M93" s="40"/>
      <c r="N93" s="40"/>
      <c r="O93" s="40"/>
      <c r="Q93" s="40"/>
      <c r="R93" s="40"/>
      <c r="S93" s="40"/>
      <c r="T93" s="40"/>
      <c r="U93" s="40"/>
      <c r="V93" s="40"/>
      <c r="Y93" s="40" t="str">
        <f>PoolData!A99</f>
        <v>-</v>
      </c>
      <c r="Z93" s="115" t="str">
        <f t="shared" si="34"/>
        <v/>
      </c>
      <c r="AA93" s="57">
        <f t="shared" si="32"/>
        <v>0</v>
      </c>
      <c r="AB93" s="115" t="str">
        <f t="shared" si="33"/>
        <v/>
      </c>
      <c r="AC93" s="62">
        <f t="shared" si="35"/>
        <v>0</v>
      </c>
      <c r="AD93" s="62">
        <f t="shared" si="36"/>
        <v>0</v>
      </c>
      <c r="AE93" s="62">
        <f t="shared" si="37"/>
        <v>0</v>
      </c>
      <c r="AF93" s="62">
        <f t="shared" si="38"/>
        <v>0</v>
      </c>
      <c r="AG93" s="62">
        <f t="shared" si="39"/>
        <v>0</v>
      </c>
      <c r="AH93" s="72">
        <f t="shared" si="40"/>
        <v>0</v>
      </c>
    </row>
    <row r="94" spans="2:34">
      <c r="B94" s="40"/>
      <c r="C94" s="40"/>
      <c r="D94" s="40"/>
      <c r="E94" s="40"/>
      <c r="F94" s="40"/>
      <c r="G94" s="40"/>
      <c r="H94" s="40"/>
      <c r="I94" s="40"/>
      <c r="J94" s="40"/>
      <c r="K94" s="40"/>
      <c r="L94" s="40"/>
      <c r="M94" s="40"/>
      <c r="N94" s="40"/>
      <c r="O94" s="40"/>
      <c r="Q94" s="40"/>
      <c r="R94" s="40"/>
      <c r="S94" s="40"/>
      <c r="T94" s="40"/>
      <c r="U94" s="40"/>
      <c r="V94" s="40"/>
      <c r="Y94" s="40" t="str">
        <f>PoolData!A100</f>
        <v>-</v>
      </c>
      <c r="Z94" s="115" t="str">
        <f t="shared" si="34"/>
        <v/>
      </c>
      <c r="AA94" s="57">
        <f t="shared" si="32"/>
        <v>0</v>
      </c>
      <c r="AB94" s="115" t="str">
        <f t="shared" si="33"/>
        <v/>
      </c>
      <c r="AC94" s="62">
        <f t="shared" si="35"/>
        <v>0</v>
      </c>
      <c r="AD94" s="62">
        <f t="shared" si="36"/>
        <v>0</v>
      </c>
      <c r="AE94" s="62">
        <f t="shared" si="37"/>
        <v>0</v>
      </c>
      <c r="AF94" s="62">
        <f t="shared" si="38"/>
        <v>0</v>
      </c>
      <c r="AG94" s="62">
        <f t="shared" si="39"/>
        <v>0</v>
      </c>
      <c r="AH94" s="72">
        <f t="shared" si="40"/>
        <v>0</v>
      </c>
    </row>
  </sheetData>
  <mergeCells count="4">
    <mergeCell ref="Y3:AH3"/>
    <mergeCell ref="D3:E3"/>
    <mergeCell ref="H3:I3"/>
    <mergeCell ref="M3:O3"/>
  </mergeCells>
  <conditionalFormatting sqref="M5:M7 O5:O7">
    <cfRule type="cellIs" dxfId="74" priority="32" operator="lessThan">
      <formula>0</formula>
    </cfRule>
  </conditionalFormatting>
  <conditionalFormatting sqref="V5:V7">
    <cfRule type="cellIs" dxfId="73" priority="31" operator="lessThan">
      <formula>0</formula>
    </cfRule>
  </conditionalFormatting>
  <conditionalFormatting sqref="T5:V7">
    <cfRule type="cellIs" dxfId="72" priority="30" operator="lessThan">
      <formula>0</formula>
    </cfRule>
  </conditionalFormatting>
  <conditionalFormatting sqref="V1">
    <cfRule type="cellIs" dxfId="71" priority="29" operator="lessThan">
      <formula>0</formula>
    </cfRule>
  </conditionalFormatting>
  <conditionalFormatting sqref="V1">
    <cfRule type="cellIs" dxfId="70" priority="28" operator="lessThan">
      <formula>0</formula>
    </cfRule>
  </conditionalFormatting>
  <conditionalFormatting sqref="AF5:AG7 AF9:AG94">
    <cfRule type="cellIs" dxfId="69" priority="24" operator="lessThan">
      <formula>0</formula>
    </cfRule>
  </conditionalFormatting>
  <conditionalFormatting sqref="AH5:AH7 AH9:AH94">
    <cfRule type="cellIs" dxfId="68" priority="23" operator="lessThan">
      <formula>0</formula>
    </cfRule>
  </conditionalFormatting>
  <conditionalFormatting sqref="AH5:AH7 AH9:AH94">
    <cfRule type="cellIs" dxfId="67" priority="22" operator="lessThan">
      <formula>0</formula>
    </cfRule>
  </conditionalFormatting>
  <conditionalFormatting sqref="AH1">
    <cfRule type="cellIs" dxfId="66" priority="21" operator="lessThan">
      <formula>0</formula>
    </cfRule>
  </conditionalFormatting>
  <conditionalFormatting sqref="AH1">
    <cfRule type="cellIs" dxfId="65" priority="20" operator="lessThan">
      <formula>0</formula>
    </cfRule>
  </conditionalFormatting>
  <conditionalFormatting sqref="AD5">
    <cfRule type="cellIs" dxfId="64" priority="19" operator="lessThan">
      <formula>0</formula>
    </cfRule>
  </conditionalFormatting>
  <conditionalFormatting sqref="AE5">
    <cfRule type="cellIs" dxfId="63" priority="18" operator="lessThan">
      <formula>0</formula>
    </cfRule>
  </conditionalFormatting>
  <conditionalFormatting sqref="AD6">
    <cfRule type="cellIs" dxfId="62" priority="17" operator="lessThan">
      <formula>0</formula>
    </cfRule>
  </conditionalFormatting>
  <conditionalFormatting sqref="AE6">
    <cfRule type="cellIs" dxfId="61" priority="16" operator="lessThan">
      <formula>0</formula>
    </cfRule>
  </conditionalFormatting>
  <conditionalFormatting sqref="AD7 AD9:AD94">
    <cfRule type="cellIs" dxfId="60" priority="15" operator="lessThan">
      <formula>0</formula>
    </cfRule>
  </conditionalFormatting>
  <conditionalFormatting sqref="AE7 AE9:AE94">
    <cfRule type="cellIs" dxfId="59" priority="14" operator="lessThan">
      <formula>0</formula>
    </cfRule>
  </conditionalFormatting>
  <conditionalFormatting sqref="AC5:AC7 AA5:AA7 AA9:AA94 AC9:AC94">
    <cfRule type="cellIs" dxfId="58" priority="13" operator="lessThan">
      <formula>0</formula>
    </cfRule>
  </conditionalFormatting>
  <conditionalFormatting sqref="M9 O9">
    <cfRule type="cellIs" dxfId="57" priority="12" operator="lessThan">
      <formula>0</formula>
    </cfRule>
  </conditionalFormatting>
  <conditionalFormatting sqref="V9">
    <cfRule type="cellIs" dxfId="56" priority="11" operator="lessThan">
      <formula>0</formula>
    </cfRule>
  </conditionalFormatting>
  <conditionalFormatting sqref="T9:V9">
    <cfRule type="cellIs" dxfId="55" priority="10" operator="lessThan">
      <formula>0</formula>
    </cfRule>
  </conditionalFormatting>
  <conditionalFormatting sqref="M8 O8">
    <cfRule type="cellIs" dxfId="54" priority="9" operator="lessThan">
      <formula>0</formula>
    </cfRule>
  </conditionalFormatting>
  <conditionalFormatting sqref="V8">
    <cfRule type="cellIs" dxfId="53" priority="8" operator="lessThan">
      <formula>0</formula>
    </cfRule>
  </conditionalFormatting>
  <conditionalFormatting sqref="T8:V8">
    <cfRule type="cellIs" dxfId="52" priority="7" operator="lessThan">
      <formula>0</formula>
    </cfRule>
  </conditionalFormatting>
  <conditionalFormatting sqref="AF8:AG8">
    <cfRule type="cellIs" dxfId="51" priority="6" operator="lessThan">
      <formula>0</formula>
    </cfRule>
  </conditionalFormatting>
  <conditionalFormatting sqref="AH8">
    <cfRule type="cellIs" dxfId="50" priority="5" operator="lessThan">
      <formula>0</formula>
    </cfRule>
  </conditionalFormatting>
  <conditionalFormatting sqref="AH8">
    <cfRule type="cellIs" dxfId="49" priority="4" operator="lessThan">
      <formula>0</formula>
    </cfRule>
  </conditionalFormatting>
  <conditionalFormatting sqref="AD8">
    <cfRule type="cellIs" dxfId="48" priority="3" operator="lessThan">
      <formula>0</formula>
    </cfRule>
  </conditionalFormatting>
  <conditionalFormatting sqref="AE8">
    <cfRule type="cellIs" dxfId="47" priority="2" operator="lessThan">
      <formula>0</formula>
    </cfRule>
  </conditionalFormatting>
  <conditionalFormatting sqref="AC8 AA8">
    <cfRule type="cellIs" dxfId="46" priority="1" operator="lessThan">
      <formula>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6A6187-8F21-42AA-91D7-479CC905F56B}">
          <x14:formula1>
            <xm:f>PoolData!$A$11:$A$100</xm:f>
          </x14:formula1>
          <xm:sqref>B5:B9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1BE76-38FF-4372-88C5-C05986D310E0}">
  <sheetPr codeName="Sheet5">
    <tabColor theme="4" tint="0.59999389629810485"/>
  </sheetPr>
  <dimension ref="A1:BC815"/>
  <sheetViews>
    <sheetView topLeftCell="D1" zoomScale="70" zoomScaleNormal="70" workbookViewId="0">
      <pane xSplit="2" topLeftCell="J1" activePane="topRight" state="frozen"/>
      <selection activeCell="F16" sqref="F16"/>
      <selection pane="topRight" activeCell="D1" sqref="D1"/>
    </sheetView>
  </sheetViews>
  <sheetFormatPr defaultRowHeight="15"/>
  <cols>
    <col min="1" max="3" width="17.7109375" hidden="1" customWidth="1"/>
    <col min="4" max="4" width="45.42578125" customWidth="1"/>
    <col min="5" max="5" width="64.28515625" bestFit="1" customWidth="1"/>
    <col min="6" max="6" width="15.7109375" hidden="1" customWidth="1"/>
    <col min="7" max="7" width="15.85546875" hidden="1" customWidth="1"/>
    <col min="8" max="8" width="17.85546875" style="3" hidden="1" customWidth="1"/>
    <col min="9" max="9" width="26.85546875" hidden="1" customWidth="1"/>
    <col min="10" max="10" width="31.140625" bestFit="1" customWidth="1"/>
    <col min="11" max="11" width="13.140625" bestFit="1" customWidth="1"/>
    <col min="12" max="12" width="23.42578125" bestFit="1" customWidth="1"/>
    <col min="13" max="13" width="13" bestFit="1" customWidth="1"/>
    <col min="14" max="14" width="59.7109375" bestFit="1" customWidth="1"/>
    <col min="15" max="15" width="11.7109375" bestFit="1" customWidth="1"/>
    <col min="16" max="16" width="8.85546875" bestFit="1" customWidth="1"/>
    <col min="17" max="17" width="55.85546875" bestFit="1" customWidth="1"/>
    <col min="18" max="18" width="3" customWidth="1"/>
    <col min="19" max="21" width="7.140625" bestFit="1" customWidth="1"/>
    <col min="22" max="22" width="13.140625" bestFit="1" customWidth="1"/>
    <col min="23" max="23" width="13.85546875" bestFit="1" customWidth="1"/>
    <col min="24" max="24" width="15" bestFit="1" customWidth="1"/>
    <col min="25" max="25" width="3" customWidth="1"/>
    <col min="26" max="27" width="17.7109375" customWidth="1"/>
  </cols>
  <sheetData>
    <row r="1" spans="1:55" ht="84" customHeight="1">
      <c r="D1" s="109" t="s">
        <v>183</v>
      </c>
      <c r="E1" s="129" t="s">
        <v>174</v>
      </c>
      <c r="J1" s="10" t="str">
        <f>"ENTRY POOL SIZE "&amp;D3</f>
        <v>ENTRY POOL SIZE FSN</v>
      </c>
      <c r="K1" s="28">
        <f>VLOOKUP($D$3&amp;"-"&amp;$D$4,PoolData!$A$10:$N$1048576,MATCH("Coin 1 Pool Size",PoolData!$A$10:$N$10,0),0)</f>
        <v>20609.623959</v>
      </c>
      <c r="N1" s="8" t="s">
        <v>2</v>
      </c>
      <c r="O1" s="26">
        <v>0.02</v>
      </c>
      <c r="P1" s="6"/>
      <c r="Q1" s="6"/>
      <c r="R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</row>
    <row r="2" spans="1:55">
      <c r="J2" s="10" t="str">
        <f>"ENTRY POOL SIZE "&amp;D4</f>
        <v>ENTRY POOL SIZE UNI</v>
      </c>
      <c r="K2" s="28">
        <f>VLOOKUP($D$3&amp;"-"&amp;$D$4,PoolData!$A$10:$N$1048576,MATCH("Coin 2 Pool Size",PoolData!$A$10:$N$10,0),0)</f>
        <v>1952.1462799999999</v>
      </c>
      <c r="L2" s="17" t="str">
        <f>D4&amp;"  required to pool"</f>
        <v>UNI  required to pool</v>
      </c>
      <c r="P2" s="6"/>
      <c r="Q2" s="6"/>
      <c r="R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</row>
    <row r="3" spans="1:55">
      <c r="D3" s="110" t="str">
        <f>LEFT(D1,FIND("-",D1)-1)</f>
        <v>FSN</v>
      </c>
      <c r="J3" s="27" t="s">
        <v>5</v>
      </c>
      <c r="K3" s="28">
        <f>IFERROR(VLOOKUP($D$3&amp;"-"&amp;$D$4,'Your Pooling'!$A:$B,2,0),1000)</f>
        <v>100</v>
      </c>
      <c r="L3" s="18">
        <f>K3/(K1/K2)</f>
        <v>9.4720130938998448</v>
      </c>
      <c r="P3" s="6"/>
      <c r="Q3" s="6"/>
      <c r="R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</row>
    <row r="4" spans="1:55" ht="21">
      <c r="D4" s="110" t="str">
        <f>RIGHT(D1,LEN(D1)-FIND("-",D1))</f>
        <v>UNI</v>
      </c>
      <c r="J4" s="40" t="s">
        <v>107</v>
      </c>
      <c r="K4" s="58">
        <f>K3/(K1)</f>
        <v>4.8521021149602822E-3</v>
      </c>
      <c r="N4" s="34" t="str">
        <f>"Starting Balance is "&amp;ROUND(K3,3)&amp;" "&amp;$D$3&amp;" and "&amp;ROUND(L3,3)&amp;" "&amp;$D$4&amp;" - equivalent of "&amp;ROUND(2*K3,0)&amp;" FSN or "&amp;ROUND(2*L3,3)&amp;" "&amp;$D$4</f>
        <v>Starting Balance is 100 FSN and 9.472 UNI - equivalent of 200 FSN or 18.944 UNI</v>
      </c>
      <c r="P4" s="6"/>
      <c r="Q4" s="6"/>
      <c r="R4" s="6"/>
      <c r="T4" s="6"/>
      <c r="U4" s="6"/>
      <c r="V4" s="6"/>
      <c r="W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</row>
    <row r="5" spans="1:55">
      <c r="H5"/>
      <c r="J5" s="40" t="s">
        <v>109</v>
      </c>
      <c r="K5" s="72">
        <f>FSNPRICE</f>
        <v>0.38126952444377737</v>
      </c>
      <c r="N5" s="12" t="s">
        <v>7</v>
      </c>
      <c r="P5" s="6"/>
      <c r="R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</row>
    <row r="6" spans="1:55">
      <c r="D6" s="54"/>
      <c r="H6"/>
      <c r="N6" s="149" t="s">
        <v>0</v>
      </c>
      <c r="O6" s="149"/>
      <c r="P6" s="149"/>
      <c r="Q6" s="149"/>
      <c r="R6" s="6"/>
      <c r="S6" s="149" t="s">
        <v>108</v>
      </c>
      <c r="T6" s="149"/>
      <c r="U6" s="149"/>
      <c r="V6" s="150" t="s">
        <v>12</v>
      </c>
      <c r="W6" s="150"/>
      <c r="X6" s="150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</row>
    <row r="7" spans="1:55">
      <c r="D7" s="54"/>
      <c r="F7" s="15" t="str">
        <f>D4&amp;":"&amp;D3&amp;" Ratio"</f>
        <v>UNI:FSN Ratio</v>
      </c>
      <c r="G7" s="15" t="str">
        <f>$D$3&amp;" pool  Size"</f>
        <v>FSN pool  Size</v>
      </c>
      <c r="H7" s="16" t="str">
        <f>$D$4&amp;" Pool Size"</f>
        <v>UNI Pool Size</v>
      </c>
      <c r="I7" s="15" t="s">
        <v>1</v>
      </c>
      <c r="M7" s="81" t="str">
        <f>$D$4&amp;" Price"</f>
        <v>UNI Price</v>
      </c>
      <c r="N7" s="14" t="str">
        <f>F7</f>
        <v>UNI:FSN Ratio</v>
      </c>
      <c r="O7" s="13" t="str">
        <f>"#"&amp;$D$3</f>
        <v>#FSN</v>
      </c>
      <c r="P7" s="13" t="str">
        <f>"#"&amp;$D$4</f>
        <v>#UNI</v>
      </c>
      <c r="Q7" s="14" t="str">
        <f>"Equivalent USD Pooling at current FSN Price"</f>
        <v>Equivalent USD Pooling at current FSN Price</v>
      </c>
      <c r="R7" s="6"/>
      <c r="S7" s="13" t="str">
        <f>"HODL "&amp;ROUND(K3*2,3)&amp;" "&amp;$D$3&amp;" (at current fsn price)"</f>
        <v>HODL 200 FSN (at current fsn price)</v>
      </c>
      <c r="T7" s="13" t="str">
        <f>"HODL "&amp;ROUND(L3*2,3)&amp;" "&amp;$D$4&amp;" (at current fsn price)"</f>
        <v>HODL 18.944 UNI (at current fsn price)</v>
      </c>
      <c r="U7" s="13" t="str">
        <f>"HODL "&amp;ROUND(K3,3)&amp;" "&amp;$D$3&amp;"&amp; "&amp;ROUND(L3,3)&amp;" "&amp;$D$4&amp;" (at current fsn price)"</f>
        <v>HODL 100 FSN&amp; 9.472 UNI (at current fsn price)</v>
      </c>
      <c r="V7" s="13" t="str">
        <f>"HODL"&amp;$D$3</f>
        <v>HODLFSN</v>
      </c>
      <c r="W7" s="13" t="str">
        <f>"HODL "&amp;$D$4</f>
        <v>HODL UNI</v>
      </c>
      <c r="X7" s="13" t="s">
        <v>11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</row>
    <row r="8" spans="1:55">
      <c r="A8" s="33"/>
      <c r="B8" s="33"/>
      <c r="C8" s="33"/>
      <c r="D8" s="108"/>
      <c r="E8" s="33"/>
      <c r="F8" s="5">
        <f>G8/H8</f>
        <v>51.472048315012039</v>
      </c>
      <c r="G8" s="4">
        <f>G9*(1+$O$1)</f>
        <v>45506.867153658983</v>
      </c>
      <c r="H8" s="3">
        <f t="shared" ref="H8:H47" si="0">I8/G8</f>
        <v>884.10833925151405</v>
      </c>
      <c r="I8">
        <f t="shared" ref="I8:I40" si="1">I9</f>
        <v>40233000.74376072</v>
      </c>
      <c r="J8" s="33"/>
      <c r="K8" s="33"/>
      <c r="L8" s="33"/>
      <c r="M8" s="82">
        <f>N8*$K$5</f>
        <v>19.624723383211773</v>
      </c>
      <c r="N8" s="66">
        <f t="shared" ref="N8:N71" si="2">F8</f>
        <v>51.472048315012039</v>
      </c>
      <c r="O8" s="8">
        <f t="shared" ref="O8:O47" si="3">$O$48/$G$48*G8</f>
        <v>220.80396636148535</v>
      </c>
      <c r="P8" s="130">
        <f t="shared" ref="P8:P47" si="4">O8/F8</f>
        <v>4.2897839427362934</v>
      </c>
      <c r="Q8" s="10">
        <f>(O8+P8*N8)*$K$5</f>
        <v>168.37164649988665</v>
      </c>
      <c r="R8" s="6"/>
      <c r="S8" s="73">
        <f>$Q$48</f>
        <v>76.253904888755471</v>
      </c>
      <c r="T8" s="73">
        <f>$P$48*2*N8*$K$5</f>
        <v>371.77127369988875</v>
      </c>
      <c r="U8" s="73">
        <f>($O$48+N8*$P$48)*$K$5</f>
        <v>224.01258929432211</v>
      </c>
      <c r="V8" s="1">
        <f>S8/$Q8-1</f>
        <v>-0.54710958481476391</v>
      </c>
      <c r="W8" s="1">
        <f>T8/$Q8-1</f>
        <v>1.2080396636148536</v>
      </c>
      <c r="X8" s="1">
        <f>U8/$Q8-1</f>
        <v>0.33046503940004479</v>
      </c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</row>
    <row r="9" spans="1:55">
      <c r="A9" s="33"/>
      <c r="B9" s="33"/>
      <c r="C9" s="33"/>
      <c r="D9" s="33"/>
      <c r="E9" s="33"/>
      <c r="F9" s="5">
        <f t="shared" ref="F9:F72" si="5">G9/H9</f>
        <v>49.473325946762806</v>
      </c>
      <c r="G9" s="4">
        <f t="shared" ref="G9:G47" si="6">G10*(1+$O$1)</f>
        <v>44614.575640842137</v>
      </c>
      <c r="H9" s="3">
        <f t="shared" si="0"/>
        <v>901.79050603654446</v>
      </c>
      <c r="I9">
        <f t="shared" si="1"/>
        <v>40233000.74376072</v>
      </c>
      <c r="J9" s="33"/>
      <c r="K9" s="33"/>
      <c r="L9" s="33"/>
      <c r="M9" s="82">
        <f t="shared" ref="M9:M72" si="7">N9*$K$5</f>
        <v>18.862671456374247</v>
      </c>
      <c r="N9" s="66">
        <f t="shared" si="2"/>
        <v>49.473325946762806</v>
      </c>
      <c r="O9" s="8">
        <f t="shared" si="3"/>
        <v>216.47447682498563</v>
      </c>
      <c r="P9" s="130">
        <f t="shared" si="4"/>
        <v>4.3755796215910205</v>
      </c>
      <c r="Q9" s="10">
        <f t="shared" ref="Q9:Q72" si="8">(O9+P9*N9)*$K$5</f>
        <v>165.07024166655555</v>
      </c>
      <c r="R9" s="6"/>
      <c r="S9" s="73">
        <f t="shared" ref="S9:S72" si="9">$Q$48</f>
        <v>76.253904888755471</v>
      </c>
      <c r="T9" s="73">
        <f t="shared" ref="T9:T72" si="10">$P$48*2*N9*$K$5</f>
        <v>357.33494204141545</v>
      </c>
      <c r="U9" s="73">
        <f t="shared" ref="U9:U72" si="11">($O$48+N9*$P$48)*$K$5</f>
        <v>216.79442346508546</v>
      </c>
      <c r="V9" s="1">
        <f t="shared" ref="V9:V72" si="12">S9/$Q9-1</f>
        <v>-0.53805177651105918</v>
      </c>
      <c r="W9" s="1">
        <f t="shared" ref="W9:W72" si="13">T9/$Q9-1</f>
        <v>1.1647447682498555</v>
      </c>
      <c r="X9" s="1">
        <f t="shared" ref="X9:X72" si="14">U9/$Q9-1</f>
        <v>0.31334649586939811</v>
      </c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</row>
    <row r="10" spans="1:55">
      <c r="A10" s="33"/>
      <c r="B10" s="33"/>
      <c r="C10" s="33"/>
      <c r="D10" s="33"/>
      <c r="E10" s="33"/>
      <c r="F10" s="5">
        <f t="shared" si="5"/>
        <v>47.552216404039612</v>
      </c>
      <c r="G10" s="4">
        <f t="shared" si="6"/>
        <v>43739.780040041311</v>
      </c>
      <c r="H10" s="3">
        <f t="shared" si="0"/>
        <v>919.8263161572753</v>
      </c>
      <c r="I10">
        <f t="shared" si="1"/>
        <v>40233000.74376072</v>
      </c>
      <c r="J10" s="33"/>
      <c r="K10" s="6"/>
      <c r="L10" s="6"/>
      <c r="M10" s="82">
        <f t="shared" si="7"/>
        <v>18.130210934615771</v>
      </c>
      <c r="N10" s="66">
        <f t="shared" si="2"/>
        <v>47.552216404039612</v>
      </c>
      <c r="O10" s="8">
        <f t="shared" si="3"/>
        <v>212.22987924018199</v>
      </c>
      <c r="P10" s="130">
        <f t="shared" si="4"/>
        <v>4.4630912140228407</v>
      </c>
      <c r="Q10" s="10">
        <f t="shared" si="8"/>
        <v>161.83357026132899</v>
      </c>
      <c r="R10" s="6"/>
      <c r="S10" s="73">
        <f t="shared" si="9"/>
        <v>76.253904888755471</v>
      </c>
      <c r="T10" s="73">
        <f t="shared" si="10"/>
        <v>343.45919073569348</v>
      </c>
      <c r="U10" s="73">
        <f t="shared" si="11"/>
        <v>209.85654781222448</v>
      </c>
      <c r="V10" s="1">
        <f t="shared" si="12"/>
        <v>-0.5288128120412805</v>
      </c>
      <c r="W10" s="1">
        <f t="shared" si="13"/>
        <v>1.1222987924018191</v>
      </c>
      <c r="X10" s="1">
        <f t="shared" si="14"/>
        <v>0.29674299018026939</v>
      </c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</row>
    <row r="11" spans="1:55">
      <c r="D11" s="33"/>
      <c r="E11" s="33"/>
      <c r="F11" s="5">
        <f t="shared" si="5"/>
        <v>45.705705886235691</v>
      </c>
      <c r="G11" s="4">
        <f t="shared" si="6"/>
        <v>42882.13729415815</v>
      </c>
      <c r="H11" s="3">
        <f t="shared" si="0"/>
        <v>938.22284248042081</v>
      </c>
      <c r="I11">
        <f t="shared" si="1"/>
        <v>40233000.74376072</v>
      </c>
      <c r="J11" s="6"/>
      <c r="K11" s="6"/>
      <c r="L11" s="6"/>
      <c r="M11" s="82">
        <f t="shared" si="7"/>
        <v>17.426192747612237</v>
      </c>
      <c r="N11" s="66">
        <f t="shared" si="2"/>
        <v>45.705705886235691</v>
      </c>
      <c r="O11" s="8">
        <f t="shared" si="3"/>
        <v>208.06850905900197</v>
      </c>
      <c r="P11" s="130">
        <f t="shared" si="4"/>
        <v>4.5523530383032975</v>
      </c>
      <c r="Q11" s="10">
        <f t="shared" si="8"/>
        <v>158.66036300130293</v>
      </c>
      <c r="R11" s="6"/>
      <c r="S11" s="73">
        <f t="shared" si="9"/>
        <v>76.253904888755471</v>
      </c>
      <c r="T11" s="73">
        <f t="shared" si="10"/>
        <v>330.12225176441126</v>
      </c>
      <c r="U11" s="73">
        <f t="shared" si="11"/>
        <v>203.18807832658339</v>
      </c>
      <c r="V11" s="1">
        <f t="shared" si="12"/>
        <v>-0.51938906828210607</v>
      </c>
      <c r="W11" s="1">
        <f t="shared" si="13"/>
        <v>1.0806850905900189</v>
      </c>
      <c r="X11" s="1">
        <f t="shared" si="14"/>
        <v>0.28064801115395666</v>
      </c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</row>
    <row r="12" spans="1:55">
      <c r="D12" s="33"/>
      <c r="E12" s="33"/>
      <c r="F12" s="5">
        <f t="shared" si="5"/>
        <v>43.930897622294978</v>
      </c>
      <c r="G12" s="4">
        <f t="shared" si="6"/>
        <v>42041.311072704069</v>
      </c>
      <c r="H12" s="3">
        <f t="shared" si="0"/>
        <v>956.98729933002915</v>
      </c>
      <c r="I12">
        <f t="shared" si="1"/>
        <v>40233000.74376072</v>
      </c>
      <c r="J12" s="6"/>
      <c r="K12" s="6"/>
      <c r="L12" s="6"/>
      <c r="M12" s="82">
        <f t="shared" si="7"/>
        <v>16.749512444840676</v>
      </c>
      <c r="N12" s="66">
        <f t="shared" si="2"/>
        <v>43.930897622294978</v>
      </c>
      <c r="O12" s="8">
        <f t="shared" si="3"/>
        <v>203.98873437157056</v>
      </c>
      <c r="P12" s="130">
        <f t="shared" si="4"/>
        <v>4.6434000990693631</v>
      </c>
      <c r="Q12" s="10">
        <f t="shared" si="8"/>
        <v>155.54937549147346</v>
      </c>
      <c r="R12" s="6"/>
      <c r="S12" s="73">
        <f t="shared" si="9"/>
        <v>76.253904888755471</v>
      </c>
      <c r="T12" s="73">
        <f t="shared" si="10"/>
        <v>317.3032023879386</v>
      </c>
      <c r="U12" s="73">
        <f t="shared" si="11"/>
        <v>196.77855363834703</v>
      </c>
      <c r="V12" s="1">
        <f t="shared" si="12"/>
        <v>-0.50977684964774816</v>
      </c>
      <c r="W12" s="1">
        <f t="shared" si="13"/>
        <v>1.039887343715705</v>
      </c>
      <c r="X12" s="1">
        <f t="shared" si="14"/>
        <v>0.26505524703397843</v>
      </c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</row>
    <row r="13" spans="1:55">
      <c r="D13" s="33"/>
      <c r="E13" s="33"/>
      <c r="F13" s="5">
        <f t="shared" si="5"/>
        <v>42.225007326311967</v>
      </c>
      <c r="G13" s="4">
        <f t="shared" si="6"/>
        <v>41216.971639905947</v>
      </c>
      <c r="H13" s="3">
        <f t="shared" si="0"/>
        <v>976.12704531662985</v>
      </c>
      <c r="I13">
        <f t="shared" si="1"/>
        <v>40233000.74376072</v>
      </c>
      <c r="J13" s="6"/>
      <c r="K13" s="6"/>
      <c r="L13" s="6"/>
      <c r="M13" s="82">
        <f t="shared" si="7"/>
        <v>16.099108462937981</v>
      </c>
      <c r="N13" s="66">
        <f t="shared" si="2"/>
        <v>42.225007326311967</v>
      </c>
      <c r="O13" s="8">
        <f t="shared" si="3"/>
        <v>199.98895526624563</v>
      </c>
      <c r="P13" s="130">
        <f t="shared" si="4"/>
        <v>4.7362681010507508</v>
      </c>
      <c r="Q13" s="10">
        <f t="shared" si="8"/>
        <v>152.49938773673867</v>
      </c>
      <c r="R13" s="6"/>
      <c r="S13" s="73">
        <f t="shared" si="9"/>
        <v>76.253904888755471</v>
      </c>
      <c r="T13" s="73">
        <f t="shared" si="10"/>
        <v>304.98193232212469</v>
      </c>
      <c r="U13" s="73">
        <f t="shared" si="11"/>
        <v>190.61791860544008</v>
      </c>
      <c r="V13" s="1">
        <f t="shared" si="12"/>
        <v>-0.49997238664070309</v>
      </c>
      <c r="W13" s="1">
        <f t="shared" si="13"/>
        <v>0.99988955266245583</v>
      </c>
      <c r="X13" s="1">
        <f t="shared" si="14"/>
        <v>0.24995858301087637</v>
      </c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</row>
    <row r="14" spans="1:55">
      <c r="F14" s="5">
        <f t="shared" si="5"/>
        <v>40.585358829596267</v>
      </c>
      <c r="G14" s="4">
        <f t="shared" si="6"/>
        <v>40408.795725397984</v>
      </c>
      <c r="H14" s="3">
        <f t="shared" si="0"/>
        <v>995.64958622296251</v>
      </c>
      <c r="I14">
        <f t="shared" si="1"/>
        <v>40233000.74376072</v>
      </c>
      <c r="J14" s="6"/>
      <c r="K14" s="6"/>
      <c r="L14" s="6"/>
      <c r="M14" s="82">
        <f t="shared" si="7"/>
        <v>15.47396046034023</v>
      </c>
      <c r="N14" s="66">
        <f t="shared" si="2"/>
        <v>40.585358829596267</v>
      </c>
      <c r="O14" s="8">
        <f t="shared" si="3"/>
        <v>196.06760320220158</v>
      </c>
      <c r="P14" s="130">
        <f t="shared" si="4"/>
        <v>4.830993463071767</v>
      </c>
      <c r="Q14" s="10">
        <f t="shared" si="8"/>
        <v>149.50920366346926</v>
      </c>
      <c r="R14" s="6"/>
      <c r="S14" s="73">
        <f t="shared" si="9"/>
        <v>76.253904888755471</v>
      </c>
      <c r="T14" s="73">
        <f t="shared" si="10"/>
        <v>293.13911218966223</v>
      </c>
      <c r="U14" s="73">
        <f t="shared" si="11"/>
        <v>184.69650853920885</v>
      </c>
      <c r="V14" s="1">
        <f t="shared" si="12"/>
        <v>-0.4899718343735171</v>
      </c>
      <c r="W14" s="1">
        <f t="shared" si="13"/>
        <v>0.9606760320220149</v>
      </c>
      <c r="X14" s="1">
        <f t="shared" si="14"/>
        <v>0.23535209882424901</v>
      </c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</row>
    <row r="15" spans="1:55">
      <c r="F15" s="5">
        <f t="shared" si="5"/>
        <v>39.00937988234935</v>
      </c>
      <c r="G15" s="4">
        <f t="shared" si="6"/>
        <v>39616.466397449003</v>
      </c>
      <c r="H15" s="3">
        <f t="shared" si="0"/>
        <v>1015.5625779474218</v>
      </c>
      <c r="I15">
        <f t="shared" si="1"/>
        <v>40233000.74376072</v>
      </c>
      <c r="J15" s="6"/>
      <c r="K15" s="6"/>
      <c r="L15" s="6"/>
      <c r="M15" s="82">
        <f t="shared" si="7"/>
        <v>14.873087716589993</v>
      </c>
      <c r="N15" s="66">
        <f t="shared" si="2"/>
        <v>39.00937988234935</v>
      </c>
      <c r="O15" s="8">
        <f t="shared" si="3"/>
        <v>192.22314039431527</v>
      </c>
      <c r="P15" s="130">
        <f t="shared" si="4"/>
        <v>4.9276133323332028</v>
      </c>
      <c r="Q15" s="10">
        <f t="shared" si="8"/>
        <v>146.5776506504601</v>
      </c>
      <c r="R15" s="6"/>
      <c r="S15" s="73">
        <f t="shared" si="9"/>
        <v>76.253904888755471</v>
      </c>
      <c r="T15" s="73">
        <f t="shared" si="10"/>
        <v>281.75616319652272</v>
      </c>
      <c r="U15" s="73">
        <f t="shared" si="11"/>
        <v>179.0050340426391</v>
      </c>
      <c r="V15" s="1">
        <f t="shared" si="12"/>
        <v>-0.47977127106098749</v>
      </c>
      <c r="W15" s="1">
        <f t="shared" si="13"/>
        <v>0.92223140394315162</v>
      </c>
      <c r="X15" s="1">
        <f t="shared" si="14"/>
        <v>0.22123006644108201</v>
      </c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</row>
    <row r="16" spans="1:55">
      <c r="F16" s="5">
        <f t="shared" si="5"/>
        <v>37.494598118367321</v>
      </c>
      <c r="G16" s="4">
        <f t="shared" si="6"/>
        <v>38839.672938675496</v>
      </c>
      <c r="H16" s="3">
        <f t="shared" si="0"/>
        <v>1035.8738295063702</v>
      </c>
      <c r="I16">
        <f t="shared" si="1"/>
        <v>40233000.74376072</v>
      </c>
      <c r="J16" s="6"/>
      <c r="K16" s="6"/>
      <c r="L16" s="6"/>
      <c r="M16" s="82">
        <f t="shared" si="7"/>
        <v>14.295547593800459</v>
      </c>
      <c r="N16" s="66">
        <f t="shared" si="2"/>
        <v>37.494598118367321</v>
      </c>
      <c r="O16" s="8">
        <f t="shared" si="3"/>
        <v>188.454059210113</v>
      </c>
      <c r="P16" s="130">
        <f t="shared" si="4"/>
        <v>5.0261655989798646</v>
      </c>
      <c r="Q16" s="10">
        <f t="shared" si="8"/>
        <v>143.7035790690785</v>
      </c>
      <c r="R16" s="6"/>
      <c r="S16" s="73">
        <f t="shared" si="9"/>
        <v>76.253904888755471</v>
      </c>
      <c r="T16" s="73">
        <f t="shared" si="10"/>
        <v>270.8152279858927</v>
      </c>
      <c r="U16" s="73">
        <f t="shared" si="11"/>
        <v>173.53456643732409</v>
      </c>
      <c r="V16" s="1">
        <f t="shared" si="12"/>
        <v>-0.46936669648220719</v>
      </c>
      <c r="W16" s="1">
        <f t="shared" si="13"/>
        <v>0.88454059210112979</v>
      </c>
      <c r="X16" s="1">
        <f t="shared" si="14"/>
        <v>0.20758694780946119</v>
      </c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</row>
    <row r="17" spans="6:55">
      <c r="F17" s="5">
        <f t="shared" si="5"/>
        <v>36.038637176439174</v>
      </c>
      <c r="G17" s="4">
        <f t="shared" si="6"/>
        <v>38078.110724191662</v>
      </c>
      <c r="H17" s="3">
        <f t="shared" si="0"/>
        <v>1056.5913060964976</v>
      </c>
      <c r="I17">
        <f t="shared" si="1"/>
        <v>40233000.74376072</v>
      </c>
      <c r="K17" s="6"/>
      <c r="L17" s="6"/>
      <c r="M17" s="82">
        <f t="shared" si="7"/>
        <v>13.740434057862799</v>
      </c>
      <c r="N17" s="66">
        <f t="shared" si="2"/>
        <v>36.038637176439174</v>
      </c>
      <c r="O17" s="8">
        <f t="shared" si="3"/>
        <v>184.75888157854217</v>
      </c>
      <c r="P17" s="130">
        <f t="shared" si="4"/>
        <v>5.1266889109594631</v>
      </c>
      <c r="Q17" s="10">
        <f t="shared" si="8"/>
        <v>140.8858618324299</v>
      </c>
      <c r="R17" s="6"/>
      <c r="S17" s="73">
        <f t="shared" si="9"/>
        <v>76.253904888755471</v>
      </c>
      <c r="T17" s="73">
        <f t="shared" si="10"/>
        <v>260.29914262388763</v>
      </c>
      <c r="U17" s="73">
        <f t="shared" si="11"/>
        <v>168.27652375632155</v>
      </c>
      <c r="V17" s="1">
        <f t="shared" si="12"/>
        <v>-0.45875403041185125</v>
      </c>
      <c r="W17" s="1">
        <f t="shared" si="13"/>
        <v>0.84758881578542122</v>
      </c>
      <c r="X17" s="1">
        <f t="shared" si="14"/>
        <v>0.19441739268678493</v>
      </c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</row>
    <row r="18" spans="6:55">
      <c r="F18" s="5">
        <f t="shared" si="5"/>
        <v>34.639212972355992</v>
      </c>
      <c r="G18" s="4">
        <f t="shared" si="6"/>
        <v>37331.481102148689</v>
      </c>
      <c r="H18" s="3">
        <f t="shared" si="0"/>
        <v>1077.7231322184275</v>
      </c>
      <c r="I18">
        <f t="shared" si="1"/>
        <v>40233000.74376072</v>
      </c>
      <c r="J18" s="6"/>
      <c r="K18" s="6"/>
      <c r="L18" s="6"/>
      <c r="M18" s="82">
        <f t="shared" si="7"/>
        <v>13.206876257076893</v>
      </c>
      <c r="N18" s="66">
        <f t="shared" si="2"/>
        <v>34.639212972355992</v>
      </c>
      <c r="O18" s="8">
        <f t="shared" si="3"/>
        <v>181.13615841033547</v>
      </c>
      <c r="P18" s="130">
        <f t="shared" si="4"/>
        <v>5.2292226891786528</v>
      </c>
      <c r="Q18" s="10">
        <f t="shared" si="8"/>
        <v>138.12339395336267</v>
      </c>
      <c r="R18" s="6"/>
      <c r="S18" s="73">
        <f t="shared" si="9"/>
        <v>76.253904888755471</v>
      </c>
      <c r="T18" s="73">
        <f t="shared" si="10"/>
        <v>250.19140967309463</v>
      </c>
      <c r="U18" s="73">
        <f t="shared" si="11"/>
        <v>163.22265728092503</v>
      </c>
      <c r="V18" s="1">
        <f t="shared" si="12"/>
        <v>-0.44792911102008837</v>
      </c>
      <c r="W18" s="1">
        <f t="shared" si="13"/>
        <v>0.81136158410335391</v>
      </c>
      <c r="X18" s="1">
        <f t="shared" si="14"/>
        <v>0.18171623654163271</v>
      </c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</row>
    <row r="19" spans="6:55">
      <c r="F19" s="5">
        <f t="shared" si="5"/>
        <v>33.294130115682421</v>
      </c>
      <c r="G19" s="4">
        <f t="shared" si="6"/>
        <v>36599.491276616362</v>
      </c>
      <c r="H19" s="3">
        <f>I19/G19</f>
        <v>1099.2775948627961</v>
      </c>
      <c r="I19">
        <f t="shared" si="1"/>
        <v>40233000.74376072</v>
      </c>
      <c r="J19" s="6"/>
      <c r="K19" s="6"/>
      <c r="L19" s="6"/>
      <c r="M19" s="82">
        <f t="shared" si="7"/>
        <v>12.694037155975483</v>
      </c>
      <c r="N19" s="66">
        <f t="shared" si="2"/>
        <v>33.294130115682421</v>
      </c>
      <c r="O19" s="8">
        <f t="shared" si="3"/>
        <v>177.58446902974066</v>
      </c>
      <c r="P19" s="130">
        <f t="shared" si="4"/>
        <v>5.3338071429622262</v>
      </c>
      <c r="Q19" s="10">
        <f t="shared" si="8"/>
        <v>135.41509211113987</v>
      </c>
      <c r="R19" s="6"/>
      <c r="S19" s="73">
        <f t="shared" si="9"/>
        <v>76.253904888755471</v>
      </c>
      <c r="T19" s="73">
        <f t="shared" si="10"/>
        <v>240.47617231170187</v>
      </c>
      <c r="U19" s="73">
        <f t="shared" si="11"/>
        <v>158.36503860022867</v>
      </c>
      <c r="V19" s="1">
        <f t="shared" si="12"/>
        <v>-0.43688769324049015</v>
      </c>
      <c r="W19" s="1">
        <f t="shared" si="13"/>
        <v>0.77584469029740588</v>
      </c>
      <c r="X19" s="1">
        <f t="shared" si="14"/>
        <v>0.16947849852845787</v>
      </c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</row>
    <row r="20" spans="6:55">
      <c r="F20" s="5">
        <f t="shared" si="5"/>
        <v>32.00127846566938</v>
      </c>
      <c r="G20" s="4">
        <f t="shared" si="6"/>
        <v>35881.854192761137</v>
      </c>
      <c r="H20" s="3">
        <f t="shared" si="0"/>
        <v>1121.263146760052</v>
      </c>
      <c r="I20">
        <f>I21</f>
        <v>40233000.74376072</v>
      </c>
      <c r="J20" s="6"/>
      <c r="K20" s="6"/>
      <c r="L20" s="6"/>
      <c r="M20" s="82">
        <f t="shared" si="7"/>
        <v>12.201112222198658</v>
      </c>
      <c r="N20" s="66">
        <f t="shared" si="2"/>
        <v>32.00127846566938</v>
      </c>
      <c r="O20" s="8">
        <f t="shared" si="3"/>
        <v>174.1024206173928</v>
      </c>
      <c r="P20" s="130">
        <f t="shared" si="4"/>
        <v>5.44048328582147</v>
      </c>
      <c r="Q20" s="10">
        <f t="shared" si="8"/>
        <v>132.75989422660771</v>
      </c>
      <c r="R20" s="6"/>
      <c r="S20" s="73">
        <f t="shared" si="9"/>
        <v>76.253904888755471</v>
      </c>
      <c r="T20" s="73">
        <f t="shared" si="10"/>
        <v>231.13818945761423</v>
      </c>
      <c r="U20" s="73">
        <f t="shared" si="11"/>
        <v>153.69604717318487</v>
      </c>
      <c r="V20" s="1">
        <f t="shared" si="12"/>
        <v>-0.42562544710530004</v>
      </c>
      <c r="W20" s="1">
        <f t="shared" si="13"/>
        <v>0.74102420617392717</v>
      </c>
      <c r="X20" s="1">
        <f t="shared" si="14"/>
        <v>0.15769937953431379</v>
      </c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</row>
    <row r="21" spans="6:55">
      <c r="F21" s="5">
        <f t="shared" si="5"/>
        <v>30.758629820904826</v>
      </c>
      <c r="G21" s="4">
        <f t="shared" si="6"/>
        <v>35178.288424275626</v>
      </c>
      <c r="H21" s="3">
        <f t="shared" si="0"/>
        <v>1143.6884096952531</v>
      </c>
      <c r="I21">
        <f t="shared" si="1"/>
        <v>40233000.74376072</v>
      </c>
      <c r="J21" s="6"/>
      <c r="K21" s="6"/>
      <c r="L21" s="6"/>
      <c r="M21" s="82">
        <f t="shared" si="7"/>
        <v>11.727328164358573</v>
      </c>
      <c r="N21" s="66">
        <f t="shared" si="2"/>
        <v>30.758629820904826</v>
      </c>
      <c r="O21" s="8">
        <f t="shared" si="3"/>
        <v>170.68864766411059</v>
      </c>
      <c r="P21" s="130">
        <f t="shared" si="4"/>
        <v>5.5492929515378995</v>
      </c>
      <c r="Q21" s="10">
        <f t="shared" si="8"/>
        <v>130.15675904569383</v>
      </c>
      <c r="R21" s="6"/>
      <c r="S21" s="73">
        <f t="shared" si="9"/>
        <v>76.253904888755471</v>
      </c>
      <c r="T21" s="73">
        <f t="shared" si="10"/>
        <v>222.16281185852964</v>
      </c>
      <c r="U21" s="73">
        <f t="shared" si="11"/>
        <v>149.20835837364257</v>
      </c>
      <c r="V21" s="1">
        <f t="shared" si="12"/>
        <v>-0.414137956047406</v>
      </c>
      <c r="W21" s="1">
        <f t="shared" si="13"/>
        <v>0.70688647664110515</v>
      </c>
      <c r="X21" s="1">
        <f t="shared" si="14"/>
        <v>0.14637426029684963</v>
      </c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</row>
    <row r="22" spans="6:55">
      <c r="F22" s="5">
        <f t="shared" si="5"/>
        <v>29.564234737509441</v>
      </c>
      <c r="G22" s="4">
        <f t="shared" si="6"/>
        <v>34488.518063015319</v>
      </c>
      <c r="H22" s="3">
        <f t="shared" si="0"/>
        <v>1166.5621778891582</v>
      </c>
      <c r="I22">
        <f t="shared" si="1"/>
        <v>40233000.74376072</v>
      </c>
      <c r="J22" s="6"/>
      <c r="K22" s="6"/>
      <c r="L22" s="6"/>
      <c r="M22" s="82">
        <f t="shared" si="7"/>
        <v>11.271941718914428</v>
      </c>
      <c r="N22" s="66">
        <f t="shared" si="2"/>
        <v>29.564234737509441</v>
      </c>
      <c r="O22" s="8">
        <f t="shared" si="3"/>
        <v>167.34181143540252</v>
      </c>
      <c r="P22" s="130">
        <f t="shared" si="4"/>
        <v>5.6602788105686574</v>
      </c>
      <c r="Q22" s="10">
        <f t="shared" si="8"/>
        <v>127.60466573107237</v>
      </c>
      <c r="R22" s="6"/>
      <c r="S22" s="73">
        <f t="shared" si="9"/>
        <v>76.253904888755471</v>
      </c>
      <c r="T22" s="73">
        <f t="shared" si="10"/>
        <v>213.53595911046676</v>
      </c>
      <c r="U22" s="73">
        <f t="shared" si="11"/>
        <v>144.89493199961112</v>
      </c>
      <c r="V22" s="1">
        <f t="shared" si="12"/>
        <v>-0.40242071516835398</v>
      </c>
      <c r="W22" s="1">
        <f t="shared" si="13"/>
        <v>0.67341811435402477</v>
      </c>
      <c r="X22" s="1">
        <f t="shared" si="14"/>
        <v>0.13549869959283534</v>
      </c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</row>
    <row r="23" spans="6:55">
      <c r="F23" s="5">
        <f t="shared" si="5"/>
        <v>28.416219470885657</v>
      </c>
      <c r="G23" s="4">
        <f t="shared" si="6"/>
        <v>33812.272610799329</v>
      </c>
      <c r="H23" s="3">
        <f t="shared" si="0"/>
        <v>1189.8934214469414</v>
      </c>
      <c r="I23">
        <f t="shared" si="1"/>
        <v>40233000.74376072</v>
      </c>
      <c r="J23" s="6"/>
      <c r="K23" s="6"/>
      <c r="L23" s="6"/>
      <c r="M23" s="82">
        <f t="shared" si="7"/>
        <v>10.834238484154582</v>
      </c>
      <c r="N23" s="66">
        <f t="shared" si="2"/>
        <v>28.416219470885657</v>
      </c>
      <c r="O23" s="8">
        <f t="shared" si="3"/>
        <v>164.06059944647305</v>
      </c>
      <c r="P23" s="130">
        <f t="shared" si="4"/>
        <v>5.773484386780031</v>
      </c>
      <c r="Q23" s="10">
        <f t="shared" si="8"/>
        <v>125.10261346183565</v>
      </c>
      <c r="R23" s="6"/>
      <c r="S23" s="73">
        <f t="shared" si="9"/>
        <v>76.253904888755471</v>
      </c>
      <c r="T23" s="73">
        <f t="shared" si="10"/>
        <v>205.24409756869161</v>
      </c>
      <c r="U23" s="73">
        <f t="shared" si="11"/>
        <v>140.74900122872353</v>
      </c>
      <c r="V23" s="1">
        <f t="shared" si="12"/>
        <v>-0.39046912947172108</v>
      </c>
      <c r="W23" s="1">
        <f t="shared" si="13"/>
        <v>0.64060599446473021</v>
      </c>
      <c r="X23" s="1">
        <f t="shared" si="14"/>
        <v>0.12506843249650457</v>
      </c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</row>
    <row r="24" spans="6:55">
      <c r="F24" s="5">
        <f t="shared" si="5"/>
        <v>27.312783036222275</v>
      </c>
      <c r="G24" s="4">
        <f t="shared" si="6"/>
        <v>33149.286873332676</v>
      </c>
      <c r="H24" s="3">
        <f t="shared" si="0"/>
        <v>1213.6912898758803</v>
      </c>
      <c r="I24">
        <f t="shared" si="1"/>
        <v>40233000.74376072</v>
      </c>
      <c r="J24" s="6"/>
      <c r="K24" s="6"/>
      <c r="L24" s="6"/>
      <c r="M24" s="82">
        <f t="shared" si="7"/>
        <v>10.413531799456537</v>
      </c>
      <c r="N24" s="66">
        <f t="shared" si="2"/>
        <v>27.312783036222275</v>
      </c>
      <c r="O24" s="8">
        <f t="shared" si="3"/>
        <v>160.84372494752259</v>
      </c>
      <c r="P24" s="130">
        <f t="shared" si="4"/>
        <v>5.8889540745156319</v>
      </c>
      <c r="Q24" s="10">
        <f t="shared" si="8"/>
        <v>122.64962104101534</v>
      </c>
      <c r="R24" s="6"/>
      <c r="S24" s="73">
        <f t="shared" si="9"/>
        <v>76.253904888755471</v>
      </c>
      <c r="T24" s="73">
        <f t="shared" si="10"/>
        <v>197.27421911638945</v>
      </c>
      <c r="U24" s="73">
        <f t="shared" si="11"/>
        <v>136.76406200257244</v>
      </c>
      <c r="V24" s="1">
        <f t="shared" si="12"/>
        <v>-0.37827851206115548</v>
      </c>
      <c r="W24" s="1">
        <f t="shared" si="13"/>
        <v>0.60843724947522548</v>
      </c>
      <c r="X24" s="1">
        <f t="shared" si="14"/>
        <v>0.11507936870703483</v>
      </c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</row>
    <row r="25" spans="6:55">
      <c r="F25" s="5">
        <f t="shared" si="5"/>
        <v>26.252194383143291</v>
      </c>
      <c r="G25" s="4">
        <f t="shared" si="6"/>
        <v>32499.300856208509</v>
      </c>
      <c r="H25" s="3">
        <f t="shared" si="0"/>
        <v>1237.9651156733978</v>
      </c>
      <c r="I25">
        <f t="shared" si="1"/>
        <v>40233000.74376072</v>
      </c>
      <c r="J25" s="6"/>
      <c r="K25" s="6"/>
      <c r="L25" s="6"/>
      <c r="M25" s="82">
        <f t="shared" si="7"/>
        <v>10.009161668066646</v>
      </c>
      <c r="N25" s="66">
        <f t="shared" si="2"/>
        <v>26.252194383143291</v>
      </c>
      <c r="O25" s="8">
        <f t="shared" si="3"/>
        <v>157.68992641913982</v>
      </c>
      <c r="P25" s="130">
        <f t="shared" si="4"/>
        <v>6.0067331560059447</v>
      </c>
      <c r="Q25" s="10">
        <f t="shared" si="8"/>
        <v>120.24472651079937</v>
      </c>
      <c r="R25" s="6"/>
      <c r="S25" s="73">
        <f t="shared" si="9"/>
        <v>76.253904888755471</v>
      </c>
      <c r="T25" s="73">
        <f t="shared" si="10"/>
        <v>189.61382075777536</v>
      </c>
      <c r="U25" s="73">
        <f t="shared" si="11"/>
        <v>132.9338628232654</v>
      </c>
      <c r="V25" s="1">
        <f t="shared" si="12"/>
        <v>-0.36584408230237864</v>
      </c>
      <c r="W25" s="1">
        <f t="shared" si="13"/>
        <v>0.57689926419139748</v>
      </c>
      <c r="X25" s="1">
        <f t="shared" si="14"/>
        <v>0.10552759094450925</v>
      </c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</row>
    <row r="26" spans="6:55">
      <c r="F26" s="5">
        <f t="shared" si="5"/>
        <v>25.232789680068528</v>
      </c>
      <c r="G26" s="4">
        <f t="shared" si="6"/>
        <v>31862.059662949519</v>
      </c>
      <c r="H26" s="3">
        <f t="shared" si="0"/>
        <v>1262.7244179868655</v>
      </c>
      <c r="I26">
        <f t="shared" si="1"/>
        <v>40233000.74376072</v>
      </c>
      <c r="J26" s="6"/>
      <c r="K26" s="6"/>
      <c r="L26" s="6"/>
      <c r="M26" s="82">
        <f t="shared" si="7"/>
        <v>9.6204937217095807</v>
      </c>
      <c r="N26" s="66">
        <f t="shared" si="2"/>
        <v>25.232789680068528</v>
      </c>
      <c r="O26" s="8">
        <f t="shared" si="3"/>
        <v>154.59796707758807</v>
      </c>
      <c r="P26" s="130">
        <f t="shared" si="4"/>
        <v>6.1268678191260619</v>
      </c>
      <c r="Q26" s="10">
        <f t="shared" si="8"/>
        <v>117.88698677529351</v>
      </c>
      <c r="R26" s="6"/>
      <c r="S26" s="73">
        <f t="shared" si="9"/>
        <v>76.253904888755471</v>
      </c>
      <c r="T26" s="73">
        <f t="shared" si="10"/>
        <v>182.25088500362881</v>
      </c>
      <c r="U26" s="73">
        <f t="shared" si="11"/>
        <v>129.25239494619214</v>
      </c>
      <c r="V26" s="1">
        <f t="shared" si="12"/>
        <v>-0.35316096394842633</v>
      </c>
      <c r="W26" s="1">
        <f t="shared" si="13"/>
        <v>0.54597967077588039</v>
      </c>
      <c r="X26" s="1">
        <f t="shared" si="14"/>
        <v>9.6409353413726917E-2</v>
      </c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</row>
    <row r="27" spans="6:55">
      <c r="F27" s="5">
        <f t="shared" si="5"/>
        <v>24.252969704025876</v>
      </c>
      <c r="G27" s="4">
        <f t="shared" si="6"/>
        <v>31237.313395048546</v>
      </c>
      <c r="H27" s="3">
        <f t="shared" si="0"/>
        <v>1287.978906346603</v>
      </c>
      <c r="I27">
        <f t="shared" si="1"/>
        <v>40233000.74376072</v>
      </c>
      <c r="J27" s="6"/>
      <c r="K27" s="6"/>
      <c r="L27" s="6"/>
      <c r="M27" s="82">
        <f t="shared" si="7"/>
        <v>9.2469182254032862</v>
      </c>
      <c r="N27" s="66">
        <f t="shared" si="2"/>
        <v>24.252969704025876</v>
      </c>
      <c r="O27" s="8">
        <f t="shared" si="3"/>
        <v>151.5666343897922</v>
      </c>
      <c r="P27" s="130">
        <f t="shared" si="4"/>
        <v>6.249405175508584</v>
      </c>
      <c r="Q27" s="10">
        <f t="shared" si="8"/>
        <v>115.57547723067989</v>
      </c>
      <c r="R27" s="6"/>
      <c r="S27" s="73">
        <f t="shared" si="9"/>
        <v>76.253904888755471</v>
      </c>
      <c r="T27" s="73">
        <f t="shared" si="10"/>
        <v>175.17386101848209</v>
      </c>
      <c r="U27" s="73">
        <f t="shared" si="11"/>
        <v>125.71388295361879</v>
      </c>
      <c r="V27" s="1">
        <f t="shared" si="12"/>
        <v>-0.34022418322739467</v>
      </c>
      <c r="W27" s="1">
        <f t="shared" si="13"/>
        <v>0.51566634389792165</v>
      </c>
      <c r="X27" s="1">
        <f t="shared" si="14"/>
        <v>8.772108033526349E-2</v>
      </c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</row>
    <row r="28" spans="6:55">
      <c r="F28" s="5">
        <f t="shared" si="5"/>
        <v>23.311197331820338</v>
      </c>
      <c r="G28" s="4">
        <f t="shared" si="6"/>
        <v>30624.817053969164</v>
      </c>
      <c r="H28" s="3">
        <f t="shared" si="0"/>
        <v>1313.738484473535</v>
      </c>
      <c r="I28">
        <f t="shared" si="1"/>
        <v>40233000.74376072</v>
      </c>
      <c r="J28" s="6"/>
      <c r="K28" s="6"/>
      <c r="L28" s="6"/>
      <c r="M28" s="82">
        <f t="shared" si="7"/>
        <v>8.887849120918192</v>
      </c>
      <c r="N28" s="66">
        <f t="shared" si="2"/>
        <v>23.311197331820338</v>
      </c>
      <c r="O28" s="8">
        <f t="shared" si="3"/>
        <v>148.59473959783551</v>
      </c>
      <c r="P28" s="130">
        <f t="shared" si="4"/>
        <v>6.3743932790187552</v>
      </c>
      <c r="Q28" s="10">
        <f t="shared" si="8"/>
        <v>113.30929140262737</v>
      </c>
      <c r="R28" s="6"/>
      <c r="S28" s="73">
        <f t="shared" si="9"/>
        <v>76.253904888755471</v>
      </c>
      <c r="T28" s="73">
        <f t="shared" si="10"/>
        <v>168.37164649988671</v>
      </c>
      <c r="U28" s="73">
        <f t="shared" si="11"/>
        <v>122.31277569432109</v>
      </c>
      <c r="V28" s="1">
        <f t="shared" si="12"/>
        <v>-0.32702866689194277</v>
      </c>
      <c r="W28" s="1">
        <f t="shared" si="13"/>
        <v>0.48594739597835468</v>
      </c>
      <c r="X28" s="1">
        <f t="shared" si="14"/>
        <v>7.9459364543206012E-2</v>
      </c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</row>
    <row r="29" spans="6:55">
      <c r="F29" s="5">
        <f t="shared" si="5"/>
        <v>22.405995128623932</v>
      </c>
      <c r="G29" s="4">
        <f t="shared" si="6"/>
        <v>30024.330445067808</v>
      </c>
      <c r="H29" s="3">
        <f t="shared" si="0"/>
        <v>1340.0132541630057</v>
      </c>
      <c r="I29">
        <f t="shared" si="1"/>
        <v>40233000.74376072</v>
      </c>
      <c r="J29" s="6"/>
      <c r="K29" s="6"/>
      <c r="L29" s="6"/>
      <c r="M29" s="82">
        <f t="shared" si="7"/>
        <v>8.5427231073800396</v>
      </c>
      <c r="N29" s="66">
        <f t="shared" si="2"/>
        <v>22.405995128623932</v>
      </c>
      <c r="O29" s="8">
        <f t="shared" si="3"/>
        <v>145.6811172527799</v>
      </c>
      <c r="P29" s="130">
        <f t="shared" si="4"/>
        <v>6.50188114459913</v>
      </c>
      <c r="Q29" s="10">
        <f t="shared" si="8"/>
        <v>111.08754059081113</v>
      </c>
      <c r="R29" s="6"/>
      <c r="S29" s="73">
        <f t="shared" si="9"/>
        <v>76.253904888755471</v>
      </c>
      <c r="T29" s="73">
        <f t="shared" si="10"/>
        <v>161.83357026132899</v>
      </c>
      <c r="U29" s="73">
        <f t="shared" si="11"/>
        <v>119.04373757504223</v>
      </c>
      <c r="V29" s="1">
        <f t="shared" si="12"/>
        <v>-0.3135692402297815</v>
      </c>
      <c r="W29" s="1">
        <f t="shared" si="13"/>
        <v>0.45681117252779857</v>
      </c>
      <c r="X29" s="1">
        <f t="shared" si="14"/>
        <v>7.1620966149008591E-2</v>
      </c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</row>
    <row r="30" spans="6:55">
      <c r="F30" s="5">
        <f t="shared" si="5"/>
        <v>21.5359430302037</v>
      </c>
      <c r="G30" s="4">
        <f t="shared" si="6"/>
        <v>29435.618083399811</v>
      </c>
      <c r="H30" s="3">
        <f t="shared" si="0"/>
        <v>1366.813519246266</v>
      </c>
      <c r="I30">
        <f t="shared" si="1"/>
        <v>40233000.74376072</v>
      </c>
      <c r="J30" s="6"/>
      <c r="K30" s="6"/>
      <c r="L30" s="6"/>
      <c r="M30" s="82">
        <f t="shared" si="7"/>
        <v>8.2109987575740462</v>
      </c>
      <c r="N30" s="66">
        <f t="shared" si="2"/>
        <v>21.5359430302037</v>
      </c>
      <c r="O30" s="8">
        <f t="shared" si="3"/>
        <v>142.82462475762736</v>
      </c>
      <c r="P30" s="130">
        <f t="shared" si="4"/>
        <v>6.6319187674911131</v>
      </c>
      <c r="Q30" s="10">
        <f t="shared" si="8"/>
        <v>108.90935352040307</v>
      </c>
      <c r="R30" s="6"/>
      <c r="S30" s="73">
        <f t="shared" si="9"/>
        <v>76.253904888755471</v>
      </c>
      <c r="T30" s="73">
        <f t="shared" si="10"/>
        <v>155.54937549147346</v>
      </c>
      <c r="U30" s="73">
        <f t="shared" si="11"/>
        <v>115.90164019011446</v>
      </c>
      <c r="V30" s="1">
        <f t="shared" si="12"/>
        <v>-0.29984062503437714</v>
      </c>
      <c r="W30" s="1">
        <f t="shared" si="13"/>
        <v>0.42824624757627316</v>
      </c>
      <c r="X30" s="1">
        <f t="shared" si="14"/>
        <v>6.4202811270948068E-2</v>
      </c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</row>
    <row r="31" spans="6:55">
      <c r="F31" s="5">
        <f t="shared" si="5"/>
        <v>20.699676115151576</v>
      </c>
      <c r="G31" s="4">
        <f t="shared" si="6"/>
        <v>28858.449101372364</v>
      </c>
      <c r="H31" s="3">
        <f t="shared" si="0"/>
        <v>1394.1497896311912</v>
      </c>
      <c r="I31">
        <f t="shared" si="1"/>
        <v>40233000.74376072</v>
      </c>
      <c r="J31" s="6"/>
      <c r="K31" s="6"/>
      <c r="L31" s="6"/>
      <c r="M31" s="82">
        <f t="shared" si="7"/>
        <v>7.8921556685640581</v>
      </c>
      <c r="N31" s="66">
        <f t="shared" si="2"/>
        <v>20.699676115151576</v>
      </c>
      <c r="O31" s="8">
        <f t="shared" si="3"/>
        <v>140.02414191924251</v>
      </c>
      <c r="P31" s="130">
        <f t="shared" si="4"/>
        <v>6.7645571428409363</v>
      </c>
      <c r="Q31" s="10">
        <f t="shared" si="8"/>
        <v>106.77387600039516</v>
      </c>
      <c r="R31" s="6"/>
      <c r="S31" s="73">
        <f t="shared" si="9"/>
        <v>76.253904888755471</v>
      </c>
      <c r="T31" s="73">
        <f t="shared" si="10"/>
        <v>149.50920366346926</v>
      </c>
      <c r="U31" s="73">
        <f t="shared" si="11"/>
        <v>112.88155427611237</v>
      </c>
      <c r="V31" s="1">
        <f t="shared" si="12"/>
        <v>-0.28583743753506463</v>
      </c>
      <c r="W31" s="1">
        <f t="shared" si="13"/>
        <v>0.4002414191924244</v>
      </c>
      <c r="X31" s="1">
        <f t="shared" si="14"/>
        <v>5.7201990828679827E-2</v>
      </c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</row>
    <row r="32" spans="6:55">
      <c r="F32" s="5">
        <f t="shared" si="5"/>
        <v>19.895882463621277</v>
      </c>
      <c r="G32" s="4">
        <f t="shared" si="6"/>
        <v>28292.597158208198</v>
      </c>
      <c r="H32" s="3">
        <f t="shared" si="0"/>
        <v>1422.0327854238151</v>
      </c>
      <c r="I32">
        <f t="shared" si="1"/>
        <v>40233000.74376072</v>
      </c>
      <c r="J32" s="6"/>
      <c r="K32" s="6"/>
      <c r="L32" s="6"/>
      <c r="M32" s="82">
        <f t="shared" si="7"/>
        <v>7.5856936452941737</v>
      </c>
      <c r="N32" s="66">
        <f t="shared" si="2"/>
        <v>19.895882463621277</v>
      </c>
      <c r="O32" s="8">
        <f t="shared" si="3"/>
        <v>137.27857050906127</v>
      </c>
      <c r="P32" s="130">
        <f t="shared" si="4"/>
        <v>6.8998482856977539</v>
      </c>
      <c r="Q32" s="10">
        <f t="shared" si="8"/>
        <v>104.6802705886227</v>
      </c>
      <c r="R32" s="6"/>
      <c r="S32" s="73">
        <f t="shared" si="9"/>
        <v>76.253904888755471</v>
      </c>
      <c r="T32" s="73">
        <f t="shared" si="10"/>
        <v>143.70357906907853</v>
      </c>
      <c r="U32" s="73">
        <f t="shared" si="11"/>
        <v>109.978741978917</v>
      </c>
      <c r="V32" s="1">
        <f t="shared" si="12"/>
        <v>-0.27155418628576589</v>
      </c>
      <c r="W32" s="1">
        <f t="shared" si="13"/>
        <v>0.37278570509061248</v>
      </c>
      <c r="X32" s="1">
        <f t="shared" si="14"/>
        <v>5.0615759402423244E-2</v>
      </c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</row>
    <row r="33" spans="4:55">
      <c r="F33" s="5">
        <f t="shared" si="5"/>
        <v>19.123301099213062</v>
      </c>
      <c r="G33" s="4">
        <f t="shared" si="6"/>
        <v>27737.840351184506</v>
      </c>
      <c r="H33" s="3">
        <f t="shared" si="0"/>
        <v>1450.4734411322916</v>
      </c>
      <c r="I33">
        <f t="shared" si="1"/>
        <v>40233000.74376072</v>
      </c>
      <c r="J33" s="6"/>
      <c r="K33" s="6"/>
      <c r="L33" s="6"/>
      <c r="M33" s="82">
        <f t="shared" si="7"/>
        <v>7.2911319158921293</v>
      </c>
      <c r="N33" s="66">
        <f t="shared" si="2"/>
        <v>19.123301099213062</v>
      </c>
      <c r="O33" s="8">
        <f t="shared" si="3"/>
        <v>134.58683383241299</v>
      </c>
      <c r="P33" s="130">
        <f t="shared" si="4"/>
        <v>7.03784525141171</v>
      </c>
      <c r="Q33" s="10">
        <f t="shared" si="8"/>
        <v>102.62771626335558</v>
      </c>
      <c r="R33" s="6"/>
      <c r="S33" s="73">
        <f t="shared" si="9"/>
        <v>76.253904888755471</v>
      </c>
      <c r="T33" s="73">
        <f t="shared" si="10"/>
        <v>138.12339395336261</v>
      </c>
      <c r="U33" s="73">
        <f t="shared" si="11"/>
        <v>107.18864942105904</v>
      </c>
      <c r="V33" s="1">
        <f t="shared" si="12"/>
        <v>-0.25698527001148119</v>
      </c>
      <c r="W33" s="1">
        <f t="shared" si="13"/>
        <v>0.34586833832412944</v>
      </c>
      <c r="X33" s="1">
        <f t="shared" si="14"/>
        <v>4.4441534156324236E-2</v>
      </c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</row>
    <row r="34" spans="4:55">
      <c r="F34" s="5">
        <f t="shared" si="5"/>
        <v>18.380720010777644</v>
      </c>
      <c r="G34" s="4">
        <f t="shared" si="6"/>
        <v>27193.96112861226</v>
      </c>
      <c r="H34" s="3">
        <f t="shared" si="0"/>
        <v>1479.4829099549374</v>
      </c>
      <c r="I34">
        <f t="shared" si="1"/>
        <v>40233000.74376072</v>
      </c>
      <c r="J34" s="6"/>
      <c r="K34" s="6"/>
      <c r="L34" s="6"/>
      <c r="M34" s="82">
        <f t="shared" si="7"/>
        <v>7.0080083774434145</v>
      </c>
      <c r="N34" s="66">
        <f t="shared" si="2"/>
        <v>18.380720010777644</v>
      </c>
      <c r="O34" s="8">
        <f t="shared" si="3"/>
        <v>131.94787630628724</v>
      </c>
      <c r="P34" s="130">
        <f t="shared" si="4"/>
        <v>7.1786021564399451</v>
      </c>
      <c r="Q34" s="10">
        <f t="shared" si="8"/>
        <v>100.615408101329</v>
      </c>
      <c r="R34" s="6"/>
      <c r="S34" s="73">
        <f t="shared" si="9"/>
        <v>76.253904888755471</v>
      </c>
      <c r="T34" s="73">
        <f t="shared" si="10"/>
        <v>132.75989422660766</v>
      </c>
      <c r="U34" s="73">
        <f t="shared" si="11"/>
        <v>104.50689955768156</v>
      </c>
      <c r="V34" s="1">
        <f t="shared" si="12"/>
        <v>-0.24212497541171074</v>
      </c>
      <c r="W34" s="1">
        <f t="shared" si="13"/>
        <v>0.31947876306287193</v>
      </c>
      <c r="X34" s="1">
        <f t="shared" si="14"/>
        <v>3.8676893825580594E-2</v>
      </c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</row>
    <row r="35" spans="4:55">
      <c r="F35" s="5">
        <f t="shared" si="5"/>
        <v>17.6669742510358</v>
      </c>
      <c r="G35" s="4">
        <f t="shared" si="6"/>
        <v>26660.746204521824</v>
      </c>
      <c r="H35" s="3">
        <f t="shared" si="0"/>
        <v>1509.0725681540362</v>
      </c>
      <c r="I35">
        <f t="shared" si="1"/>
        <v>40233000.74376072</v>
      </c>
      <c r="J35" s="6"/>
      <c r="K35" s="6"/>
      <c r="L35" s="6"/>
      <c r="M35" s="82">
        <f t="shared" si="7"/>
        <v>6.7358788710528792</v>
      </c>
      <c r="N35" s="66">
        <f t="shared" si="2"/>
        <v>17.6669742510358</v>
      </c>
      <c r="O35" s="8">
        <f t="shared" si="3"/>
        <v>129.36066304537965</v>
      </c>
      <c r="P35" s="130">
        <f t="shared" si="4"/>
        <v>7.3221741995687433</v>
      </c>
      <c r="Q35" s="10">
        <f t="shared" si="8"/>
        <v>98.642556962087255</v>
      </c>
      <c r="R35" s="6"/>
      <c r="S35" s="73">
        <f t="shared" si="9"/>
        <v>76.253904888755471</v>
      </c>
      <c r="T35" s="73">
        <f t="shared" si="10"/>
        <v>127.60466573107234</v>
      </c>
      <c r="U35" s="73">
        <f t="shared" si="11"/>
        <v>101.92928530991392</v>
      </c>
      <c r="V35" s="1">
        <f t="shared" si="12"/>
        <v>-0.22696747491994496</v>
      </c>
      <c r="W35" s="1">
        <f t="shared" si="13"/>
        <v>0.29360663045379609</v>
      </c>
      <c r="X35" s="1">
        <f t="shared" si="14"/>
        <v>3.3319577766925734E-2</v>
      </c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</row>
    <row r="36" spans="4:55">
      <c r="F36" s="5">
        <f t="shared" si="5"/>
        <v>16.980944109030951</v>
      </c>
      <c r="G36" s="4">
        <f t="shared" si="6"/>
        <v>26137.986475021396</v>
      </c>
      <c r="H36" s="3">
        <f t="shared" si="0"/>
        <v>1539.2540195171168</v>
      </c>
      <c r="I36">
        <f t="shared" si="1"/>
        <v>40233000.74376072</v>
      </c>
      <c r="J36" s="6"/>
      <c r="K36" s="6"/>
      <c r="L36" s="6"/>
      <c r="M36" s="82">
        <f t="shared" si="7"/>
        <v>6.4743164850565931</v>
      </c>
      <c r="N36" s="66">
        <f t="shared" si="2"/>
        <v>16.980944109030951</v>
      </c>
      <c r="O36" s="8">
        <f t="shared" si="3"/>
        <v>126.82417945625457</v>
      </c>
      <c r="P36" s="130">
        <f t="shared" si="4"/>
        <v>7.4686176835601179</v>
      </c>
      <c r="Q36" s="10">
        <f t="shared" si="8"/>
        <v>96.708389178516924</v>
      </c>
      <c r="R36" s="6"/>
      <c r="S36" s="73">
        <f t="shared" si="9"/>
        <v>76.253904888755471</v>
      </c>
      <c r="T36" s="73">
        <f t="shared" si="10"/>
        <v>122.64962104101534</v>
      </c>
      <c r="U36" s="73">
        <f t="shared" si="11"/>
        <v>99.45176296488539</v>
      </c>
      <c r="V36" s="1">
        <f t="shared" si="12"/>
        <v>-0.2115068244183439</v>
      </c>
      <c r="W36" s="1">
        <f t="shared" si="13"/>
        <v>0.26824179456254527</v>
      </c>
      <c r="X36" s="1">
        <f t="shared" si="14"/>
        <v>2.8367485072100518E-2</v>
      </c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</row>
    <row r="37" spans="4:55">
      <c r="F37" s="5">
        <f t="shared" si="5"/>
        <v>16.321553353547628</v>
      </c>
      <c r="G37" s="4">
        <f t="shared" si="6"/>
        <v>25625.476936295487</v>
      </c>
      <c r="H37" s="3">
        <f t="shared" si="0"/>
        <v>1570.0390999074591</v>
      </c>
      <c r="I37">
        <f t="shared" si="1"/>
        <v>40233000.74376072</v>
      </c>
      <c r="J37" s="6"/>
      <c r="K37" s="6"/>
      <c r="L37" s="6"/>
      <c r="M37" s="82">
        <f t="shared" si="7"/>
        <v>6.2229108852908439</v>
      </c>
      <c r="N37" s="66">
        <f t="shared" si="2"/>
        <v>16.321553353547628</v>
      </c>
      <c r="O37" s="8">
        <f t="shared" si="3"/>
        <v>124.33743083946527</v>
      </c>
      <c r="P37" s="130">
        <f t="shared" si="4"/>
        <v>7.6179900372313201</v>
      </c>
      <c r="Q37" s="10">
        <f t="shared" si="8"/>
        <v>94.812146253447963</v>
      </c>
      <c r="R37" s="6"/>
      <c r="S37" s="73">
        <f t="shared" si="9"/>
        <v>76.253904888755471</v>
      </c>
      <c r="T37" s="73">
        <f t="shared" si="10"/>
        <v>117.88698677529351</v>
      </c>
      <c r="U37" s="73">
        <f t="shared" si="11"/>
        <v>97.07044583202449</v>
      </c>
      <c r="V37" s="1">
        <f t="shared" si="12"/>
        <v>-0.19573696090671078</v>
      </c>
      <c r="W37" s="1">
        <f t="shared" si="13"/>
        <v>0.24337430839465246</v>
      </c>
      <c r="X37" s="1">
        <f t="shared" si="14"/>
        <v>2.3818673743970953E-2</v>
      </c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</row>
    <row r="38" spans="4:55">
      <c r="F38" s="5">
        <f t="shared" si="5"/>
        <v>15.687767544740124</v>
      </c>
      <c r="G38" s="4">
        <f t="shared" si="6"/>
        <v>25123.016604211261</v>
      </c>
      <c r="H38" s="3">
        <f t="shared" si="0"/>
        <v>1601.4398819056084</v>
      </c>
      <c r="I38">
        <f t="shared" si="1"/>
        <v>40233000.74376072</v>
      </c>
      <c r="J38" s="6"/>
      <c r="K38" s="6"/>
      <c r="L38" s="6"/>
      <c r="M38" s="82">
        <f t="shared" si="7"/>
        <v>5.9812676713675925</v>
      </c>
      <c r="N38" s="66">
        <f t="shared" si="2"/>
        <v>15.687767544740124</v>
      </c>
      <c r="O38" s="8">
        <f t="shared" si="3"/>
        <v>121.89944199947575</v>
      </c>
      <c r="P38" s="130">
        <f t="shared" si="4"/>
        <v>7.7703498379759477</v>
      </c>
      <c r="Q38" s="10">
        <f t="shared" si="8"/>
        <v>92.953084562203884</v>
      </c>
      <c r="R38" s="6"/>
      <c r="S38" s="73">
        <f t="shared" si="9"/>
        <v>76.253904888755471</v>
      </c>
      <c r="T38" s="73">
        <f t="shared" si="10"/>
        <v>113.30929140262734</v>
      </c>
      <c r="U38" s="73">
        <f t="shared" si="11"/>
        <v>94.781598145691405</v>
      </c>
      <c r="V38" s="1">
        <f t="shared" si="12"/>
        <v>-0.17965170012484499</v>
      </c>
      <c r="W38" s="1">
        <f t="shared" si="13"/>
        <v>0.21899441999475711</v>
      </c>
      <c r="X38" s="1">
        <f t="shared" si="14"/>
        <v>1.9671359934956056E-2</v>
      </c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</row>
    <row r="39" spans="4:55">
      <c r="F39" s="5">
        <f t="shared" si="5"/>
        <v>15.078592411322687</v>
      </c>
      <c r="G39" s="4">
        <f t="shared" si="6"/>
        <v>24630.408435501235</v>
      </c>
      <c r="H39" s="3">
        <f t="shared" si="0"/>
        <v>1633.4686795437206</v>
      </c>
      <c r="I39">
        <f t="shared" si="1"/>
        <v>40233000.74376072</v>
      </c>
      <c r="J39" s="6"/>
      <c r="K39" s="6"/>
      <c r="L39" s="6"/>
      <c r="M39" s="82">
        <f t="shared" si="7"/>
        <v>5.7490077579465515</v>
      </c>
      <c r="N39" s="66">
        <f t="shared" si="2"/>
        <v>15.078592411322687</v>
      </c>
      <c r="O39" s="8">
        <f t="shared" si="3"/>
        <v>119.50925686223111</v>
      </c>
      <c r="P39" s="130">
        <f t="shared" si="4"/>
        <v>7.9257568347354654</v>
      </c>
      <c r="Q39" s="10">
        <f t="shared" si="8"/>
        <v>91.130475060984182</v>
      </c>
      <c r="R39" s="6"/>
      <c r="S39" s="73">
        <f t="shared" si="9"/>
        <v>76.253904888755471</v>
      </c>
      <c r="T39" s="73">
        <f t="shared" si="10"/>
        <v>108.90935352040304</v>
      </c>
      <c r="U39" s="73">
        <f t="shared" si="11"/>
        <v>92.581629204579258</v>
      </c>
      <c r="V39" s="1">
        <f t="shared" si="12"/>
        <v>-0.16324473412734175</v>
      </c>
      <c r="W39" s="1">
        <f t="shared" si="13"/>
        <v>0.19509256862231106</v>
      </c>
      <c r="X39" s="1">
        <f t="shared" si="14"/>
        <v>1.5923917247484765E-2</v>
      </c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</row>
    <row r="40" spans="4:55">
      <c r="F40" s="5">
        <f t="shared" si="5"/>
        <v>14.493072290775361</v>
      </c>
      <c r="G40" s="4">
        <f t="shared" si="6"/>
        <v>24147.459250491407</v>
      </c>
      <c r="H40" s="3">
        <f t="shared" si="0"/>
        <v>1666.1380531345951</v>
      </c>
      <c r="I40">
        <f t="shared" si="1"/>
        <v>40233000.74376072</v>
      </c>
      <c r="J40" s="6"/>
      <c r="K40" s="6"/>
      <c r="L40" s="6"/>
      <c r="M40" s="82">
        <f t="shared" si="7"/>
        <v>5.5257667800332086</v>
      </c>
      <c r="N40" s="66">
        <f t="shared" si="2"/>
        <v>14.493072290775361</v>
      </c>
      <c r="O40" s="8">
        <f t="shared" si="3"/>
        <v>117.16593810022658</v>
      </c>
      <c r="P40" s="130">
        <f t="shared" si="4"/>
        <v>8.0842719714301765</v>
      </c>
      <c r="Q40" s="10">
        <f t="shared" si="8"/>
        <v>89.34360300096489</v>
      </c>
      <c r="R40" s="6"/>
      <c r="S40" s="73">
        <f t="shared" si="9"/>
        <v>76.253904888755471</v>
      </c>
      <c r="T40" s="73">
        <f t="shared" si="10"/>
        <v>104.68027058862268</v>
      </c>
      <c r="U40" s="73">
        <f t="shared" si="11"/>
        <v>90.467087738689074</v>
      </c>
      <c r="V40" s="1">
        <f t="shared" si="12"/>
        <v>-0.1465096288098886</v>
      </c>
      <c r="W40" s="1">
        <f t="shared" si="13"/>
        <v>0.17165938100226552</v>
      </c>
      <c r="X40" s="1">
        <f t="shared" si="14"/>
        <v>1.2574876096188348E-2</v>
      </c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</row>
    <row r="41" spans="4:55">
      <c r="F41" s="5">
        <f t="shared" si="5"/>
        <v>13.930288630118572</v>
      </c>
      <c r="G41" s="4">
        <f t="shared" si="6"/>
        <v>23673.979657344516</v>
      </c>
      <c r="H41" s="3">
        <f t="shared" si="0"/>
        <v>1699.4608141972869</v>
      </c>
      <c r="I41">
        <f>I42</f>
        <v>40233000.74376072</v>
      </c>
      <c r="J41" s="6"/>
      <c r="K41" s="6"/>
      <c r="L41" s="6"/>
      <c r="M41" s="82">
        <f t="shared" si="7"/>
        <v>5.3111945213698668</v>
      </c>
      <c r="N41" s="66">
        <f t="shared" si="2"/>
        <v>13.930288630118572</v>
      </c>
      <c r="O41" s="8">
        <f t="shared" si="3"/>
        <v>114.86856676492803</v>
      </c>
      <c r="P41" s="130">
        <f t="shared" si="4"/>
        <v>8.2459574108587805</v>
      </c>
      <c r="Q41" s="10">
        <f t="shared" si="8"/>
        <v>87.591767648004804</v>
      </c>
      <c r="R41" s="6"/>
      <c r="S41" s="73">
        <f t="shared" si="9"/>
        <v>76.253904888755471</v>
      </c>
      <c r="T41" s="73">
        <f t="shared" si="10"/>
        <v>100.615408101329</v>
      </c>
      <c r="U41" s="73">
        <f t="shared" si="11"/>
        <v>88.434656495042233</v>
      </c>
      <c r="V41" s="1">
        <f t="shared" si="12"/>
        <v>-0.12943982138608656</v>
      </c>
      <c r="W41" s="1">
        <f t="shared" si="13"/>
        <v>0.14868566764927982</v>
      </c>
      <c r="X41" s="1">
        <f t="shared" si="14"/>
        <v>9.622923131596739E-3</v>
      </c>
      <c r="Y41" s="6"/>
      <c r="Z41" s="2"/>
      <c r="AA41" s="2"/>
      <c r="AB41" s="2"/>
    </row>
    <row r="42" spans="4:55">
      <c r="F42" s="5">
        <f t="shared" si="5"/>
        <v>13.389358544904432</v>
      </c>
      <c r="G42" s="4">
        <f t="shared" si="6"/>
        <v>23209.783977788742</v>
      </c>
      <c r="H42" s="3">
        <f t="shared" si="0"/>
        <v>1733.4500304812327</v>
      </c>
      <c r="I42">
        <f t="shared" ref="I42:I46" si="15">I43</f>
        <v>40233000.74376072</v>
      </c>
      <c r="J42" s="6"/>
      <c r="K42" s="6"/>
      <c r="L42" s="6"/>
      <c r="M42" s="82">
        <f t="shared" si="7"/>
        <v>5.1049543650229401</v>
      </c>
      <c r="N42" s="66">
        <f t="shared" si="2"/>
        <v>13.389358544904432</v>
      </c>
      <c r="O42" s="8">
        <f t="shared" si="3"/>
        <v>112.61624192640002</v>
      </c>
      <c r="P42" s="130">
        <f t="shared" si="4"/>
        <v>8.4108765590759553</v>
      </c>
      <c r="Q42" s="10">
        <f t="shared" si="8"/>
        <v>85.874282007847839</v>
      </c>
      <c r="R42" s="6"/>
      <c r="S42" s="73">
        <f t="shared" si="9"/>
        <v>76.253904888755471</v>
      </c>
      <c r="T42" s="73">
        <f t="shared" si="10"/>
        <v>96.70838917851691</v>
      </c>
      <c r="U42" s="73">
        <f t="shared" si="11"/>
        <v>86.481147033636191</v>
      </c>
      <c r="V42" s="1">
        <f t="shared" si="12"/>
        <v>-0.11202861781380813</v>
      </c>
      <c r="W42" s="1">
        <f t="shared" si="13"/>
        <v>0.12616241926400007</v>
      </c>
      <c r="X42" s="1">
        <f t="shared" si="14"/>
        <v>7.0669007250958593E-3</v>
      </c>
      <c r="Y42" s="6"/>
      <c r="Z42" s="2"/>
      <c r="AA42" s="2"/>
      <c r="AB42" s="2"/>
    </row>
    <row r="43" spans="4:55">
      <c r="F43" s="5">
        <f t="shared" si="5"/>
        <v>12.869433434164199</v>
      </c>
      <c r="G43" s="4">
        <f t="shared" si="6"/>
        <v>22754.690174302687</v>
      </c>
      <c r="H43" s="3">
        <f t="shared" si="0"/>
        <v>1768.1190310908573</v>
      </c>
      <c r="I43">
        <f t="shared" si="15"/>
        <v>40233000.74376072</v>
      </c>
      <c r="J43" s="6"/>
      <c r="K43" s="6"/>
      <c r="L43" s="6"/>
      <c r="M43" s="82">
        <f t="shared" si="7"/>
        <v>4.9067227653046324</v>
      </c>
      <c r="N43" s="66">
        <f t="shared" si="2"/>
        <v>12.869433434164199</v>
      </c>
      <c r="O43" s="8">
        <f t="shared" si="3"/>
        <v>110.40808032000002</v>
      </c>
      <c r="P43" s="130">
        <f t="shared" si="4"/>
        <v>8.5790940902574739</v>
      </c>
      <c r="Q43" s="10">
        <f t="shared" si="8"/>
        <v>84.190472556713573</v>
      </c>
      <c r="R43" s="6"/>
      <c r="S43" s="73">
        <f t="shared" si="9"/>
        <v>76.253904888755471</v>
      </c>
      <c r="T43" s="73">
        <f t="shared" si="10"/>
        <v>92.95308456220387</v>
      </c>
      <c r="U43" s="73">
        <f t="shared" si="11"/>
        <v>84.603494725479678</v>
      </c>
      <c r="V43" s="1">
        <f t="shared" si="12"/>
        <v>-9.4269190170084394E-2</v>
      </c>
      <c r="W43" s="1">
        <f t="shared" si="13"/>
        <v>0.10408080319999979</v>
      </c>
      <c r="X43" s="1">
        <f t="shared" si="14"/>
        <v>4.9058065149578667E-3</v>
      </c>
      <c r="Y43" s="6"/>
      <c r="Z43" s="2"/>
      <c r="AA43" s="2"/>
      <c r="AB43" s="2"/>
    </row>
    <row r="44" spans="4:55">
      <c r="F44" s="5">
        <f t="shared" si="5"/>
        <v>12.369697649138983</v>
      </c>
      <c r="G44" s="4">
        <f t="shared" si="6"/>
        <v>22308.519778728125</v>
      </c>
      <c r="H44" s="3">
        <f t="shared" si="0"/>
        <v>1803.4814117126746</v>
      </c>
      <c r="I44">
        <f t="shared" si="15"/>
        <v>40233000.74376072</v>
      </c>
      <c r="J44" s="6"/>
      <c r="K44" s="6"/>
      <c r="L44" s="6"/>
      <c r="M44" s="82">
        <f t="shared" si="7"/>
        <v>4.7161887402005309</v>
      </c>
      <c r="N44" s="66">
        <f t="shared" si="2"/>
        <v>12.369697649138983</v>
      </c>
      <c r="O44" s="8">
        <f t="shared" si="3"/>
        <v>108.24321600000002</v>
      </c>
      <c r="P44" s="130">
        <f t="shared" si="4"/>
        <v>8.7506759720626235</v>
      </c>
      <c r="Q44" s="10">
        <f t="shared" si="8"/>
        <v>82.539678977170169</v>
      </c>
      <c r="R44" s="6"/>
      <c r="S44" s="73">
        <f t="shared" si="9"/>
        <v>76.253904888755471</v>
      </c>
      <c r="T44" s="73">
        <f t="shared" si="10"/>
        <v>89.343603000964876</v>
      </c>
      <c r="U44" s="73">
        <f t="shared" si="11"/>
        <v>82.798753944860181</v>
      </c>
      <c r="V44" s="1">
        <f t="shared" si="12"/>
        <v>-7.6154573973486017E-2</v>
      </c>
      <c r="W44" s="1">
        <f t="shared" si="13"/>
        <v>8.2432159999999755E-2</v>
      </c>
      <c r="X44" s="1">
        <f t="shared" si="14"/>
        <v>3.1387930132569242E-3</v>
      </c>
      <c r="Y44" s="6"/>
      <c r="Z44" s="2"/>
      <c r="AA44" s="2"/>
      <c r="AB44" s="2"/>
    </row>
    <row r="45" spans="4:55">
      <c r="F45" s="5">
        <f t="shared" si="5"/>
        <v>11.889367213705288</v>
      </c>
      <c r="G45" s="4">
        <f t="shared" si="6"/>
        <v>21871.097822282474</v>
      </c>
      <c r="H45" s="3">
        <f t="shared" si="0"/>
        <v>1839.5510399469281</v>
      </c>
      <c r="I45">
        <f t="shared" si="15"/>
        <v>40233000.74376072</v>
      </c>
      <c r="J45" s="6"/>
      <c r="K45" s="6"/>
      <c r="L45" s="6"/>
      <c r="M45" s="82">
        <f t="shared" si="7"/>
        <v>4.5330533835068536</v>
      </c>
      <c r="N45" s="66">
        <f t="shared" si="2"/>
        <v>11.889367213705288</v>
      </c>
      <c r="O45" s="8">
        <f t="shared" si="3"/>
        <v>106.12080000000002</v>
      </c>
      <c r="P45" s="130">
        <f t="shared" si="4"/>
        <v>8.925689491503876</v>
      </c>
      <c r="Q45" s="10">
        <f t="shared" si="8"/>
        <v>80.921253899186425</v>
      </c>
      <c r="R45" s="9"/>
      <c r="S45" s="73">
        <f t="shared" si="9"/>
        <v>76.253904888755471</v>
      </c>
      <c r="T45" s="73">
        <f t="shared" si="10"/>
        <v>85.874282007847825</v>
      </c>
      <c r="U45" s="73">
        <f t="shared" si="11"/>
        <v>81.064093448301648</v>
      </c>
      <c r="V45" s="1">
        <f t="shared" si="12"/>
        <v>-5.7677665452955607E-2</v>
      </c>
      <c r="W45" s="1">
        <f t="shared" si="13"/>
        <v>6.1207999999999929E-2</v>
      </c>
      <c r="X45" s="1">
        <f t="shared" si="14"/>
        <v>1.7651672735221613E-3</v>
      </c>
      <c r="Y45" s="6"/>
      <c r="Z45" s="2"/>
      <c r="AA45" s="2"/>
      <c r="AB45" s="2"/>
    </row>
    <row r="46" spans="4:55">
      <c r="F46" s="5">
        <f t="shared" si="5"/>
        <v>11.427688594487975</v>
      </c>
      <c r="G46" s="4">
        <f t="shared" si="6"/>
        <v>21442.252766943602</v>
      </c>
      <c r="H46" s="3">
        <f t="shared" si="0"/>
        <v>1876.3420607458665</v>
      </c>
      <c r="I46">
        <f t="shared" si="15"/>
        <v>40233000.74376072</v>
      </c>
      <c r="J46" s="6"/>
      <c r="K46" s="6"/>
      <c r="L46" s="6"/>
      <c r="M46" s="82">
        <f t="shared" si="7"/>
        <v>4.3570293959120088</v>
      </c>
      <c r="N46" s="66">
        <f t="shared" si="2"/>
        <v>11.427688594487975</v>
      </c>
      <c r="O46" s="8">
        <f t="shared" si="3"/>
        <v>104.04000000000002</v>
      </c>
      <c r="P46" s="130">
        <f t="shared" si="4"/>
        <v>9.1042032813339535</v>
      </c>
      <c r="Q46" s="10">
        <f t="shared" si="8"/>
        <v>79.334562646261219</v>
      </c>
      <c r="R46" s="9"/>
      <c r="S46" s="73">
        <f t="shared" si="9"/>
        <v>76.253904888755471</v>
      </c>
      <c r="T46" s="73">
        <f t="shared" si="10"/>
        <v>82.539678977170169</v>
      </c>
      <c r="U46" s="73">
        <f t="shared" si="11"/>
        <v>79.396791932962813</v>
      </c>
      <c r="V46" s="1">
        <f t="shared" si="12"/>
        <v>-3.8831218762014896E-2</v>
      </c>
      <c r="W46" s="1">
        <f t="shared" si="13"/>
        <v>4.0399999999999991E-2</v>
      </c>
      <c r="X46" s="1">
        <f t="shared" si="14"/>
        <v>7.8439061899238105E-4</v>
      </c>
      <c r="Y46" s="6"/>
      <c r="Z46" s="2"/>
      <c r="AA46" s="2"/>
      <c r="AB46" s="2"/>
    </row>
    <row r="47" spans="4:55">
      <c r="F47" s="5">
        <f t="shared" si="5"/>
        <v>10.983937518731231</v>
      </c>
      <c r="G47" s="4">
        <f t="shared" si="6"/>
        <v>21021.816438180002</v>
      </c>
      <c r="H47" s="3">
        <f t="shared" si="0"/>
        <v>1913.8689019607841</v>
      </c>
      <c r="I47">
        <f>I48</f>
        <v>40233000.74376072</v>
      </c>
      <c r="J47" s="6"/>
      <c r="K47" s="6"/>
      <c r="L47" s="6"/>
      <c r="M47" s="82">
        <f t="shared" si="7"/>
        <v>4.1878406342868209</v>
      </c>
      <c r="N47" s="66">
        <f t="shared" si="2"/>
        <v>10.983937518731231</v>
      </c>
      <c r="O47" s="8">
        <f t="shared" si="3"/>
        <v>102.00000000000001</v>
      </c>
      <c r="P47" s="130">
        <f t="shared" si="4"/>
        <v>9.2862873469606342</v>
      </c>
      <c r="Q47" s="10">
        <f t="shared" si="8"/>
        <v>77.778982986530593</v>
      </c>
      <c r="R47" s="9"/>
      <c r="S47" s="73">
        <f t="shared" si="9"/>
        <v>76.253904888755471</v>
      </c>
      <c r="T47" s="73">
        <f t="shared" si="10"/>
        <v>79.33456264626119</v>
      </c>
      <c r="U47" s="73">
        <f t="shared" si="11"/>
        <v>77.794233767508331</v>
      </c>
      <c r="V47" s="1">
        <f t="shared" si="12"/>
        <v>-1.9607843137255054E-2</v>
      </c>
      <c r="W47" s="1">
        <f t="shared" si="13"/>
        <v>1.9999999999999796E-2</v>
      </c>
      <c r="X47" s="1">
        <f t="shared" si="14"/>
        <v>1.9607843137237069E-4</v>
      </c>
      <c r="Y47" s="6"/>
      <c r="Z47" s="2"/>
      <c r="AA47" s="2"/>
      <c r="AB47" s="2"/>
    </row>
    <row r="48" spans="4:55" s="53" customFormat="1" ht="18.75">
      <c r="D48" s="24" t="s">
        <v>4</v>
      </c>
      <c r="E48" s="24"/>
      <c r="F48" s="76">
        <f t="shared" si="5"/>
        <v>10.557417838073079</v>
      </c>
      <c r="G48" s="19">
        <f>K1</f>
        <v>20609.623959</v>
      </c>
      <c r="H48" s="20">
        <f>K2</f>
        <v>1952.1462799999999</v>
      </c>
      <c r="I48" s="21">
        <f>G48*H48</f>
        <v>40233000.74376072</v>
      </c>
      <c r="J48" s="22"/>
      <c r="K48" s="22"/>
      <c r="L48" s="22"/>
      <c r="M48" s="82">
        <f t="shared" si="7"/>
        <v>4.0252216784763748</v>
      </c>
      <c r="N48" s="67">
        <f>F48</f>
        <v>10.557417838073079</v>
      </c>
      <c r="O48" s="11">
        <f>K3</f>
        <v>100</v>
      </c>
      <c r="P48" s="131">
        <f>O48/F48</f>
        <v>9.4720130938998448</v>
      </c>
      <c r="Q48" s="11">
        <f t="shared" si="8"/>
        <v>76.253904888755471</v>
      </c>
      <c r="R48" s="23"/>
      <c r="S48" s="77">
        <f t="shared" si="9"/>
        <v>76.253904888755471</v>
      </c>
      <c r="T48" s="77">
        <f t="shared" si="10"/>
        <v>76.253904888755457</v>
      </c>
      <c r="U48" s="77">
        <f t="shared" si="11"/>
        <v>76.253904888755471</v>
      </c>
      <c r="V48" s="39">
        <f t="shared" si="12"/>
        <v>0</v>
      </c>
      <c r="W48" s="39">
        <f t="shared" si="13"/>
        <v>0</v>
      </c>
      <c r="X48" s="39">
        <f t="shared" si="14"/>
        <v>0</v>
      </c>
      <c r="Y48" s="78"/>
      <c r="Z48" s="79"/>
      <c r="AA48" s="79"/>
      <c r="AB48" s="79"/>
    </row>
    <row r="49" spans="6:28">
      <c r="F49" s="5">
        <f t="shared" si="5"/>
        <v>10.139344091685384</v>
      </c>
      <c r="G49" s="4">
        <f>G48*(1-$O$1)</f>
        <v>20197.431479819999</v>
      </c>
      <c r="H49" s="3">
        <f>I49/G49</f>
        <v>1991.9859999999999</v>
      </c>
      <c r="I49">
        <f>I48</f>
        <v>40233000.74376072</v>
      </c>
      <c r="J49" s="6"/>
      <c r="K49" s="6"/>
      <c r="L49" s="6"/>
      <c r="M49" s="82">
        <f t="shared" si="7"/>
        <v>3.8658229000087103</v>
      </c>
      <c r="N49" s="66">
        <f t="shared" si="2"/>
        <v>10.139344091685384</v>
      </c>
      <c r="O49" s="8">
        <f t="shared" ref="O49:O100" si="16">$O$48/$G$48*G49</f>
        <v>98</v>
      </c>
      <c r="P49" s="130">
        <f t="shared" ref="P49:P100" si="17">O49/F49</f>
        <v>9.6653194835712721</v>
      </c>
      <c r="Q49" s="10">
        <f t="shared" si="8"/>
        <v>74.728826790980364</v>
      </c>
      <c r="R49" s="9"/>
      <c r="S49" s="73">
        <f t="shared" si="9"/>
        <v>76.253904888755471</v>
      </c>
      <c r="T49" s="73">
        <f t="shared" si="10"/>
        <v>73.234250255160745</v>
      </c>
      <c r="U49" s="73">
        <f t="shared" si="11"/>
        <v>74.744077571958115</v>
      </c>
      <c r="V49" s="1">
        <f t="shared" si="12"/>
        <v>2.0408163265306145E-2</v>
      </c>
      <c r="W49" s="1">
        <f t="shared" si="13"/>
        <v>-2.0000000000000129E-2</v>
      </c>
      <c r="X49" s="1">
        <f t="shared" si="14"/>
        <v>2.0408163265317469E-4</v>
      </c>
      <c r="Y49" s="6"/>
      <c r="Z49" s="2"/>
      <c r="AA49" s="2"/>
      <c r="AB49" s="2"/>
    </row>
    <row r="50" spans="6:28">
      <c r="F50" s="5">
        <f t="shared" si="5"/>
        <v>9.7378260656546409</v>
      </c>
      <c r="G50" s="4">
        <f t="shared" ref="G50:G113" si="18">G49*(1-$O$1)</f>
        <v>19793.482850223598</v>
      </c>
      <c r="H50" s="3">
        <f t="shared" ref="H50:H113" si="19">I50/G50</f>
        <v>2032.6387755102041</v>
      </c>
      <c r="I50">
        <f>I49</f>
        <v>40233000.74376072</v>
      </c>
      <c r="J50" s="6"/>
      <c r="K50" s="6"/>
      <c r="L50" s="6"/>
      <c r="M50" s="82">
        <f t="shared" si="7"/>
        <v>3.7127363131683646</v>
      </c>
      <c r="N50" s="66">
        <f t="shared" si="2"/>
        <v>9.7378260656546409</v>
      </c>
      <c r="O50" s="8">
        <f t="shared" si="16"/>
        <v>96.039999999999992</v>
      </c>
      <c r="P50" s="130">
        <f t="shared" si="17"/>
        <v>9.8625709016033394</v>
      </c>
      <c r="Q50" s="10">
        <f t="shared" si="8"/>
        <v>73.234250255160745</v>
      </c>
      <c r="R50" s="9"/>
      <c r="S50" s="73">
        <f t="shared" si="9"/>
        <v>76.253904888755471</v>
      </c>
      <c r="T50" s="73">
        <f t="shared" si="10"/>
        <v>70.334173945056364</v>
      </c>
      <c r="U50" s="73">
        <f t="shared" si="11"/>
        <v>73.294039416905918</v>
      </c>
      <c r="V50" s="1">
        <f t="shared" si="12"/>
        <v>4.1232819658475695E-2</v>
      </c>
      <c r="W50" s="1">
        <f t="shared" si="13"/>
        <v>-3.9600000000000191E-2</v>
      </c>
      <c r="X50" s="1">
        <f t="shared" si="14"/>
        <v>8.1640982923780747E-4</v>
      </c>
      <c r="Y50" s="6"/>
      <c r="Z50" s="2"/>
      <c r="AA50" s="2"/>
      <c r="AB50" s="2"/>
    </row>
    <row r="51" spans="6:28">
      <c r="F51" s="5">
        <f t="shared" si="5"/>
        <v>9.3522081534547148</v>
      </c>
      <c r="G51" s="4">
        <f t="shared" si="18"/>
        <v>19397.613193219124</v>
      </c>
      <c r="H51" s="3">
        <f t="shared" si="19"/>
        <v>2074.1211995002086</v>
      </c>
      <c r="I51">
        <f t="shared" ref="I51:I113" si="20">I50</f>
        <v>40233000.74376072</v>
      </c>
      <c r="J51" s="6"/>
      <c r="K51" s="6"/>
      <c r="L51" s="6"/>
      <c r="M51" s="82">
        <f t="shared" si="7"/>
        <v>3.5657119551668965</v>
      </c>
      <c r="N51" s="66">
        <f t="shared" si="2"/>
        <v>9.3522081534547148</v>
      </c>
      <c r="O51" s="8">
        <f t="shared" si="16"/>
        <v>94.119199999999978</v>
      </c>
      <c r="P51" s="130">
        <f t="shared" si="17"/>
        <v>10.063847858778919</v>
      </c>
      <c r="Q51" s="10">
        <f t="shared" si="8"/>
        <v>71.769565250057525</v>
      </c>
      <c r="R51" s="9"/>
      <c r="S51" s="73">
        <f t="shared" si="9"/>
        <v>76.253904888755471</v>
      </c>
      <c r="T51" s="73">
        <f t="shared" si="10"/>
        <v>67.548940656832116</v>
      </c>
      <c r="U51" s="73">
        <f t="shared" si="11"/>
        <v>71.901422772793794</v>
      </c>
      <c r="V51" s="1">
        <f t="shared" si="12"/>
        <v>6.2482469039261135E-2</v>
      </c>
      <c r="W51" s="1">
        <f t="shared" si="13"/>
        <v>-5.8808000000000415E-2</v>
      </c>
      <c r="X51" s="1">
        <f t="shared" si="14"/>
        <v>1.8372345196302486E-3</v>
      </c>
      <c r="Y51" s="6"/>
      <c r="Z51" s="2"/>
      <c r="AA51" s="2"/>
      <c r="AB51" s="2"/>
    </row>
    <row r="52" spans="6:28">
      <c r="F52" s="5">
        <f t="shared" si="5"/>
        <v>8.9818607105779087</v>
      </c>
      <c r="G52" s="4">
        <f t="shared" si="18"/>
        <v>19009.660929354741</v>
      </c>
      <c r="H52" s="3">
        <f t="shared" si="19"/>
        <v>2116.4502035716414</v>
      </c>
      <c r="I52">
        <f t="shared" si="20"/>
        <v>40233000.74376072</v>
      </c>
      <c r="J52" s="6"/>
      <c r="K52" s="6"/>
      <c r="L52" s="6"/>
      <c r="M52" s="82">
        <f t="shared" si="7"/>
        <v>3.4245097617422875</v>
      </c>
      <c r="N52" s="66">
        <f t="shared" si="2"/>
        <v>8.9818607105779087</v>
      </c>
      <c r="O52" s="8">
        <f t="shared" si="16"/>
        <v>92.236815999999976</v>
      </c>
      <c r="P52" s="130">
        <f t="shared" si="17"/>
        <v>10.26923250895808</v>
      </c>
      <c r="Q52" s="10">
        <f t="shared" si="8"/>
        <v>70.334173945056378</v>
      </c>
      <c r="R52" s="9"/>
      <c r="S52" s="73">
        <f t="shared" si="9"/>
        <v>76.253904888755471</v>
      </c>
      <c r="T52" s="73">
        <f t="shared" si="10"/>
        <v>64.874002606821577</v>
      </c>
      <c r="U52" s="73">
        <f t="shared" si="11"/>
        <v>70.563953747788517</v>
      </c>
      <c r="V52" s="1">
        <f t="shared" si="12"/>
        <v>8.4165784733939875E-2</v>
      </c>
      <c r="W52" s="1">
        <f t="shared" si="13"/>
        <v>-7.763184000000023E-2</v>
      </c>
      <c r="X52" s="1">
        <f t="shared" si="14"/>
        <v>3.2669723669696005E-3</v>
      </c>
      <c r="Y52" s="6"/>
      <c r="Z52" s="2"/>
      <c r="AA52" s="2"/>
      <c r="AB52" s="2"/>
    </row>
    <row r="53" spans="6:28">
      <c r="F53" s="5">
        <f t="shared" si="5"/>
        <v>8.6261790264390239</v>
      </c>
      <c r="G53" s="4">
        <f t="shared" si="18"/>
        <v>18629.467710767647</v>
      </c>
      <c r="H53" s="3">
        <f t="shared" si="19"/>
        <v>2159.6430648690216</v>
      </c>
      <c r="I53">
        <f t="shared" si="20"/>
        <v>40233000.74376072</v>
      </c>
      <c r="J53" s="6"/>
      <c r="K53" s="6"/>
      <c r="L53" s="6"/>
      <c r="M53" s="82">
        <f t="shared" si="7"/>
        <v>3.2888991751772934</v>
      </c>
      <c r="N53" s="66">
        <f t="shared" si="2"/>
        <v>8.6261790264390239</v>
      </c>
      <c r="O53" s="8">
        <f t="shared" si="16"/>
        <v>90.392079679999995</v>
      </c>
      <c r="P53" s="130">
        <f t="shared" si="17"/>
        <v>10.478808682610287</v>
      </c>
      <c r="Q53" s="10">
        <f t="shared" si="8"/>
        <v>68.927490466155263</v>
      </c>
      <c r="R53" s="9"/>
      <c r="S53" s="73">
        <f t="shared" si="9"/>
        <v>76.253904888755471</v>
      </c>
      <c r="T53" s="73">
        <f t="shared" si="10"/>
        <v>62.304992103591438</v>
      </c>
      <c r="U53" s="73">
        <f t="shared" si="11"/>
        <v>69.279448496173458</v>
      </c>
      <c r="V53" s="1">
        <f t="shared" si="12"/>
        <v>0.10629161707544865</v>
      </c>
      <c r="W53" s="1">
        <f t="shared" si="13"/>
        <v>-9.6079203200000407E-2</v>
      </c>
      <c r="X53" s="1">
        <f t="shared" si="14"/>
        <v>5.1062069377241226E-3</v>
      </c>
      <c r="Y53" s="6"/>
      <c r="Z53" s="2"/>
      <c r="AA53" s="2"/>
      <c r="AB53" s="2"/>
    </row>
    <row r="54" spans="6:28">
      <c r="F54" s="5">
        <f t="shared" si="5"/>
        <v>8.2845823369920364</v>
      </c>
      <c r="G54" s="4">
        <f t="shared" si="18"/>
        <v>18256.878356552294</v>
      </c>
      <c r="H54" s="3">
        <f t="shared" si="19"/>
        <v>2203.7174131316551</v>
      </c>
      <c r="I54">
        <f t="shared" si="20"/>
        <v>40233000.74376072</v>
      </c>
      <c r="J54" s="6"/>
      <c r="K54" s="6"/>
      <c r="L54" s="6"/>
      <c r="M54" s="82">
        <f t="shared" si="7"/>
        <v>3.1586587678402713</v>
      </c>
      <c r="N54" s="66">
        <f t="shared" si="2"/>
        <v>8.2845823369920364</v>
      </c>
      <c r="O54" s="8">
        <f t="shared" si="16"/>
        <v>88.584238086399992</v>
      </c>
      <c r="P54" s="130">
        <f t="shared" si="17"/>
        <v>10.692661921030908</v>
      </c>
      <c r="Q54" s="10">
        <f t="shared" si="8"/>
        <v>67.548940656832158</v>
      </c>
      <c r="R54" s="9"/>
      <c r="S54" s="73">
        <f t="shared" si="9"/>
        <v>76.253904888755471</v>
      </c>
      <c r="T54" s="73">
        <f t="shared" si="10"/>
        <v>59.837714416289202</v>
      </c>
      <c r="U54" s="73">
        <f t="shared" si="11"/>
        <v>68.045809652522337</v>
      </c>
      <c r="V54" s="1">
        <f t="shared" si="12"/>
        <v>0.12886899701576393</v>
      </c>
      <c r="W54" s="1">
        <f t="shared" si="13"/>
        <v>-0.11415761913600064</v>
      </c>
      <c r="X54" s="1">
        <f t="shared" si="14"/>
        <v>7.3556889398815883E-3</v>
      </c>
      <c r="Y54" s="6"/>
      <c r="Z54" s="2"/>
      <c r="AA54" s="2"/>
      <c r="AB54" s="2"/>
    </row>
    <row r="55" spans="6:28">
      <c r="F55" s="5">
        <f t="shared" si="5"/>
        <v>7.956512876447154</v>
      </c>
      <c r="G55" s="4">
        <f t="shared" si="18"/>
        <v>17891.740789421248</v>
      </c>
      <c r="H55" s="3">
        <f t="shared" si="19"/>
        <v>2248.6912378894435</v>
      </c>
      <c r="I55">
        <f t="shared" si="20"/>
        <v>40233000.74376072</v>
      </c>
      <c r="J55" s="6"/>
      <c r="K55" s="6"/>
      <c r="L55" s="6"/>
      <c r="M55" s="82">
        <f t="shared" si="7"/>
        <v>3.0335758806337978</v>
      </c>
      <c r="N55" s="66">
        <f t="shared" si="2"/>
        <v>7.956512876447154</v>
      </c>
      <c r="O55" s="8">
        <f t="shared" si="16"/>
        <v>86.812553324671995</v>
      </c>
      <c r="P55" s="130">
        <f t="shared" si="17"/>
        <v>10.910879511256026</v>
      </c>
      <c r="Q55" s="10">
        <f t="shared" si="8"/>
        <v>66.197961843695509</v>
      </c>
      <c r="R55" s="9"/>
      <c r="S55" s="73">
        <f t="shared" si="9"/>
        <v>76.253904888755471</v>
      </c>
      <c r="T55" s="73">
        <f t="shared" si="10"/>
        <v>57.468140925404171</v>
      </c>
      <c r="U55" s="73">
        <f t="shared" si="11"/>
        <v>66.861022907079828</v>
      </c>
      <c r="V55" s="1">
        <f t="shared" si="12"/>
        <v>0.15190713981200399</v>
      </c>
      <c r="W55" s="1">
        <f t="shared" si="13"/>
        <v>-0.13187446675328029</v>
      </c>
      <c r="X55" s="1">
        <f t="shared" si="14"/>
        <v>1.0016336529361958E-2</v>
      </c>
      <c r="Y55" s="6"/>
      <c r="Z55" s="2"/>
      <c r="AA55" s="2"/>
      <c r="AB55" s="2"/>
    </row>
    <row r="56" spans="6:28">
      <c r="F56" s="5">
        <f t="shared" si="5"/>
        <v>7.6414349665398458</v>
      </c>
      <c r="G56" s="4">
        <f t="shared" si="18"/>
        <v>17533.905973632824</v>
      </c>
      <c r="H56" s="3">
        <f t="shared" si="19"/>
        <v>2294.5828958055549</v>
      </c>
      <c r="I56">
        <f t="shared" si="20"/>
        <v>40233000.74376072</v>
      </c>
      <c r="J56" s="6"/>
      <c r="K56" s="6"/>
      <c r="L56" s="6"/>
      <c r="M56" s="82">
        <f t="shared" si="7"/>
        <v>2.9134462757606987</v>
      </c>
      <c r="N56" s="66">
        <f t="shared" si="2"/>
        <v>7.6414349665398458</v>
      </c>
      <c r="O56" s="8">
        <f t="shared" si="16"/>
        <v>85.076302258178544</v>
      </c>
      <c r="P56" s="130">
        <f t="shared" si="17"/>
        <v>11.133550521689822</v>
      </c>
      <c r="Q56" s="10">
        <f t="shared" si="8"/>
        <v>64.874002606821591</v>
      </c>
      <c r="R56" s="9"/>
      <c r="S56" s="73">
        <f t="shared" si="9"/>
        <v>76.253904888755471</v>
      </c>
      <c r="T56" s="73">
        <f t="shared" si="10"/>
        <v>55.19240254475816</v>
      </c>
      <c r="U56" s="73">
        <f t="shared" si="11"/>
        <v>65.723153716756812</v>
      </c>
      <c r="V56" s="1">
        <f t="shared" si="12"/>
        <v>0.17541544878775928</v>
      </c>
      <c r="W56" s="1">
        <f t="shared" si="13"/>
        <v>-0.14923697741821462</v>
      </c>
      <c r="X56" s="1">
        <f t="shared" si="14"/>
        <v>1.3089235684772271E-2</v>
      </c>
      <c r="Y56" s="6"/>
      <c r="Z56" s="2"/>
      <c r="AA56" s="2"/>
      <c r="AB56" s="2"/>
    </row>
    <row r="57" spans="6:28">
      <c r="F57" s="5">
        <f t="shared" si="5"/>
        <v>7.3388341418648677</v>
      </c>
      <c r="G57" s="4">
        <f t="shared" si="18"/>
        <v>17183.227854160166</v>
      </c>
      <c r="H57" s="3">
        <f t="shared" si="19"/>
        <v>2341.4111181689336</v>
      </c>
      <c r="I57">
        <f t="shared" si="20"/>
        <v>40233000.74376072</v>
      </c>
      <c r="J57" s="6"/>
      <c r="K57" s="6"/>
      <c r="L57" s="6"/>
      <c r="M57" s="82">
        <f t="shared" si="7"/>
        <v>2.798073803240575</v>
      </c>
      <c r="N57" s="66">
        <f t="shared" si="2"/>
        <v>7.3388341418648677</v>
      </c>
      <c r="O57" s="8">
        <f t="shared" si="16"/>
        <v>83.374776213014982</v>
      </c>
      <c r="P57" s="130">
        <f t="shared" si="17"/>
        <v>11.360765838459002</v>
      </c>
      <c r="Q57" s="10">
        <f t="shared" si="8"/>
        <v>63.57652255468517</v>
      </c>
      <c r="R57" s="9"/>
      <c r="S57" s="73">
        <f t="shared" si="9"/>
        <v>76.253904888755471</v>
      </c>
      <c r="T57" s="73">
        <f t="shared" si="10"/>
        <v>53.006783403985729</v>
      </c>
      <c r="U57" s="73">
        <f t="shared" si="11"/>
        <v>64.630344146370604</v>
      </c>
      <c r="V57" s="1">
        <f t="shared" si="12"/>
        <v>0.19940351917118293</v>
      </c>
      <c r="W57" s="1">
        <f t="shared" si="13"/>
        <v>-0.16625223786985055</v>
      </c>
      <c r="X57" s="1">
        <f t="shared" si="14"/>
        <v>1.6575640650666079E-2</v>
      </c>
      <c r="Y57" s="6"/>
      <c r="Z57" s="2"/>
      <c r="AA57" s="2"/>
      <c r="AB57" s="2"/>
    </row>
    <row r="58" spans="6:28">
      <c r="F58" s="5">
        <f t="shared" si="5"/>
        <v>7.0482163098470183</v>
      </c>
      <c r="G58" s="4">
        <f t="shared" si="18"/>
        <v>16839.563297076962</v>
      </c>
      <c r="H58" s="3">
        <f t="shared" si="19"/>
        <v>2389.1950185397282</v>
      </c>
      <c r="I58">
        <f t="shared" si="20"/>
        <v>40233000.74376072</v>
      </c>
      <c r="J58" s="6"/>
      <c r="K58" s="6"/>
      <c r="L58" s="6"/>
      <c r="M58" s="82">
        <f t="shared" si="7"/>
        <v>2.6872700806322483</v>
      </c>
      <c r="N58" s="66">
        <f t="shared" si="2"/>
        <v>7.0482163098470183</v>
      </c>
      <c r="O58" s="8">
        <f t="shared" si="16"/>
        <v>81.707280688754665</v>
      </c>
      <c r="P58" s="130">
        <f t="shared" si="17"/>
        <v>11.592618202509186</v>
      </c>
      <c r="Q58" s="10">
        <f t="shared" si="8"/>
        <v>62.304992103591452</v>
      </c>
      <c r="R58" s="9"/>
      <c r="S58" s="73">
        <f t="shared" si="9"/>
        <v>76.253904888755471</v>
      </c>
      <c r="T58" s="73">
        <f t="shared" si="10"/>
        <v>50.907714781187899</v>
      </c>
      <c r="U58" s="73">
        <f t="shared" si="11"/>
        <v>63.580809834971689</v>
      </c>
      <c r="V58" s="1">
        <f t="shared" si="12"/>
        <v>0.22388114201141129</v>
      </c>
      <c r="W58" s="1">
        <f t="shared" si="13"/>
        <v>-0.18292719311245331</v>
      </c>
      <c r="X58" s="1">
        <f t="shared" si="14"/>
        <v>2.0476974449479046E-2</v>
      </c>
      <c r="Y58" s="6"/>
      <c r="Z58" s="2"/>
      <c r="AA58" s="2"/>
      <c r="AB58" s="2"/>
    </row>
    <row r="59" spans="6:28">
      <c r="F59" s="5">
        <f t="shared" si="5"/>
        <v>6.7691069439770768</v>
      </c>
      <c r="G59" s="4">
        <f t="shared" si="18"/>
        <v>16502.772031135424</v>
      </c>
      <c r="H59" s="3">
        <f t="shared" si="19"/>
        <v>2437.9541005507431</v>
      </c>
      <c r="I59">
        <f t="shared" si="20"/>
        <v>40233000.74376072</v>
      </c>
      <c r="J59" s="6"/>
      <c r="K59" s="6"/>
      <c r="L59" s="6"/>
      <c r="M59" s="82">
        <f t="shared" si="7"/>
        <v>2.5808541854392111</v>
      </c>
      <c r="N59" s="66">
        <f t="shared" si="2"/>
        <v>6.7691069439770768</v>
      </c>
      <c r="O59" s="8">
        <f t="shared" si="16"/>
        <v>80.073135074979589</v>
      </c>
      <c r="P59" s="130">
        <f t="shared" si="17"/>
        <v>11.829202247458355</v>
      </c>
      <c r="Q59" s="10">
        <f t="shared" si="8"/>
        <v>61.058892261519638</v>
      </c>
      <c r="R59" s="9"/>
      <c r="S59" s="73">
        <f t="shared" si="9"/>
        <v>76.253904888755471</v>
      </c>
      <c r="T59" s="73">
        <f t="shared" si="10"/>
        <v>48.891769275852859</v>
      </c>
      <c r="U59" s="73">
        <f t="shared" si="11"/>
        <v>62.572837082304169</v>
      </c>
      <c r="V59" s="1">
        <f t="shared" si="12"/>
        <v>0.24885830817490917</v>
      </c>
      <c r="W59" s="1">
        <f t="shared" si="13"/>
        <v>-0.19926864925020449</v>
      </c>
      <c r="X59" s="1">
        <f t="shared" si="14"/>
        <v>2.4794829462352341E-2</v>
      </c>
      <c r="Y59" s="6"/>
      <c r="Z59" s="2"/>
      <c r="AA59" s="2"/>
      <c r="AB59" s="2"/>
    </row>
    <row r="60" spans="6:28">
      <c r="F60" s="5">
        <f t="shared" si="5"/>
        <v>6.5010503089955849</v>
      </c>
      <c r="G60" s="4">
        <f t="shared" si="18"/>
        <v>16172.716590512715</v>
      </c>
      <c r="H60" s="3">
        <f t="shared" si="19"/>
        <v>2487.7082658681052</v>
      </c>
      <c r="I60">
        <f t="shared" si="20"/>
        <v>40233000.74376072</v>
      </c>
      <c r="J60" s="6"/>
      <c r="K60" s="6"/>
      <c r="L60" s="6"/>
      <c r="M60" s="82">
        <f t="shared" si="7"/>
        <v>2.4786523596958188</v>
      </c>
      <c r="N60" s="66">
        <f t="shared" si="2"/>
        <v>6.5010503089955849</v>
      </c>
      <c r="O60" s="8">
        <f t="shared" si="16"/>
        <v>78.47167237347999</v>
      </c>
      <c r="P60" s="130">
        <f t="shared" si="17"/>
        <v>12.070614538222809</v>
      </c>
      <c r="Q60" s="10">
        <f t="shared" si="8"/>
        <v>59.837714416289238</v>
      </c>
      <c r="R60" s="9"/>
      <c r="S60" s="73">
        <f t="shared" si="9"/>
        <v>76.253904888755471</v>
      </c>
      <c r="T60" s="73">
        <f t="shared" si="10"/>
        <v>46.955655212529081</v>
      </c>
      <c r="U60" s="73">
        <f t="shared" si="11"/>
        <v>61.604780050642276</v>
      </c>
      <c r="V60" s="1">
        <f t="shared" si="12"/>
        <v>0.27434521242337695</v>
      </c>
      <c r="W60" s="1">
        <f t="shared" si="13"/>
        <v>-0.21528327626520039</v>
      </c>
      <c r="X60" s="1">
        <f t="shared" si="14"/>
        <v>2.9530968079088282E-2</v>
      </c>
      <c r="Y60" s="6"/>
      <c r="Z60" s="2"/>
      <c r="AA60" s="2"/>
      <c r="AB60" s="2"/>
    </row>
    <row r="61" spans="6:28">
      <c r="F61" s="5">
        <f t="shared" si="5"/>
        <v>6.2436087167593595</v>
      </c>
      <c r="G61" s="4">
        <f t="shared" si="18"/>
        <v>15849.26225870246</v>
      </c>
      <c r="H61" s="3">
        <f t="shared" si="19"/>
        <v>2538.4778223143931</v>
      </c>
      <c r="I61">
        <f t="shared" si="20"/>
        <v>40233000.74376072</v>
      </c>
      <c r="J61" s="6"/>
      <c r="K61" s="6"/>
      <c r="L61" s="6"/>
      <c r="M61" s="82">
        <f t="shared" si="7"/>
        <v>2.3804977262518641</v>
      </c>
      <c r="N61" s="66">
        <f t="shared" si="2"/>
        <v>6.2436087167593595</v>
      </c>
      <c r="O61" s="8">
        <f t="shared" si="16"/>
        <v>76.902238926010384</v>
      </c>
      <c r="P61" s="130">
        <f t="shared" si="17"/>
        <v>12.316953610431437</v>
      </c>
      <c r="Q61" s="10">
        <f t="shared" si="8"/>
        <v>58.640960127963446</v>
      </c>
      <c r="R61" s="9"/>
      <c r="S61" s="73">
        <f t="shared" si="9"/>
        <v>76.253904888755471</v>
      </c>
      <c r="T61" s="73">
        <f t="shared" si="10"/>
        <v>45.096211266112931</v>
      </c>
      <c r="U61" s="73">
        <f t="shared" si="11"/>
        <v>60.675058077434201</v>
      </c>
      <c r="V61" s="1">
        <f t="shared" si="12"/>
        <v>0.30035225757487449</v>
      </c>
      <c r="W61" s="1">
        <f t="shared" si="13"/>
        <v>-0.2309776107398962</v>
      </c>
      <c r="X61" s="1">
        <f t="shared" si="14"/>
        <v>3.4687323417489146E-2</v>
      </c>
      <c r="Y61" s="6"/>
      <c r="Z61" s="2"/>
      <c r="AA61" s="2"/>
      <c r="AB61" s="2"/>
    </row>
    <row r="62" spans="6:28">
      <c r="F62" s="5">
        <f t="shared" si="5"/>
        <v>5.9963618115756878</v>
      </c>
      <c r="G62" s="4">
        <f t="shared" si="18"/>
        <v>15532.27701352841</v>
      </c>
      <c r="H62" s="3">
        <f t="shared" si="19"/>
        <v>2590.2834921575441</v>
      </c>
      <c r="I62">
        <f t="shared" si="20"/>
        <v>40233000.74376072</v>
      </c>
      <c r="J62" s="6"/>
      <c r="K62" s="6"/>
      <c r="L62" s="6"/>
      <c r="M62" s="82">
        <f t="shared" si="7"/>
        <v>2.2862300162922899</v>
      </c>
      <c r="N62" s="66">
        <f t="shared" si="2"/>
        <v>5.9963618115756878</v>
      </c>
      <c r="O62" s="8">
        <f t="shared" si="16"/>
        <v>75.364194147490181</v>
      </c>
      <c r="P62" s="130">
        <f t="shared" si="17"/>
        <v>12.568320010644326</v>
      </c>
      <c r="Q62" s="10">
        <f t="shared" si="8"/>
        <v>57.468140925404185</v>
      </c>
      <c r="R62" s="9"/>
      <c r="S62" s="73">
        <f t="shared" si="9"/>
        <v>76.253904888755471</v>
      </c>
      <c r="T62" s="73">
        <f t="shared" si="10"/>
        <v>43.310401299974849</v>
      </c>
      <c r="U62" s="73">
        <f t="shared" si="11"/>
        <v>59.782153094365164</v>
      </c>
      <c r="V62" s="1">
        <f t="shared" si="12"/>
        <v>0.32689005874987176</v>
      </c>
      <c r="W62" s="1">
        <f t="shared" si="13"/>
        <v>-0.24635805852509851</v>
      </c>
      <c r="X62" s="1">
        <f t="shared" si="14"/>
        <v>4.026600011238668E-2</v>
      </c>
      <c r="Y62" s="6"/>
      <c r="Z62" s="2"/>
      <c r="AA62" s="2"/>
      <c r="AB62" s="2"/>
    </row>
    <row r="63" spans="6:28">
      <c r="F63" s="5">
        <f t="shared" si="5"/>
        <v>5.75890588383729</v>
      </c>
      <c r="G63" s="4">
        <f t="shared" si="18"/>
        <v>15221.631473257841</v>
      </c>
      <c r="H63" s="3">
        <f t="shared" si="19"/>
        <v>2643.1464205689226</v>
      </c>
      <c r="I63">
        <f t="shared" si="20"/>
        <v>40233000.74376072</v>
      </c>
      <c r="J63" s="6"/>
      <c r="K63" s="6"/>
      <c r="L63" s="6"/>
      <c r="M63" s="82">
        <f t="shared" si="7"/>
        <v>2.1956953076471151</v>
      </c>
      <c r="N63" s="66">
        <f t="shared" si="2"/>
        <v>5.75890588383729</v>
      </c>
      <c r="O63" s="8">
        <f t="shared" si="16"/>
        <v>73.856910264540375</v>
      </c>
      <c r="P63" s="130">
        <f t="shared" si="17"/>
        <v>12.824816337392171</v>
      </c>
      <c r="Q63" s="10">
        <f t="shared" si="8"/>
        <v>56.318778106896097</v>
      </c>
      <c r="R63" s="9"/>
      <c r="S63" s="73">
        <f t="shared" si="9"/>
        <v>76.253904888755471</v>
      </c>
      <c r="T63" s="73">
        <f t="shared" si="10"/>
        <v>41.595309408495844</v>
      </c>
      <c r="U63" s="73">
        <f t="shared" si="11"/>
        <v>58.924607148625654</v>
      </c>
      <c r="V63" s="1">
        <f t="shared" si="12"/>
        <v>0.353969447703951</v>
      </c>
      <c r="W63" s="1">
        <f t="shared" si="13"/>
        <v>-0.26143089735459657</v>
      </c>
      <c r="X63" s="1">
        <f t="shared" si="14"/>
        <v>4.626927517467716E-2</v>
      </c>
      <c r="Y63" s="6"/>
      <c r="Z63" s="2"/>
      <c r="AA63" s="2"/>
      <c r="AB63" s="2"/>
    </row>
    <row r="64" spans="6:28">
      <c r="F64" s="5">
        <f t="shared" si="5"/>
        <v>5.5308532108373338</v>
      </c>
      <c r="G64" s="4">
        <f t="shared" si="18"/>
        <v>14917.198843792685</v>
      </c>
      <c r="H64" s="3">
        <f t="shared" si="19"/>
        <v>2697.0881842540025</v>
      </c>
      <c r="I64">
        <f t="shared" si="20"/>
        <v>40233000.74376072</v>
      </c>
      <c r="J64" s="6"/>
      <c r="K64" s="6"/>
      <c r="L64" s="6"/>
      <c r="M64" s="82">
        <f t="shared" si="7"/>
        <v>2.1087457734642894</v>
      </c>
      <c r="N64" s="66">
        <f t="shared" si="2"/>
        <v>5.5308532108373338</v>
      </c>
      <c r="O64" s="8">
        <f t="shared" si="16"/>
        <v>72.379772059249561</v>
      </c>
      <c r="P64" s="130">
        <f t="shared" si="17"/>
        <v>13.086547283053234</v>
      </c>
      <c r="Q64" s="10">
        <f t="shared" si="8"/>
        <v>55.192402544758167</v>
      </c>
      <c r="R64" s="9"/>
      <c r="S64" s="73">
        <f t="shared" si="9"/>
        <v>76.253904888755471</v>
      </c>
      <c r="T64" s="73">
        <f t="shared" si="10"/>
        <v>39.94813515591941</v>
      </c>
      <c r="U64" s="73">
        <f t="shared" si="11"/>
        <v>58.101020022337444</v>
      </c>
      <c r="V64" s="1">
        <f t="shared" si="12"/>
        <v>0.38160147724892979</v>
      </c>
      <c r="W64" s="1">
        <f t="shared" si="13"/>
        <v>-0.27620227940750453</v>
      </c>
      <c r="X64" s="1">
        <f t="shared" si="14"/>
        <v>5.2699598920712631E-2</v>
      </c>
      <c r="Y64" s="6"/>
      <c r="Z64" s="2"/>
      <c r="AA64" s="2"/>
      <c r="AB64" s="2"/>
    </row>
    <row r="65" spans="6:28">
      <c r="F65" s="5">
        <f t="shared" si="5"/>
        <v>5.311831423688175</v>
      </c>
      <c r="G65" s="4">
        <f t="shared" si="18"/>
        <v>14618.85486691683</v>
      </c>
      <c r="H65" s="3">
        <f t="shared" si="19"/>
        <v>2752.1308002591863</v>
      </c>
      <c r="I65">
        <f t="shared" si="20"/>
        <v>40233000.74376072</v>
      </c>
      <c r="J65" s="6"/>
      <c r="K65" s="6"/>
      <c r="L65" s="6"/>
      <c r="M65" s="82">
        <f t="shared" si="7"/>
        <v>2.0252394408351035</v>
      </c>
      <c r="N65" s="66">
        <f t="shared" si="2"/>
        <v>5.311831423688175</v>
      </c>
      <c r="O65" s="8">
        <f t="shared" si="16"/>
        <v>70.932176618064574</v>
      </c>
      <c r="P65" s="130">
        <f t="shared" si="17"/>
        <v>13.353619676584934</v>
      </c>
      <c r="Q65" s="10">
        <f t="shared" si="8"/>
        <v>54.088554493863008</v>
      </c>
      <c r="R65" s="9"/>
      <c r="S65" s="73">
        <f t="shared" si="9"/>
        <v>76.253904888755471</v>
      </c>
      <c r="T65" s="73">
        <f t="shared" si="10"/>
        <v>38.366189003744999</v>
      </c>
      <c r="U65" s="73">
        <f t="shared" si="11"/>
        <v>57.310046946250239</v>
      </c>
      <c r="V65" s="1">
        <f t="shared" si="12"/>
        <v>0.40979742576421385</v>
      </c>
      <c r="W65" s="1">
        <f t="shared" si="13"/>
        <v>-0.29067823381935454</v>
      </c>
      <c r="X65" s="1">
        <f t="shared" si="14"/>
        <v>5.9559595972429769E-2</v>
      </c>
      <c r="Y65" s="6"/>
      <c r="Z65" s="2"/>
      <c r="AA65" s="2"/>
      <c r="AB65" s="2"/>
    </row>
    <row r="66" spans="6:28">
      <c r="F66" s="5">
        <f t="shared" si="5"/>
        <v>5.1014828993101231</v>
      </c>
      <c r="G66" s="4">
        <f t="shared" si="18"/>
        <v>14326.477769578494</v>
      </c>
      <c r="H66" s="3">
        <f t="shared" si="19"/>
        <v>2808.2967349583537</v>
      </c>
      <c r="I66">
        <f t="shared" si="20"/>
        <v>40233000.74376072</v>
      </c>
      <c r="J66" s="6"/>
      <c r="K66" s="6"/>
      <c r="L66" s="6"/>
      <c r="M66" s="82">
        <f t="shared" si="7"/>
        <v>1.9450399589780332</v>
      </c>
      <c r="N66" s="66">
        <f t="shared" si="2"/>
        <v>5.1014828993101231</v>
      </c>
      <c r="O66" s="8">
        <f t="shared" si="16"/>
        <v>69.513533085703273</v>
      </c>
      <c r="P66" s="130">
        <f t="shared" si="17"/>
        <v>13.626142527127481</v>
      </c>
      <c r="Q66" s="10">
        <f t="shared" si="8"/>
        <v>53.006783403985743</v>
      </c>
      <c r="R66" s="9"/>
      <c r="S66" s="73">
        <f t="shared" si="9"/>
        <v>76.253904888755471</v>
      </c>
      <c r="T66" s="73">
        <f t="shared" si="10"/>
        <v>36.846887919196696</v>
      </c>
      <c r="U66" s="73">
        <f t="shared" si="11"/>
        <v>56.55039640397608</v>
      </c>
      <c r="V66" s="1">
        <f t="shared" si="12"/>
        <v>0.43856880180021829</v>
      </c>
      <c r="W66" s="1">
        <f t="shared" si="13"/>
        <v>-0.30486466914296739</v>
      </c>
      <c r="X66" s="1">
        <f t="shared" si="14"/>
        <v>6.6852066328625392E-2</v>
      </c>
      <c r="Y66" s="6"/>
      <c r="Z66" s="2"/>
      <c r="AA66" s="2"/>
      <c r="AB66" s="2"/>
    </row>
    <row r="67" spans="6:28">
      <c r="F67" s="5">
        <f t="shared" si="5"/>
        <v>4.8994641764974434</v>
      </c>
      <c r="G67" s="4">
        <f t="shared" si="18"/>
        <v>14039.948214186925</v>
      </c>
      <c r="H67" s="3">
        <f t="shared" si="19"/>
        <v>2865.6089132228094</v>
      </c>
      <c r="I67">
        <f t="shared" si="20"/>
        <v>40233000.74376072</v>
      </c>
      <c r="J67" s="6"/>
      <c r="K67" s="6"/>
      <c r="L67" s="6"/>
      <c r="M67" s="82">
        <f t="shared" si="7"/>
        <v>1.8680163766025035</v>
      </c>
      <c r="N67" s="66">
        <f t="shared" si="2"/>
        <v>4.8994641764974434</v>
      </c>
      <c r="O67" s="8">
        <f t="shared" si="16"/>
        <v>68.123262423989217</v>
      </c>
      <c r="P67" s="130">
        <f t="shared" si="17"/>
        <v>13.904227068497429</v>
      </c>
      <c r="Q67" s="10">
        <f t="shared" si="8"/>
        <v>51.946647735906033</v>
      </c>
      <c r="R67" s="9"/>
      <c r="S67" s="73">
        <f t="shared" si="9"/>
        <v>76.253904888755471</v>
      </c>
      <c r="T67" s="73">
        <f t="shared" si="10"/>
        <v>35.387751157596512</v>
      </c>
      <c r="U67" s="73">
        <f t="shared" si="11"/>
        <v>55.820828023175991</v>
      </c>
      <c r="V67" s="1">
        <f t="shared" si="12"/>
        <v>0.46792734877573294</v>
      </c>
      <c r="W67" s="1">
        <f t="shared" si="13"/>
        <v>-0.31876737576010805</v>
      </c>
      <c r="X67" s="1">
        <f t="shared" si="14"/>
        <v>7.4579986507812501E-2</v>
      </c>
      <c r="Y67" s="6"/>
      <c r="Z67" s="2"/>
      <c r="AA67" s="2"/>
      <c r="AB67" s="2"/>
    </row>
    <row r="68" spans="6:28">
      <c r="F68" s="5">
        <f t="shared" si="5"/>
        <v>4.7054453951081436</v>
      </c>
      <c r="G68" s="4">
        <f t="shared" si="18"/>
        <v>13759.149249903187</v>
      </c>
      <c r="H68" s="3">
        <f t="shared" si="19"/>
        <v>2924.0907277783772</v>
      </c>
      <c r="I68">
        <f t="shared" si="20"/>
        <v>40233000.74376072</v>
      </c>
      <c r="J68" s="6"/>
      <c r="K68" s="6"/>
      <c r="L68" s="6"/>
      <c r="M68" s="82">
        <f t="shared" si="7"/>
        <v>1.794042928089044</v>
      </c>
      <c r="N68" s="66">
        <f t="shared" si="2"/>
        <v>4.7054453951081436</v>
      </c>
      <c r="O68" s="8">
        <f t="shared" si="16"/>
        <v>66.760797175509438</v>
      </c>
      <c r="P68" s="130">
        <f t="shared" si="17"/>
        <v>14.187986804589217</v>
      </c>
      <c r="Q68" s="10">
        <f t="shared" si="8"/>
        <v>50.90771478118792</v>
      </c>
      <c r="R68" s="9"/>
      <c r="S68" s="73">
        <f t="shared" si="9"/>
        <v>76.253904888755471</v>
      </c>
      <c r="T68" s="73">
        <f t="shared" si="10"/>
        <v>33.986396211755682</v>
      </c>
      <c r="U68" s="73">
        <f t="shared" si="11"/>
        <v>55.120150550255588</v>
      </c>
      <c r="V68" s="1">
        <f t="shared" si="12"/>
        <v>0.49788504977115577</v>
      </c>
      <c r="W68" s="1">
        <f t="shared" si="13"/>
        <v>-0.3323920282449061</v>
      </c>
      <c r="X68" s="1">
        <f t="shared" si="14"/>
        <v>8.2746510763125114E-2</v>
      </c>
      <c r="Y68" s="6"/>
      <c r="Z68" s="2"/>
      <c r="AA68" s="2"/>
      <c r="AB68" s="2"/>
    </row>
    <row r="69" spans="6:28">
      <c r="F69" s="5">
        <f t="shared" si="5"/>
        <v>4.5191097574618615</v>
      </c>
      <c r="G69" s="4">
        <f t="shared" si="18"/>
        <v>13483.966264905122</v>
      </c>
      <c r="H69" s="3">
        <f t="shared" si="19"/>
        <v>2983.7660487534463</v>
      </c>
      <c r="I69">
        <f t="shared" si="20"/>
        <v>40233000.74376072</v>
      </c>
      <c r="J69" s="6"/>
      <c r="K69" s="6"/>
      <c r="L69" s="6"/>
      <c r="M69" s="82">
        <f t="shared" si="7"/>
        <v>1.7229988281367181</v>
      </c>
      <c r="N69" s="66">
        <f t="shared" si="2"/>
        <v>4.5191097574618615</v>
      </c>
      <c r="O69" s="8">
        <f t="shared" si="16"/>
        <v>65.425581231999246</v>
      </c>
      <c r="P69" s="130">
        <f t="shared" si="17"/>
        <v>14.477537555703281</v>
      </c>
      <c r="Q69" s="10">
        <f t="shared" si="8"/>
        <v>49.889560485564161</v>
      </c>
      <c r="R69" s="9"/>
      <c r="S69" s="73">
        <f t="shared" si="9"/>
        <v>76.253904888755471</v>
      </c>
      <c r="T69" s="73">
        <f t="shared" si="10"/>
        <v>32.640534921770168</v>
      </c>
      <c r="U69" s="73">
        <f t="shared" si="11"/>
        <v>54.44721990526282</v>
      </c>
      <c r="V69" s="1">
        <f t="shared" si="12"/>
        <v>0.52845413241954686</v>
      </c>
      <c r="W69" s="1">
        <f t="shared" si="13"/>
        <v>-0.3457441876800077</v>
      </c>
      <c r="X69" s="1">
        <f t="shared" si="14"/>
        <v>9.1354972369769527E-2</v>
      </c>
      <c r="Y69" s="6"/>
      <c r="Z69" s="2"/>
      <c r="AA69" s="2"/>
      <c r="AB69" s="2"/>
    </row>
    <row r="70" spans="6:28">
      <c r="F70" s="5">
        <f t="shared" si="5"/>
        <v>4.3401530110663717</v>
      </c>
      <c r="G70" s="4">
        <f t="shared" si="18"/>
        <v>13214.28693960702</v>
      </c>
      <c r="H70" s="3">
        <f t="shared" si="19"/>
        <v>3044.6592334218835</v>
      </c>
      <c r="I70">
        <f t="shared" si="20"/>
        <v>40233000.74376072</v>
      </c>
      <c r="J70" s="6"/>
      <c r="K70" s="6"/>
      <c r="L70" s="6"/>
      <c r="M70" s="82">
        <f t="shared" si="7"/>
        <v>1.654768074542504</v>
      </c>
      <c r="N70" s="66">
        <f t="shared" si="2"/>
        <v>4.3401530110663717</v>
      </c>
      <c r="O70" s="8">
        <f t="shared" si="16"/>
        <v>64.117069607359255</v>
      </c>
      <c r="P70" s="130">
        <f t="shared" si="17"/>
        <v>14.772997505819673</v>
      </c>
      <c r="Q70" s="10">
        <f t="shared" si="8"/>
        <v>48.891769275852873</v>
      </c>
      <c r="R70" s="9"/>
      <c r="S70" s="73">
        <f t="shared" si="9"/>
        <v>76.253904888755471</v>
      </c>
      <c r="T70" s="73">
        <f t="shared" si="10"/>
        <v>31.347969738868066</v>
      </c>
      <c r="U70" s="73">
        <f t="shared" si="11"/>
        <v>53.800937313811779</v>
      </c>
      <c r="V70" s="1">
        <f t="shared" si="12"/>
        <v>0.55964707389749679</v>
      </c>
      <c r="W70" s="1">
        <f t="shared" si="13"/>
        <v>-0.35882930392640755</v>
      </c>
      <c r="X70" s="1">
        <f t="shared" si="14"/>
        <v>0.1004088849855449</v>
      </c>
      <c r="Y70" s="6"/>
      <c r="Z70" s="2"/>
      <c r="AA70" s="2"/>
      <c r="AB70" s="2"/>
    </row>
    <row r="71" spans="6:28">
      <c r="F71" s="5">
        <f t="shared" si="5"/>
        <v>4.168282951828143</v>
      </c>
      <c r="G71" s="4">
        <f t="shared" si="18"/>
        <v>12950.001200814879</v>
      </c>
      <c r="H71" s="3">
        <f t="shared" si="19"/>
        <v>3106.7951361447795</v>
      </c>
      <c r="I71">
        <f t="shared" si="20"/>
        <v>40233000.74376072</v>
      </c>
      <c r="J71" s="6"/>
      <c r="K71" s="6"/>
      <c r="L71" s="6"/>
      <c r="M71" s="82">
        <f t="shared" si="7"/>
        <v>1.5892392587906208</v>
      </c>
      <c r="N71" s="68">
        <f t="shared" si="2"/>
        <v>4.168282951828143</v>
      </c>
      <c r="O71" s="28">
        <f t="shared" si="16"/>
        <v>62.834728215212067</v>
      </c>
      <c r="P71" s="132">
        <f t="shared" si="17"/>
        <v>15.074487250836402</v>
      </c>
      <c r="Q71" s="10">
        <f t="shared" si="8"/>
        <v>47.913933890335812</v>
      </c>
      <c r="R71" s="9"/>
      <c r="S71" s="73">
        <f t="shared" si="9"/>
        <v>76.253904888755471</v>
      </c>
      <c r="T71" s="73">
        <f t="shared" si="10"/>
        <v>30.106590137208887</v>
      </c>
      <c r="U71" s="73">
        <f t="shared" si="11"/>
        <v>53.180247512982177</v>
      </c>
      <c r="V71" s="1">
        <f t="shared" si="12"/>
        <v>0.59147660601785401</v>
      </c>
      <c r="W71" s="1">
        <f t="shared" si="13"/>
        <v>-0.37165271784787945</v>
      </c>
      <c r="X71" s="1">
        <f t="shared" si="14"/>
        <v>0.10991194408498717</v>
      </c>
      <c r="Y71" s="6"/>
      <c r="Z71" s="2"/>
      <c r="AA71" s="2"/>
      <c r="AB71" s="2"/>
    </row>
    <row r="72" spans="6:28">
      <c r="F72" s="5">
        <f t="shared" si="5"/>
        <v>4.0032189469357489</v>
      </c>
      <c r="G72" s="4">
        <f t="shared" si="18"/>
        <v>12691.001176798582</v>
      </c>
      <c r="H72" s="3">
        <f t="shared" si="19"/>
        <v>3170.199118515081</v>
      </c>
      <c r="I72">
        <f t="shared" si="20"/>
        <v>40233000.74376072</v>
      </c>
      <c r="J72" s="6"/>
      <c r="K72" s="6"/>
      <c r="L72" s="6"/>
      <c r="M72" s="82">
        <f t="shared" si="7"/>
        <v>1.5263053841425123</v>
      </c>
      <c r="N72" s="68">
        <f t="shared" ref="N72:N100" si="21">F72</f>
        <v>4.0032189469357489</v>
      </c>
      <c r="O72" s="28">
        <f t="shared" si="16"/>
        <v>61.578033650907827</v>
      </c>
      <c r="P72" s="132">
        <f t="shared" si="17"/>
        <v>15.382129847792246</v>
      </c>
      <c r="Q72" s="10">
        <f t="shared" si="8"/>
        <v>46.955655212529095</v>
      </c>
      <c r="R72" s="9"/>
      <c r="S72" s="73">
        <f t="shared" si="9"/>
        <v>76.253904888755471</v>
      </c>
      <c r="T72" s="73">
        <f t="shared" si="10"/>
        <v>28.914369167775416</v>
      </c>
      <c r="U72" s="73">
        <f t="shared" si="11"/>
        <v>52.584137028265452</v>
      </c>
      <c r="V72" s="1">
        <f t="shared" si="12"/>
        <v>0.6239557204263817</v>
      </c>
      <c r="W72" s="1">
        <f t="shared" si="13"/>
        <v>-0.38421966349092185</v>
      </c>
      <c r="X72" s="1">
        <f t="shared" si="14"/>
        <v>0.11986802846773004</v>
      </c>
      <c r="Y72" s="6"/>
      <c r="Z72" s="2"/>
      <c r="AA72" s="2"/>
      <c r="AB72" s="2"/>
    </row>
    <row r="73" spans="6:28">
      <c r="F73" s="5">
        <f t="shared" ref="F73:F136" si="22">G73/H73</f>
        <v>3.8446914766370925</v>
      </c>
      <c r="G73" s="4">
        <f t="shared" si="18"/>
        <v>12437.181153262609</v>
      </c>
      <c r="H73" s="3">
        <f t="shared" si="19"/>
        <v>3234.8970597092666</v>
      </c>
      <c r="I73">
        <f t="shared" si="20"/>
        <v>40233000.74376072</v>
      </c>
      <c r="J73" s="6"/>
      <c r="K73" s="6"/>
      <c r="L73" s="6"/>
      <c r="M73" s="82">
        <f t="shared" ref="M73:M100" si="23">N73*$K$5</f>
        <v>1.4658636909304685</v>
      </c>
      <c r="N73" s="68">
        <f t="shared" si="21"/>
        <v>3.8446914766370925</v>
      </c>
      <c r="O73" s="28">
        <f t="shared" si="16"/>
        <v>60.346472977889668</v>
      </c>
      <c r="P73" s="132">
        <f t="shared" si="17"/>
        <v>15.696050865094131</v>
      </c>
      <c r="Q73" s="10">
        <f t="shared" ref="Q73:Q100" si="24">(O73+P73*N73)*$K$5</f>
        <v>46.016542108278514</v>
      </c>
      <c r="R73" s="9"/>
      <c r="S73" s="73">
        <f t="shared" ref="S73:S100" si="25">$Q$48</f>
        <v>76.253904888755471</v>
      </c>
      <c r="T73" s="73">
        <f t="shared" ref="T73:T100" si="26">$P$48*2*N73*$K$5</f>
        <v>27.769360148731504</v>
      </c>
      <c r="U73" s="73">
        <f t="shared" ref="U73:U100" si="27">($O$48+N73*$P$48)*$K$5</f>
        <v>52.01163251874349</v>
      </c>
      <c r="V73" s="1">
        <f t="shared" ref="V73:V100" si="28">S73/$Q73-1</f>
        <v>0.65709767390447116</v>
      </c>
      <c r="W73" s="1">
        <f t="shared" ref="W73:W100" si="29">T73/$Q73-1</f>
        <v>-0.39653527022110358</v>
      </c>
      <c r="X73" s="1">
        <f t="shared" ref="X73:X100" si="30">U73/$Q73-1</f>
        <v>0.1302812018416839</v>
      </c>
      <c r="Y73" s="6"/>
      <c r="Z73" s="2"/>
      <c r="AA73" s="2"/>
      <c r="AB73" s="2"/>
    </row>
    <row r="74" spans="6:28">
      <c r="F74" s="5">
        <f t="shared" si="22"/>
        <v>3.6924416941622629</v>
      </c>
      <c r="G74" s="4">
        <f t="shared" si="18"/>
        <v>12188.437530197356</v>
      </c>
      <c r="H74" s="3">
        <f t="shared" si="19"/>
        <v>3300.9153670502724</v>
      </c>
      <c r="I74">
        <f t="shared" si="20"/>
        <v>40233000.74376072</v>
      </c>
      <c r="J74" s="6"/>
      <c r="K74" s="6"/>
      <c r="L74" s="6"/>
      <c r="M74" s="82">
        <f t="shared" si="23"/>
        <v>1.4078154887696217</v>
      </c>
      <c r="N74" s="68">
        <f t="shared" si="21"/>
        <v>3.6924416941622629</v>
      </c>
      <c r="O74" s="28">
        <f t="shared" si="16"/>
        <v>59.13954351833187</v>
      </c>
      <c r="P74" s="132">
        <f t="shared" si="17"/>
        <v>16.016378433769525</v>
      </c>
      <c r="Q74" s="10">
        <f t="shared" si="24"/>
        <v>45.096211266112945</v>
      </c>
      <c r="R74" s="9"/>
      <c r="S74" s="73">
        <f t="shared" si="25"/>
        <v>76.253904888755471</v>
      </c>
      <c r="T74" s="73">
        <f t="shared" si="26"/>
        <v>26.66969348684173</v>
      </c>
      <c r="U74" s="73">
        <f t="shared" si="27"/>
        <v>51.461799187798597</v>
      </c>
      <c r="V74" s="1">
        <f t="shared" si="28"/>
        <v>0.6909159937800724</v>
      </c>
      <c r="W74" s="1">
        <f t="shared" si="29"/>
        <v>-0.40860456481668161</v>
      </c>
      <c r="X74" s="1">
        <f t="shared" si="30"/>
        <v>0.14115571448169528</v>
      </c>
      <c r="Y74" s="6"/>
      <c r="Z74" s="2"/>
      <c r="AA74" s="2"/>
      <c r="AB74" s="2"/>
    </row>
    <row r="75" spans="6:28">
      <c r="F75" s="5">
        <f t="shared" si="22"/>
        <v>3.5462210030734371</v>
      </c>
      <c r="G75" s="4">
        <f t="shared" si="18"/>
        <v>11944.668779593409</v>
      </c>
      <c r="H75" s="3">
        <f t="shared" si="19"/>
        <v>3368.2809867859924</v>
      </c>
      <c r="I75">
        <f t="shared" si="20"/>
        <v>40233000.74376072</v>
      </c>
      <c r="J75" s="6"/>
      <c r="K75" s="6"/>
      <c r="L75" s="6"/>
      <c r="M75" s="82">
        <f t="shared" si="23"/>
        <v>1.3520659954143446</v>
      </c>
      <c r="N75" s="68">
        <f t="shared" si="21"/>
        <v>3.5462210030734371</v>
      </c>
      <c r="O75" s="28">
        <f t="shared" si="16"/>
        <v>57.956752647965232</v>
      </c>
      <c r="P75" s="132">
        <f t="shared" si="17"/>
        <v>16.343243299764822</v>
      </c>
      <c r="Q75" s="10">
        <f t="shared" si="24"/>
        <v>44.194287040790677</v>
      </c>
      <c r="R75" s="9"/>
      <c r="S75" s="73">
        <f t="shared" si="25"/>
        <v>76.253904888755471</v>
      </c>
      <c r="T75" s="73">
        <f t="shared" si="26"/>
        <v>25.613573624762797</v>
      </c>
      <c r="U75" s="73">
        <f t="shared" si="27"/>
        <v>50.933739256759139</v>
      </c>
      <c r="V75" s="1">
        <f t="shared" si="28"/>
        <v>0.72542448344905397</v>
      </c>
      <c r="W75" s="1">
        <f t="shared" si="29"/>
        <v>-0.42043247352034785</v>
      </c>
      <c r="X75" s="1">
        <f t="shared" si="30"/>
        <v>0.15249600496435312</v>
      </c>
      <c r="Y75" s="6"/>
      <c r="Z75" s="2"/>
      <c r="AA75" s="2"/>
      <c r="AB75" s="2"/>
    </row>
    <row r="76" spans="6:28">
      <c r="F76" s="5">
        <f t="shared" si="22"/>
        <v>3.4057906513517291</v>
      </c>
      <c r="G76" s="4">
        <f t="shared" si="18"/>
        <v>11705.775404001541</v>
      </c>
      <c r="H76" s="3">
        <f t="shared" si="19"/>
        <v>3437.0214150877473</v>
      </c>
      <c r="I76">
        <f t="shared" si="20"/>
        <v>40233000.74376072</v>
      </c>
      <c r="J76" s="6"/>
      <c r="K76" s="6"/>
      <c r="L76" s="6"/>
      <c r="M76" s="82">
        <f t="shared" si="23"/>
        <v>1.2985241819959366</v>
      </c>
      <c r="N76" s="68">
        <f t="shared" si="21"/>
        <v>3.4057906513517291</v>
      </c>
      <c r="O76" s="28">
        <f t="shared" si="16"/>
        <v>56.797617595005924</v>
      </c>
      <c r="P76" s="132">
        <f t="shared" si="17"/>
        <v>16.67677887731104</v>
      </c>
      <c r="Q76" s="10">
        <f t="shared" si="24"/>
        <v>43.310401299974863</v>
      </c>
      <c r="R76" s="9"/>
      <c r="S76" s="73">
        <f t="shared" si="25"/>
        <v>76.253904888755471</v>
      </c>
      <c r="T76" s="73">
        <f t="shared" si="26"/>
        <v>24.599276109222192</v>
      </c>
      <c r="U76" s="73">
        <f t="shared" si="27"/>
        <v>50.42659049898883</v>
      </c>
      <c r="V76" s="1">
        <f t="shared" si="28"/>
        <v>0.76063722800923861</v>
      </c>
      <c r="W76" s="1">
        <f t="shared" si="29"/>
        <v>-0.43202382404994089</v>
      </c>
      <c r="X76" s="1">
        <f t="shared" si="30"/>
        <v>0.16430670197964892</v>
      </c>
      <c r="Y76" s="6"/>
      <c r="Z76" s="2"/>
      <c r="AA76" s="2"/>
      <c r="AB76" s="2"/>
    </row>
    <row r="77" spans="6:28">
      <c r="F77" s="5">
        <f t="shared" si="22"/>
        <v>3.2709213415582008</v>
      </c>
      <c r="G77" s="4">
        <f t="shared" si="18"/>
        <v>11471.65989592151</v>
      </c>
      <c r="H77" s="3">
        <f t="shared" si="19"/>
        <v>3507.1647092732114</v>
      </c>
      <c r="I77">
        <f t="shared" si="20"/>
        <v>40233000.74376072</v>
      </c>
      <c r="J77" s="6"/>
      <c r="K77" s="6"/>
      <c r="L77" s="6"/>
      <c r="M77" s="82">
        <f t="shared" si="23"/>
        <v>1.2471026243888976</v>
      </c>
      <c r="N77" s="68">
        <f t="shared" si="21"/>
        <v>3.2709213415582008</v>
      </c>
      <c r="O77" s="28">
        <f t="shared" si="16"/>
        <v>55.661665243105809</v>
      </c>
      <c r="P77" s="132">
        <f t="shared" si="17"/>
        <v>17.017121303378612</v>
      </c>
      <c r="Q77" s="10">
        <f t="shared" si="24"/>
        <v>42.444193273975365</v>
      </c>
      <c r="R77" s="9"/>
      <c r="S77" s="73">
        <f t="shared" si="25"/>
        <v>76.253904888755471</v>
      </c>
      <c r="T77" s="73">
        <f t="shared" si="26"/>
        <v>23.625144775296995</v>
      </c>
      <c r="U77" s="73">
        <f t="shared" si="27"/>
        <v>49.93952483202623</v>
      </c>
      <c r="V77" s="1">
        <f t="shared" si="28"/>
        <v>0.7965686000094272</v>
      </c>
      <c r="W77" s="1">
        <f t="shared" si="29"/>
        <v>-0.44338334756894204</v>
      </c>
      <c r="X77" s="1">
        <f t="shared" si="30"/>
        <v>0.17659262622024263</v>
      </c>
      <c r="Y77" s="6"/>
      <c r="Z77" s="2"/>
      <c r="AA77" s="2"/>
      <c r="AB77" s="2"/>
    </row>
    <row r="78" spans="6:28">
      <c r="F78" s="5">
        <f t="shared" si="22"/>
        <v>3.1413928564324967</v>
      </c>
      <c r="G78" s="4">
        <f t="shared" si="18"/>
        <v>11242.22669800308</v>
      </c>
      <c r="H78" s="3">
        <f t="shared" si="19"/>
        <v>3578.7394992583786</v>
      </c>
      <c r="I78">
        <f t="shared" si="20"/>
        <v>40233000.74376072</v>
      </c>
      <c r="J78" s="6"/>
      <c r="K78" s="6"/>
      <c r="L78" s="6"/>
      <c r="M78" s="82">
        <f t="shared" si="23"/>
        <v>1.1977173604630975</v>
      </c>
      <c r="N78" s="68">
        <f t="shared" si="21"/>
        <v>3.1413928564324967</v>
      </c>
      <c r="O78" s="28">
        <f t="shared" si="16"/>
        <v>54.548431938243695</v>
      </c>
      <c r="P78" s="132">
        <f t="shared" si="17"/>
        <v>17.364409493243478</v>
      </c>
      <c r="Q78" s="10">
        <f t="shared" si="24"/>
        <v>41.595309408495865</v>
      </c>
      <c r="R78" s="9"/>
      <c r="S78" s="73">
        <f t="shared" si="25"/>
        <v>76.253904888755471</v>
      </c>
      <c r="T78" s="73">
        <f t="shared" si="26"/>
        <v>22.689589042195237</v>
      </c>
      <c r="U78" s="73">
        <f t="shared" si="27"/>
        <v>49.471746965475361</v>
      </c>
      <c r="V78" s="1">
        <f t="shared" si="28"/>
        <v>0.83323326531574171</v>
      </c>
      <c r="W78" s="1">
        <f t="shared" si="29"/>
        <v>-0.4545156806175632</v>
      </c>
      <c r="X78" s="1">
        <f t="shared" si="30"/>
        <v>0.18935879234908959</v>
      </c>
      <c r="Y78" s="6"/>
      <c r="Z78" s="2"/>
      <c r="AA78" s="2"/>
      <c r="AB78" s="2"/>
    </row>
    <row r="79" spans="6:28">
      <c r="F79" s="5">
        <f t="shared" si="22"/>
        <v>3.0169936993177693</v>
      </c>
      <c r="G79" s="4">
        <f t="shared" si="18"/>
        <v>11017.382164043018</v>
      </c>
      <c r="H79" s="3">
        <f t="shared" si="19"/>
        <v>3651.7749992432437</v>
      </c>
      <c r="I79">
        <f t="shared" si="20"/>
        <v>40233000.74376072</v>
      </c>
      <c r="J79" s="6"/>
      <c r="K79" s="6"/>
      <c r="L79" s="6"/>
      <c r="M79" s="82">
        <f t="shared" si="23"/>
        <v>1.1502877529887585</v>
      </c>
      <c r="N79" s="68">
        <f t="shared" si="21"/>
        <v>3.0169936993177693</v>
      </c>
      <c r="O79" s="28">
        <f t="shared" si="16"/>
        <v>53.457463299478817</v>
      </c>
      <c r="P79" s="132">
        <f t="shared" si="17"/>
        <v>17.718785197187227</v>
      </c>
      <c r="Q79" s="10">
        <f t="shared" si="24"/>
        <v>40.763403220325941</v>
      </c>
      <c r="R79" s="9"/>
      <c r="S79" s="73">
        <f t="shared" si="25"/>
        <v>76.253904888755471</v>
      </c>
      <c r="T79" s="73">
        <f t="shared" si="26"/>
        <v>21.791081316124302</v>
      </c>
      <c r="U79" s="73">
        <f t="shared" si="27"/>
        <v>49.022493102439888</v>
      </c>
      <c r="V79" s="1">
        <f t="shared" si="28"/>
        <v>0.87064618909769598</v>
      </c>
      <c r="W79" s="1">
        <f t="shared" si="29"/>
        <v>-0.46542536700521198</v>
      </c>
      <c r="X79" s="1">
        <f t="shared" si="30"/>
        <v>0.20261041104624211</v>
      </c>
      <c r="Y79" s="6"/>
      <c r="Z79" s="2"/>
      <c r="AA79" s="2"/>
      <c r="AB79" s="2"/>
    </row>
    <row r="80" spans="6:28">
      <c r="F80" s="5">
        <f t="shared" si="22"/>
        <v>2.8975207488247854</v>
      </c>
      <c r="G80" s="4">
        <f t="shared" si="18"/>
        <v>10797.034520762158</v>
      </c>
      <c r="H80" s="3">
        <f t="shared" si="19"/>
        <v>3726.3010196359633</v>
      </c>
      <c r="I80">
        <f t="shared" si="20"/>
        <v>40233000.74376072</v>
      </c>
      <c r="J80" s="6"/>
      <c r="K80" s="6"/>
      <c r="L80" s="6"/>
      <c r="M80" s="82">
        <f t="shared" si="23"/>
        <v>1.1047363579704037</v>
      </c>
      <c r="N80" s="68">
        <f t="shared" si="21"/>
        <v>2.8975207488247854</v>
      </c>
      <c r="O80" s="28">
        <f t="shared" si="16"/>
        <v>52.388314033489245</v>
      </c>
      <c r="P80" s="132">
        <f t="shared" si="17"/>
        <v>18.080393058354314</v>
      </c>
      <c r="Q80" s="10">
        <f t="shared" si="24"/>
        <v>39.948135155919424</v>
      </c>
      <c r="R80" s="9"/>
      <c r="S80" s="73">
        <f t="shared" si="25"/>
        <v>76.253904888755471</v>
      </c>
      <c r="T80" s="73">
        <f t="shared" si="26"/>
        <v>20.928154496005778</v>
      </c>
      <c r="U80" s="73">
        <f t="shared" si="27"/>
        <v>48.59102969238063</v>
      </c>
      <c r="V80" s="1">
        <f t="shared" si="28"/>
        <v>0.90882264193642448</v>
      </c>
      <c r="W80" s="1">
        <f t="shared" si="29"/>
        <v>-0.47611685966510775</v>
      </c>
      <c r="X80" s="1">
        <f t="shared" si="30"/>
        <v>0.21635289113565848</v>
      </c>
      <c r="Y80" s="6"/>
      <c r="Z80" s="2"/>
      <c r="AA80" s="2"/>
      <c r="AB80" s="2"/>
    </row>
    <row r="81" spans="6:28">
      <c r="F81" s="5">
        <f t="shared" si="22"/>
        <v>2.7827789271713237</v>
      </c>
      <c r="G81" s="4">
        <f t="shared" si="18"/>
        <v>10581.093830346914</v>
      </c>
      <c r="H81" s="3">
        <f t="shared" si="19"/>
        <v>3802.3479792203707</v>
      </c>
      <c r="I81">
        <f t="shared" si="20"/>
        <v>40233000.74376072</v>
      </c>
      <c r="J81" s="6"/>
      <c r="K81" s="6"/>
      <c r="L81" s="6"/>
      <c r="M81" s="82">
        <f t="shared" si="23"/>
        <v>1.0609887981947757</v>
      </c>
      <c r="N81" s="68">
        <f t="shared" si="21"/>
        <v>2.7827789271713237</v>
      </c>
      <c r="O81" s="28">
        <f t="shared" si="16"/>
        <v>51.340547752819454</v>
      </c>
      <c r="P81" s="132">
        <f t="shared" si="17"/>
        <v>18.449380671790117</v>
      </c>
      <c r="Q81" s="10">
        <f t="shared" si="24"/>
        <v>39.149172452801032</v>
      </c>
      <c r="R81" s="9"/>
      <c r="S81" s="73">
        <f t="shared" si="25"/>
        <v>76.253904888755471</v>
      </c>
      <c r="T81" s="73">
        <f t="shared" si="26"/>
        <v>20.099399577963947</v>
      </c>
      <c r="U81" s="73">
        <f t="shared" si="27"/>
        <v>48.176652233359711</v>
      </c>
      <c r="V81" s="1">
        <f t="shared" si="28"/>
        <v>0.94777820605757612</v>
      </c>
      <c r="W81" s="1">
        <f t="shared" si="29"/>
        <v>-0.48659452247180557</v>
      </c>
      <c r="X81" s="1">
        <f t="shared" si="30"/>
        <v>0.23059184179288539</v>
      </c>
      <c r="Y81" s="6"/>
      <c r="Z81" s="2"/>
      <c r="AA81" s="2"/>
      <c r="AB81" s="2"/>
    </row>
    <row r="82" spans="6:28">
      <c r="F82" s="5">
        <f t="shared" si="22"/>
        <v>2.6725808816553394</v>
      </c>
      <c r="G82" s="4">
        <f t="shared" si="18"/>
        <v>10369.471953739976</v>
      </c>
      <c r="H82" s="3">
        <f t="shared" si="19"/>
        <v>3879.9469175718068</v>
      </c>
      <c r="I82">
        <f t="shared" si="20"/>
        <v>40233000.74376072</v>
      </c>
      <c r="J82" s="6"/>
      <c r="K82" s="6"/>
      <c r="L82" s="6"/>
      <c r="M82" s="82">
        <f t="shared" si="23"/>
        <v>1.0189736417862625</v>
      </c>
      <c r="N82" s="68">
        <f t="shared" si="21"/>
        <v>2.6725808816553394</v>
      </c>
      <c r="O82" s="28">
        <f t="shared" si="16"/>
        <v>50.31373679776307</v>
      </c>
      <c r="P82" s="132">
        <f t="shared" si="17"/>
        <v>18.825898644683793</v>
      </c>
      <c r="Q82" s="10">
        <f t="shared" si="24"/>
        <v>38.366189003745014</v>
      </c>
      <c r="R82" s="9"/>
      <c r="S82" s="73">
        <f t="shared" si="25"/>
        <v>76.253904888755471</v>
      </c>
      <c r="T82" s="73">
        <f t="shared" si="26"/>
        <v>19.303463354676577</v>
      </c>
      <c r="U82" s="73">
        <f t="shared" si="27"/>
        <v>47.778684121716026</v>
      </c>
      <c r="V82" s="1">
        <f t="shared" si="28"/>
        <v>0.98752878169140401</v>
      </c>
      <c r="W82" s="1">
        <f t="shared" si="29"/>
        <v>-0.49686263202236947</v>
      </c>
      <c r="X82" s="1">
        <f t="shared" si="30"/>
        <v>0.24533307483451727</v>
      </c>
      <c r="Y82" s="6"/>
      <c r="Z82" s="2"/>
      <c r="AA82" s="2"/>
      <c r="AB82" s="2"/>
    </row>
    <row r="83" spans="6:28">
      <c r="F83" s="5">
        <f t="shared" si="22"/>
        <v>2.5667466787417883</v>
      </c>
      <c r="G83" s="4">
        <f t="shared" si="18"/>
        <v>10162.082514665177</v>
      </c>
      <c r="H83" s="3">
        <f t="shared" si="19"/>
        <v>3959.129507726333</v>
      </c>
      <c r="I83">
        <f t="shared" si="20"/>
        <v>40233000.74376072</v>
      </c>
      <c r="J83" s="6"/>
      <c r="K83" s="6"/>
      <c r="L83" s="6"/>
      <c r="M83" s="82">
        <f t="shared" si="23"/>
        <v>0.97862228557152664</v>
      </c>
      <c r="N83" s="68">
        <f t="shared" si="21"/>
        <v>2.5667466787417883</v>
      </c>
      <c r="O83" s="28">
        <f t="shared" si="16"/>
        <v>49.307462061807811</v>
      </c>
      <c r="P83" s="132">
        <f t="shared" si="17"/>
        <v>19.210100657840602</v>
      </c>
      <c r="Q83" s="10">
        <f t="shared" si="24"/>
        <v>37.598865223670117</v>
      </c>
      <c r="R83" s="9"/>
      <c r="S83" s="73">
        <f t="shared" si="25"/>
        <v>76.253904888755471</v>
      </c>
      <c r="T83" s="73">
        <f t="shared" si="26"/>
        <v>18.539046205831387</v>
      </c>
      <c r="U83" s="73">
        <f t="shared" si="27"/>
        <v>47.396475547293434</v>
      </c>
      <c r="V83" s="1">
        <f t="shared" si="28"/>
        <v>1.028090593562657</v>
      </c>
      <c r="W83" s="1">
        <f t="shared" si="29"/>
        <v>-0.50692537938192206</v>
      </c>
      <c r="X83" s="1">
        <f t="shared" si="30"/>
        <v>0.26058260709036762</v>
      </c>
      <c r="Y83" s="6"/>
      <c r="Z83" s="2"/>
      <c r="AA83" s="2"/>
      <c r="AB83" s="2"/>
    </row>
    <row r="84" spans="6:28">
      <c r="F84" s="5">
        <f t="shared" si="22"/>
        <v>2.4651035102636136</v>
      </c>
      <c r="G84" s="4">
        <f t="shared" si="18"/>
        <v>9958.840864371874</v>
      </c>
      <c r="H84" s="3">
        <f t="shared" si="19"/>
        <v>4039.9280691085032</v>
      </c>
      <c r="I84">
        <f t="shared" si="20"/>
        <v>40233000.74376072</v>
      </c>
      <c r="J84" s="6"/>
      <c r="K84" s="6"/>
      <c r="L84" s="6"/>
      <c r="M84" s="82">
        <f t="shared" si="23"/>
        <v>0.9398688430628942</v>
      </c>
      <c r="N84" s="68">
        <f t="shared" si="21"/>
        <v>2.4651035102636136</v>
      </c>
      <c r="O84" s="28">
        <f t="shared" si="16"/>
        <v>48.321312820571656</v>
      </c>
      <c r="P84" s="132">
        <f t="shared" si="17"/>
        <v>19.602143528408778</v>
      </c>
      <c r="Q84" s="10">
        <f t="shared" si="24"/>
        <v>36.846887919196718</v>
      </c>
      <c r="R84" s="9"/>
      <c r="S84" s="73">
        <f t="shared" si="25"/>
        <v>76.253904888755471</v>
      </c>
      <c r="T84" s="73">
        <f t="shared" si="26"/>
        <v>17.804899976080463</v>
      </c>
      <c r="U84" s="73">
        <f t="shared" si="27"/>
        <v>47.029402432417974</v>
      </c>
      <c r="V84" s="1">
        <f t="shared" si="28"/>
        <v>1.0694801975129153</v>
      </c>
      <c r="W84" s="1">
        <f t="shared" si="29"/>
        <v>-0.51678687179428362</v>
      </c>
      <c r="X84" s="1">
        <f t="shared" si="30"/>
        <v>0.27634666285931586</v>
      </c>
      <c r="Y84" s="6"/>
      <c r="Z84" s="2"/>
      <c r="AA84" s="2"/>
      <c r="AB84" s="2"/>
    </row>
    <row r="85" spans="6:28">
      <c r="F85" s="5">
        <f t="shared" si="22"/>
        <v>2.3674854112571744</v>
      </c>
      <c r="G85" s="4">
        <f t="shared" si="18"/>
        <v>9759.6640470844359</v>
      </c>
      <c r="H85" s="3">
        <f t="shared" si="19"/>
        <v>4122.3755807229627</v>
      </c>
      <c r="I85">
        <f t="shared" si="20"/>
        <v>40233000.74376072</v>
      </c>
      <c r="J85" s="6"/>
      <c r="K85" s="6"/>
      <c r="L85" s="6"/>
      <c r="M85" s="82">
        <f t="shared" si="23"/>
        <v>0.90265003687760359</v>
      </c>
      <c r="N85" s="68">
        <f t="shared" si="21"/>
        <v>2.3674854112571744</v>
      </c>
      <c r="O85" s="28">
        <f t="shared" si="16"/>
        <v>47.354886564160218</v>
      </c>
      <c r="P85" s="132">
        <f t="shared" si="17"/>
        <v>20.002187273886509</v>
      </c>
      <c r="Q85" s="10">
        <f t="shared" si="24"/>
        <v>36.109950160812787</v>
      </c>
      <c r="R85" s="9"/>
      <c r="S85" s="73">
        <f t="shared" si="25"/>
        <v>76.253904888755471</v>
      </c>
      <c r="T85" s="73">
        <f t="shared" si="26"/>
        <v>17.099825937027678</v>
      </c>
      <c r="U85" s="73">
        <f t="shared" si="27"/>
        <v>46.67686541289158</v>
      </c>
      <c r="V85" s="1">
        <f t="shared" si="28"/>
        <v>1.1117144872580766</v>
      </c>
      <c r="W85" s="1">
        <f t="shared" si="29"/>
        <v>-0.52645113435839797</v>
      </c>
      <c r="X85" s="1">
        <f t="shared" si="30"/>
        <v>0.29263167644983934</v>
      </c>
      <c r="Y85" s="6"/>
      <c r="Z85" s="2"/>
      <c r="AA85" s="2"/>
      <c r="AB85" s="2"/>
    </row>
    <row r="86" spans="6:28">
      <c r="F86" s="5">
        <f t="shared" si="22"/>
        <v>2.27373298897139</v>
      </c>
      <c r="G86" s="4">
        <f t="shared" si="18"/>
        <v>9564.4707661427474</v>
      </c>
      <c r="H86" s="3">
        <f t="shared" si="19"/>
        <v>4206.5056946152681</v>
      </c>
      <c r="I86">
        <f t="shared" si="20"/>
        <v>40233000.74376072</v>
      </c>
      <c r="J86" s="6"/>
      <c r="K86" s="6"/>
      <c r="L86" s="6"/>
      <c r="M86" s="82">
        <f t="shared" si="23"/>
        <v>0.86690509541725036</v>
      </c>
      <c r="N86" s="68">
        <f t="shared" si="21"/>
        <v>2.27373298897139</v>
      </c>
      <c r="O86" s="28">
        <f t="shared" si="16"/>
        <v>46.407788832877017</v>
      </c>
      <c r="P86" s="132">
        <f t="shared" si="17"/>
        <v>20.410395177435216</v>
      </c>
      <c r="Q86" s="10">
        <f t="shared" si="24"/>
        <v>35.387751157596526</v>
      </c>
      <c r="R86" s="9"/>
      <c r="S86" s="73">
        <f t="shared" si="25"/>
        <v>76.253904888755471</v>
      </c>
      <c r="T86" s="73">
        <f t="shared" si="26"/>
        <v>16.422672829921382</v>
      </c>
      <c r="U86" s="73">
        <f t="shared" si="27"/>
        <v>46.338288859338427</v>
      </c>
      <c r="V86" s="1">
        <f t="shared" si="28"/>
        <v>1.1548107012837519</v>
      </c>
      <c r="W86" s="1">
        <f t="shared" si="29"/>
        <v>-0.53592211167123005</v>
      </c>
      <c r="X86" s="1">
        <f t="shared" si="30"/>
        <v>0.30944429480626101</v>
      </c>
      <c r="Y86" s="6"/>
      <c r="Z86" s="2"/>
      <c r="AA86" s="2"/>
      <c r="AB86" s="2"/>
    </row>
    <row r="87" spans="6:28">
      <c r="F87" s="5">
        <f t="shared" si="22"/>
        <v>2.1836931626081229</v>
      </c>
      <c r="G87" s="4">
        <f t="shared" si="18"/>
        <v>9373.181350819892</v>
      </c>
      <c r="H87" s="3">
        <f t="shared" si="19"/>
        <v>4292.3527496074166</v>
      </c>
      <c r="I87">
        <f t="shared" si="20"/>
        <v>40233000.74376072</v>
      </c>
      <c r="J87" s="6"/>
      <c r="K87" s="6"/>
      <c r="L87" s="6"/>
      <c r="M87" s="82">
        <f t="shared" si="23"/>
        <v>0.83257565363872721</v>
      </c>
      <c r="N87" s="68">
        <f t="shared" si="21"/>
        <v>2.1836931626081229</v>
      </c>
      <c r="O87" s="28">
        <f t="shared" si="16"/>
        <v>45.479633056219477</v>
      </c>
      <c r="P87" s="132">
        <f t="shared" si="17"/>
        <v>20.826933854525731</v>
      </c>
      <c r="Q87" s="10">
        <f t="shared" si="24"/>
        <v>34.679996134444593</v>
      </c>
      <c r="R87" s="9"/>
      <c r="S87" s="73">
        <f t="shared" si="25"/>
        <v>76.253904888755471</v>
      </c>
      <c r="T87" s="73">
        <f t="shared" si="26"/>
        <v>15.772334985856492</v>
      </c>
      <c r="U87" s="73">
        <f t="shared" si="27"/>
        <v>46.01311993730598</v>
      </c>
      <c r="V87" s="1">
        <f t="shared" si="28"/>
        <v>1.1987864298813795</v>
      </c>
      <c r="W87" s="1">
        <f t="shared" si="29"/>
        <v>-0.54520366943780552</v>
      </c>
      <c r="X87" s="1">
        <f t="shared" si="30"/>
        <v>0.326791380221787</v>
      </c>
      <c r="Y87" s="6"/>
      <c r="Z87" s="2"/>
      <c r="AA87" s="2"/>
      <c r="AB87" s="2"/>
    </row>
    <row r="88" spans="6:28">
      <c r="F88" s="5">
        <f t="shared" si="22"/>
        <v>2.0972189133688417</v>
      </c>
      <c r="G88" s="4">
        <f t="shared" si="18"/>
        <v>9185.7177238034947</v>
      </c>
      <c r="H88" s="3">
        <f t="shared" si="19"/>
        <v>4379.9517853136895</v>
      </c>
      <c r="I88">
        <f t="shared" si="20"/>
        <v>40233000.74376072</v>
      </c>
      <c r="J88" s="6"/>
      <c r="K88" s="6"/>
      <c r="L88" s="6"/>
      <c r="M88" s="82">
        <f t="shared" si="23"/>
        <v>0.79960565775463377</v>
      </c>
      <c r="N88" s="68">
        <f t="shared" si="21"/>
        <v>2.0972189133688417</v>
      </c>
      <c r="O88" s="28">
        <f t="shared" si="16"/>
        <v>44.570040395095084</v>
      </c>
      <c r="P88" s="132">
        <f t="shared" si="17"/>
        <v>21.251973320944618</v>
      </c>
      <c r="Q88" s="10">
        <f t="shared" si="24"/>
        <v>33.986396211755704</v>
      </c>
      <c r="R88" s="9"/>
      <c r="S88" s="73">
        <f t="shared" si="25"/>
        <v>76.253904888755471</v>
      </c>
      <c r="T88" s="73">
        <f t="shared" si="26"/>
        <v>15.147750520416579</v>
      </c>
      <c r="U88" s="73">
        <f t="shared" si="27"/>
        <v>45.700827704586025</v>
      </c>
      <c r="V88" s="1">
        <f t="shared" si="28"/>
        <v>1.2436596223279381</v>
      </c>
      <c r="W88" s="1">
        <f t="shared" si="29"/>
        <v>-0.55429959604904933</v>
      </c>
      <c r="X88" s="1">
        <f t="shared" si="30"/>
        <v>0.34468001313944452</v>
      </c>
      <c r="Y88" s="6"/>
      <c r="Z88" s="2"/>
      <c r="AA88" s="2"/>
      <c r="AB88" s="2"/>
    </row>
    <row r="89" spans="6:28">
      <c r="F89" s="5">
        <f t="shared" si="22"/>
        <v>2.0141690443994356</v>
      </c>
      <c r="G89" s="4">
        <f t="shared" si="18"/>
        <v>9002.0033693274254</v>
      </c>
      <c r="H89" s="3">
        <f t="shared" si="19"/>
        <v>4469.3385564425407</v>
      </c>
      <c r="I89">
        <f t="shared" si="20"/>
        <v>40233000.74376072</v>
      </c>
      <c r="J89" s="6"/>
      <c r="K89" s="6"/>
      <c r="L89" s="6"/>
      <c r="M89" s="82">
        <f t="shared" si="23"/>
        <v>0.76794127370755028</v>
      </c>
      <c r="N89" s="68">
        <f t="shared" si="21"/>
        <v>2.0141690443994356</v>
      </c>
      <c r="O89" s="28">
        <f t="shared" si="16"/>
        <v>43.678639587193189</v>
      </c>
      <c r="P89" s="132">
        <f t="shared" si="17"/>
        <v>21.685687062188389</v>
      </c>
      <c r="Q89" s="10">
        <f t="shared" si="24"/>
        <v>33.306668287520594</v>
      </c>
      <c r="R89" s="9"/>
      <c r="S89" s="73">
        <f t="shared" si="25"/>
        <v>76.253904888755471</v>
      </c>
      <c r="T89" s="73">
        <f t="shared" si="26"/>
        <v>14.547899599808083</v>
      </c>
      <c r="U89" s="73">
        <f t="shared" si="27"/>
        <v>45.400902244281781</v>
      </c>
      <c r="V89" s="1">
        <f t="shared" si="28"/>
        <v>1.2894485942121814</v>
      </c>
      <c r="W89" s="1">
        <f t="shared" si="29"/>
        <v>-0.56321360412806831</v>
      </c>
      <c r="X89" s="1">
        <f t="shared" si="30"/>
        <v>0.36311749504205681</v>
      </c>
      <c r="Y89" s="6"/>
      <c r="Z89" s="2"/>
      <c r="AA89" s="2"/>
      <c r="AB89" s="2"/>
    </row>
    <row r="90" spans="6:28">
      <c r="F90" s="5">
        <f t="shared" si="22"/>
        <v>1.9344079502412186</v>
      </c>
      <c r="G90" s="4">
        <f t="shared" si="18"/>
        <v>8821.9633019408775</v>
      </c>
      <c r="H90" s="3">
        <f t="shared" si="19"/>
        <v>4560.5495473903466</v>
      </c>
      <c r="I90">
        <f t="shared" si="20"/>
        <v>40233000.74376072</v>
      </c>
      <c r="J90" s="6"/>
      <c r="K90" s="6"/>
      <c r="L90" s="6"/>
      <c r="M90" s="82">
        <f t="shared" si="23"/>
        <v>0.73753079926873155</v>
      </c>
      <c r="N90" s="68">
        <f t="shared" si="21"/>
        <v>1.9344079502412186</v>
      </c>
      <c r="O90" s="28">
        <f t="shared" si="16"/>
        <v>42.805066795449328</v>
      </c>
      <c r="P90" s="132">
        <f t="shared" si="17"/>
        <v>22.128252104273859</v>
      </c>
      <c r="Q90" s="10">
        <f t="shared" si="24"/>
        <v>32.640534921770183</v>
      </c>
      <c r="R90" s="9"/>
      <c r="S90" s="73">
        <f t="shared" si="25"/>
        <v>76.253904888755471</v>
      </c>
      <c r="T90" s="73">
        <f t="shared" si="26"/>
        <v>13.971802775655686</v>
      </c>
      <c r="U90" s="73">
        <f t="shared" si="27"/>
        <v>45.11285383220558</v>
      </c>
      <c r="V90" s="1">
        <f t="shared" si="28"/>
        <v>1.3361720349103892</v>
      </c>
      <c r="W90" s="1">
        <f t="shared" si="29"/>
        <v>-0.57194933204550691</v>
      </c>
      <c r="X90" s="1">
        <f t="shared" si="30"/>
        <v>0.38211135143244124</v>
      </c>
      <c r="Y90" s="6"/>
      <c r="Z90" s="2"/>
      <c r="AA90" s="2"/>
      <c r="AB90" s="2"/>
    </row>
    <row r="91" spans="6:28">
      <c r="F91" s="5">
        <f t="shared" si="22"/>
        <v>1.8578053954116658</v>
      </c>
      <c r="G91" s="4">
        <f t="shared" si="18"/>
        <v>8645.524035902059</v>
      </c>
      <c r="H91" s="3">
        <f t="shared" si="19"/>
        <v>4653.6219871330077</v>
      </c>
      <c r="I91">
        <f t="shared" si="20"/>
        <v>40233000.74376072</v>
      </c>
      <c r="J91" s="6"/>
      <c r="K91" s="6"/>
      <c r="L91" s="6"/>
      <c r="M91" s="82">
        <f t="shared" si="23"/>
        <v>0.70832457961768958</v>
      </c>
      <c r="N91" s="68">
        <f t="shared" si="21"/>
        <v>1.8578053954116658</v>
      </c>
      <c r="O91" s="28">
        <f t="shared" si="16"/>
        <v>41.948965459540332</v>
      </c>
      <c r="P91" s="132">
        <f t="shared" si="17"/>
        <v>22.579849085993736</v>
      </c>
      <c r="Q91" s="10">
        <f t="shared" si="24"/>
        <v>31.987724223334769</v>
      </c>
      <c r="R91" s="9"/>
      <c r="S91" s="73">
        <f t="shared" si="25"/>
        <v>76.253904888755471</v>
      </c>
      <c r="T91" s="73">
        <f t="shared" si="26"/>
        <v>13.418519385739717</v>
      </c>
      <c r="U91" s="73">
        <f t="shared" si="27"/>
        <v>44.836212137247593</v>
      </c>
      <c r="V91" s="1">
        <f t="shared" si="28"/>
        <v>1.3838490152146838</v>
      </c>
      <c r="W91" s="1">
        <f t="shared" si="29"/>
        <v>-0.58051034540459678</v>
      </c>
      <c r="X91" s="1">
        <f t="shared" si="30"/>
        <v>0.40166933490504331</v>
      </c>
      <c r="Y91" s="6"/>
      <c r="Z91" s="2"/>
      <c r="AA91" s="2"/>
      <c r="AB91" s="2"/>
    </row>
    <row r="92" spans="6:28">
      <c r="F92" s="5">
        <f t="shared" si="22"/>
        <v>1.7842363017533638</v>
      </c>
      <c r="G92" s="4">
        <f t="shared" si="18"/>
        <v>8472.613555184018</v>
      </c>
      <c r="H92" s="3">
        <f t="shared" si="19"/>
        <v>4748.5938644214366</v>
      </c>
      <c r="I92">
        <f t="shared" si="20"/>
        <v>40233000.74376072</v>
      </c>
      <c r="J92" s="6"/>
      <c r="K92" s="6"/>
      <c r="L92" s="6"/>
      <c r="M92" s="82">
        <f t="shared" si="23"/>
        <v>0.68027492626482911</v>
      </c>
      <c r="N92" s="68">
        <f t="shared" si="21"/>
        <v>1.7842363017533638</v>
      </c>
      <c r="O92" s="28">
        <f t="shared" si="16"/>
        <v>41.109986150349528</v>
      </c>
      <c r="P92" s="132">
        <f t="shared" si="17"/>
        <v>23.040662332646672</v>
      </c>
      <c r="Q92" s="10">
        <f t="shared" si="24"/>
        <v>31.347969738868077</v>
      </c>
      <c r="R92" s="9"/>
      <c r="S92" s="73">
        <f t="shared" si="25"/>
        <v>76.253904888755471</v>
      </c>
      <c r="T92" s="73">
        <f t="shared" si="26"/>
        <v>12.887146018064424</v>
      </c>
      <c r="U92" s="73">
        <f t="shared" si="27"/>
        <v>44.57052545340995</v>
      </c>
      <c r="V92" s="1">
        <f t="shared" si="28"/>
        <v>1.4324989951170237</v>
      </c>
      <c r="W92" s="1">
        <f t="shared" si="29"/>
        <v>-0.5889001384965048</v>
      </c>
      <c r="X92" s="1">
        <f t="shared" si="30"/>
        <v>0.42179942831025952</v>
      </c>
      <c r="Y92" s="6"/>
      <c r="Z92" s="2"/>
      <c r="AA92" s="2"/>
      <c r="AB92" s="2"/>
    </row>
    <row r="93" spans="6:28">
      <c r="F93" s="5">
        <f t="shared" si="22"/>
        <v>1.7135805442039305</v>
      </c>
      <c r="G93" s="4">
        <f t="shared" si="18"/>
        <v>8303.1612840803373</v>
      </c>
      <c r="H93" s="3">
        <f t="shared" si="19"/>
        <v>4845.5039432871799</v>
      </c>
      <c r="I93">
        <f t="shared" si="20"/>
        <v>40233000.74376072</v>
      </c>
      <c r="J93" s="6"/>
      <c r="K93" s="6"/>
      <c r="L93" s="6"/>
      <c r="M93" s="82">
        <f t="shared" si="23"/>
        <v>0.65333603918474181</v>
      </c>
      <c r="N93" s="68">
        <f t="shared" si="21"/>
        <v>1.7135805442039305</v>
      </c>
      <c r="O93" s="28">
        <f t="shared" si="16"/>
        <v>40.287786427342539</v>
      </c>
      <c r="P93" s="132">
        <f t="shared" si="17"/>
        <v>23.510879931272115</v>
      </c>
      <c r="Q93" s="10">
        <f t="shared" si="24"/>
        <v>30.721010344090718</v>
      </c>
      <c r="R93" s="9"/>
      <c r="S93" s="73">
        <f t="shared" si="25"/>
        <v>76.253904888755471</v>
      </c>
      <c r="T93" s="73">
        <f t="shared" si="26"/>
        <v>12.376815035749074</v>
      </c>
      <c r="U93" s="73">
        <f t="shared" si="27"/>
        <v>44.315359962252273</v>
      </c>
      <c r="V93" s="1">
        <f t="shared" si="28"/>
        <v>1.4821418317520649</v>
      </c>
      <c r="W93" s="1">
        <f t="shared" si="29"/>
        <v>-0.5971221357265748</v>
      </c>
      <c r="X93" s="1">
        <f t="shared" si="30"/>
        <v>0.44250984801274518</v>
      </c>
      <c r="Y93" s="6"/>
      <c r="Z93" s="2"/>
      <c r="AA93" s="2"/>
      <c r="AB93" s="2"/>
    </row>
    <row r="94" spans="6:28">
      <c r="F94" s="5">
        <f t="shared" si="22"/>
        <v>1.6457227546534547</v>
      </c>
      <c r="G94" s="4">
        <f t="shared" si="18"/>
        <v>8137.0980583987302</v>
      </c>
      <c r="H94" s="3">
        <f t="shared" si="19"/>
        <v>4944.3917788644694</v>
      </c>
      <c r="I94">
        <f t="shared" si="20"/>
        <v>40233000.74376072</v>
      </c>
      <c r="J94" s="6"/>
      <c r="K94" s="6"/>
      <c r="L94" s="6"/>
      <c r="M94" s="82">
        <f t="shared" si="23"/>
        <v>0.62746393203302597</v>
      </c>
      <c r="N94" s="68">
        <f t="shared" si="21"/>
        <v>1.6457227546534547</v>
      </c>
      <c r="O94" s="28">
        <f t="shared" si="16"/>
        <v>39.482030698795683</v>
      </c>
      <c r="P94" s="132">
        <f t="shared" si="17"/>
        <v>23.990693807420524</v>
      </c>
      <c r="Q94" s="10">
        <f t="shared" si="24"/>
        <v>30.106590137208897</v>
      </c>
      <c r="R94" s="9"/>
      <c r="S94" s="73">
        <f t="shared" si="25"/>
        <v>76.253904888755471</v>
      </c>
      <c r="T94" s="73">
        <f t="shared" si="26"/>
        <v>11.88669316033341</v>
      </c>
      <c r="U94" s="73">
        <f t="shared" si="27"/>
        <v>44.07029902454444</v>
      </c>
      <c r="V94" s="1">
        <f t="shared" si="28"/>
        <v>1.5327977875021075</v>
      </c>
      <c r="W94" s="1">
        <f t="shared" si="29"/>
        <v>-0.60517969301204322</v>
      </c>
      <c r="X94" s="1">
        <f t="shared" si="30"/>
        <v>0.46380904724503225</v>
      </c>
      <c r="Y94" s="6"/>
      <c r="Z94" s="2"/>
      <c r="AA94" s="2"/>
      <c r="AB94" s="2"/>
    </row>
    <row r="95" spans="6:28">
      <c r="F95" s="5">
        <f t="shared" si="22"/>
        <v>1.5805521335691781</v>
      </c>
      <c r="G95" s="4">
        <f t="shared" si="18"/>
        <v>7974.3560972307559</v>
      </c>
      <c r="H95" s="3">
        <f t="shared" si="19"/>
        <v>5045.2977335351725</v>
      </c>
      <c r="I95">
        <f t="shared" si="20"/>
        <v>40233000.74376072</v>
      </c>
      <c r="J95" s="6"/>
      <c r="K95" s="6"/>
      <c r="L95" s="6"/>
      <c r="M95" s="82">
        <f t="shared" si="23"/>
        <v>0.60261636032451826</v>
      </c>
      <c r="N95" s="68">
        <f t="shared" si="21"/>
        <v>1.5805521335691781</v>
      </c>
      <c r="O95" s="28">
        <f t="shared" si="16"/>
        <v>38.69239008481977</v>
      </c>
      <c r="P95" s="132">
        <f t="shared" si="17"/>
        <v>24.480299803490329</v>
      </c>
      <c r="Q95" s="10">
        <f t="shared" si="24"/>
        <v>29.504458334464722</v>
      </c>
      <c r="R95" s="9"/>
      <c r="S95" s="73">
        <f t="shared" si="25"/>
        <v>76.253904888755471</v>
      </c>
      <c r="T95" s="73">
        <f t="shared" si="26"/>
        <v>11.415980111184208</v>
      </c>
      <c r="U95" s="73">
        <f t="shared" si="27"/>
        <v>43.834942499969841</v>
      </c>
      <c r="V95" s="1">
        <f t="shared" si="28"/>
        <v>1.5844875382674566</v>
      </c>
      <c r="W95" s="1">
        <f t="shared" si="29"/>
        <v>-0.61307609915180228</v>
      </c>
      <c r="X95" s="1">
        <f t="shared" si="30"/>
        <v>0.48570571955782715</v>
      </c>
      <c r="Y95" s="6"/>
      <c r="Z95" s="2"/>
      <c r="AA95" s="2"/>
      <c r="AB95" s="2"/>
    </row>
    <row r="96" spans="6:28">
      <c r="F96" s="5">
        <f t="shared" si="22"/>
        <v>1.5179622690798387</v>
      </c>
      <c r="G96" s="4">
        <f t="shared" si="18"/>
        <v>7814.868975286141</v>
      </c>
      <c r="H96" s="3">
        <f t="shared" si="19"/>
        <v>5148.2629934032375</v>
      </c>
      <c r="I96">
        <f t="shared" si="20"/>
        <v>40233000.74376072</v>
      </c>
      <c r="J96" s="6"/>
      <c r="K96" s="6"/>
      <c r="L96" s="6"/>
      <c r="M96" s="82">
        <f t="shared" si="23"/>
        <v>0.57875275245566726</v>
      </c>
      <c r="N96" s="68">
        <f t="shared" si="21"/>
        <v>1.5179622690798387</v>
      </c>
      <c r="O96" s="28">
        <f t="shared" si="16"/>
        <v>37.918542283123379</v>
      </c>
      <c r="P96" s="132">
        <f t="shared" si="17"/>
        <v>24.979897758663604</v>
      </c>
      <c r="Q96" s="10">
        <f t="shared" si="24"/>
        <v>28.91436916777543</v>
      </c>
      <c r="R96" s="9"/>
      <c r="S96" s="73">
        <f t="shared" si="25"/>
        <v>76.253904888755471</v>
      </c>
      <c r="T96" s="73">
        <f t="shared" si="26"/>
        <v>10.963907298781312</v>
      </c>
      <c r="U96" s="73">
        <f t="shared" si="27"/>
        <v>43.608906093768397</v>
      </c>
      <c r="V96" s="1">
        <f t="shared" si="28"/>
        <v>1.6372321819055675</v>
      </c>
      <c r="W96" s="1">
        <f t="shared" si="29"/>
        <v>-0.62081457716876631</v>
      </c>
      <c r="X96" s="1">
        <f t="shared" si="30"/>
        <v>0.50820880236840082</v>
      </c>
      <c r="Y96" s="6"/>
      <c r="Z96" s="2"/>
      <c r="AA96" s="2"/>
      <c r="AB96" s="2"/>
    </row>
    <row r="97" spans="6:28">
      <c r="F97" s="5">
        <f t="shared" si="22"/>
        <v>1.4578509632242769</v>
      </c>
      <c r="G97" s="4">
        <f t="shared" si="18"/>
        <v>7658.5715957804177</v>
      </c>
      <c r="H97" s="3">
        <f t="shared" si="19"/>
        <v>5253.3295851053444</v>
      </c>
      <c r="I97">
        <f t="shared" si="20"/>
        <v>40233000.74376072</v>
      </c>
      <c r="J97" s="6"/>
      <c r="K97" s="6"/>
      <c r="L97" s="6"/>
      <c r="M97" s="82">
        <f t="shared" si="23"/>
        <v>0.55583414345842286</v>
      </c>
      <c r="N97" s="68">
        <f t="shared" si="21"/>
        <v>1.4578509632242769</v>
      </c>
      <c r="O97" s="28">
        <f t="shared" si="16"/>
        <v>37.16017143746091</v>
      </c>
      <c r="P97" s="132">
        <f t="shared" si="17"/>
        <v>25.489691590473068</v>
      </c>
      <c r="Q97" s="10">
        <f t="shared" si="24"/>
        <v>28.336081784419921</v>
      </c>
      <c r="R97" s="9"/>
      <c r="S97" s="73">
        <f t="shared" si="25"/>
        <v>76.253904888755471</v>
      </c>
      <c r="T97" s="73">
        <f t="shared" si="26"/>
        <v>10.529736569749572</v>
      </c>
      <c r="U97" s="73">
        <f t="shared" si="27"/>
        <v>43.391820729252522</v>
      </c>
      <c r="V97" s="1">
        <f t="shared" si="28"/>
        <v>1.691053246842416</v>
      </c>
      <c r="W97" s="1">
        <f t="shared" si="29"/>
        <v>-0.62839828562539102</v>
      </c>
      <c r="X97" s="1">
        <f t="shared" si="30"/>
        <v>0.53132748060851265</v>
      </c>
      <c r="Y97" s="6"/>
      <c r="Z97" s="2"/>
      <c r="AA97" s="2"/>
      <c r="AB97" s="2"/>
    </row>
    <row r="98" spans="6:28">
      <c r="F98" s="5">
        <f t="shared" si="22"/>
        <v>1.4001200650805956</v>
      </c>
      <c r="G98" s="4">
        <f t="shared" si="18"/>
        <v>7505.4001638648097</v>
      </c>
      <c r="H98" s="3">
        <f t="shared" si="19"/>
        <v>5360.5403929646372</v>
      </c>
      <c r="I98">
        <f t="shared" si="20"/>
        <v>40233000.74376072</v>
      </c>
      <c r="J98" s="6"/>
      <c r="K98" s="6"/>
      <c r="L98" s="6"/>
      <c r="M98" s="82">
        <f t="shared" si="23"/>
        <v>0.53382311137746929</v>
      </c>
      <c r="N98" s="68">
        <f t="shared" si="21"/>
        <v>1.4001200650805956</v>
      </c>
      <c r="O98" s="28">
        <f t="shared" si="16"/>
        <v>36.416968008711692</v>
      </c>
      <c r="P98" s="132">
        <f t="shared" si="17"/>
        <v>26.009889378033741</v>
      </c>
      <c r="Q98" s="10">
        <f t="shared" si="24"/>
        <v>27.769360148731522</v>
      </c>
      <c r="R98" s="9"/>
      <c r="S98" s="73">
        <f t="shared" si="25"/>
        <v>76.253904888755471</v>
      </c>
      <c r="T98" s="73">
        <f t="shared" si="26"/>
        <v>10.11275900158749</v>
      </c>
      <c r="U98" s="73">
        <f t="shared" si="27"/>
        <v>43.183331945171481</v>
      </c>
      <c r="V98" s="1">
        <f t="shared" si="28"/>
        <v>1.7459727008596082</v>
      </c>
      <c r="W98" s="1">
        <f t="shared" si="29"/>
        <v>-0.63583031991288319</v>
      </c>
      <c r="X98" s="1">
        <f t="shared" si="30"/>
        <v>0.55507119047336251</v>
      </c>
      <c r="Y98" s="6"/>
      <c r="Z98" s="2"/>
      <c r="AA98" s="2"/>
      <c r="AB98" s="2"/>
    </row>
    <row r="99" spans="6:28">
      <c r="F99" s="5">
        <f t="shared" si="22"/>
        <v>1.3446753105034042</v>
      </c>
      <c r="G99" s="4">
        <f t="shared" si="18"/>
        <v>7355.2921605875135</v>
      </c>
      <c r="H99" s="3">
        <f t="shared" si="19"/>
        <v>5469.9391764945276</v>
      </c>
      <c r="I99">
        <f t="shared" si="20"/>
        <v>40233000.74376072</v>
      </c>
      <c r="J99" s="6"/>
      <c r="K99" s="6"/>
      <c r="L99" s="6"/>
      <c r="M99" s="82">
        <f t="shared" si="23"/>
        <v>0.51268371616692154</v>
      </c>
      <c r="N99" s="68">
        <f t="shared" si="21"/>
        <v>1.3446753105034042</v>
      </c>
      <c r="O99" s="28">
        <f t="shared" si="16"/>
        <v>35.68862864853746</v>
      </c>
      <c r="P99" s="132">
        <f t="shared" si="17"/>
        <v>26.5407034469732</v>
      </c>
      <c r="Q99" s="10">
        <f t="shared" si="24"/>
        <v>27.213972945756893</v>
      </c>
      <c r="R99" s="9"/>
      <c r="S99" s="73">
        <f t="shared" si="25"/>
        <v>76.253904888755471</v>
      </c>
      <c r="T99" s="73">
        <f t="shared" si="26"/>
        <v>9.7122937451246258</v>
      </c>
      <c r="U99" s="73">
        <f t="shared" si="27"/>
        <v>42.983099316940049</v>
      </c>
      <c r="V99" s="1">
        <f t="shared" si="28"/>
        <v>1.8020129600608246</v>
      </c>
      <c r="W99" s="1">
        <f t="shared" si="29"/>
        <v>-0.64311371351462543</v>
      </c>
      <c r="X99" s="1">
        <f t="shared" si="30"/>
        <v>0.57944962327309946</v>
      </c>
      <c r="Y99" s="6"/>
      <c r="Z99" s="2"/>
      <c r="AA99" s="2"/>
      <c r="AB99" s="2"/>
    </row>
    <row r="100" spans="6:28">
      <c r="F100" s="5">
        <f t="shared" si="22"/>
        <v>1.2914261682074692</v>
      </c>
      <c r="G100" s="4">
        <f t="shared" si="18"/>
        <v>7208.1863173757629</v>
      </c>
      <c r="H100" s="3">
        <f t="shared" si="19"/>
        <v>5581.5705882597222</v>
      </c>
      <c r="I100">
        <f t="shared" si="20"/>
        <v>40233000.74376072</v>
      </c>
      <c r="J100" s="6"/>
      <c r="K100" s="6"/>
      <c r="L100" s="6"/>
      <c r="M100" s="82">
        <f t="shared" si="23"/>
        <v>0.49238144100671144</v>
      </c>
      <c r="N100" s="68">
        <f t="shared" si="21"/>
        <v>1.2914261682074692</v>
      </c>
      <c r="O100" s="28">
        <f t="shared" si="16"/>
        <v>34.974856075566706</v>
      </c>
      <c r="P100" s="132">
        <f t="shared" si="17"/>
        <v>27.082350456095103</v>
      </c>
      <c r="Q100" s="10">
        <f t="shared" si="24"/>
        <v>26.669693486841751</v>
      </c>
      <c r="R100" s="9"/>
      <c r="S100" s="73">
        <f t="shared" si="25"/>
        <v>76.253904888755471</v>
      </c>
      <c r="T100" s="73">
        <f t="shared" si="26"/>
        <v>9.3276869128176898</v>
      </c>
      <c r="U100" s="73">
        <f t="shared" si="27"/>
        <v>42.790795900786584</v>
      </c>
      <c r="V100" s="1">
        <f t="shared" si="28"/>
        <v>1.8591968980212501</v>
      </c>
      <c r="W100" s="1">
        <f t="shared" si="29"/>
        <v>-0.65025143924433304</v>
      </c>
      <c r="X100" s="1">
        <f t="shared" si="30"/>
        <v>0.60447272938845864</v>
      </c>
      <c r="Y100" s="6"/>
      <c r="Z100" s="2"/>
      <c r="AA100" s="2"/>
      <c r="AB100" s="2"/>
    </row>
    <row r="101" spans="6:28">
      <c r="F101" s="5">
        <f t="shared" si="22"/>
        <v>1.2402856919464533</v>
      </c>
      <c r="G101" s="4">
        <f t="shared" si="18"/>
        <v>7064.0225910282479</v>
      </c>
      <c r="H101" s="3">
        <f t="shared" si="19"/>
        <v>5695.4801921017579</v>
      </c>
      <c r="I101">
        <f t="shared" si="20"/>
        <v>40233000.74376072</v>
      </c>
      <c r="J101" s="6"/>
      <c r="K101" s="6"/>
      <c r="L101" s="6"/>
      <c r="M101" s="6"/>
      <c r="N101" s="6"/>
      <c r="O101" s="6"/>
      <c r="P101" s="6"/>
      <c r="Q101" s="6"/>
      <c r="R101" s="6"/>
      <c r="X101" s="7"/>
      <c r="Z101" s="2"/>
      <c r="AA101" s="2"/>
      <c r="AB101" s="2"/>
    </row>
    <row r="102" spans="6:28">
      <c r="F102" s="5">
        <f t="shared" si="22"/>
        <v>1.191170378545374</v>
      </c>
      <c r="G102" s="4">
        <f t="shared" si="18"/>
        <v>6922.7421392076831</v>
      </c>
      <c r="H102" s="3">
        <f t="shared" si="19"/>
        <v>5811.714481736487</v>
      </c>
      <c r="I102">
        <f t="shared" si="20"/>
        <v>40233000.74376072</v>
      </c>
      <c r="J102" s="6"/>
      <c r="K102" s="6"/>
      <c r="L102" s="6"/>
      <c r="M102" s="6"/>
      <c r="N102" s="6"/>
      <c r="O102" s="6"/>
      <c r="P102" s="6"/>
      <c r="Q102" s="6"/>
      <c r="R102" s="6"/>
      <c r="X102" s="7"/>
      <c r="Z102" s="2"/>
      <c r="AA102" s="2"/>
      <c r="AB102" s="2"/>
    </row>
    <row r="103" spans="6:28">
      <c r="F103" s="5">
        <f t="shared" si="22"/>
        <v>1.1440000315549772</v>
      </c>
      <c r="G103" s="4">
        <f t="shared" si="18"/>
        <v>6784.2872964235294</v>
      </c>
      <c r="H103" s="3">
        <f t="shared" si="19"/>
        <v>5930.3208997311094</v>
      </c>
      <c r="I103">
        <f t="shared" si="20"/>
        <v>40233000.74376072</v>
      </c>
      <c r="J103" s="6"/>
      <c r="K103" s="6"/>
      <c r="L103" s="6"/>
      <c r="M103" s="6"/>
      <c r="N103" s="6"/>
      <c r="O103" s="6"/>
      <c r="P103" s="6"/>
      <c r="Q103" s="6"/>
      <c r="R103" s="6"/>
      <c r="X103" s="7"/>
      <c r="Z103" s="2"/>
      <c r="AA103" s="2"/>
      <c r="AB103" s="2"/>
    </row>
    <row r="104" spans="6:28">
      <c r="F104" s="5">
        <f t="shared" si="22"/>
        <v>1.0986976303053999</v>
      </c>
      <c r="G104" s="4">
        <f t="shared" si="18"/>
        <v>6648.6015504950583</v>
      </c>
      <c r="H104" s="3">
        <f t="shared" si="19"/>
        <v>6051.3478568684795</v>
      </c>
      <c r="I104">
        <f t="shared" si="20"/>
        <v>40233000.74376072</v>
      </c>
      <c r="J104" s="6"/>
      <c r="K104" s="6"/>
      <c r="L104" s="6"/>
      <c r="M104" s="6"/>
      <c r="N104" s="6"/>
      <c r="O104" s="6"/>
      <c r="P104" s="6"/>
      <c r="Q104" s="6"/>
      <c r="R104" s="6"/>
      <c r="X104" s="7"/>
      <c r="Z104" s="2"/>
      <c r="AA104" s="2"/>
      <c r="AB104" s="2"/>
    </row>
    <row r="105" spans="6:28">
      <c r="F105" s="5">
        <f t="shared" si="22"/>
        <v>1.0551892041453061</v>
      </c>
      <c r="G105" s="4">
        <f t="shared" si="18"/>
        <v>6515.6295194851573</v>
      </c>
      <c r="H105" s="3">
        <f t="shared" si="19"/>
        <v>6174.8447519066112</v>
      </c>
      <c r="I105">
        <f t="shared" si="20"/>
        <v>40233000.74376072</v>
      </c>
      <c r="J105" s="6"/>
      <c r="K105" s="6"/>
      <c r="L105" s="6"/>
      <c r="M105" s="6"/>
      <c r="N105" s="6"/>
      <c r="O105" s="6"/>
      <c r="P105" s="6"/>
      <c r="Q105" s="6"/>
      <c r="R105" s="6"/>
      <c r="X105" s="7"/>
      <c r="Z105" s="2"/>
      <c r="AA105" s="2"/>
      <c r="AB105" s="2"/>
    </row>
    <row r="106" spans="6:28">
      <c r="F106" s="5">
        <f t="shared" si="22"/>
        <v>1.0134037116611518</v>
      </c>
      <c r="G106" s="4">
        <f t="shared" si="18"/>
        <v>6385.3169290954538</v>
      </c>
      <c r="H106" s="3">
        <f t="shared" si="19"/>
        <v>6300.8619917414408</v>
      </c>
      <c r="I106">
        <f t="shared" si="20"/>
        <v>40233000.74376072</v>
      </c>
      <c r="J106" s="6"/>
      <c r="K106" s="6"/>
      <c r="L106" s="6"/>
      <c r="M106" s="6"/>
      <c r="N106" s="6"/>
      <c r="O106" s="6"/>
      <c r="P106" s="6"/>
      <c r="Q106" s="6"/>
      <c r="R106" s="6"/>
      <c r="X106" s="7"/>
      <c r="Z106" s="2"/>
      <c r="AA106" s="2"/>
      <c r="AB106" s="2"/>
    </row>
    <row r="107" spans="6:28">
      <c r="F107" s="5">
        <f t="shared" si="22"/>
        <v>0.97327292467937021</v>
      </c>
      <c r="G107" s="4">
        <f t="shared" si="18"/>
        <v>6257.6105905135446</v>
      </c>
      <c r="H107" s="3">
        <f t="shared" si="19"/>
        <v>6429.451011981062</v>
      </c>
      <c r="I107">
        <f t="shared" si="20"/>
        <v>40233000.74376072</v>
      </c>
      <c r="J107" s="6"/>
      <c r="K107" s="6"/>
      <c r="L107" s="6"/>
      <c r="M107" s="6"/>
      <c r="N107" s="6"/>
      <c r="O107" s="6"/>
      <c r="P107" s="6"/>
      <c r="Q107" s="6"/>
      <c r="R107" s="6"/>
      <c r="X107" s="7"/>
      <c r="Z107" s="2"/>
      <c r="AA107" s="2"/>
      <c r="AB107" s="2"/>
    </row>
    <row r="108" spans="6:28">
      <c r="F108" s="5">
        <f t="shared" si="22"/>
        <v>0.93473131686206701</v>
      </c>
      <c r="G108" s="4">
        <f t="shared" si="18"/>
        <v>6132.4583787032734</v>
      </c>
      <c r="H108" s="3">
        <f t="shared" si="19"/>
        <v>6560.6642979398594</v>
      </c>
      <c r="I108">
        <f t="shared" si="20"/>
        <v>40233000.74376072</v>
      </c>
      <c r="J108" s="6"/>
      <c r="K108" s="6"/>
      <c r="L108" s="6"/>
      <c r="M108" s="6"/>
      <c r="N108" s="6"/>
      <c r="O108" s="6"/>
      <c r="P108" s="6"/>
      <c r="Q108" s="6"/>
      <c r="R108" s="6"/>
      <c r="X108" s="7"/>
      <c r="Z108" s="2"/>
      <c r="AA108" s="2"/>
      <c r="AB108" s="2"/>
    </row>
    <row r="109" spans="6:28">
      <c r="F109" s="5">
        <f t="shared" si="22"/>
        <v>0.89771595671432924</v>
      </c>
      <c r="G109" s="4">
        <f t="shared" si="18"/>
        <v>6009.8092111292081</v>
      </c>
      <c r="H109" s="3">
        <f t="shared" si="19"/>
        <v>6694.5554060610812</v>
      </c>
      <c r="I109">
        <f t="shared" si="20"/>
        <v>40233000.74376072</v>
      </c>
      <c r="J109" s="6"/>
      <c r="K109" s="6"/>
      <c r="L109" s="6"/>
      <c r="M109" s="6"/>
      <c r="N109" s="6"/>
      <c r="O109" s="6"/>
      <c r="P109" s="6"/>
      <c r="Q109" s="6"/>
      <c r="R109" s="6"/>
      <c r="X109" s="7"/>
      <c r="Z109" s="2"/>
      <c r="AA109" s="2"/>
      <c r="AB109" s="2"/>
    </row>
    <row r="110" spans="6:28">
      <c r="F110" s="5">
        <f t="shared" si="22"/>
        <v>0.86216640482844165</v>
      </c>
      <c r="G110" s="4">
        <f t="shared" si="18"/>
        <v>5889.6130269066234</v>
      </c>
      <c r="H110" s="3">
        <f t="shared" si="19"/>
        <v>6831.1789857766134</v>
      </c>
      <c r="I110">
        <f t="shared" si="20"/>
        <v>40233000.74376072</v>
      </c>
      <c r="J110" s="6"/>
      <c r="K110" s="6"/>
      <c r="L110" s="6"/>
      <c r="M110" s="6"/>
      <c r="N110" s="6"/>
      <c r="O110" s="6"/>
      <c r="P110" s="6"/>
      <c r="Q110" s="6"/>
      <c r="R110" s="6"/>
      <c r="X110" s="7"/>
      <c r="Z110" s="2"/>
      <c r="AA110" s="2"/>
      <c r="AB110" s="2"/>
    </row>
    <row r="111" spans="6:28">
      <c r="F111" s="5">
        <f t="shared" si="22"/>
        <v>0.82802461519723536</v>
      </c>
      <c r="G111" s="4">
        <f t="shared" si="18"/>
        <v>5771.8207663684907</v>
      </c>
      <c r="H111" s="3">
        <f t="shared" si="19"/>
        <v>6970.5908018128712</v>
      </c>
      <c r="I111">
        <f t="shared" si="20"/>
        <v>40233000.74376072</v>
      </c>
      <c r="J111" s="6"/>
      <c r="K111" s="6"/>
      <c r="L111" s="6"/>
      <c r="M111" s="6"/>
      <c r="N111" s="6"/>
      <c r="O111" s="6"/>
      <c r="P111" s="6"/>
      <c r="Q111" s="6"/>
      <c r="R111" s="6"/>
      <c r="X111" s="7"/>
      <c r="Z111" s="2"/>
      <c r="AA111" s="2"/>
      <c r="AB111" s="2"/>
    </row>
    <row r="112" spans="6:28">
      <c r="F112" s="5">
        <f t="shared" si="22"/>
        <v>0.79523484043542469</v>
      </c>
      <c r="G112" s="4">
        <f t="shared" si="18"/>
        <v>5656.3843510411207</v>
      </c>
      <c r="H112" s="3">
        <f t="shared" si="19"/>
        <v>7112.84775695191</v>
      </c>
      <c r="I112">
        <f t="shared" si="20"/>
        <v>40233000.74376072</v>
      </c>
      <c r="J112" s="6"/>
      <c r="K112" s="6"/>
      <c r="L112" s="6"/>
      <c r="M112" s="6"/>
      <c r="N112" s="6"/>
      <c r="O112" s="6"/>
      <c r="P112" s="6"/>
      <c r="Q112" s="6"/>
      <c r="R112" s="6"/>
      <c r="X112" s="7"/>
      <c r="Z112" s="2"/>
      <c r="AA112" s="2"/>
      <c r="AB112" s="2"/>
    </row>
    <row r="113" spans="6:28">
      <c r="F113" s="5">
        <f t="shared" si="22"/>
        <v>0.76374354075418194</v>
      </c>
      <c r="G113" s="4">
        <f t="shared" si="18"/>
        <v>5543.2566640202986</v>
      </c>
      <c r="H113" s="3">
        <f t="shared" si="19"/>
        <v>7258.0079152570506</v>
      </c>
      <c r="I113">
        <f t="shared" si="20"/>
        <v>40233000.74376072</v>
      </c>
      <c r="J113" s="6"/>
      <c r="K113" s="6"/>
      <c r="L113" s="6"/>
      <c r="M113" s="6"/>
      <c r="N113" s="6"/>
      <c r="O113" s="6"/>
      <c r="P113" s="6"/>
      <c r="Q113" s="6"/>
      <c r="R113" s="6"/>
      <c r="X113" s="7"/>
      <c r="Z113" s="2"/>
      <c r="AA113" s="2"/>
      <c r="AB113" s="2"/>
    </row>
    <row r="114" spans="6:28">
      <c r="F114" s="5">
        <f t="shared" si="22"/>
        <v>0.73349929654031654</v>
      </c>
      <c r="G114" s="4">
        <f t="shared" ref="G114:G177" si="31">G113*(1-$O$1)</f>
        <v>5432.3915307398929</v>
      </c>
      <c r="H114" s="3">
        <f t="shared" ref="H114:H177" si="32">I114/G114</f>
        <v>7406.1305257724998</v>
      </c>
      <c r="I114">
        <f t="shared" ref="I114:I177" si="33">I113</f>
        <v>40233000.74376072</v>
      </c>
      <c r="J114" s="6"/>
      <c r="K114" s="6"/>
      <c r="L114" s="6"/>
      <c r="M114" s="6"/>
      <c r="N114" s="6"/>
      <c r="O114" s="6"/>
      <c r="P114" s="6"/>
      <c r="Q114" s="6"/>
      <c r="R114" s="6"/>
      <c r="X114" s="7"/>
      <c r="Z114" s="2"/>
      <c r="AA114" s="2"/>
      <c r="AB114" s="2"/>
    </row>
    <row r="115" spans="6:28">
      <c r="F115" s="5">
        <f t="shared" si="22"/>
        <v>0.70445272439731976</v>
      </c>
      <c r="G115" s="4">
        <f t="shared" si="31"/>
        <v>5323.7437001250946</v>
      </c>
      <c r="H115" s="3">
        <f t="shared" si="32"/>
        <v>7557.2760467066337</v>
      </c>
      <c r="I115">
        <f t="shared" si="33"/>
        <v>40233000.74376072</v>
      </c>
      <c r="J115" s="6"/>
      <c r="K115" s="6"/>
      <c r="L115" s="6"/>
      <c r="M115" s="6"/>
      <c r="N115" s="6"/>
      <c r="O115" s="6"/>
      <c r="P115" s="6"/>
      <c r="Q115" s="6"/>
      <c r="R115" s="6"/>
      <c r="X115" s="7"/>
      <c r="Z115" s="2"/>
      <c r="AA115" s="2"/>
      <c r="AB115" s="2"/>
    </row>
    <row r="116" spans="6:28">
      <c r="F116" s="5">
        <f t="shared" si="22"/>
        <v>0.67655639651118604</v>
      </c>
      <c r="G116" s="4">
        <f t="shared" si="31"/>
        <v>5217.2688261225931</v>
      </c>
      <c r="H116" s="3">
        <f t="shared" si="32"/>
        <v>7711.5061701088089</v>
      </c>
      <c r="I116">
        <f t="shared" si="33"/>
        <v>40233000.74376072</v>
      </c>
      <c r="J116" s="6"/>
      <c r="K116" s="6"/>
      <c r="L116" s="6"/>
      <c r="M116" s="6"/>
      <c r="N116" s="6"/>
      <c r="O116" s="6"/>
      <c r="P116" s="6"/>
      <c r="Q116" s="6"/>
      <c r="R116" s="6"/>
      <c r="X116" s="7"/>
      <c r="Z116" s="2"/>
      <c r="AA116" s="2"/>
      <c r="AB116" s="2"/>
    </row>
    <row r="117" spans="6:28">
      <c r="F117" s="5">
        <f t="shared" si="22"/>
        <v>0.64976476320934295</v>
      </c>
      <c r="G117" s="4">
        <f t="shared" si="31"/>
        <v>5112.9234496001409</v>
      </c>
      <c r="H117" s="3">
        <f t="shared" si="32"/>
        <v>7868.8838470498058</v>
      </c>
      <c r="I117">
        <f t="shared" si="33"/>
        <v>40233000.74376072</v>
      </c>
      <c r="J117" s="6"/>
      <c r="K117" s="6"/>
      <c r="L117" s="6"/>
      <c r="M117" s="6"/>
      <c r="N117" s="6"/>
      <c r="O117" s="6"/>
      <c r="P117" s="6"/>
      <c r="Q117" s="6"/>
      <c r="R117" s="6"/>
      <c r="X117" s="7"/>
      <c r="Z117" s="2"/>
      <c r="AA117" s="2"/>
      <c r="AB117" s="2"/>
    </row>
    <row r="118" spans="6:28">
      <c r="F118" s="5">
        <f t="shared" si="22"/>
        <v>0.62403407858625293</v>
      </c>
      <c r="G118" s="4">
        <f t="shared" si="31"/>
        <v>5010.6649806081377</v>
      </c>
      <c r="H118" s="3">
        <f t="shared" si="32"/>
        <v>8029.473313316129</v>
      </c>
      <c r="I118">
        <f t="shared" si="33"/>
        <v>40233000.74376072</v>
      </c>
      <c r="J118" s="6"/>
      <c r="K118" s="6"/>
      <c r="L118" s="6"/>
      <c r="M118" s="6"/>
      <c r="N118" s="6"/>
      <c r="O118" s="6"/>
      <c r="P118" s="6"/>
      <c r="Q118" s="6"/>
      <c r="R118" s="6"/>
      <c r="X118" s="7"/>
      <c r="Z118" s="2"/>
      <c r="AA118" s="2"/>
      <c r="AB118" s="2"/>
    </row>
    <row r="119" spans="6:28">
      <c r="F119" s="5">
        <f t="shared" si="22"/>
        <v>0.59932232907423721</v>
      </c>
      <c r="G119" s="4">
        <f t="shared" si="31"/>
        <v>4910.451680995975</v>
      </c>
      <c r="H119" s="3">
        <f t="shared" si="32"/>
        <v>8193.3401156287036</v>
      </c>
      <c r="I119">
        <f t="shared" si="33"/>
        <v>40233000.74376072</v>
      </c>
      <c r="J119" s="6"/>
      <c r="K119" s="6"/>
      <c r="L119" s="6"/>
      <c r="M119" s="6"/>
      <c r="N119" s="6"/>
      <c r="O119" s="6"/>
      <c r="P119" s="6"/>
      <c r="Q119" s="6"/>
      <c r="R119" s="6"/>
      <c r="X119" s="7"/>
      <c r="Z119" s="2"/>
      <c r="AA119" s="2"/>
      <c r="AB119" s="2"/>
    </row>
    <row r="120" spans="6:28">
      <c r="F120" s="5">
        <f t="shared" si="22"/>
        <v>0.57558916484289735</v>
      </c>
      <c r="G120" s="4">
        <f t="shared" si="31"/>
        <v>4812.2426473760552</v>
      </c>
      <c r="H120" s="3">
        <f t="shared" si="32"/>
        <v>8360.5511383966368</v>
      </c>
      <c r="I120">
        <f t="shared" si="33"/>
        <v>40233000.74376072</v>
      </c>
      <c r="J120" s="6"/>
      <c r="K120" s="6"/>
      <c r="L120" s="6"/>
      <c r="M120" s="6"/>
      <c r="N120" s="6"/>
      <c r="O120" s="6"/>
      <c r="P120" s="6"/>
      <c r="Q120" s="6"/>
      <c r="R120" s="6"/>
      <c r="X120" s="7"/>
      <c r="Z120" s="2"/>
      <c r="AA120" s="2"/>
      <c r="AB120" s="2"/>
    </row>
    <row r="121" spans="6:28">
      <c r="F121" s="5">
        <f t="shared" si="22"/>
        <v>0.55279583391511855</v>
      </c>
      <c r="G121" s="4">
        <f t="shared" si="31"/>
        <v>4715.9977944285338</v>
      </c>
      <c r="H121" s="3">
        <f t="shared" si="32"/>
        <v>8531.1746310169765</v>
      </c>
      <c r="I121">
        <f t="shared" si="33"/>
        <v>40233000.74376072</v>
      </c>
      <c r="J121" s="6"/>
      <c r="K121" s="6"/>
      <c r="L121" s="6"/>
      <c r="M121" s="6"/>
      <c r="N121" s="6"/>
      <c r="O121" s="6"/>
      <c r="P121" s="6"/>
      <c r="Q121" s="6"/>
      <c r="R121" s="6"/>
      <c r="X121" s="7"/>
      <c r="Z121" s="2"/>
      <c r="AA121" s="2"/>
      <c r="AB121" s="2"/>
    </row>
    <row r="122" spans="6:28">
      <c r="F122" s="5">
        <f t="shared" si="22"/>
        <v>0.53090511889207992</v>
      </c>
      <c r="G122" s="4">
        <f t="shared" si="31"/>
        <v>4621.677838539963</v>
      </c>
      <c r="H122" s="3">
        <f t="shared" si="32"/>
        <v>8705.2802357316086</v>
      </c>
      <c r="I122">
        <f t="shared" si="33"/>
        <v>40233000.74376072</v>
      </c>
      <c r="J122" s="6"/>
      <c r="K122" s="6"/>
      <c r="L122" s="6"/>
      <c r="M122" s="6"/>
      <c r="N122" s="6"/>
      <c r="O122" s="6"/>
      <c r="P122" s="6"/>
      <c r="Q122" s="6"/>
      <c r="R122" s="6"/>
      <c r="X122" s="7"/>
      <c r="Z122" s="2"/>
      <c r="AA122" s="2"/>
      <c r="AB122" s="2"/>
    </row>
    <row r="123" spans="6:28">
      <c r="F123" s="5">
        <f t="shared" si="22"/>
        <v>0.50988127618395351</v>
      </c>
      <c r="G123" s="4">
        <f t="shared" si="31"/>
        <v>4529.2442817691635</v>
      </c>
      <c r="H123" s="3">
        <f t="shared" si="32"/>
        <v>8882.9390160526618</v>
      </c>
      <c r="I123">
        <f t="shared" si="33"/>
        <v>40233000.74376072</v>
      </c>
      <c r="J123" s="6"/>
      <c r="K123" s="6"/>
      <c r="L123" s="6"/>
      <c r="M123" s="6"/>
      <c r="N123" s="6"/>
      <c r="O123" s="6"/>
      <c r="P123" s="6"/>
      <c r="Q123" s="6"/>
      <c r="R123" s="6"/>
      <c r="X123" s="7"/>
      <c r="Z123" s="2"/>
      <c r="AA123" s="2"/>
      <c r="AB123" s="2"/>
    </row>
    <row r="124" spans="6:28">
      <c r="F124" s="5">
        <f t="shared" si="22"/>
        <v>0.4896899776470689</v>
      </c>
      <c r="G124" s="4">
        <f t="shared" si="31"/>
        <v>4438.6593961337803</v>
      </c>
      <c r="H124" s="3">
        <f t="shared" si="32"/>
        <v>9064.2234857680232</v>
      </c>
      <c r="I124">
        <f t="shared" si="33"/>
        <v>40233000.74376072</v>
      </c>
      <c r="J124" s="6"/>
      <c r="K124" s="6"/>
      <c r="L124" s="6"/>
      <c r="M124" s="6"/>
      <c r="N124" s="6"/>
      <c r="O124" s="6"/>
      <c r="P124" s="6"/>
      <c r="Q124" s="6"/>
      <c r="R124" s="6"/>
      <c r="X124" s="7"/>
      <c r="Z124" s="2"/>
      <c r="AA124" s="2"/>
      <c r="AB124" s="2"/>
    </row>
    <row r="125" spans="6:28">
      <c r="F125" s="5">
        <f t="shared" si="22"/>
        <v>0.47029825453224494</v>
      </c>
      <c r="G125" s="4">
        <f t="shared" si="31"/>
        <v>4349.8862082111045</v>
      </c>
      <c r="H125" s="3">
        <f t="shared" si="32"/>
        <v>9249.2076385387991</v>
      </c>
      <c r="I125">
        <f t="shared" si="33"/>
        <v>40233000.74376072</v>
      </c>
      <c r="J125" s="6"/>
      <c r="K125" s="6"/>
      <c r="L125" s="6"/>
      <c r="M125" s="6"/>
      <c r="N125" s="6"/>
      <c r="O125" s="6"/>
      <c r="P125" s="6"/>
      <c r="Q125" s="6"/>
      <c r="R125" s="6"/>
      <c r="X125" s="7"/>
      <c r="Z125" s="2"/>
      <c r="AA125" s="2"/>
      <c r="AB125" s="2"/>
    </row>
    <row r="126" spans="6:28">
      <c r="F126" s="5">
        <f t="shared" si="22"/>
        <v>0.45167444365276815</v>
      </c>
      <c r="G126" s="4">
        <f t="shared" si="31"/>
        <v>4262.8884840468827</v>
      </c>
      <c r="H126" s="3">
        <f t="shared" si="32"/>
        <v>9437.9669781008142</v>
      </c>
      <c r="I126">
        <f t="shared" si="33"/>
        <v>40233000.74376072</v>
      </c>
      <c r="J126" s="6"/>
      <c r="K126" s="6"/>
      <c r="L126" s="6"/>
      <c r="M126" s="6"/>
      <c r="N126" s="6"/>
      <c r="O126" s="6"/>
      <c r="P126" s="6"/>
      <c r="Q126" s="6"/>
      <c r="R126" s="6"/>
      <c r="X126" s="7"/>
      <c r="Z126" s="2"/>
      <c r="AA126" s="2"/>
      <c r="AB126" s="2"/>
    </row>
    <row r="127" spans="6:28">
      <c r="F127" s="5">
        <f t="shared" si="22"/>
        <v>0.4337881356841185</v>
      </c>
      <c r="G127" s="4">
        <f t="shared" si="31"/>
        <v>4177.6307143659451</v>
      </c>
      <c r="H127" s="3">
        <f t="shared" si="32"/>
        <v>9630.5785490824637</v>
      </c>
      <c r="I127">
        <f t="shared" si="33"/>
        <v>40233000.74376072</v>
      </c>
      <c r="J127" s="6"/>
      <c r="K127" s="6"/>
      <c r="L127" s="6"/>
      <c r="M127" s="6"/>
      <c r="N127" s="6"/>
      <c r="O127" s="6"/>
      <c r="P127" s="6"/>
      <c r="Q127" s="6"/>
      <c r="R127" s="6"/>
      <c r="X127" s="7"/>
      <c r="Z127" s="2"/>
      <c r="AA127" s="2"/>
      <c r="AB127" s="2"/>
    </row>
    <row r="128" spans="6:28">
      <c r="F128" s="5">
        <f t="shared" si="22"/>
        <v>0.41661012551102738</v>
      </c>
      <c r="G128" s="4">
        <f t="shared" si="31"/>
        <v>4094.078100078626</v>
      </c>
      <c r="H128" s="3">
        <f t="shared" si="32"/>
        <v>9827.1209684514943</v>
      </c>
      <c r="I128">
        <f t="shared" si="33"/>
        <v>40233000.74376072</v>
      </c>
      <c r="J128" s="6"/>
      <c r="K128" s="6"/>
      <c r="L128" s="6"/>
      <c r="M128" s="6"/>
      <c r="N128" s="6"/>
      <c r="O128" s="6"/>
      <c r="P128" s="6"/>
      <c r="Q128" s="6"/>
      <c r="R128" s="6"/>
      <c r="X128" s="7"/>
      <c r="Z128" s="2"/>
      <c r="AA128" s="2"/>
      <c r="AB128" s="2"/>
    </row>
    <row r="129" spans="6:28">
      <c r="F129" s="5">
        <f t="shared" si="22"/>
        <v>0.40011236454079069</v>
      </c>
      <c r="G129" s="4">
        <f t="shared" si="31"/>
        <v>4012.1965380770534</v>
      </c>
      <c r="H129" s="3">
        <f t="shared" si="32"/>
        <v>10027.674457603565</v>
      </c>
      <c r="I129">
        <f t="shared" si="33"/>
        <v>40233000.74376072</v>
      </c>
      <c r="J129" s="6"/>
      <c r="K129" s="6"/>
      <c r="L129" s="6"/>
      <c r="M129" s="6"/>
      <c r="N129" s="6"/>
      <c r="O129" s="6"/>
      <c r="P129" s="6"/>
      <c r="Q129" s="6"/>
      <c r="R129" s="6"/>
      <c r="X129" s="7"/>
      <c r="Z129" s="2"/>
      <c r="AA129" s="2"/>
      <c r="AB129" s="2"/>
    </row>
    <row r="130" spans="6:28">
      <c r="F130" s="5">
        <f t="shared" si="22"/>
        <v>0.38426791490497542</v>
      </c>
      <c r="G130" s="4">
        <f t="shared" si="31"/>
        <v>3931.9526073155125</v>
      </c>
      <c r="H130" s="3">
        <f t="shared" si="32"/>
        <v>10232.320875105679</v>
      </c>
      <c r="I130">
        <f t="shared" si="33"/>
        <v>40233000.74376072</v>
      </c>
      <c r="J130" s="6"/>
      <c r="K130" s="6"/>
      <c r="L130" s="6"/>
      <c r="M130" s="6"/>
      <c r="N130" s="6"/>
      <c r="O130" s="6"/>
      <c r="P130" s="6"/>
      <c r="Q130" s="6"/>
      <c r="R130" s="6"/>
      <c r="X130" s="7"/>
      <c r="Z130" s="2"/>
      <c r="AA130" s="2"/>
      <c r="AB130" s="2"/>
    </row>
    <row r="131" spans="6:28">
      <c r="F131" s="5">
        <f t="shared" si="22"/>
        <v>0.36905090547473834</v>
      </c>
      <c r="G131" s="4">
        <f t="shared" si="31"/>
        <v>3853.3135551692021</v>
      </c>
      <c r="H131" s="3">
        <f t="shared" si="32"/>
        <v>10441.143750107836</v>
      </c>
      <c r="I131">
        <f t="shared" si="33"/>
        <v>40233000.74376072</v>
      </c>
      <c r="J131" s="6"/>
      <c r="K131" s="6"/>
      <c r="L131" s="6"/>
      <c r="M131" s="6"/>
      <c r="N131" s="6"/>
      <c r="O131" s="6"/>
      <c r="P131" s="6"/>
      <c r="Q131" s="6"/>
      <c r="R131" s="6"/>
      <c r="X131" s="7"/>
      <c r="Z131" s="2"/>
      <c r="AA131" s="2"/>
      <c r="AB131" s="2"/>
    </row>
    <row r="132" spans="6:28">
      <c r="F132" s="5">
        <f t="shared" si="22"/>
        <v>0.35443648961793872</v>
      </c>
      <c r="G132" s="4">
        <f t="shared" si="31"/>
        <v>3776.2472840658179</v>
      </c>
      <c r="H132" s="3">
        <f t="shared" si="32"/>
        <v>10654.228316436567</v>
      </c>
      <c r="I132">
        <f t="shared" si="33"/>
        <v>40233000.74376072</v>
      </c>
      <c r="J132" s="6"/>
      <c r="K132" s="6"/>
      <c r="L132" s="6"/>
      <c r="M132" s="6"/>
      <c r="N132" s="6"/>
      <c r="O132" s="6"/>
      <c r="P132" s="6"/>
      <c r="Q132" s="6"/>
      <c r="R132" s="6"/>
      <c r="X132" s="7"/>
      <c r="Z132" s="2"/>
      <c r="AA132" s="2"/>
      <c r="AB132" s="2"/>
    </row>
    <row r="133" spans="6:28">
      <c r="F133" s="5">
        <f t="shared" si="22"/>
        <v>0.34040080462906835</v>
      </c>
      <c r="G133" s="4">
        <f t="shared" si="31"/>
        <v>3700.7223383845017</v>
      </c>
      <c r="H133" s="3">
        <f t="shared" si="32"/>
        <v>10871.661547384252</v>
      </c>
      <c r="I133">
        <f t="shared" si="33"/>
        <v>40233000.74376072</v>
      </c>
      <c r="J133" s="6"/>
      <c r="K133" s="6"/>
      <c r="L133" s="6"/>
      <c r="M133" s="6"/>
      <c r="N133" s="6"/>
      <c r="O133" s="6"/>
      <c r="P133" s="6"/>
      <c r="Q133" s="6"/>
      <c r="R133" s="6"/>
      <c r="X133" s="7"/>
      <c r="Z133" s="2"/>
      <c r="AA133" s="2"/>
      <c r="AB133" s="2"/>
    </row>
    <row r="134" spans="6:28">
      <c r="F134" s="5">
        <f t="shared" si="22"/>
        <v>0.32692093276575723</v>
      </c>
      <c r="G134" s="4">
        <f t="shared" si="31"/>
        <v>3626.7078916168116</v>
      </c>
      <c r="H134" s="3">
        <f t="shared" si="32"/>
        <v>11093.53219120842</v>
      </c>
      <c r="I134">
        <f t="shared" si="33"/>
        <v>40233000.74376072</v>
      </c>
      <c r="J134" s="6"/>
      <c r="K134" s="6"/>
      <c r="L134" s="6"/>
      <c r="M134" s="6"/>
      <c r="N134" s="6"/>
      <c r="O134" s="6"/>
      <c r="P134" s="6"/>
      <c r="Q134" s="6"/>
      <c r="R134" s="6"/>
      <c r="X134" s="7"/>
      <c r="Z134" s="2"/>
      <c r="AA134" s="2"/>
      <c r="AB134" s="2"/>
    </row>
    <row r="135" spans="6:28">
      <c r="F135" s="5">
        <f t="shared" si="22"/>
        <v>0.31397486382823325</v>
      </c>
      <c r="G135" s="4">
        <f t="shared" si="31"/>
        <v>3554.1737337844752</v>
      </c>
      <c r="H135" s="3">
        <f t="shared" si="32"/>
        <v>11319.930807355531</v>
      </c>
      <c r="I135">
        <f t="shared" si="33"/>
        <v>40233000.74376072</v>
      </c>
      <c r="J135" s="6"/>
      <c r="K135" s="6"/>
      <c r="L135" s="6"/>
      <c r="M135" s="6"/>
      <c r="N135" s="6"/>
      <c r="O135" s="6"/>
      <c r="P135" s="6"/>
      <c r="Q135" s="6"/>
      <c r="R135" s="6"/>
      <c r="X135" s="7"/>
      <c r="Z135" s="2"/>
      <c r="AA135" s="2"/>
      <c r="AB135" s="2"/>
    </row>
    <row r="136" spans="6:28">
      <c r="F136" s="5">
        <f t="shared" si="22"/>
        <v>0.30154145922063513</v>
      </c>
      <c r="G136" s="4">
        <f t="shared" si="31"/>
        <v>3483.0902591087856</v>
      </c>
      <c r="H136" s="3">
        <f t="shared" si="32"/>
        <v>11550.949803424013</v>
      </c>
      <c r="I136">
        <f t="shared" si="33"/>
        <v>40233000.74376072</v>
      </c>
      <c r="J136" s="6"/>
      <c r="K136" s="6"/>
      <c r="L136" s="6"/>
      <c r="M136" s="6"/>
      <c r="N136" s="6"/>
      <c r="O136" s="6"/>
      <c r="P136" s="6"/>
      <c r="Q136" s="6"/>
      <c r="R136" s="6"/>
      <c r="X136" s="7"/>
      <c r="Z136" s="2"/>
      <c r="AA136" s="2"/>
      <c r="AB136" s="2"/>
    </row>
    <row r="137" spans="6:28">
      <c r="F137" s="5">
        <f t="shared" ref="F137:F200" si="34">G137/H137</f>
        <v>0.28960041743549803</v>
      </c>
      <c r="G137" s="4">
        <f t="shared" si="31"/>
        <v>3413.42845392661</v>
      </c>
      <c r="H137" s="3">
        <f t="shared" si="32"/>
        <v>11786.683472881645</v>
      </c>
      <c r="I137">
        <f t="shared" si="33"/>
        <v>40233000.74376072</v>
      </c>
      <c r="J137" s="6"/>
      <c r="K137" s="6"/>
      <c r="L137" s="6"/>
      <c r="M137" s="6"/>
      <c r="N137" s="6"/>
      <c r="O137" s="6"/>
      <c r="P137" s="6"/>
      <c r="Q137" s="6"/>
      <c r="R137" s="6"/>
      <c r="X137" s="7"/>
      <c r="Z137" s="2"/>
      <c r="AA137" s="2"/>
      <c r="AB137" s="2"/>
    </row>
    <row r="138" spans="6:28">
      <c r="F138" s="5">
        <f t="shared" si="34"/>
        <v>0.27813224090505229</v>
      </c>
      <c r="G138" s="4">
        <f t="shared" si="31"/>
        <v>3345.1598848480776</v>
      </c>
      <c r="H138" s="3">
        <f t="shared" si="32"/>
        <v>12027.228033552699</v>
      </c>
      <c r="I138">
        <f t="shared" si="33"/>
        <v>40233000.74376072</v>
      </c>
      <c r="J138" s="6"/>
      <c r="K138" s="6"/>
      <c r="L138" s="6"/>
      <c r="M138" s="6"/>
      <c r="N138" s="6"/>
      <c r="O138" s="6"/>
      <c r="P138" s="6"/>
      <c r="Q138" s="6"/>
      <c r="R138" s="6"/>
      <c r="X138" s="7"/>
      <c r="Z138" s="2"/>
      <c r="AA138" s="2"/>
      <c r="AB138" s="2"/>
    </row>
    <row r="139" spans="6:28">
      <c r="F139" s="5">
        <f t="shared" si="34"/>
        <v>0.26711820416521215</v>
      </c>
      <c r="G139" s="4">
        <f t="shared" si="31"/>
        <v>3278.2566871511158</v>
      </c>
      <c r="H139" s="3">
        <f t="shared" si="32"/>
        <v>12272.68166689051</v>
      </c>
      <c r="I139">
        <f t="shared" si="33"/>
        <v>40233000.74376072</v>
      </c>
      <c r="J139" s="6"/>
      <c r="K139" s="6"/>
      <c r="L139" s="6"/>
      <c r="M139" s="6"/>
      <c r="N139" s="6"/>
      <c r="O139" s="6"/>
      <c r="P139" s="6"/>
      <c r="Q139" s="6"/>
      <c r="R139" s="6"/>
      <c r="X139" s="7"/>
      <c r="Z139" s="2"/>
      <c r="AA139" s="2"/>
      <c r="AB139" s="2"/>
    </row>
    <row r="140" spans="6:28">
      <c r="F140" s="5">
        <f t="shared" si="34"/>
        <v>0.25654032328026977</v>
      </c>
      <c r="G140" s="4">
        <f t="shared" si="31"/>
        <v>3212.6915534080936</v>
      </c>
      <c r="H140" s="3">
        <f t="shared" si="32"/>
        <v>12523.144558051541</v>
      </c>
      <c r="I140">
        <f t="shared" si="33"/>
        <v>40233000.74376072</v>
      </c>
      <c r="J140" s="6"/>
      <c r="K140" s="6"/>
      <c r="L140" s="6"/>
      <c r="M140" s="6"/>
      <c r="N140" s="6"/>
      <c r="O140" s="6"/>
      <c r="P140" s="6"/>
      <c r="Q140" s="6"/>
      <c r="R140" s="6"/>
      <c r="X140" s="7"/>
      <c r="Z140" s="2"/>
      <c r="AA140" s="2"/>
      <c r="AB140" s="2"/>
    </row>
    <row r="141" spans="6:28">
      <c r="F141" s="5">
        <f t="shared" si="34"/>
        <v>0.24638132647837105</v>
      </c>
      <c r="G141" s="4">
        <f t="shared" si="31"/>
        <v>3148.4377223399315</v>
      </c>
      <c r="H141" s="3">
        <f t="shared" si="32"/>
        <v>12778.718936787289</v>
      </c>
      <c r="I141">
        <f t="shared" si="33"/>
        <v>40233000.74376072</v>
      </c>
      <c r="J141" s="6"/>
      <c r="K141" s="6"/>
      <c r="L141" s="6"/>
      <c r="M141" s="6"/>
      <c r="N141" s="6"/>
      <c r="O141" s="6"/>
      <c r="P141" s="6"/>
      <c r="Q141" s="6"/>
      <c r="R141" s="6"/>
      <c r="X141" s="7"/>
      <c r="Z141" s="2"/>
      <c r="AA141" s="2"/>
      <c r="AB141" s="2"/>
    </row>
    <row r="142" spans="6:28">
      <c r="F142" s="5">
        <f t="shared" si="34"/>
        <v>0.23662462594982753</v>
      </c>
      <c r="G142" s="4">
        <f t="shared" si="31"/>
        <v>3085.4689678931327</v>
      </c>
      <c r="H142" s="3">
        <f t="shared" si="32"/>
        <v>13039.509119170703</v>
      </c>
      <c r="I142">
        <f t="shared" si="33"/>
        <v>40233000.74376072</v>
      </c>
      <c r="J142" s="6"/>
      <c r="K142" s="6"/>
      <c r="L142" s="6"/>
      <c r="M142" s="6"/>
      <c r="N142" s="6"/>
      <c r="O142" s="6"/>
      <c r="P142" s="6"/>
      <c r="Q142" s="6"/>
      <c r="R142" s="6"/>
      <c r="X142" s="7"/>
      <c r="Z142" s="2"/>
      <c r="AA142" s="2"/>
      <c r="AB142" s="2"/>
    </row>
    <row r="143" spans="6:28">
      <c r="F143" s="5">
        <f t="shared" si="34"/>
        <v>0.22725429076221432</v>
      </c>
      <c r="G143" s="4">
        <f t="shared" si="31"/>
        <v>3023.7595885352698</v>
      </c>
      <c r="H143" s="3">
        <f t="shared" si="32"/>
        <v>13305.621550174188</v>
      </c>
      <c r="I143">
        <f t="shared" si="33"/>
        <v>40233000.74376072</v>
      </c>
      <c r="J143" s="6"/>
      <c r="K143" s="6"/>
      <c r="L143" s="6"/>
      <c r="M143" s="6"/>
      <c r="N143" s="6"/>
      <c r="O143" s="6"/>
      <c r="P143" s="6"/>
      <c r="Q143" s="6"/>
      <c r="R143" s="6"/>
      <c r="X143" s="7"/>
      <c r="Z143" s="2"/>
      <c r="AA143" s="2"/>
      <c r="AB143" s="2"/>
    </row>
    <row r="144" spans="6:28">
      <c r="F144" s="5">
        <f t="shared" si="34"/>
        <v>0.21825502084803067</v>
      </c>
      <c r="G144" s="4">
        <f t="shared" si="31"/>
        <v>2963.2843967645645</v>
      </c>
      <c r="H144" s="3">
        <f t="shared" si="32"/>
        <v>13577.164847116517</v>
      </c>
      <c r="I144">
        <f t="shared" si="33"/>
        <v>40233000.74376072</v>
      </c>
      <c r="J144" s="6"/>
      <c r="K144" s="6"/>
      <c r="L144" s="6"/>
      <c r="M144" s="6"/>
      <c r="N144" s="6"/>
      <c r="O144" s="6"/>
      <c r="P144" s="6"/>
      <c r="Q144" s="6"/>
      <c r="R144" s="6"/>
      <c r="X144" s="7"/>
      <c r="Z144" s="2"/>
      <c r="AA144" s="2"/>
      <c r="AB144" s="2"/>
    </row>
    <row r="145" spans="6:28">
      <c r="F145" s="5">
        <f t="shared" si="34"/>
        <v>0.20961212202244867</v>
      </c>
      <c r="G145" s="4">
        <f t="shared" si="31"/>
        <v>2904.0187088292732</v>
      </c>
      <c r="H145" s="3">
        <f t="shared" si="32"/>
        <v>13854.249843996446</v>
      </c>
      <c r="I145">
        <f t="shared" si="33"/>
        <v>40233000.74376072</v>
      </c>
      <c r="J145" s="6"/>
      <c r="K145" s="6"/>
      <c r="L145" s="6"/>
      <c r="M145" s="6"/>
      <c r="N145" s="6"/>
      <c r="O145" s="6"/>
      <c r="P145" s="6"/>
      <c r="Q145" s="6"/>
      <c r="R145" s="6"/>
      <c r="X145" s="7"/>
      <c r="Z145" s="2"/>
      <c r="AA145" s="2"/>
      <c r="AB145" s="2"/>
    </row>
    <row r="146" spans="6:28">
      <c r="F146" s="5">
        <f t="shared" si="34"/>
        <v>0.2013114819903597</v>
      </c>
      <c r="G146" s="4">
        <f t="shared" si="31"/>
        <v>2845.9383346526879</v>
      </c>
      <c r="H146" s="3">
        <f t="shared" si="32"/>
        <v>14136.989636731067</v>
      </c>
      <c r="I146">
        <f t="shared" si="33"/>
        <v>40233000.74376072</v>
      </c>
      <c r="J146" s="6"/>
      <c r="K146" s="6"/>
      <c r="L146" s="6"/>
      <c r="M146" s="6"/>
      <c r="N146" s="6"/>
      <c r="O146" s="6"/>
      <c r="P146" s="6"/>
      <c r="Q146" s="6"/>
      <c r="R146" s="6"/>
      <c r="X146" s="7"/>
      <c r="Z146" s="2"/>
      <c r="AA146" s="2"/>
      <c r="AB146" s="2"/>
    </row>
    <row r="147" spans="6:28">
      <c r="F147" s="5">
        <f t="shared" si="34"/>
        <v>0.19333954730354144</v>
      </c>
      <c r="G147" s="4">
        <f t="shared" si="31"/>
        <v>2789.0195679596341</v>
      </c>
      <c r="H147" s="3">
        <f t="shared" si="32"/>
        <v>14425.499629317415</v>
      </c>
      <c r="I147">
        <f t="shared" si="33"/>
        <v>40233000.74376072</v>
      </c>
      <c r="J147" s="6"/>
      <c r="K147" s="6"/>
      <c r="L147" s="6"/>
      <c r="M147" s="6"/>
      <c r="N147" s="6"/>
      <c r="O147" s="6"/>
      <c r="P147" s="6"/>
      <c r="Q147" s="6"/>
      <c r="R147" s="6"/>
      <c r="X147" s="7"/>
      <c r="Z147" s="2"/>
      <c r="AA147" s="2"/>
      <c r="AB147" s="2"/>
    </row>
    <row r="148" spans="6:28">
      <c r="F148" s="5">
        <f t="shared" si="34"/>
        <v>0.18568330123032117</v>
      </c>
      <c r="G148" s="4">
        <f t="shared" si="31"/>
        <v>2733.2391766004412</v>
      </c>
      <c r="H148" s="3">
        <f t="shared" si="32"/>
        <v>14719.89758093614</v>
      </c>
      <c r="I148">
        <f t="shared" si="33"/>
        <v>40233000.74376072</v>
      </c>
      <c r="J148" s="6"/>
      <c r="K148" s="6"/>
      <c r="L148" s="6"/>
      <c r="M148" s="6"/>
      <c r="N148" s="6"/>
      <c r="O148" s="6"/>
      <c r="P148" s="6"/>
      <c r="Q148" s="6"/>
      <c r="R148" s="6"/>
      <c r="X148" s="7"/>
      <c r="Z148" s="2"/>
      <c r="AA148" s="2"/>
      <c r="AB148" s="2"/>
    </row>
    <row r="149" spans="6:28">
      <c r="F149" s="5">
        <f t="shared" si="34"/>
        <v>0.17833024250160043</v>
      </c>
      <c r="G149" s="4">
        <f t="shared" si="31"/>
        <v>2678.5743930684321</v>
      </c>
      <c r="H149" s="3">
        <f t="shared" si="32"/>
        <v>15020.30365401647</v>
      </c>
      <c r="I149">
        <f t="shared" si="33"/>
        <v>40233000.74376072</v>
      </c>
      <c r="J149" s="6"/>
      <c r="K149" s="6"/>
      <c r="L149" s="6"/>
      <c r="M149" s="6"/>
      <c r="N149" s="6"/>
      <c r="O149" s="6"/>
      <c r="P149" s="6"/>
      <c r="Q149" s="6"/>
      <c r="R149" s="6"/>
      <c r="X149" s="7"/>
      <c r="Z149" s="2"/>
      <c r="AA149" s="2"/>
      <c r="AB149" s="2"/>
    </row>
    <row r="150" spans="6:28">
      <c r="F150" s="5">
        <f t="shared" si="34"/>
        <v>0.17126836489853706</v>
      </c>
      <c r="G150" s="4">
        <f t="shared" si="31"/>
        <v>2625.0029052070636</v>
      </c>
      <c r="H150" s="3">
        <f t="shared" si="32"/>
        <v>15326.840463282111</v>
      </c>
      <c r="I150">
        <f t="shared" si="33"/>
        <v>40233000.74376072</v>
      </c>
      <c r="J150" s="6"/>
      <c r="K150" s="6"/>
      <c r="L150" s="6"/>
      <c r="M150" s="6"/>
      <c r="N150" s="6"/>
      <c r="O150" s="6"/>
      <c r="P150" s="6"/>
      <c r="Q150" s="6"/>
      <c r="R150" s="6"/>
      <c r="X150" s="7"/>
      <c r="Z150" s="2"/>
      <c r="AA150" s="2"/>
      <c r="AB150" s="2"/>
    </row>
    <row r="151" spans="6:28">
      <c r="F151" s="5">
        <f t="shared" si="34"/>
        <v>0.16448613764855499</v>
      </c>
      <c r="G151" s="4">
        <f t="shared" si="31"/>
        <v>2572.5028471029223</v>
      </c>
      <c r="H151" s="3">
        <f t="shared" si="32"/>
        <v>15639.633125798073</v>
      </c>
      <c r="I151">
        <f t="shared" si="33"/>
        <v>40233000.74376072</v>
      </c>
      <c r="J151" s="6"/>
      <c r="K151" s="6"/>
      <c r="L151" s="6"/>
      <c r="M151" s="6"/>
      <c r="N151" s="6"/>
      <c r="O151" s="6"/>
      <c r="P151" s="6"/>
      <c r="Q151" s="6"/>
      <c r="R151" s="6"/>
      <c r="X151" s="7"/>
      <c r="Z151" s="2"/>
      <c r="AA151" s="2"/>
      <c r="AB151" s="2"/>
    </row>
    <row r="152" spans="6:28">
      <c r="F152" s="5">
        <f t="shared" si="34"/>
        <v>0.15797248659767224</v>
      </c>
      <c r="G152" s="4">
        <f t="shared" si="31"/>
        <v>2521.0527901608639</v>
      </c>
      <c r="H152" s="3">
        <f t="shared" si="32"/>
        <v>15958.809312038849</v>
      </c>
      <c r="I152">
        <f t="shared" si="33"/>
        <v>40233000.74376072</v>
      </c>
      <c r="J152" s="6"/>
      <c r="K152" s="6"/>
      <c r="L152" s="6"/>
      <c r="M152" s="6"/>
      <c r="N152" s="6"/>
      <c r="O152" s="6"/>
      <c r="P152" s="6"/>
      <c r="Q152" s="6"/>
      <c r="R152" s="6"/>
      <c r="X152" s="7"/>
      <c r="Z152" s="2"/>
      <c r="AA152" s="2"/>
      <c r="AB152" s="2"/>
    </row>
    <row r="153" spans="6:28">
      <c r="F153" s="5">
        <f t="shared" si="34"/>
        <v>0.1517167761284044</v>
      </c>
      <c r="G153" s="4">
        <f t="shared" si="31"/>
        <v>2470.6317343576466</v>
      </c>
      <c r="H153" s="3">
        <f t="shared" si="32"/>
        <v>16284.499297998827</v>
      </c>
      <c r="I153">
        <f t="shared" si="33"/>
        <v>40233000.74376072</v>
      </c>
      <c r="J153" s="6"/>
      <c r="K153" s="6"/>
      <c r="L153" s="6"/>
      <c r="M153" s="6"/>
      <c r="N153" s="6"/>
      <c r="O153" s="6"/>
      <c r="P153" s="6"/>
      <c r="Q153" s="6"/>
      <c r="R153" s="6"/>
      <c r="X153" s="7"/>
      <c r="Z153" s="2"/>
      <c r="AA153" s="2"/>
      <c r="AB153" s="2"/>
    </row>
    <row r="154" spans="6:28">
      <c r="F154" s="5">
        <f t="shared" si="34"/>
        <v>0.14570879179371957</v>
      </c>
      <c r="G154" s="4">
        <f t="shared" si="31"/>
        <v>2421.2190996704935</v>
      </c>
      <c r="H154" s="3">
        <f t="shared" si="32"/>
        <v>16616.83601836615</v>
      </c>
      <c r="I154">
        <f t="shared" si="33"/>
        <v>40233000.74376072</v>
      </c>
      <c r="J154" s="6"/>
      <c r="K154" s="6"/>
      <c r="L154" s="6"/>
      <c r="M154" s="6"/>
      <c r="N154" s="6"/>
      <c r="O154" s="6"/>
      <c r="P154" s="6"/>
      <c r="Q154" s="6"/>
      <c r="R154" s="6"/>
      <c r="X154" s="7"/>
      <c r="Z154" s="2"/>
      <c r="AA154" s="2"/>
      <c r="AB154" s="2"/>
    </row>
    <row r="155" spans="6:28">
      <c r="F155" s="5">
        <f t="shared" si="34"/>
        <v>0.13993872363868828</v>
      </c>
      <c r="G155" s="4">
        <f t="shared" si="31"/>
        <v>2372.7947176770836</v>
      </c>
      <c r="H155" s="3">
        <f t="shared" si="32"/>
        <v>16955.955120781786</v>
      </c>
      <c r="I155">
        <f t="shared" si="33"/>
        <v>40233000.74376072</v>
      </c>
      <c r="J155" s="6"/>
      <c r="K155" s="6"/>
      <c r="L155" s="6"/>
      <c r="M155" s="6"/>
      <c r="N155" s="6"/>
      <c r="O155" s="6"/>
      <c r="P155" s="6"/>
      <c r="Q155" s="6"/>
      <c r="R155" s="6"/>
      <c r="X155" s="7"/>
      <c r="Z155" s="2"/>
      <c r="AA155" s="2"/>
      <c r="AB155" s="2"/>
    </row>
    <row r="156" spans="6:28">
      <c r="F156" s="5">
        <f t="shared" si="34"/>
        <v>0.13439715018259621</v>
      </c>
      <c r="G156" s="4">
        <f t="shared" si="31"/>
        <v>2325.3388233235419</v>
      </c>
      <c r="H156" s="3">
        <f t="shared" si="32"/>
        <v>17301.995021205905</v>
      </c>
      <c r="I156">
        <f t="shared" si="33"/>
        <v>40233000.74376072</v>
      </c>
      <c r="J156" s="6"/>
      <c r="K156" s="6"/>
      <c r="L156" s="6"/>
      <c r="M156" s="6"/>
      <c r="N156" s="6"/>
      <c r="O156" s="6"/>
      <c r="P156" s="6"/>
      <c r="Q156" s="6"/>
      <c r="R156" s="6"/>
      <c r="X156" s="7"/>
      <c r="Z156" s="2"/>
      <c r="AA156" s="2"/>
      <c r="AB156" s="2"/>
    </row>
    <row r="157" spans="6:28">
      <c r="F157" s="5">
        <f t="shared" si="34"/>
        <v>0.12907502303536539</v>
      </c>
      <c r="G157" s="4">
        <f t="shared" si="31"/>
        <v>2278.832046857071</v>
      </c>
      <c r="H157" s="3">
        <f t="shared" si="32"/>
        <v>17655.09696041419</v>
      </c>
      <c r="I157">
        <f t="shared" si="33"/>
        <v>40233000.74376072</v>
      </c>
      <c r="J157" s="6"/>
      <c r="K157" s="6"/>
      <c r="L157" s="6"/>
      <c r="M157" s="6"/>
      <c r="N157" s="6"/>
      <c r="O157" s="6"/>
      <c r="P157" s="6"/>
      <c r="Q157" s="6"/>
      <c r="R157" s="6"/>
      <c r="X157" s="7"/>
      <c r="Z157" s="2"/>
      <c r="AA157" s="2"/>
      <c r="AB157" s="2"/>
    </row>
    <row r="158" spans="6:28">
      <c r="F158" s="5">
        <f t="shared" si="34"/>
        <v>0.12396365212316493</v>
      </c>
      <c r="G158" s="4">
        <f t="shared" si="31"/>
        <v>2233.2554059199297</v>
      </c>
      <c r="H158" s="3">
        <f t="shared" si="32"/>
        <v>18015.405061647132</v>
      </c>
      <c r="I158">
        <f t="shared" si="33"/>
        <v>40233000.74376072</v>
      </c>
      <c r="J158" s="6"/>
      <c r="K158" s="6"/>
      <c r="L158" s="6"/>
      <c r="M158" s="6"/>
      <c r="N158" s="6"/>
      <c r="O158" s="6"/>
      <c r="P158" s="6"/>
      <c r="Q158" s="6"/>
      <c r="R158" s="6"/>
      <c r="X158" s="7"/>
      <c r="Z158" s="2"/>
      <c r="AA158" s="2"/>
      <c r="AB158" s="2"/>
    </row>
    <row r="159" spans="6:28">
      <c r="F159" s="5">
        <f t="shared" si="34"/>
        <v>0.11905469149908761</v>
      </c>
      <c r="G159" s="4">
        <f t="shared" si="31"/>
        <v>2188.5902978015311</v>
      </c>
      <c r="H159" s="3">
        <f t="shared" si="32"/>
        <v>18383.066389435848</v>
      </c>
      <c r="I159">
        <f t="shared" si="33"/>
        <v>40233000.74376072</v>
      </c>
      <c r="J159" s="6"/>
      <c r="K159" s="6"/>
      <c r="L159" s="6"/>
      <c r="M159" s="6"/>
      <c r="N159" s="6"/>
      <c r="O159" s="6"/>
      <c r="P159" s="6"/>
      <c r="Q159" s="6"/>
      <c r="R159" s="6"/>
      <c r="X159" s="7"/>
      <c r="Z159" s="2"/>
      <c r="AA159" s="2"/>
      <c r="AB159" s="2"/>
    </row>
    <row r="160" spans="6:28">
      <c r="F160" s="5">
        <f t="shared" si="34"/>
        <v>0.11434012571572373</v>
      </c>
      <c r="G160" s="4">
        <f t="shared" si="31"/>
        <v>2144.8184918455004</v>
      </c>
      <c r="H160" s="3">
        <f t="shared" si="32"/>
        <v>18758.231009628416</v>
      </c>
      <c r="I160">
        <f t="shared" si="33"/>
        <v>40233000.74376072</v>
      </c>
      <c r="J160" s="6"/>
      <c r="K160" s="6"/>
      <c r="L160" s="6"/>
      <c r="M160" s="6"/>
      <c r="N160" s="6"/>
      <c r="O160" s="6"/>
      <c r="P160" s="6"/>
      <c r="Q160" s="6"/>
      <c r="R160" s="6"/>
      <c r="X160" s="7"/>
      <c r="Z160" s="2"/>
      <c r="AA160" s="2"/>
      <c r="AB160" s="2"/>
    </row>
    <row r="161" spans="6:28">
      <c r="F161" s="5">
        <f t="shared" si="34"/>
        <v>0.10981225673738104</v>
      </c>
      <c r="G161" s="4">
        <f t="shared" si="31"/>
        <v>2101.9221220085901</v>
      </c>
      <c r="H161" s="3">
        <f t="shared" si="32"/>
        <v>19141.052050641243</v>
      </c>
      <c r="I161">
        <f t="shared" si="33"/>
        <v>40233000.74376072</v>
      </c>
      <c r="J161" s="6"/>
      <c r="K161" s="6"/>
      <c r="L161" s="6"/>
      <c r="M161" s="6"/>
      <c r="N161" s="6"/>
      <c r="O161" s="6"/>
      <c r="P161" s="6"/>
      <c r="Q161" s="6"/>
      <c r="R161" s="6"/>
      <c r="X161" s="7"/>
      <c r="Z161" s="2"/>
      <c r="AA161" s="2"/>
      <c r="AB161" s="2"/>
    </row>
    <row r="162" spans="6:28">
      <c r="F162" s="5">
        <f t="shared" si="34"/>
        <v>0.10546369137058074</v>
      </c>
      <c r="G162" s="4">
        <f t="shared" si="31"/>
        <v>2059.8836795684183</v>
      </c>
      <c r="H162" s="3">
        <f t="shared" si="32"/>
        <v>19531.685765960454</v>
      </c>
      <c r="I162">
        <f t="shared" si="33"/>
        <v>40233000.74376072</v>
      </c>
      <c r="J162" s="6"/>
      <c r="K162" s="6"/>
      <c r="L162" s="6"/>
      <c r="M162" s="6"/>
      <c r="N162" s="6"/>
      <c r="O162" s="6"/>
      <c r="P162" s="6"/>
      <c r="Q162" s="6"/>
      <c r="R162" s="6"/>
      <c r="X162" s="7"/>
      <c r="Z162" s="2"/>
      <c r="AA162" s="2"/>
      <c r="AB162" s="2"/>
    </row>
    <row r="163" spans="6:28">
      <c r="F163" s="5">
        <f t="shared" si="34"/>
        <v>0.10128732919230575</v>
      </c>
      <c r="G163" s="4">
        <f t="shared" si="31"/>
        <v>2018.6860059770499</v>
      </c>
      <c r="H163" s="3">
        <f t="shared" si="32"/>
        <v>19930.291597918829</v>
      </c>
      <c r="I163">
        <f t="shared" si="33"/>
        <v>40233000.74376072</v>
      </c>
      <c r="J163" s="6"/>
      <c r="K163" s="6"/>
      <c r="L163" s="6"/>
      <c r="M163" s="6"/>
      <c r="N163" s="6"/>
      <c r="O163" s="6"/>
      <c r="P163" s="6"/>
      <c r="Q163" s="6"/>
      <c r="R163" s="6"/>
      <c r="X163" s="7"/>
      <c r="Z163" s="2"/>
      <c r="AA163" s="2"/>
      <c r="AB163" s="2"/>
    </row>
    <row r="164" spans="6:28">
      <c r="F164" s="5">
        <f t="shared" si="34"/>
        <v>9.7276350956290447E-2</v>
      </c>
      <c r="G164" s="4">
        <f t="shared" si="31"/>
        <v>1978.3122858575089</v>
      </c>
      <c r="H164" s="3">
        <f t="shared" si="32"/>
        <v>20337.032242774316</v>
      </c>
      <c r="I164">
        <f t="shared" si="33"/>
        <v>40233000.74376072</v>
      </c>
      <c r="J164" s="6"/>
      <c r="K164" s="6"/>
      <c r="L164" s="6"/>
      <c r="M164" s="6"/>
      <c r="N164" s="6"/>
      <c r="O164" s="6"/>
      <c r="P164" s="6"/>
      <c r="Q164" s="6"/>
      <c r="R164" s="6"/>
      <c r="X164" s="7"/>
      <c r="Z164" s="2"/>
      <c r="AA164" s="2"/>
      <c r="AB164" s="2"/>
    </row>
    <row r="165" spans="6:28">
      <c r="F165" s="5">
        <f t="shared" si="34"/>
        <v>9.3424207458421324E-2</v>
      </c>
      <c r="G165" s="4">
        <f t="shared" si="31"/>
        <v>1938.7460401403587</v>
      </c>
      <c r="H165" s="3">
        <f t="shared" si="32"/>
        <v>20752.073717116651</v>
      </c>
      <c r="I165">
        <f t="shared" si="33"/>
        <v>40233000.74376072</v>
      </c>
      <c r="J165" s="6"/>
      <c r="K165" s="6"/>
      <c r="L165" s="6"/>
      <c r="M165" s="6"/>
      <c r="N165" s="6"/>
      <c r="O165" s="6"/>
      <c r="P165" s="6"/>
      <c r="Q165" s="6"/>
      <c r="R165" s="6"/>
      <c r="X165" s="7"/>
      <c r="Z165" s="2"/>
      <c r="AA165" s="2"/>
      <c r="AB165" s="2"/>
    </row>
    <row r="166" spans="6:28">
      <c r="F166" s="5">
        <f t="shared" si="34"/>
        <v>8.9724608843067835E-2</v>
      </c>
      <c r="G166" s="4">
        <f t="shared" si="31"/>
        <v>1899.9711193375515</v>
      </c>
      <c r="H166" s="3">
        <f t="shared" si="32"/>
        <v>21175.585425629237</v>
      </c>
      <c r="I166">
        <f t="shared" si="33"/>
        <v>40233000.74376072</v>
      </c>
      <c r="J166" s="6"/>
      <c r="K166" s="6"/>
      <c r="L166" s="6"/>
      <c r="M166" s="6"/>
      <c r="N166" s="6"/>
      <c r="O166" s="6"/>
      <c r="P166" s="6"/>
      <c r="Q166" s="6"/>
      <c r="R166" s="6"/>
      <c r="X166" s="7"/>
      <c r="Z166" s="2"/>
      <c r="AA166" s="2"/>
      <c r="AB166" s="2"/>
    </row>
    <row r="167" spans="6:28">
      <c r="F167" s="5">
        <f t="shared" si="34"/>
        <v>8.6171514332882351E-2</v>
      </c>
      <c r="G167" s="4">
        <f t="shared" si="31"/>
        <v>1861.9716969508004</v>
      </c>
      <c r="H167" s="3">
        <f t="shared" si="32"/>
        <v>21607.740230233914</v>
      </c>
      <c r="I167">
        <f t="shared" si="33"/>
        <v>40233000.74376072</v>
      </c>
      <c r="J167" s="6"/>
      <c r="K167" s="6"/>
      <c r="L167" s="6"/>
      <c r="M167" s="6"/>
      <c r="N167" s="6"/>
      <c r="O167" s="6"/>
      <c r="P167" s="6"/>
      <c r="Q167" s="6"/>
      <c r="R167" s="6"/>
      <c r="X167" s="7"/>
      <c r="Z167" s="2"/>
      <c r="AA167" s="2"/>
      <c r="AB167" s="2"/>
    </row>
    <row r="168" spans="6:28">
      <c r="F168" s="5">
        <f t="shared" si="34"/>
        <v>8.2759122365300211E-2</v>
      </c>
      <c r="G168" s="4">
        <f t="shared" si="31"/>
        <v>1824.7322630117844</v>
      </c>
      <c r="H168" s="3">
        <f t="shared" si="32"/>
        <v>22048.714520646852</v>
      </c>
      <c r="I168">
        <f t="shared" si="33"/>
        <v>40233000.74376072</v>
      </c>
      <c r="J168" s="6"/>
      <c r="K168" s="6"/>
      <c r="L168" s="6"/>
      <c r="M168" s="6"/>
      <c r="N168" s="6"/>
      <c r="O168" s="6"/>
      <c r="P168" s="6"/>
      <c r="Q168" s="6"/>
      <c r="R168" s="6"/>
      <c r="X168" s="7"/>
      <c r="Z168" s="2"/>
      <c r="AA168" s="2"/>
      <c r="AB168" s="2"/>
    </row>
    <row r="169" spans="6:28">
      <c r="F169" s="5">
        <f t="shared" si="34"/>
        <v>7.9481861119634331E-2</v>
      </c>
      <c r="G169" s="4">
        <f t="shared" si="31"/>
        <v>1788.2376177515487</v>
      </c>
      <c r="H169" s="3">
        <f t="shared" si="32"/>
        <v>22498.688286374338</v>
      </c>
      <c r="I169">
        <f t="shared" si="33"/>
        <v>40233000.74376072</v>
      </c>
      <c r="J169" s="6"/>
      <c r="K169" s="6"/>
      <c r="L169" s="6"/>
      <c r="M169" s="6"/>
      <c r="N169" s="6"/>
      <c r="O169" s="6"/>
      <c r="P169" s="6"/>
      <c r="Q169" s="6"/>
      <c r="R169" s="6"/>
      <c r="X169" s="7"/>
      <c r="Z169" s="2"/>
      <c r="AA169" s="2"/>
      <c r="AB169" s="2"/>
    </row>
    <row r="170" spans="6:28">
      <c r="F170" s="5">
        <f t="shared" si="34"/>
        <v>7.6334379419296799E-2</v>
      </c>
      <c r="G170" s="4">
        <f t="shared" si="31"/>
        <v>1752.4728653965176</v>
      </c>
      <c r="H170" s="3">
        <f t="shared" si="32"/>
        <v>22957.845190177897</v>
      </c>
      <c r="I170">
        <f t="shared" si="33"/>
        <v>40233000.74376072</v>
      </c>
      <c r="J170" s="6"/>
      <c r="K170" s="6"/>
      <c r="L170" s="6"/>
      <c r="M170" s="6"/>
      <c r="N170" s="6"/>
      <c r="O170" s="6"/>
      <c r="P170" s="6"/>
      <c r="Q170" s="6"/>
      <c r="R170" s="6"/>
      <c r="X170" s="7"/>
      <c r="Z170" s="2"/>
      <c r="AA170" s="2"/>
      <c r="AB170" s="2"/>
    </row>
    <row r="171" spans="6:28">
      <c r="F171" s="5">
        <f t="shared" si="34"/>
        <v>7.3311537994292644E-2</v>
      </c>
      <c r="G171" s="4">
        <f t="shared" si="31"/>
        <v>1717.4234080885872</v>
      </c>
      <c r="H171" s="3">
        <f t="shared" si="32"/>
        <v>23426.372643038671</v>
      </c>
      <c r="I171">
        <f t="shared" si="33"/>
        <v>40233000.74376072</v>
      </c>
      <c r="J171" s="6"/>
      <c r="K171" s="6"/>
      <c r="L171" s="6"/>
      <c r="M171" s="6"/>
      <c r="N171" s="6"/>
      <c r="O171" s="6"/>
      <c r="P171" s="6"/>
      <c r="Q171" s="6"/>
      <c r="R171" s="6"/>
      <c r="X171" s="7"/>
      <c r="Z171" s="2"/>
      <c r="AA171" s="2"/>
      <c r="AB171" s="2"/>
    </row>
    <row r="172" spans="6:28">
      <c r="F172" s="5">
        <f t="shared" si="34"/>
        <v>7.0408401089718645E-2</v>
      </c>
      <c r="G172" s="4">
        <f t="shared" si="31"/>
        <v>1683.0749399268154</v>
      </c>
      <c r="H172" s="3">
        <f t="shared" si="32"/>
        <v>23904.461880651706</v>
      </c>
      <c r="I172">
        <f t="shared" si="33"/>
        <v>40233000.74376072</v>
      </c>
      <c r="J172" s="6"/>
      <c r="K172" s="6"/>
      <c r="L172" s="6"/>
      <c r="M172" s="6"/>
      <c r="N172" s="6"/>
      <c r="O172" s="6"/>
      <c r="P172" s="6"/>
      <c r="Q172" s="6"/>
      <c r="R172" s="6"/>
      <c r="X172" s="7"/>
      <c r="Z172" s="2"/>
      <c r="AA172" s="2"/>
      <c r="AB172" s="2"/>
    </row>
    <row r="173" spans="6:28">
      <c r="F173" s="5">
        <f t="shared" si="34"/>
        <v>6.7620228406565785E-2</v>
      </c>
      <c r="G173" s="4">
        <f t="shared" si="31"/>
        <v>1649.4134411282791</v>
      </c>
      <c r="H173" s="3">
        <f t="shared" si="32"/>
        <v>24392.308041481334</v>
      </c>
      <c r="I173">
        <f t="shared" si="33"/>
        <v>40233000.74376072</v>
      </c>
      <c r="J173" s="6"/>
      <c r="K173" s="6"/>
      <c r="L173" s="6"/>
      <c r="M173" s="6"/>
      <c r="N173" s="6"/>
      <c r="O173" s="6"/>
      <c r="P173" s="6"/>
      <c r="Q173" s="6"/>
      <c r="R173" s="6"/>
      <c r="X173" s="7"/>
      <c r="Z173" s="2"/>
      <c r="AA173" s="2"/>
      <c r="AB173" s="2"/>
    </row>
    <row r="174" spans="6:28">
      <c r="F174" s="5">
        <f t="shared" si="34"/>
        <v>6.494246736166577E-2</v>
      </c>
      <c r="G174" s="4">
        <f t="shared" si="31"/>
        <v>1616.4251723057134</v>
      </c>
      <c r="H174" s="3">
        <f t="shared" si="32"/>
        <v>24890.110246409524</v>
      </c>
      <c r="I174">
        <f t="shared" si="33"/>
        <v>40233000.74376072</v>
      </c>
      <c r="J174" s="6"/>
      <c r="K174" s="6"/>
      <c r="L174" s="6"/>
      <c r="M174" s="6"/>
      <c r="N174" s="6"/>
      <c r="O174" s="6"/>
      <c r="P174" s="6"/>
      <c r="Q174" s="6"/>
      <c r="R174" s="6"/>
      <c r="X174" s="7"/>
      <c r="Z174" s="2"/>
      <c r="AA174" s="2"/>
      <c r="AB174" s="2"/>
    </row>
    <row r="175" spans="6:28">
      <c r="F175" s="5">
        <f t="shared" si="34"/>
        <v>6.23707456541438E-2</v>
      </c>
      <c r="G175" s="4">
        <f t="shared" si="31"/>
        <v>1584.096668859599</v>
      </c>
      <c r="H175" s="3">
        <f t="shared" si="32"/>
        <v>25398.071680009722</v>
      </c>
      <c r="I175">
        <f t="shared" si="33"/>
        <v>40233000.74376072</v>
      </c>
      <c r="J175" s="6"/>
      <c r="K175" s="6"/>
      <c r="L175" s="6"/>
      <c r="M175" s="6"/>
      <c r="N175" s="6"/>
      <c r="O175" s="6"/>
      <c r="P175" s="6"/>
      <c r="Q175" s="6"/>
      <c r="R175" s="6"/>
      <c r="X175" s="7"/>
      <c r="Z175" s="2"/>
      <c r="AA175" s="2"/>
      <c r="AB175" s="2"/>
    </row>
    <row r="176" spans="6:28">
      <c r="F176" s="5">
        <f t="shared" si="34"/>
        <v>5.990086412623969E-2</v>
      </c>
      <c r="G176" s="4">
        <f t="shared" si="31"/>
        <v>1552.414735482407</v>
      </c>
      <c r="H176" s="3">
        <f t="shared" si="32"/>
        <v>25916.399673479311</v>
      </c>
      <c r="I176">
        <f t="shared" si="33"/>
        <v>40233000.74376072</v>
      </c>
      <c r="J176" s="6"/>
      <c r="K176" s="6"/>
      <c r="L176" s="6"/>
      <c r="M176" s="6"/>
      <c r="N176" s="6"/>
      <c r="O176" s="6"/>
      <c r="P176" s="6"/>
      <c r="Q176" s="6"/>
      <c r="R176" s="6"/>
      <c r="X176" s="7"/>
      <c r="Z176" s="2"/>
      <c r="AA176" s="2"/>
      <c r="AB176" s="2"/>
    </row>
    <row r="177" spans="6:28">
      <c r="F177" s="5">
        <f t="shared" si="34"/>
        <v>5.7528789906840599E-2</v>
      </c>
      <c r="G177" s="4">
        <f t="shared" si="31"/>
        <v>1521.3664407727588</v>
      </c>
      <c r="H177" s="3">
        <f t="shared" si="32"/>
        <v>26445.305789264603</v>
      </c>
      <c r="I177">
        <f t="shared" si="33"/>
        <v>40233000.74376072</v>
      </c>
      <c r="J177" s="6"/>
      <c r="K177" s="6"/>
      <c r="L177" s="6"/>
      <c r="M177" s="6"/>
      <c r="N177" s="6"/>
      <c r="O177" s="6"/>
      <c r="P177" s="6"/>
      <c r="Q177" s="6"/>
      <c r="R177" s="6"/>
      <c r="X177" s="7"/>
      <c r="Z177" s="2"/>
      <c r="AA177" s="2"/>
      <c r="AB177" s="2"/>
    </row>
    <row r="178" spans="6:28">
      <c r="F178" s="5">
        <f t="shared" si="34"/>
        <v>5.5250649826529712E-2</v>
      </c>
      <c r="G178" s="4">
        <f t="shared" ref="G178:G241" si="35">G177*(1-$O$1)</f>
        <v>1490.9391119573036</v>
      </c>
      <c r="H178" s="3">
        <f t="shared" ref="H178:H241" si="36">I178/G178</f>
        <v>26985.005907412859</v>
      </c>
      <c r="I178">
        <f t="shared" ref="I178:I241" si="37">I177</f>
        <v>40233000.74376072</v>
      </c>
      <c r="J178" s="6"/>
      <c r="K178" s="6"/>
      <c r="L178" s="6"/>
      <c r="M178" s="6"/>
      <c r="N178" s="6"/>
      <c r="O178" s="6"/>
      <c r="P178" s="6"/>
      <c r="Q178" s="6"/>
      <c r="R178" s="6"/>
      <c r="X178" s="7"/>
      <c r="Z178" s="2"/>
      <c r="AA178" s="2"/>
      <c r="AB178" s="2"/>
    </row>
    <row r="179" spans="6:28">
      <c r="F179" s="5">
        <f t="shared" si="34"/>
        <v>5.3062724093399141E-2</v>
      </c>
      <c r="G179" s="4">
        <f t="shared" si="35"/>
        <v>1461.1203297181576</v>
      </c>
      <c r="H179" s="3">
        <f t="shared" si="36"/>
        <v>27535.72031368659</v>
      </c>
      <c r="I179">
        <f t="shared" si="37"/>
        <v>40233000.74376072</v>
      </c>
      <c r="J179" s="6"/>
      <c r="K179" s="6"/>
      <c r="L179" s="6"/>
      <c r="M179" s="6"/>
      <c r="N179" s="6"/>
      <c r="O179" s="6"/>
      <c r="P179" s="6"/>
      <c r="Q179" s="6"/>
      <c r="R179" s="6"/>
      <c r="X179" s="7"/>
      <c r="Z179" s="2"/>
      <c r="AA179" s="2"/>
      <c r="AB179" s="2"/>
    </row>
    <row r="180" spans="6:28">
      <c r="F180" s="5">
        <f t="shared" si="34"/>
        <v>5.096144021930054E-2</v>
      </c>
      <c r="G180" s="4">
        <f t="shared" si="35"/>
        <v>1431.8979231237945</v>
      </c>
      <c r="H180" s="3">
        <f t="shared" si="36"/>
        <v>28097.67378947611</v>
      </c>
      <c r="I180">
        <f t="shared" si="37"/>
        <v>40233000.74376072</v>
      </c>
      <c r="J180" s="6"/>
      <c r="K180" s="6"/>
      <c r="L180" s="6"/>
      <c r="M180" s="6"/>
      <c r="N180" s="6"/>
      <c r="O180" s="6"/>
      <c r="P180" s="6"/>
      <c r="Q180" s="6"/>
      <c r="R180" s="6"/>
      <c r="X180" s="7"/>
      <c r="Z180" s="2"/>
      <c r="AA180" s="2"/>
      <c r="AB180" s="2"/>
    </row>
    <row r="181" spans="6:28">
      <c r="F181" s="5">
        <f t="shared" si="34"/>
        <v>4.8943367186616245E-2</v>
      </c>
      <c r="G181" s="4">
        <f t="shared" si="35"/>
        <v>1403.2599646613187</v>
      </c>
      <c r="H181" s="3">
        <f t="shared" si="36"/>
        <v>28671.095703547049</v>
      </c>
      <c r="I181">
        <f t="shared" si="37"/>
        <v>40233000.74376072</v>
      </c>
      <c r="J181" s="6"/>
      <c r="K181" s="6"/>
      <c r="L181" s="6"/>
      <c r="M181" s="6"/>
      <c r="N181" s="6"/>
      <c r="O181" s="6"/>
      <c r="P181" s="6"/>
      <c r="Q181" s="6"/>
      <c r="R181" s="6"/>
      <c r="X181" s="7"/>
      <c r="Z181" s="2"/>
      <c r="AA181" s="2"/>
      <c r="AB181" s="2"/>
    </row>
    <row r="182" spans="6:28">
      <c r="F182" s="5">
        <f t="shared" si="34"/>
        <v>4.7005209846026234E-2</v>
      </c>
      <c r="G182" s="4">
        <f t="shared" si="35"/>
        <v>1375.1947653680922</v>
      </c>
      <c r="H182" s="3">
        <f t="shared" si="36"/>
        <v>29256.220105660257</v>
      </c>
      <c r="I182">
        <f t="shared" si="37"/>
        <v>40233000.74376072</v>
      </c>
      <c r="J182" s="6"/>
      <c r="K182" s="6"/>
      <c r="L182" s="6"/>
      <c r="M182" s="6"/>
      <c r="N182" s="6"/>
      <c r="O182" s="6"/>
      <c r="P182" s="6"/>
      <c r="Q182" s="6"/>
      <c r="R182" s="6"/>
      <c r="X182" s="7"/>
      <c r="Z182" s="2"/>
      <c r="AA182" s="2"/>
      <c r="AB182" s="2"/>
    </row>
    <row r="183" spans="6:28">
      <c r="F183" s="5">
        <f t="shared" si="34"/>
        <v>4.5143803536123593E-2</v>
      </c>
      <c r="G183" s="4">
        <f t="shared" si="35"/>
        <v>1347.6908700607303</v>
      </c>
      <c r="H183" s="3">
        <f t="shared" si="36"/>
        <v>29853.285822102305</v>
      </c>
      <c r="I183">
        <f t="shared" si="37"/>
        <v>40233000.74376072</v>
      </c>
      <c r="J183" s="6"/>
      <c r="K183" s="6"/>
      <c r="L183" s="6"/>
      <c r="M183" s="6"/>
      <c r="N183" s="6"/>
      <c r="O183" s="6"/>
      <c r="P183" s="6"/>
      <c r="Q183" s="6"/>
      <c r="R183" s="6"/>
      <c r="X183" s="7"/>
      <c r="Z183" s="2"/>
      <c r="AA183" s="2"/>
      <c r="AB183" s="2"/>
    </row>
    <row r="184" spans="6:28">
      <c r="F184" s="5">
        <f t="shared" si="34"/>
        <v>4.3356108916093095E-2</v>
      </c>
      <c r="G184" s="4">
        <f t="shared" si="35"/>
        <v>1320.7370526595157</v>
      </c>
      <c r="H184" s="3">
        <f t="shared" si="36"/>
        <v>30462.536553165617</v>
      </c>
      <c r="I184">
        <f t="shared" si="37"/>
        <v>40233000.74376072</v>
      </c>
      <c r="J184" s="6"/>
      <c r="K184" s="6"/>
      <c r="L184" s="6"/>
      <c r="M184" s="6"/>
      <c r="N184" s="6"/>
      <c r="O184" s="6"/>
      <c r="P184" s="6"/>
      <c r="Q184" s="6"/>
      <c r="R184" s="6"/>
      <c r="X184" s="7"/>
      <c r="Z184" s="2"/>
      <c r="AA184" s="2"/>
      <c r="AB184" s="2"/>
    </row>
    <row r="185" spans="6:28">
      <c r="F185" s="5">
        <f t="shared" si="34"/>
        <v>4.1639207003015814E-2</v>
      </c>
      <c r="G185" s="4">
        <f t="shared" si="35"/>
        <v>1294.3223116063255</v>
      </c>
      <c r="H185" s="3">
        <f t="shared" si="36"/>
        <v>31084.220972617975</v>
      </c>
      <c r="I185">
        <f t="shared" si="37"/>
        <v>40233000.74376072</v>
      </c>
      <c r="J185" s="6"/>
      <c r="K185" s="6"/>
      <c r="L185" s="6"/>
      <c r="M185" s="6"/>
      <c r="N185" s="6"/>
      <c r="O185" s="6"/>
      <c r="P185" s="6"/>
      <c r="Q185" s="6"/>
      <c r="R185" s="6"/>
      <c r="X185" s="7"/>
      <c r="Z185" s="2"/>
      <c r="AA185" s="2"/>
      <c r="AB185" s="2"/>
    </row>
    <row r="186" spans="6:28">
      <c r="F186" s="5">
        <f t="shared" si="34"/>
        <v>3.9990294405696389E-2</v>
      </c>
      <c r="G186" s="4">
        <f t="shared" si="35"/>
        <v>1268.435865374199</v>
      </c>
      <c r="H186" s="3">
        <f t="shared" si="36"/>
        <v>31718.592829202014</v>
      </c>
      <c r="I186">
        <f t="shared" si="37"/>
        <v>40233000.74376072</v>
      </c>
      <c r="J186" s="6"/>
      <c r="K186" s="6"/>
      <c r="L186" s="6"/>
      <c r="M186" s="6"/>
      <c r="N186" s="6"/>
      <c r="O186" s="6"/>
      <c r="P186" s="6"/>
      <c r="Q186" s="6"/>
      <c r="R186" s="6"/>
      <c r="X186" s="7"/>
      <c r="Z186" s="2"/>
      <c r="AA186" s="2"/>
      <c r="AB186" s="2"/>
    </row>
    <row r="187" spans="6:28">
      <c r="F187" s="5">
        <f t="shared" si="34"/>
        <v>3.8406678747230812E-2</v>
      </c>
      <c r="G187" s="4">
        <f t="shared" si="35"/>
        <v>1243.0671480667149</v>
      </c>
      <c r="H187" s="3">
        <f t="shared" si="36"/>
        <v>32365.911050206138</v>
      </c>
      <c r="I187">
        <f t="shared" si="37"/>
        <v>40233000.74376072</v>
      </c>
      <c r="J187" s="6"/>
      <c r="K187" s="6"/>
      <c r="L187" s="6"/>
      <c r="M187" s="6"/>
      <c r="N187" s="6"/>
      <c r="O187" s="6"/>
      <c r="P187" s="6"/>
      <c r="Q187" s="6"/>
      <c r="R187" s="6"/>
      <c r="X187" s="7"/>
      <c r="Z187" s="2"/>
      <c r="AA187" s="2"/>
      <c r="AB187" s="2"/>
    </row>
    <row r="188" spans="6:28">
      <c r="F188" s="5">
        <f t="shared" si="34"/>
        <v>3.6885774268840474E-2</v>
      </c>
      <c r="G188" s="4">
        <f t="shared" si="35"/>
        <v>1218.2058051053807</v>
      </c>
      <c r="H188" s="3">
        <f t="shared" si="36"/>
        <v>33026.439847149122</v>
      </c>
      <c r="I188">
        <f t="shared" si="37"/>
        <v>40233000.74376072</v>
      </c>
      <c r="J188" s="6"/>
      <c r="K188" s="6"/>
      <c r="L188" s="6"/>
      <c r="M188" s="6"/>
      <c r="N188" s="6"/>
      <c r="O188" s="6"/>
      <c r="P188" s="6"/>
      <c r="Q188" s="6"/>
      <c r="R188" s="6"/>
      <c r="X188" s="7"/>
      <c r="Z188" s="2"/>
      <c r="AA188" s="2"/>
      <c r="AB188" s="2"/>
    </row>
    <row r="189" spans="6:28">
      <c r="F189" s="5">
        <f t="shared" si="34"/>
        <v>3.5425097607794394E-2</v>
      </c>
      <c r="G189" s="4">
        <f t="shared" si="35"/>
        <v>1193.8416890032731</v>
      </c>
      <c r="H189" s="3">
        <f t="shared" si="36"/>
        <v>33700.448823621547</v>
      </c>
      <c r="I189">
        <f t="shared" si="37"/>
        <v>40233000.74376072</v>
      </c>
      <c r="J189" s="6"/>
      <c r="K189" s="6"/>
      <c r="L189" s="6"/>
      <c r="M189" s="6"/>
      <c r="N189" s="6"/>
      <c r="O189" s="6"/>
      <c r="P189" s="6"/>
      <c r="Q189" s="6"/>
      <c r="R189" s="6"/>
      <c r="X189" s="7"/>
      <c r="Z189" s="2"/>
      <c r="AA189" s="2"/>
      <c r="AB189" s="2"/>
    </row>
    <row r="190" spans="6:28">
      <c r="F190" s="5">
        <f t="shared" si="34"/>
        <v>3.4022263742525732E-2</v>
      </c>
      <c r="G190" s="4">
        <f t="shared" si="35"/>
        <v>1169.9648552232077</v>
      </c>
      <c r="H190" s="3">
        <f t="shared" si="36"/>
        <v>34388.213085328112</v>
      </c>
      <c r="I190">
        <f t="shared" si="37"/>
        <v>40233000.74376072</v>
      </c>
      <c r="J190" s="6"/>
      <c r="K190" s="6"/>
      <c r="L190" s="6"/>
      <c r="M190" s="6"/>
      <c r="N190" s="6"/>
      <c r="O190" s="6"/>
      <c r="P190" s="6"/>
      <c r="Q190" s="6"/>
      <c r="R190" s="6"/>
      <c r="X190" s="7"/>
      <c r="Z190" s="2"/>
      <c r="AA190" s="2"/>
      <c r="AB190" s="2"/>
    </row>
    <row r="191" spans="6:28">
      <c r="F191" s="5">
        <f t="shared" si="34"/>
        <v>3.267498209832171E-2</v>
      </c>
      <c r="G191" s="4">
        <f t="shared" si="35"/>
        <v>1146.5655581187434</v>
      </c>
      <c r="H191" s="3">
        <f t="shared" si="36"/>
        <v>35090.01335237563</v>
      </c>
      <c r="I191">
        <f t="shared" si="37"/>
        <v>40233000.74376072</v>
      </c>
      <c r="J191" s="6"/>
      <c r="K191" s="6"/>
      <c r="L191" s="6"/>
      <c r="M191" s="6"/>
      <c r="N191" s="6"/>
      <c r="O191" s="6"/>
      <c r="P191" s="6"/>
      <c r="Q191" s="6"/>
      <c r="R191" s="6"/>
      <c r="X191" s="7"/>
      <c r="Z191" s="2"/>
      <c r="AA191" s="2"/>
      <c r="AB191" s="2"/>
    </row>
    <row r="192" spans="6:28">
      <c r="F192" s="5">
        <f t="shared" si="34"/>
        <v>3.1381052807228173E-2</v>
      </c>
      <c r="G192" s="4">
        <f t="shared" si="35"/>
        <v>1123.6342469563685</v>
      </c>
      <c r="H192" s="3">
        <f t="shared" si="36"/>
        <v>35806.136073852678</v>
      </c>
      <c r="I192">
        <f t="shared" si="37"/>
        <v>40233000.74376072</v>
      </c>
      <c r="J192" s="6"/>
      <c r="K192" s="6"/>
      <c r="L192" s="6"/>
      <c r="M192" s="6"/>
      <c r="N192" s="6"/>
      <c r="O192" s="6"/>
      <c r="P192" s="6"/>
      <c r="Q192" s="6"/>
      <c r="R192" s="6"/>
      <c r="X192" s="7"/>
      <c r="Z192" s="2"/>
      <c r="AA192" s="2"/>
      <c r="AB192" s="2"/>
    </row>
    <row r="193" spans="6:28">
      <c r="F193" s="5">
        <f t="shared" si="34"/>
        <v>3.0138363116061932E-2</v>
      </c>
      <c r="G193" s="4">
        <f t="shared" si="35"/>
        <v>1101.1615620172411</v>
      </c>
      <c r="H193" s="3">
        <f t="shared" si="36"/>
        <v>36536.873544747636</v>
      </c>
      <c r="I193">
        <f t="shared" si="37"/>
        <v>40233000.74376072</v>
      </c>
      <c r="J193" s="6"/>
      <c r="K193" s="6"/>
      <c r="L193" s="6"/>
      <c r="M193" s="6"/>
      <c r="N193" s="6"/>
      <c r="O193" s="6"/>
      <c r="P193" s="6"/>
      <c r="Q193" s="6"/>
      <c r="R193" s="6"/>
      <c r="X193" s="7"/>
      <c r="Z193" s="2"/>
      <c r="AA193" s="2"/>
      <c r="AB193" s="2"/>
    </row>
    <row r="194" spans="6:28">
      <c r="F194" s="5">
        <f t="shared" si="34"/>
        <v>2.8944883936665878E-2</v>
      </c>
      <c r="G194" s="4">
        <f t="shared" si="35"/>
        <v>1079.1383307768963</v>
      </c>
      <c r="H194" s="3">
        <f t="shared" si="36"/>
        <v>37282.524025252693</v>
      </c>
      <c r="I194">
        <f t="shared" si="37"/>
        <v>40233000.74376072</v>
      </c>
      <c r="J194" s="6"/>
      <c r="K194" s="6"/>
      <c r="L194" s="6"/>
      <c r="M194" s="6"/>
      <c r="N194" s="6"/>
      <c r="O194" s="6"/>
      <c r="P194" s="6"/>
      <c r="Q194" s="6"/>
      <c r="R194" s="6"/>
      <c r="X194" s="7"/>
      <c r="Z194" s="2"/>
      <c r="AA194" s="2"/>
      <c r="AB194" s="2"/>
    </row>
    <row r="195" spans="6:28">
      <c r="F195" s="5">
        <f t="shared" si="34"/>
        <v>2.7798666532773901E-2</v>
      </c>
      <c r="G195" s="4">
        <f t="shared" si="35"/>
        <v>1057.5555641613582</v>
      </c>
      <c r="H195" s="3">
        <f t="shared" si="36"/>
        <v>38043.391862502751</v>
      </c>
      <c r="I195">
        <f t="shared" si="37"/>
        <v>40233000.74376072</v>
      </c>
      <c r="J195" s="6"/>
      <c r="K195" s="6"/>
      <c r="L195" s="6"/>
      <c r="M195" s="6"/>
      <c r="N195" s="6"/>
      <c r="O195" s="6"/>
      <c r="P195" s="6"/>
      <c r="Q195" s="6"/>
      <c r="R195" s="6"/>
      <c r="X195" s="7"/>
      <c r="Z195" s="2"/>
      <c r="AA195" s="2"/>
      <c r="AB195" s="2"/>
    </row>
    <row r="196" spans="6:28">
      <c r="F196" s="5">
        <f t="shared" si="34"/>
        <v>2.6697839338076054E-2</v>
      </c>
      <c r="G196" s="4">
        <f t="shared" si="35"/>
        <v>1036.404452878131</v>
      </c>
      <c r="H196" s="3">
        <f t="shared" si="36"/>
        <v>38819.787614798726</v>
      </c>
      <c r="I196">
        <f t="shared" si="37"/>
        <v>40233000.74376072</v>
      </c>
      <c r="J196" s="6"/>
      <c r="K196" s="6"/>
      <c r="L196" s="6"/>
      <c r="M196" s="6"/>
      <c r="N196" s="6"/>
      <c r="O196" s="6"/>
      <c r="P196" s="6"/>
      <c r="Q196" s="6"/>
      <c r="R196" s="6"/>
      <c r="X196" s="7"/>
      <c r="Z196" s="2"/>
      <c r="AA196" s="2"/>
      <c r="AB196" s="2"/>
    </row>
    <row r="197" spans="6:28">
      <c r="F197" s="5">
        <f t="shared" si="34"/>
        <v>2.5640604900288241E-2</v>
      </c>
      <c r="G197" s="4">
        <f t="shared" si="35"/>
        <v>1015.6763638205683</v>
      </c>
      <c r="H197" s="3">
        <f t="shared" si="36"/>
        <v>39612.028178366047</v>
      </c>
      <c r="I197">
        <f t="shared" si="37"/>
        <v>40233000.74376072</v>
      </c>
      <c r="J197" s="6"/>
      <c r="K197" s="6"/>
      <c r="L197" s="6"/>
      <c r="M197" s="6"/>
      <c r="N197" s="6"/>
      <c r="O197" s="6"/>
      <c r="P197" s="6"/>
      <c r="Q197" s="6"/>
      <c r="R197" s="6"/>
      <c r="X197" s="7"/>
      <c r="Z197" s="2"/>
      <c r="AA197" s="2"/>
      <c r="AB197" s="2"/>
    </row>
    <row r="198" spans="6:28">
      <c r="F198" s="5">
        <f t="shared" si="34"/>
        <v>2.4625236946236827E-2</v>
      </c>
      <c r="G198" s="4">
        <f t="shared" si="35"/>
        <v>995.36283654415695</v>
      </c>
      <c r="H198" s="3">
        <f t="shared" si="36"/>
        <v>40420.436916700048</v>
      </c>
      <c r="I198">
        <f t="shared" si="37"/>
        <v>40233000.74376072</v>
      </c>
      <c r="J198" s="6"/>
      <c r="K198" s="6"/>
      <c r="L198" s="6"/>
      <c r="M198" s="6"/>
      <c r="N198" s="6"/>
      <c r="O198" s="6"/>
      <c r="P198" s="6"/>
      <c r="Q198" s="6"/>
      <c r="R198" s="6"/>
      <c r="X198" s="7"/>
      <c r="Z198" s="2"/>
      <c r="AA198" s="2"/>
      <c r="AB198" s="2"/>
    </row>
    <row r="199" spans="6:28">
      <c r="F199" s="5">
        <f t="shared" si="34"/>
        <v>2.3650077563165842E-2</v>
      </c>
      <c r="G199" s="4">
        <f t="shared" si="35"/>
        <v>975.45557981327374</v>
      </c>
      <c r="H199" s="3">
        <f t="shared" si="36"/>
        <v>41245.343792551073</v>
      </c>
      <c r="I199">
        <f t="shared" si="37"/>
        <v>40233000.74376072</v>
      </c>
      <c r="J199" s="6"/>
      <c r="K199" s="6"/>
      <c r="L199" s="6"/>
      <c r="M199" s="6"/>
      <c r="N199" s="6"/>
      <c r="O199" s="6"/>
      <c r="P199" s="6"/>
      <c r="Q199" s="6"/>
      <c r="R199" s="6"/>
      <c r="X199" s="7"/>
      <c r="Z199" s="2"/>
      <c r="AA199" s="2"/>
      <c r="AB199" s="2"/>
    </row>
    <row r="200" spans="6:28">
      <c r="F200" s="5">
        <f t="shared" si="34"/>
        <v>2.2713534491664477E-2</v>
      </c>
      <c r="G200" s="4">
        <f t="shared" si="35"/>
        <v>955.94646821700826</v>
      </c>
      <c r="H200" s="3">
        <f t="shared" si="36"/>
        <v>42087.085502603135</v>
      </c>
      <c r="I200">
        <f t="shared" si="37"/>
        <v>40233000.74376072</v>
      </c>
      <c r="J200" s="6"/>
      <c r="K200" s="6"/>
      <c r="L200" s="6"/>
      <c r="M200" s="6"/>
      <c r="N200" s="6"/>
      <c r="O200" s="6"/>
      <c r="P200" s="6"/>
      <c r="Q200" s="6"/>
      <c r="R200" s="6"/>
      <c r="X200" s="7"/>
      <c r="Z200" s="2"/>
      <c r="AA200" s="2"/>
      <c r="AB200" s="2"/>
    </row>
    <row r="201" spans="6:28">
      <c r="F201" s="5">
        <f t="shared" ref="F201:F264" si="38">G201/H201</f>
        <v>2.1814078525794565E-2</v>
      </c>
      <c r="G201" s="4">
        <f t="shared" si="35"/>
        <v>936.82753885266811</v>
      </c>
      <c r="H201" s="3">
        <f t="shared" si="36"/>
        <v>42946.005614901158</v>
      </c>
      <c r="I201">
        <f t="shared" si="37"/>
        <v>40233000.74376072</v>
      </c>
      <c r="J201" s="6"/>
      <c r="K201" s="6"/>
      <c r="L201" s="6"/>
      <c r="M201" s="6"/>
      <c r="N201" s="6"/>
      <c r="O201" s="6"/>
      <c r="P201" s="6"/>
      <c r="Q201" s="6"/>
      <c r="R201" s="6"/>
      <c r="X201" s="7"/>
      <c r="Z201" s="2"/>
      <c r="AA201" s="2"/>
      <c r="AB201" s="2"/>
    </row>
    <row r="202" spans="6:28">
      <c r="F202" s="5">
        <f t="shared" si="38"/>
        <v>2.0950241016173096E-2</v>
      </c>
      <c r="G202" s="4">
        <f t="shared" si="35"/>
        <v>918.09098807561475</v>
      </c>
      <c r="H202" s="3">
        <f t="shared" si="36"/>
        <v>43822.45470908282</v>
      </c>
      <c r="I202">
        <f t="shared" si="37"/>
        <v>40233000.74376072</v>
      </c>
      <c r="J202" s="6"/>
      <c r="K202" s="6"/>
      <c r="L202" s="6"/>
      <c r="M202" s="6"/>
      <c r="N202" s="6"/>
      <c r="O202" s="6"/>
      <c r="P202" s="6"/>
      <c r="Q202" s="6"/>
      <c r="R202" s="6"/>
      <c r="X202" s="7"/>
      <c r="Z202" s="2"/>
      <c r="AA202" s="2"/>
      <c r="AB202" s="2"/>
    </row>
    <row r="203" spans="6:28">
      <c r="F203" s="5">
        <f t="shared" si="38"/>
        <v>2.0120611471932642E-2</v>
      </c>
      <c r="G203" s="4">
        <f t="shared" si="35"/>
        <v>899.72916831410248</v>
      </c>
      <c r="H203" s="3">
        <f t="shared" si="36"/>
        <v>44716.790519472263</v>
      </c>
      <c r="I203">
        <f t="shared" si="37"/>
        <v>40233000.74376072</v>
      </c>
      <c r="J203" s="6"/>
      <c r="K203" s="6"/>
      <c r="L203" s="6"/>
      <c r="M203" s="6"/>
      <c r="N203" s="6"/>
      <c r="O203" s="6"/>
      <c r="P203" s="6"/>
      <c r="Q203" s="6"/>
      <c r="R203" s="6"/>
      <c r="X203" s="7"/>
      <c r="Z203" s="2"/>
      <c r="AA203" s="2"/>
      <c r="AB203" s="2"/>
    </row>
    <row r="204" spans="6:28">
      <c r="F204" s="5">
        <f t="shared" si="38"/>
        <v>1.9323835257644108E-2</v>
      </c>
      <c r="G204" s="4">
        <f t="shared" si="35"/>
        <v>881.73458494782039</v>
      </c>
      <c r="H204" s="3">
        <f t="shared" si="36"/>
        <v>45629.378081094146</v>
      </c>
      <c r="I204">
        <f t="shared" si="37"/>
        <v>40233000.74376072</v>
      </c>
      <c r="J204" s="6"/>
      <c r="K204" s="6"/>
      <c r="L204" s="6"/>
      <c r="M204" s="6"/>
      <c r="N204" s="6"/>
      <c r="O204" s="6"/>
      <c r="P204" s="6"/>
      <c r="Q204" s="6"/>
      <c r="R204" s="6"/>
      <c r="X204" s="7"/>
      <c r="Z204" s="2"/>
      <c r="AA204" s="2"/>
      <c r="AB204" s="2"/>
    </row>
    <row r="205" spans="6:28">
      <c r="F205" s="5">
        <f t="shared" si="38"/>
        <v>1.8558611381441402E-2</v>
      </c>
      <c r="G205" s="4">
        <f t="shared" si="35"/>
        <v>864.09989324886396</v>
      </c>
      <c r="H205" s="3">
        <f t="shared" si="36"/>
        <v>46560.589878667495</v>
      </c>
      <c r="I205">
        <f t="shared" si="37"/>
        <v>40233000.74376072</v>
      </c>
      <c r="J205" s="6"/>
      <c r="K205" s="6"/>
      <c r="L205" s="6"/>
      <c r="M205" s="6"/>
      <c r="N205" s="6"/>
      <c r="O205" s="6"/>
      <c r="P205" s="6"/>
      <c r="Q205" s="6"/>
      <c r="R205" s="6"/>
      <c r="X205" s="7"/>
      <c r="Z205" s="2"/>
      <c r="AA205" s="2"/>
      <c r="AB205" s="2"/>
    </row>
    <row r="206" spans="6:28">
      <c r="F206" s="5">
        <f t="shared" si="38"/>
        <v>1.7823690370736323E-2</v>
      </c>
      <c r="G206" s="4">
        <f t="shared" si="35"/>
        <v>846.81789538388671</v>
      </c>
      <c r="H206" s="3">
        <f t="shared" si="36"/>
        <v>47510.805998640302</v>
      </c>
      <c r="I206">
        <f t="shared" si="37"/>
        <v>40233000.74376072</v>
      </c>
      <c r="J206" s="6"/>
      <c r="K206" s="6"/>
      <c r="L206" s="6"/>
      <c r="M206" s="6"/>
      <c r="N206" s="6"/>
      <c r="O206" s="6"/>
      <c r="P206" s="6"/>
      <c r="Q206" s="6"/>
      <c r="R206" s="6"/>
      <c r="X206" s="7"/>
      <c r="Z206" s="2"/>
      <c r="AA206" s="2"/>
      <c r="AB206" s="2"/>
    </row>
    <row r="207" spans="6:28">
      <c r="F207" s="5">
        <f t="shared" si="38"/>
        <v>1.7117872232055163E-2</v>
      </c>
      <c r="G207" s="4">
        <f t="shared" si="35"/>
        <v>829.8815374762089</v>
      </c>
      <c r="H207" s="3">
        <f t="shared" si="36"/>
        <v>48480.414284326842</v>
      </c>
      <c r="I207">
        <f t="shared" si="37"/>
        <v>40233000.74376072</v>
      </c>
      <c r="J207" s="6"/>
      <c r="K207" s="6"/>
      <c r="L207" s="6"/>
      <c r="M207" s="6"/>
      <c r="N207" s="6"/>
      <c r="O207" s="6"/>
      <c r="P207" s="6"/>
      <c r="Q207" s="6"/>
      <c r="R207" s="6"/>
      <c r="X207" s="7"/>
      <c r="Z207" s="2"/>
      <c r="AA207" s="2"/>
      <c r="AB207" s="2"/>
    </row>
    <row r="208" spans="6:28">
      <c r="F208" s="5">
        <f t="shared" si="38"/>
        <v>1.6440004491665775E-2</v>
      </c>
      <c r="G208" s="4">
        <f t="shared" si="35"/>
        <v>813.28390672668468</v>
      </c>
      <c r="H208" s="3">
        <f t="shared" si="36"/>
        <v>49469.810494211066</v>
      </c>
      <c r="I208">
        <f t="shared" si="37"/>
        <v>40233000.74376072</v>
      </c>
      <c r="J208" s="6"/>
      <c r="K208" s="6"/>
      <c r="L208" s="6"/>
      <c r="M208" s="6"/>
      <c r="N208" s="6"/>
      <c r="O208" s="6"/>
      <c r="P208" s="6"/>
      <c r="Q208" s="6"/>
      <c r="R208" s="6"/>
      <c r="X208" s="7"/>
      <c r="Z208" s="2"/>
      <c r="AA208" s="2"/>
      <c r="AB208" s="2"/>
    </row>
    <row r="209" spans="6:28">
      <c r="F209" s="5">
        <f t="shared" si="38"/>
        <v>1.5788980313795813E-2</v>
      </c>
      <c r="G209" s="4">
        <f t="shared" si="35"/>
        <v>797.01822859215099</v>
      </c>
      <c r="H209" s="3">
        <f t="shared" si="36"/>
        <v>50479.398463480677</v>
      </c>
      <c r="I209">
        <f t="shared" si="37"/>
        <v>40233000.74376072</v>
      </c>
      <c r="J209" s="6"/>
      <c r="K209" s="6"/>
      <c r="L209" s="6"/>
      <c r="M209" s="6"/>
      <c r="N209" s="6"/>
      <c r="O209" s="6"/>
      <c r="P209" s="6"/>
      <c r="Q209" s="6"/>
      <c r="R209" s="6"/>
      <c r="X209" s="7"/>
      <c r="Z209" s="2"/>
      <c r="AA209" s="2"/>
      <c r="AB209" s="2"/>
    </row>
    <row r="210" spans="6:28">
      <c r="F210" s="5">
        <f t="shared" si="38"/>
        <v>1.5163736693369498E-2</v>
      </c>
      <c r="G210" s="4">
        <f t="shared" si="35"/>
        <v>781.07786402030797</v>
      </c>
      <c r="H210" s="3">
        <f t="shared" si="36"/>
        <v>51509.590268857835</v>
      </c>
      <c r="I210">
        <f t="shared" si="37"/>
        <v>40233000.74376072</v>
      </c>
      <c r="J210" s="6"/>
      <c r="K210" s="6"/>
      <c r="L210" s="6"/>
      <c r="M210" s="6"/>
      <c r="N210" s="6"/>
      <c r="O210" s="6"/>
      <c r="P210" s="6"/>
      <c r="Q210" s="6"/>
      <c r="R210" s="6"/>
      <c r="X210" s="7"/>
      <c r="Z210" s="2"/>
      <c r="AA210" s="2"/>
      <c r="AB210" s="2"/>
    </row>
    <row r="211" spans="6:28">
      <c r="F211" s="5">
        <f t="shared" si="38"/>
        <v>1.4563252720312066E-2</v>
      </c>
      <c r="G211" s="4">
        <f t="shared" si="35"/>
        <v>765.45630673990183</v>
      </c>
      <c r="H211" s="3">
        <f t="shared" si="36"/>
        <v>52560.806396793712</v>
      </c>
      <c r="I211">
        <f t="shared" si="37"/>
        <v>40233000.74376072</v>
      </c>
      <c r="J211" s="6"/>
      <c r="K211" s="6"/>
      <c r="L211" s="6"/>
      <c r="M211" s="6"/>
      <c r="N211" s="6"/>
      <c r="O211" s="6"/>
      <c r="P211" s="6"/>
      <c r="Q211" s="6"/>
      <c r="R211" s="6"/>
      <c r="X211" s="7"/>
      <c r="Z211" s="2"/>
      <c r="AA211" s="2"/>
      <c r="AB211" s="2"/>
    </row>
    <row r="212" spans="6:28">
      <c r="F212" s="5">
        <f t="shared" si="38"/>
        <v>1.3986547912587709E-2</v>
      </c>
      <c r="G212" s="4">
        <f t="shared" si="35"/>
        <v>750.14718060510381</v>
      </c>
      <c r="H212" s="3">
        <f t="shared" si="36"/>
        <v>53633.475915095623</v>
      </c>
      <c r="I212">
        <f t="shared" si="37"/>
        <v>40233000.74376072</v>
      </c>
      <c r="J212" s="6"/>
      <c r="K212" s="6"/>
      <c r="L212" s="6"/>
      <c r="M212" s="6"/>
      <c r="N212" s="6"/>
      <c r="O212" s="6"/>
      <c r="P212" s="6"/>
      <c r="Q212" s="6"/>
      <c r="R212" s="6"/>
      <c r="X212" s="7"/>
      <c r="Z212" s="2"/>
      <c r="AA212" s="2"/>
      <c r="AB212" s="2"/>
    </row>
    <row r="213" spans="6:28">
      <c r="F213" s="5">
        <f t="shared" si="38"/>
        <v>1.3432680615249236E-2</v>
      </c>
      <c r="G213" s="4">
        <f t="shared" si="35"/>
        <v>735.14423699300175</v>
      </c>
      <c r="H213" s="3">
        <f t="shared" si="36"/>
        <v>54728.036648056754</v>
      </c>
      <c r="I213">
        <f t="shared" si="37"/>
        <v>40233000.74376072</v>
      </c>
      <c r="J213" s="6"/>
      <c r="K213" s="6"/>
      <c r="L213" s="6"/>
      <c r="M213" s="6"/>
      <c r="N213" s="6"/>
      <c r="O213" s="6"/>
      <c r="P213" s="6"/>
      <c r="Q213" s="6"/>
      <c r="R213" s="6"/>
      <c r="X213" s="7"/>
      <c r="Z213" s="2"/>
      <c r="AA213" s="2"/>
      <c r="AB213" s="2"/>
    </row>
    <row r="214" spans="6:28">
      <c r="F214" s="5">
        <f t="shared" si="38"/>
        <v>1.2900746462885368E-2</v>
      </c>
      <c r="G214" s="4">
        <f t="shared" si="35"/>
        <v>720.44135225314176</v>
      </c>
      <c r="H214" s="3">
        <f t="shared" si="36"/>
        <v>55844.935355159949</v>
      </c>
      <c r="I214">
        <f t="shared" si="37"/>
        <v>40233000.74376072</v>
      </c>
      <c r="J214" s="6"/>
      <c r="K214" s="6"/>
      <c r="L214" s="6"/>
      <c r="M214" s="6"/>
      <c r="N214" s="6"/>
      <c r="O214" s="6"/>
      <c r="P214" s="6"/>
      <c r="Q214" s="6"/>
      <c r="R214" s="6"/>
      <c r="X214" s="7"/>
      <c r="Z214" s="2"/>
      <c r="AA214" s="2"/>
      <c r="AB214" s="2"/>
    </row>
    <row r="215" spans="6:28">
      <c r="F215" s="5">
        <f t="shared" si="38"/>
        <v>1.2389876902955108E-2</v>
      </c>
      <c r="G215" s="4">
        <f t="shared" si="35"/>
        <v>706.03252520807894</v>
      </c>
      <c r="H215" s="3">
        <f t="shared" si="36"/>
        <v>56984.627913428521</v>
      </c>
      <c r="I215">
        <f t="shared" si="37"/>
        <v>40233000.74376072</v>
      </c>
      <c r="J215" s="6"/>
      <c r="K215" s="6"/>
      <c r="L215" s="6"/>
      <c r="M215" s="6"/>
      <c r="N215" s="6"/>
      <c r="O215" s="6"/>
      <c r="P215" s="6"/>
      <c r="Q215" s="6"/>
      <c r="R215" s="6"/>
      <c r="X215" s="7"/>
      <c r="Z215" s="2"/>
      <c r="AA215" s="2"/>
      <c r="AB215" s="2"/>
    </row>
    <row r="216" spans="6:28">
      <c r="F216" s="5">
        <f t="shared" si="38"/>
        <v>1.1899237777598085E-2</v>
      </c>
      <c r="G216" s="4">
        <f t="shared" si="35"/>
        <v>691.91187470391731</v>
      </c>
      <c r="H216" s="3">
        <f t="shared" si="36"/>
        <v>58147.579503498491</v>
      </c>
      <c r="I216">
        <f t="shared" si="37"/>
        <v>40233000.74376072</v>
      </c>
      <c r="J216" s="6"/>
      <c r="K216" s="6"/>
      <c r="L216" s="6"/>
      <c r="M216" s="6"/>
      <c r="N216" s="6"/>
      <c r="O216" s="6"/>
      <c r="P216" s="6"/>
      <c r="Q216" s="6"/>
      <c r="R216" s="6"/>
      <c r="X216" s="7"/>
      <c r="Z216" s="2"/>
      <c r="AA216" s="2"/>
      <c r="AB216" s="2"/>
    </row>
    <row r="217" spans="6:28">
      <c r="F217" s="5">
        <f t="shared" si="38"/>
        <v>1.1428027961605199E-2</v>
      </c>
      <c r="G217" s="4">
        <f t="shared" si="35"/>
        <v>678.07363720983892</v>
      </c>
      <c r="H217" s="3">
        <f t="shared" si="36"/>
        <v>59334.264799488265</v>
      </c>
      <c r="I217">
        <f t="shared" si="37"/>
        <v>40233000.74376072</v>
      </c>
      <c r="J217" s="6"/>
      <c r="K217" s="6"/>
      <c r="L217" s="6"/>
      <c r="M217" s="6"/>
      <c r="N217" s="6"/>
      <c r="O217" s="6"/>
      <c r="P217" s="6"/>
      <c r="Q217" s="6"/>
      <c r="R217" s="6"/>
      <c r="X217" s="7"/>
      <c r="Z217" s="2"/>
      <c r="AA217" s="2"/>
      <c r="AB217" s="2"/>
    </row>
    <row r="218" spans="6:28">
      <c r="F218" s="5">
        <f t="shared" si="38"/>
        <v>1.0975478054325633E-2</v>
      </c>
      <c r="G218" s="4">
        <f t="shared" si="35"/>
        <v>664.51216446564217</v>
      </c>
      <c r="H218" s="3">
        <f t="shared" si="36"/>
        <v>60545.168162743124</v>
      </c>
      <c r="I218">
        <f t="shared" si="37"/>
        <v>40233000.74376072</v>
      </c>
      <c r="J218" s="6"/>
      <c r="K218" s="6"/>
      <c r="L218" s="6"/>
      <c r="M218" s="6"/>
      <c r="N218" s="6"/>
      <c r="O218" s="6"/>
      <c r="P218" s="6"/>
      <c r="Q218" s="6"/>
      <c r="R218" s="6"/>
      <c r="X218" s="7"/>
      <c r="Z218" s="2"/>
      <c r="AA218" s="2"/>
      <c r="AB218" s="2"/>
    </row>
    <row r="219" spans="6:28">
      <c r="F219" s="5">
        <f t="shared" si="38"/>
        <v>1.0540849123374336E-2</v>
      </c>
      <c r="G219" s="4">
        <f t="shared" si="35"/>
        <v>651.22192117632926</v>
      </c>
      <c r="H219" s="3">
        <f t="shared" si="36"/>
        <v>61780.783839533804</v>
      </c>
      <c r="I219">
        <f t="shared" si="37"/>
        <v>40233000.74376072</v>
      </c>
      <c r="J219" s="6"/>
      <c r="K219" s="6"/>
      <c r="L219" s="6"/>
      <c r="M219" s="6"/>
      <c r="N219" s="6"/>
      <c r="O219" s="6"/>
      <c r="P219" s="6"/>
      <c r="Q219" s="6"/>
      <c r="R219" s="6"/>
      <c r="X219" s="7"/>
      <c r="Z219" s="2"/>
      <c r="AA219" s="2"/>
      <c r="AB219" s="2"/>
    </row>
    <row r="220" spans="6:28">
      <c r="F220" s="5">
        <f t="shared" si="38"/>
        <v>1.0123431498088711E-2</v>
      </c>
      <c r="G220" s="4">
        <f t="shared" si="35"/>
        <v>638.19748275280267</v>
      </c>
      <c r="H220" s="3">
        <f t="shared" si="36"/>
        <v>63041.6161627896</v>
      </c>
      <c r="I220">
        <f t="shared" si="37"/>
        <v>40233000.74376072</v>
      </c>
      <c r="J220" s="6"/>
      <c r="K220" s="6"/>
      <c r="L220" s="6"/>
      <c r="M220" s="6"/>
      <c r="N220" s="6"/>
      <c r="O220" s="6"/>
      <c r="P220" s="6"/>
      <c r="Q220" s="6"/>
      <c r="R220" s="6"/>
      <c r="X220" s="7"/>
      <c r="Z220" s="2"/>
      <c r="AA220" s="2"/>
      <c r="AB220" s="2"/>
    </row>
    <row r="221" spans="6:28">
      <c r="F221" s="5">
        <f t="shared" si="38"/>
        <v>9.7225436107643975E-3</v>
      </c>
      <c r="G221" s="4">
        <f t="shared" si="35"/>
        <v>625.43353309774659</v>
      </c>
      <c r="H221" s="3">
        <f t="shared" si="36"/>
        <v>64328.179757948572</v>
      </c>
      <c r="I221">
        <f t="shared" si="37"/>
        <v>40233000.74376072</v>
      </c>
      <c r="J221" s="6"/>
      <c r="K221" s="6"/>
      <c r="L221" s="6"/>
      <c r="M221" s="6"/>
      <c r="N221" s="6"/>
      <c r="O221" s="6"/>
      <c r="P221" s="6"/>
      <c r="Q221" s="6"/>
      <c r="R221" s="6"/>
      <c r="X221" s="7"/>
      <c r="Z221" s="2"/>
      <c r="AA221" s="2"/>
      <c r="AB221" s="2"/>
    </row>
    <row r="222" spans="6:28">
      <c r="F222" s="5">
        <f t="shared" si="38"/>
        <v>9.3375308837781255E-3</v>
      </c>
      <c r="G222" s="4">
        <f t="shared" si="35"/>
        <v>612.92486243579162</v>
      </c>
      <c r="H222" s="3">
        <f t="shared" si="36"/>
        <v>65640.999753008757</v>
      </c>
      <c r="I222">
        <f t="shared" si="37"/>
        <v>40233000.74376072</v>
      </c>
      <c r="J222" s="6"/>
      <c r="K222" s="6"/>
      <c r="L222" s="6"/>
      <c r="M222" s="6"/>
      <c r="N222" s="6"/>
      <c r="O222" s="6"/>
      <c r="P222" s="6"/>
      <c r="Q222" s="6"/>
      <c r="R222" s="6"/>
      <c r="X222" s="7"/>
      <c r="Z222" s="2"/>
      <c r="AA222" s="2"/>
      <c r="AB222" s="2"/>
    </row>
    <row r="223" spans="6:28">
      <c r="F223" s="5">
        <f t="shared" si="38"/>
        <v>8.967764660780515E-3</v>
      </c>
      <c r="G223" s="4">
        <f t="shared" si="35"/>
        <v>600.66636518707583</v>
      </c>
      <c r="H223" s="3">
        <f t="shared" si="36"/>
        <v>66980.611992866063</v>
      </c>
      <c r="I223">
        <f t="shared" si="37"/>
        <v>40233000.74376072</v>
      </c>
      <c r="J223" s="6"/>
      <c r="K223" s="6"/>
      <c r="L223" s="6"/>
      <c r="M223" s="6"/>
      <c r="N223" s="6"/>
      <c r="O223" s="6"/>
      <c r="P223" s="6"/>
      <c r="Q223" s="6"/>
      <c r="R223" s="6"/>
      <c r="X223" s="7"/>
      <c r="Z223" s="2"/>
      <c r="AA223" s="2"/>
      <c r="AB223" s="2"/>
    </row>
    <row r="224" spans="6:28">
      <c r="F224" s="5">
        <f t="shared" si="38"/>
        <v>8.6126411802136035E-3</v>
      </c>
      <c r="G224" s="4">
        <f t="shared" si="35"/>
        <v>588.65303788333426</v>
      </c>
      <c r="H224" s="3">
        <f t="shared" si="36"/>
        <v>68347.56325802661</v>
      </c>
      <c r="I224">
        <f t="shared" si="37"/>
        <v>40233000.74376072</v>
      </c>
      <c r="J224" s="6"/>
      <c r="K224" s="6"/>
      <c r="L224" s="6"/>
      <c r="M224" s="6"/>
      <c r="N224" s="6"/>
      <c r="O224" s="6"/>
      <c r="P224" s="6"/>
      <c r="Q224" s="6"/>
      <c r="R224" s="6"/>
      <c r="X224" s="7"/>
      <c r="Z224" s="2"/>
      <c r="AA224" s="2"/>
      <c r="AB224" s="2"/>
    </row>
    <row r="225" spans="6:28">
      <c r="F225" s="5">
        <f t="shared" si="38"/>
        <v>8.2715805894771448E-3</v>
      </c>
      <c r="G225" s="4">
        <f t="shared" si="35"/>
        <v>576.87997712566755</v>
      </c>
      <c r="H225" s="3">
        <f t="shared" si="36"/>
        <v>69742.411487782258</v>
      </c>
      <c r="I225">
        <f t="shared" si="37"/>
        <v>40233000.74376072</v>
      </c>
      <c r="J225" s="6"/>
      <c r="K225" s="6"/>
      <c r="L225" s="6"/>
      <c r="M225" s="6"/>
      <c r="N225" s="6"/>
      <c r="O225" s="6"/>
      <c r="P225" s="6"/>
      <c r="Q225" s="6"/>
      <c r="R225" s="6"/>
      <c r="X225" s="7"/>
      <c r="Z225" s="2"/>
      <c r="AA225" s="2"/>
      <c r="AB225" s="2"/>
    </row>
    <row r="226" spans="6:28">
      <c r="F226" s="5">
        <f t="shared" si="38"/>
        <v>7.9440259981338503E-3</v>
      </c>
      <c r="G226" s="4">
        <f t="shared" si="35"/>
        <v>565.34237758315419</v>
      </c>
      <c r="H226" s="3">
        <f t="shared" si="36"/>
        <v>71165.726007941077</v>
      </c>
      <c r="I226">
        <f t="shared" si="37"/>
        <v>40233000.74376072</v>
      </c>
      <c r="J226" s="6"/>
      <c r="K226" s="6"/>
      <c r="L226" s="6"/>
      <c r="M226" s="6"/>
      <c r="N226" s="6"/>
      <c r="O226" s="6"/>
      <c r="P226" s="6"/>
      <c r="Q226" s="6"/>
      <c r="R226" s="6"/>
      <c r="X226" s="7"/>
      <c r="Z226" s="2"/>
      <c r="AA226" s="2"/>
      <c r="AB226" s="2"/>
    </row>
    <row r="227" spans="6:28">
      <c r="F227" s="5">
        <f t="shared" si="38"/>
        <v>7.6294425686077505E-3</v>
      </c>
      <c r="G227" s="4">
        <f t="shared" si="35"/>
        <v>554.03553003149113</v>
      </c>
      <c r="H227" s="3">
        <f t="shared" si="36"/>
        <v>72618.087763205171</v>
      </c>
      <c r="I227">
        <f t="shared" si="37"/>
        <v>40233000.74376072</v>
      </c>
      <c r="J227" s="6"/>
      <c r="K227" s="6"/>
      <c r="L227" s="6"/>
      <c r="M227" s="6"/>
      <c r="N227" s="6"/>
      <c r="O227" s="6"/>
      <c r="P227" s="6"/>
      <c r="Q227" s="6"/>
      <c r="R227" s="6"/>
      <c r="X227" s="7"/>
      <c r="Z227" s="2"/>
      <c r="AA227" s="2"/>
      <c r="AB227" s="2"/>
    </row>
    <row r="228" spans="6:28">
      <c r="F228" s="5">
        <f t="shared" si="38"/>
        <v>7.327316642890885E-3</v>
      </c>
      <c r="G228" s="4">
        <f t="shared" si="35"/>
        <v>542.95481943086133</v>
      </c>
      <c r="H228" s="3">
        <f t="shared" si="36"/>
        <v>74100.089554290986</v>
      </c>
      <c r="I228">
        <f t="shared" si="37"/>
        <v>40233000.74376072</v>
      </c>
      <c r="J228" s="6"/>
      <c r="K228" s="6"/>
      <c r="L228" s="6"/>
      <c r="M228" s="6"/>
      <c r="N228" s="6"/>
      <c r="O228" s="6"/>
      <c r="P228" s="6"/>
      <c r="Q228" s="6"/>
      <c r="R228" s="6"/>
      <c r="X228" s="7"/>
      <c r="Z228" s="2"/>
      <c r="AA228" s="2"/>
      <c r="AB228" s="2"/>
    </row>
    <row r="229" spans="6:28">
      <c r="F229" s="5">
        <f t="shared" si="38"/>
        <v>7.0371549038324051E-3</v>
      </c>
      <c r="G229" s="4">
        <f t="shared" si="35"/>
        <v>532.09572304224412</v>
      </c>
      <c r="H229" s="3">
        <f t="shared" si="36"/>
        <v>75612.336279888768</v>
      </c>
      <c r="I229">
        <f t="shared" si="37"/>
        <v>40233000.74376072</v>
      </c>
      <c r="J229" s="6"/>
      <c r="K229" s="6"/>
      <c r="L229" s="6"/>
      <c r="M229" s="6"/>
      <c r="N229" s="6"/>
      <c r="O229" s="6"/>
      <c r="P229" s="6"/>
      <c r="Q229" s="6"/>
      <c r="R229" s="6"/>
      <c r="X229" s="7"/>
      <c r="Z229" s="2"/>
      <c r="AA229" s="2"/>
      <c r="AB229" s="2"/>
    </row>
    <row r="230" spans="6:28">
      <c r="F230" s="5">
        <f t="shared" si="38"/>
        <v>6.7584835696406428E-3</v>
      </c>
      <c r="G230" s="4">
        <f t="shared" si="35"/>
        <v>521.45380858139924</v>
      </c>
      <c r="H230" s="3">
        <f t="shared" si="36"/>
        <v>77155.445183559961</v>
      </c>
      <c r="I230">
        <f t="shared" si="37"/>
        <v>40233000.74376072</v>
      </c>
      <c r="J230" s="6"/>
      <c r="K230" s="6"/>
      <c r="L230" s="6"/>
      <c r="M230" s="6"/>
      <c r="N230" s="6"/>
      <c r="O230" s="6"/>
      <c r="P230" s="6"/>
      <c r="Q230" s="6"/>
      <c r="R230" s="6"/>
      <c r="X230" s="7"/>
      <c r="Z230" s="2"/>
      <c r="AA230" s="2"/>
      <c r="AB230" s="2"/>
    </row>
    <row r="231" spans="6:28">
      <c r="F231" s="5">
        <f t="shared" si="38"/>
        <v>6.4908476202828729E-3</v>
      </c>
      <c r="G231" s="4">
        <f t="shared" si="35"/>
        <v>511.02473240977127</v>
      </c>
      <c r="H231" s="3">
        <f t="shared" si="36"/>
        <v>78730.046105673435</v>
      </c>
      <c r="I231">
        <f t="shared" si="37"/>
        <v>40233000.74376072</v>
      </c>
      <c r="J231" s="6"/>
      <c r="K231" s="6"/>
      <c r="L231" s="6"/>
      <c r="M231" s="6"/>
      <c r="N231" s="6"/>
      <c r="O231" s="6"/>
      <c r="P231" s="6"/>
      <c r="Q231" s="6"/>
      <c r="R231" s="6"/>
      <c r="X231" s="7"/>
      <c r="Z231" s="2"/>
      <c r="AA231" s="2"/>
      <c r="AB231" s="2"/>
    </row>
    <row r="232" spans="6:28">
      <c r="F232" s="5">
        <f t="shared" si="38"/>
        <v>6.233810054519672E-3</v>
      </c>
      <c r="G232" s="4">
        <f t="shared" si="35"/>
        <v>500.80423776157585</v>
      </c>
      <c r="H232" s="3">
        <f t="shared" si="36"/>
        <v>80336.781740483086</v>
      </c>
      <c r="I232">
        <f t="shared" si="37"/>
        <v>40233000.74376072</v>
      </c>
      <c r="J232" s="6"/>
      <c r="K232" s="6"/>
      <c r="L232" s="6"/>
      <c r="M232" s="6"/>
      <c r="N232" s="6"/>
      <c r="O232" s="6"/>
      <c r="P232" s="6"/>
      <c r="Q232" s="6"/>
      <c r="R232" s="6"/>
      <c r="X232" s="7"/>
      <c r="Z232" s="2"/>
      <c r="AA232" s="2"/>
      <c r="AB232" s="2"/>
    </row>
    <row r="233" spans="6:28">
      <c r="F233" s="5">
        <f t="shared" si="38"/>
        <v>5.9869511763606916E-3</v>
      </c>
      <c r="G233" s="4">
        <f t="shared" si="35"/>
        <v>490.78815300634432</v>
      </c>
      <c r="H233" s="3">
        <f t="shared" si="36"/>
        <v>81976.307898452142</v>
      </c>
      <c r="I233">
        <f t="shared" si="37"/>
        <v>40233000.74376072</v>
      </c>
      <c r="J233" s="6"/>
      <c r="K233" s="6"/>
      <c r="L233" s="6"/>
      <c r="M233" s="6"/>
      <c r="N233" s="6"/>
      <c r="O233" s="6"/>
      <c r="P233" s="6"/>
      <c r="Q233" s="6"/>
      <c r="R233" s="6"/>
      <c r="X233" s="7"/>
      <c r="Z233" s="2"/>
      <c r="AA233" s="2"/>
      <c r="AB233" s="2"/>
    </row>
    <row r="234" spans="6:28">
      <c r="F234" s="5">
        <f t="shared" si="38"/>
        <v>5.7498679097768091E-3</v>
      </c>
      <c r="G234" s="4">
        <f t="shared" si="35"/>
        <v>480.97238994621745</v>
      </c>
      <c r="H234" s="3">
        <f t="shared" si="36"/>
        <v>83649.293773930753</v>
      </c>
      <c r="I234">
        <f t="shared" si="37"/>
        <v>40233000.74376072</v>
      </c>
      <c r="J234" s="6"/>
      <c r="K234" s="6"/>
      <c r="L234" s="6"/>
      <c r="M234" s="6"/>
      <c r="N234" s="6"/>
      <c r="O234" s="6"/>
      <c r="P234" s="6"/>
      <c r="Q234" s="6"/>
      <c r="R234" s="6"/>
      <c r="X234" s="7"/>
      <c r="Z234" s="2"/>
      <c r="AA234" s="2"/>
      <c r="AB234" s="2"/>
    </row>
    <row r="235" spans="6:28">
      <c r="F235" s="5">
        <f t="shared" si="38"/>
        <v>5.5221731405496483E-3</v>
      </c>
      <c r="G235" s="4">
        <f t="shared" si="35"/>
        <v>471.35294214729311</v>
      </c>
      <c r="H235" s="3">
        <f t="shared" si="36"/>
        <v>85356.422218296677</v>
      </c>
      <c r="I235">
        <f t="shared" si="37"/>
        <v>40233000.74376072</v>
      </c>
      <c r="J235" s="6"/>
      <c r="K235" s="6"/>
      <c r="L235" s="6"/>
      <c r="M235" s="6"/>
      <c r="N235" s="6"/>
      <c r="O235" s="6"/>
      <c r="P235" s="6"/>
      <c r="Q235" s="6"/>
      <c r="R235" s="6"/>
      <c r="X235" s="7"/>
      <c r="Z235" s="2"/>
      <c r="AA235" s="2"/>
      <c r="AB235" s="2"/>
    </row>
    <row r="236" spans="6:28">
      <c r="F236" s="5">
        <f t="shared" si="38"/>
        <v>5.3034950841838804E-3</v>
      </c>
      <c r="G236" s="4">
        <f t="shared" si="35"/>
        <v>461.92588330434722</v>
      </c>
      <c r="H236" s="3">
        <f t="shared" si="36"/>
        <v>87098.390018670092</v>
      </c>
      <c r="I236">
        <f t="shared" si="37"/>
        <v>40233000.74376072</v>
      </c>
      <c r="J236" s="6"/>
      <c r="K236" s="6"/>
      <c r="L236" s="6"/>
      <c r="M236" s="6"/>
      <c r="N236" s="6"/>
      <c r="O236" s="6"/>
      <c r="P236" s="6"/>
      <c r="Q236" s="6"/>
      <c r="R236" s="6"/>
      <c r="X236" s="7"/>
      <c r="Z236" s="2"/>
      <c r="AA236" s="2"/>
      <c r="AB236" s="2"/>
    </row>
    <row r="237" spans="6:28">
      <c r="F237" s="5">
        <f t="shared" si="38"/>
        <v>5.0934766788501987E-3</v>
      </c>
      <c r="G237" s="4">
        <f t="shared" si="35"/>
        <v>452.68736563826025</v>
      </c>
      <c r="H237" s="3">
        <f t="shared" si="36"/>
        <v>88875.908182316416</v>
      </c>
      <c r="I237">
        <f t="shared" si="37"/>
        <v>40233000.74376072</v>
      </c>
      <c r="J237" s="6"/>
      <c r="K237" s="6"/>
      <c r="L237" s="6"/>
      <c r="M237" s="6"/>
      <c r="N237" s="6"/>
      <c r="O237" s="6"/>
      <c r="P237" s="6"/>
      <c r="Q237" s="6"/>
      <c r="R237" s="6"/>
      <c r="X237" s="7"/>
      <c r="Z237" s="2"/>
      <c r="AA237" s="2"/>
      <c r="AB237" s="2"/>
    </row>
    <row r="238" spans="6:28">
      <c r="F238" s="5">
        <f t="shared" si="38"/>
        <v>4.8917750023677303E-3</v>
      </c>
      <c r="G238" s="4">
        <f t="shared" si="35"/>
        <v>443.63361832549504</v>
      </c>
      <c r="H238" s="3">
        <f t="shared" si="36"/>
        <v>90689.702226853493</v>
      </c>
      <c r="I238">
        <f t="shared" si="37"/>
        <v>40233000.74376072</v>
      </c>
      <c r="J238" s="6"/>
      <c r="K238" s="6"/>
      <c r="L238" s="6"/>
      <c r="M238" s="6"/>
      <c r="N238" s="6"/>
      <c r="O238" s="6"/>
      <c r="P238" s="6"/>
      <c r="Q238" s="6"/>
      <c r="R238" s="6"/>
      <c r="X238" s="7"/>
      <c r="Z238" s="2"/>
      <c r="AA238" s="2"/>
      <c r="AB238" s="2"/>
    </row>
    <row r="239" spans="6:28">
      <c r="F239" s="5">
        <f t="shared" si="38"/>
        <v>4.6980607122739685E-3</v>
      </c>
      <c r="G239" s="4">
        <f t="shared" si="35"/>
        <v>434.76094595898513</v>
      </c>
      <c r="H239" s="3">
        <f t="shared" si="36"/>
        <v>92540.512476381118</v>
      </c>
      <c r="I239">
        <f t="shared" si="37"/>
        <v>40233000.74376072</v>
      </c>
      <c r="J239" s="6"/>
      <c r="K239" s="6"/>
      <c r="L239" s="6"/>
      <c r="M239" s="6"/>
      <c r="N239" s="6"/>
      <c r="O239" s="6"/>
      <c r="P239" s="6"/>
      <c r="Q239" s="6"/>
      <c r="R239" s="6"/>
      <c r="X239" s="7"/>
      <c r="Z239" s="2"/>
      <c r="AA239" s="2"/>
      <c r="AB239" s="2"/>
    </row>
    <row r="240" spans="6:28">
      <c r="F240" s="5">
        <f t="shared" si="38"/>
        <v>4.5120175080679194E-3</v>
      </c>
      <c r="G240" s="4">
        <f t="shared" si="35"/>
        <v>426.06572703980544</v>
      </c>
      <c r="H240" s="3">
        <f t="shared" si="36"/>
        <v>94429.094363654192</v>
      </c>
      <c r="I240">
        <f t="shared" si="37"/>
        <v>40233000.74376072</v>
      </c>
      <c r="J240" s="6"/>
      <c r="K240" s="6"/>
      <c r="L240" s="6"/>
      <c r="M240" s="6"/>
      <c r="N240" s="6"/>
      <c r="O240" s="6"/>
      <c r="P240" s="6"/>
      <c r="Q240" s="6"/>
      <c r="R240" s="6"/>
      <c r="X240" s="7"/>
      <c r="Z240" s="2"/>
      <c r="AA240" s="2"/>
      <c r="AB240" s="2"/>
    </row>
    <row r="241" spans="6:28">
      <c r="F241" s="5">
        <f t="shared" si="38"/>
        <v>4.3333416147484293E-3</v>
      </c>
      <c r="G241" s="4">
        <f t="shared" si="35"/>
        <v>417.5444124990093</v>
      </c>
      <c r="H241" s="3">
        <f t="shared" si="36"/>
        <v>96356.218738422656</v>
      </c>
      <c r="I241">
        <f t="shared" si="37"/>
        <v>40233000.74376072</v>
      </c>
      <c r="J241" s="6"/>
      <c r="K241" s="6"/>
      <c r="L241" s="6"/>
      <c r="M241" s="6"/>
      <c r="N241" s="6"/>
      <c r="O241" s="6"/>
      <c r="P241" s="6"/>
      <c r="Q241" s="6"/>
      <c r="R241" s="6"/>
      <c r="X241" s="7"/>
      <c r="Z241" s="2"/>
      <c r="AA241" s="2"/>
      <c r="AB241" s="2"/>
    </row>
    <row r="242" spans="6:28">
      <c r="F242" s="5">
        <f t="shared" si="38"/>
        <v>4.1617412868043911E-3</v>
      </c>
      <c r="G242" s="4">
        <f t="shared" ref="G242:G305" si="39">G241*(1-$O$1)</f>
        <v>409.19352424902911</v>
      </c>
      <c r="H242" s="3">
        <f t="shared" ref="H242:H305" si="40">I242/G242</f>
        <v>98322.672182063936</v>
      </c>
      <c r="I242">
        <f t="shared" ref="I242:I305" si="41">I241</f>
        <v>40233000.74376072</v>
      </c>
      <c r="J242" s="6"/>
      <c r="K242" s="6"/>
      <c r="L242" s="6"/>
      <c r="M242" s="6"/>
      <c r="N242" s="6"/>
      <c r="O242" s="6"/>
      <c r="P242" s="6"/>
      <c r="Q242" s="6"/>
      <c r="R242" s="6"/>
      <c r="X242" s="7"/>
      <c r="Z242" s="2"/>
      <c r="AA242" s="2"/>
      <c r="AB242" s="2"/>
    </row>
    <row r="243" spans="6:28">
      <c r="F243" s="5">
        <f t="shared" si="38"/>
        <v>3.9969363318469366E-3</v>
      </c>
      <c r="G243" s="4">
        <f t="shared" si="39"/>
        <v>401.00965376404849</v>
      </c>
      <c r="H243" s="3">
        <f t="shared" si="40"/>
        <v>100329.25732863668</v>
      </c>
      <c r="I243">
        <f t="shared" si="41"/>
        <v>40233000.74376072</v>
      </c>
      <c r="J243" s="6"/>
      <c r="K243" s="6"/>
      <c r="L243" s="6"/>
      <c r="M243" s="6"/>
      <c r="N243" s="6"/>
      <c r="O243" s="6"/>
      <c r="P243" s="6"/>
      <c r="Q243" s="6"/>
      <c r="R243" s="6"/>
      <c r="X243" s="7"/>
      <c r="Z243" s="2"/>
      <c r="AA243" s="2"/>
      <c r="AB243" s="2"/>
    </row>
    <row r="244" spans="6:28">
      <c r="F244" s="5">
        <f t="shared" si="38"/>
        <v>3.8386576531057978E-3</v>
      </c>
      <c r="G244" s="4">
        <f t="shared" si="39"/>
        <v>392.98946068876751</v>
      </c>
      <c r="H244" s="3">
        <f t="shared" si="40"/>
        <v>102376.79319248641</v>
      </c>
      <c r="I244">
        <f t="shared" si="41"/>
        <v>40233000.74376072</v>
      </c>
      <c r="J244" s="6"/>
      <c r="K244" s="6"/>
      <c r="L244" s="6"/>
      <c r="M244" s="6"/>
      <c r="N244" s="6"/>
      <c r="O244" s="6"/>
      <c r="P244" s="6"/>
      <c r="Q244" s="6"/>
      <c r="R244" s="6"/>
      <c r="X244" s="7"/>
      <c r="Z244" s="2"/>
      <c r="AA244" s="2"/>
      <c r="AB244" s="2"/>
    </row>
    <row r="245" spans="6:28">
      <c r="F245" s="5">
        <f t="shared" si="38"/>
        <v>3.6866468100428085E-3</v>
      </c>
      <c r="G245" s="4">
        <f t="shared" si="39"/>
        <v>385.12967147499216</v>
      </c>
      <c r="H245" s="3">
        <f t="shared" si="40"/>
        <v>104466.11550253716</v>
      </c>
      <c r="I245">
        <f t="shared" si="41"/>
        <v>40233000.74376072</v>
      </c>
      <c r="J245" s="6"/>
      <c r="K245" s="6"/>
      <c r="L245" s="6"/>
      <c r="M245" s="6"/>
      <c r="N245" s="6"/>
      <c r="O245" s="6"/>
      <c r="P245" s="6"/>
      <c r="Q245" s="6"/>
      <c r="R245" s="6"/>
      <c r="X245" s="7"/>
      <c r="Z245" s="2"/>
      <c r="AA245" s="2"/>
      <c r="AB245" s="2"/>
    </row>
    <row r="246" spans="6:28">
      <c r="F246" s="5">
        <f t="shared" si="38"/>
        <v>3.5406555963651124E-3</v>
      </c>
      <c r="G246" s="4">
        <f t="shared" si="39"/>
        <v>377.42707804549229</v>
      </c>
      <c r="H246" s="3">
        <f t="shared" si="40"/>
        <v>106598.07704340527</v>
      </c>
      <c r="I246">
        <f t="shared" si="41"/>
        <v>40233000.74376072</v>
      </c>
      <c r="J246" s="6"/>
      <c r="K246" s="6"/>
      <c r="L246" s="6"/>
      <c r="M246" s="6"/>
      <c r="N246" s="6"/>
      <c r="O246" s="6"/>
      <c r="P246" s="6"/>
      <c r="Q246" s="6"/>
      <c r="R246" s="6"/>
      <c r="X246" s="7"/>
      <c r="Z246" s="2"/>
      <c r="AA246" s="2"/>
      <c r="AB246" s="2"/>
    </row>
    <row r="247" spans="6:28">
      <c r="F247" s="5">
        <f t="shared" si="38"/>
        <v>3.4004456347490543E-3</v>
      </c>
      <c r="G247" s="4">
        <f t="shared" si="39"/>
        <v>369.87853648458247</v>
      </c>
      <c r="H247" s="3">
        <f t="shared" si="40"/>
        <v>108773.54800347476</v>
      </c>
      <c r="I247">
        <f t="shared" si="41"/>
        <v>40233000.74376072</v>
      </c>
      <c r="J247" s="6"/>
      <c r="K247" s="6"/>
      <c r="L247" s="6"/>
      <c r="M247" s="6"/>
      <c r="N247" s="6"/>
      <c r="O247" s="6"/>
      <c r="P247" s="6"/>
      <c r="Q247" s="6"/>
      <c r="R247" s="6"/>
      <c r="X247" s="7"/>
      <c r="Z247" s="2"/>
      <c r="AA247" s="2"/>
      <c r="AB247" s="2"/>
    </row>
    <row r="248" spans="6:28">
      <c r="F248" s="5">
        <f t="shared" si="38"/>
        <v>3.2657879876129914E-3</v>
      </c>
      <c r="G248" s="4">
        <f t="shared" si="39"/>
        <v>362.4809657548908</v>
      </c>
      <c r="H248" s="3">
        <f t="shared" si="40"/>
        <v>110993.41633007629</v>
      </c>
      <c r="I248">
        <f t="shared" si="41"/>
        <v>40233000.74376072</v>
      </c>
      <c r="J248" s="6"/>
      <c r="K248" s="6"/>
      <c r="L248" s="6"/>
      <c r="M248" s="6"/>
      <c r="N248" s="6"/>
      <c r="O248" s="6"/>
      <c r="P248" s="6"/>
      <c r="Q248" s="6"/>
      <c r="R248" s="6"/>
      <c r="X248" s="7"/>
      <c r="Z248" s="2"/>
      <c r="AA248" s="2"/>
      <c r="AB248" s="2"/>
    </row>
    <row r="249" spans="6:28">
      <c r="F249" s="5">
        <f t="shared" si="38"/>
        <v>3.1364627833035167E-3</v>
      </c>
      <c r="G249" s="4">
        <f t="shared" si="39"/>
        <v>355.23134643979296</v>
      </c>
      <c r="H249" s="3">
        <f t="shared" si="40"/>
        <v>113258.58809191459</v>
      </c>
      <c r="I249">
        <f t="shared" si="41"/>
        <v>40233000.74376072</v>
      </c>
      <c r="J249" s="6"/>
      <c r="K249" s="6"/>
      <c r="L249" s="6"/>
      <c r="M249" s="6"/>
      <c r="N249" s="6"/>
      <c r="O249" s="6"/>
      <c r="P249" s="6"/>
      <c r="Q249" s="6"/>
      <c r="R249" s="6"/>
      <c r="X249" s="7"/>
      <c r="Z249" s="2"/>
      <c r="AA249" s="2"/>
      <c r="AB249" s="2"/>
    </row>
    <row r="250" spans="6:28">
      <c r="F250" s="5">
        <f t="shared" si="38"/>
        <v>3.0122588570846969E-3</v>
      </c>
      <c r="G250" s="4">
        <f t="shared" si="39"/>
        <v>348.12671951099708</v>
      </c>
      <c r="H250" s="3">
        <f t="shared" si="40"/>
        <v>115569.98784889244</v>
      </c>
      <c r="I250">
        <f t="shared" si="41"/>
        <v>40233000.74376072</v>
      </c>
      <c r="J250" s="6"/>
      <c r="K250" s="6"/>
      <c r="L250" s="6"/>
      <c r="M250" s="6"/>
      <c r="N250" s="6"/>
      <c r="O250" s="6"/>
      <c r="P250" s="6"/>
      <c r="Q250" s="6"/>
      <c r="R250" s="6"/>
      <c r="X250" s="7"/>
      <c r="Z250" s="2"/>
      <c r="AA250" s="2"/>
      <c r="AB250" s="2"/>
    </row>
    <row r="251" spans="6:28">
      <c r="F251" s="5">
        <f t="shared" si="38"/>
        <v>2.8929734063441429E-3</v>
      </c>
      <c r="G251" s="4">
        <f t="shared" si="39"/>
        <v>341.16418512077712</v>
      </c>
      <c r="H251" s="3">
        <f t="shared" si="40"/>
        <v>117928.55902948209</v>
      </c>
      <c r="I251">
        <f t="shared" si="41"/>
        <v>40233000.74376072</v>
      </c>
      <c r="J251" s="6"/>
      <c r="K251" s="6"/>
      <c r="L251" s="6"/>
      <c r="M251" s="6"/>
      <c r="N251" s="6"/>
      <c r="O251" s="6"/>
      <c r="P251" s="6"/>
      <c r="Q251" s="6"/>
      <c r="R251" s="6"/>
      <c r="X251" s="7"/>
      <c r="Z251" s="2"/>
      <c r="AA251" s="2"/>
      <c r="AB251" s="2"/>
    </row>
    <row r="252" spans="6:28">
      <c r="F252" s="5">
        <f t="shared" si="38"/>
        <v>2.7784116594529147E-3</v>
      </c>
      <c r="G252" s="4">
        <f t="shared" si="39"/>
        <v>334.34090141836157</v>
      </c>
      <c r="H252" s="3">
        <f t="shared" si="40"/>
        <v>120335.26431579805</v>
      </c>
      <c r="I252">
        <f t="shared" si="41"/>
        <v>40233000.74376072</v>
      </c>
      <c r="J252" s="6"/>
      <c r="K252" s="6"/>
      <c r="L252" s="6"/>
      <c r="M252" s="6"/>
      <c r="N252" s="6"/>
      <c r="O252" s="6"/>
      <c r="P252" s="6"/>
      <c r="Q252" s="6"/>
      <c r="R252" s="6"/>
      <c r="X252" s="7"/>
      <c r="Z252" s="2"/>
      <c r="AA252" s="2"/>
      <c r="AB252" s="2"/>
    </row>
    <row r="253" spans="6:28">
      <c r="F253" s="5">
        <f t="shared" si="38"/>
        <v>2.6683865577385793E-3</v>
      </c>
      <c r="G253" s="4">
        <f t="shared" si="39"/>
        <v>327.65408338999436</v>
      </c>
      <c r="H253" s="3">
        <f t="shared" si="40"/>
        <v>122791.08603652862</v>
      </c>
      <c r="I253">
        <f t="shared" si="41"/>
        <v>40233000.74376072</v>
      </c>
      <c r="J253" s="6"/>
      <c r="K253" s="6"/>
      <c r="L253" s="6"/>
      <c r="M253" s="6"/>
      <c r="N253" s="6"/>
      <c r="O253" s="6"/>
      <c r="P253" s="6"/>
      <c r="Q253" s="6"/>
      <c r="R253" s="6"/>
      <c r="X253" s="7"/>
      <c r="Z253" s="2"/>
      <c r="AA253" s="2"/>
      <c r="AB253" s="2"/>
    </row>
    <row r="254" spans="6:28">
      <c r="F254" s="5">
        <f t="shared" si="38"/>
        <v>2.5627184500521313E-3</v>
      </c>
      <c r="G254" s="4">
        <f t="shared" si="39"/>
        <v>321.10100172219444</v>
      </c>
      <c r="H254" s="3">
        <f t="shared" si="40"/>
        <v>125297.02656788637</v>
      </c>
      <c r="I254">
        <f t="shared" si="41"/>
        <v>40233000.74376072</v>
      </c>
      <c r="J254" s="6"/>
      <c r="K254" s="6"/>
      <c r="L254" s="6"/>
      <c r="M254" s="6"/>
      <c r="N254" s="6"/>
      <c r="O254" s="6"/>
      <c r="P254" s="6"/>
      <c r="Q254" s="6"/>
      <c r="R254" s="6"/>
      <c r="X254" s="7"/>
      <c r="Z254" s="2"/>
      <c r="AA254" s="2"/>
      <c r="AB254" s="2"/>
    </row>
    <row r="255" spans="6:28">
      <c r="F255" s="5">
        <f t="shared" si="38"/>
        <v>2.4612347994300665E-3</v>
      </c>
      <c r="G255" s="4">
        <f t="shared" si="39"/>
        <v>314.67898168775054</v>
      </c>
      <c r="H255" s="3">
        <f t="shared" si="40"/>
        <v>127854.10874274118</v>
      </c>
      <c r="I255">
        <f t="shared" si="41"/>
        <v>40233000.74376072</v>
      </c>
      <c r="J255" s="6"/>
      <c r="K255" s="6"/>
      <c r="L255" s="6"/>
      <c r="M255" s="6"/>
      <c r="N255" s="6"/>
      <c r="O255" s="6"/>
      <c r="P255" s="6"/>
      <c r="Q255" s="6"/>
      <c r="R255" s="6"/>
      <c r="X255" s="7"/>
      <c r="Z255" s="2"/>
      <c r="AA255" s="2"/>
      <c r="AB255" s="2"/>
    </row>
    <row r="256" spans="6:28">
      <c r="F256" s="5">
        <f t="shared" si="38"/>
        <v>2.3637699013726358E-3</v>
      </c>
      <c r="G256" s="4">
        <f t="shared" si="39"/>
        <v>308.38540205399551</v>
      </c>
      <c r="H256" s="3">
        <f t="shared" si="40"/>
        <v>130463.37626810327</v>
      </c>
      <c r="I256">
        <f t="shared" si="41"/>
        <v>40233000.74376072</v>
      </c>
      <c r="J256" s="6"/>
      <c r="K256" s="6"/>
      <c r="L256" s="6"/>
      <c r="M256" s="6"/>
      <c r="N256" s="6"/>
      <c r="O256" s="6"/>
      <c r="P256" s="6"/>
      <c r="Q256" s="6"/>
      <c r="R256" s="6"/>
      <c r="X256" s="7"/>
      <c r="Z256" s="2"/>
      <c r="AA256" s="2"/>
      <c r="AB256" s="2"/>
    </row>
    <row r="257" spans="6:28">
      <c r="F257" s="5">
        <f t="shared" si="38"/>
        <v>2.2701646132782796E-3</v>
      </c>
      <c r="G257" s="4">
        <f t="shared" si="39"/>
        <v>302.21769401291562</v>
      </c>
      <c r="H257" s="3">
        <f t="shared" si="40"/>
        <v>133125.89415112577</v>
      </c>
      <c r="I257">
        <f t="shared" si="41"/>
        <v>40233000.74376072</v>
      </c>
      <c r="J257" s="6"/>
      <c r="K257" s="6"/>
      <c r="L257" s="6"/>
      <c r="M257" s="6"/>
      <c r="N257" s="6"/>
      <c r="O257" s="6"/>
      <c r="P257" s="6"/>
      <c r="Q257" s="6"/>
      <c r="R257" s="6"/>
      <c r="X257" s="7"/>
      <c r="Z257" s="2"/>
      <c r="AA257" s="2"/>
      <c r="AB257" s="2"/>
    </row>
    <row r="258" spans="6:28">
      <c r="F258" s="5">
        <f t="shared" si="38"/>
        <v>2.1802660945924594E-3</v>
      </c>
      <c r="G258" s="4">
        <f t="shared" si="39"/>
        <v>296.1733401326573</v>
      </c>
      <c r="H258" s="3">
        <f t="shared" si="40"/>
        <v>135842.74913380182</v>
      </c>
      <c r="I258">
        <f t="shared" si="41"/>
        <v>40233000.74376072</v>
      </c>
      <c r="J258" s="6"/>
      <c r="K258" s="6"/>
      <c r="L258" s="6"/>
      <c r="M258" s="6"/>
      <c r="N258" s="6"/>
      <c r="O258" s="6"/>
      <c r="P258" s="6"/>
      <c r="Q258" s="6"/>
      <c r="R258" s="6"/>
      <c r="X258" s="7"/>
      <c r="Z258" s="2"/>
      <c r="AA258" s="2"/>
      <c r="AB258" s="2"/>
    </row>
    <row r="259" spans="6:28">
      <c r="F259" s="5">
        <f t="shared" si="38"/>
        <v>2.0939275572465985E-3</v>
      </c>
      <c r="G259" s="4">
        <f t="shared" si="39"/>
        <v>290.24987333000416</v>
      </c>
      <c r="H259" s="3">
        <f t="shared" si="40"/>
        <v>138615.05013653246</v>
      </c>
      <c r="I259">
        <f t="shared" si="41"/>
        <v>40233000.74376072</v>
      </c>
      <c r="J259" s="6"/>
      <c r="K259" s="6"/>
      <c r="L259" s="6"/>
      <c r="M259" s="6"/>
      <c r="N259" s="6"/>
      <c r="O259" s="6"/>
      <c r="P259" s="6"/>
      <c r="Q259" s="6"/>
      <c r="R259" s="6"/>
      <c r="X259" s="7"/>
      <c r="Z259" s="2"/>
      <c r="AA259" s="2"/>
      <c r="AB259" s="2"/>
    </row>
    <row r="260" spans="6:28">
      <c r="F260" s="5">
        <f t="shared" si="38"/>
        <v>2.0110080259796333E-3</v>
      </c>
      <c r="G260" s="4">
        <f t="shared" si="39"/>
        <v>284.44487586340409</v>
      </c>
      <c r="H260" s="3">
        <f t="shared" si="40"/>
        <v>141443.92871074739</v>
      </c>
      <c r="I260">
        <f t="shared" si="41"/>
        <v>40233000.74376072</v>
      </c>
      <c r="J260" s="6"/>
      <c r="K260" s="6"/>
      <c r="L260" s="6"/>
      <c r="M260" s="6"/>
      <c r="N260" s="6"/>
      <c r="O260" s="6"/>
      <c r="P260" s="6"/>
      <c r="Q260" s="6"/>
      <c r="R260" s="6"/>
      <c r="X260" s="7"/>
      <c r="Z260" s="2"/>
      <c r="AA260" s="2"/>
      <c r="AB260" s="2"/>
    </row>
    <row r="261" spans="6:28">
      <c r="F261" s="5">
        <f t="shared" si="38"/>
        <v>1.9313721081508403E-3</v>
      </c>
      <c r="G261" s="4">
        <f t="shared" si="39"/>
        <v>278.75597834613603</v>
      </c>
      <c r="H261" s="3">
        <f t="shared" si="40"/>
        <v>144330.53950076262</v>
      </c>
      <c r="I261">
        <f t="shared" si="41"/>
        <v>40233000.74376072</v>
      </c>
      <c r="J261" s="6"/>
      <c r="K261" s="6"/>
      <c r="L261" s="6"/>
      <c r="M261" s="6"/>
      <c r="N261" s="6"/>
      <c r="O261" s="6"/>
      <c r="P261" s="6"/>
      <c r="Q261" s="6"/>
      <c r="R261" s="6"/>
      <c r="X261" s="7"/>
      <c r="Z261" s="2"/>
      <c r="AA261" s="2"/>
      <c r="AB261" s="2"/>
    </row>
    <row r="262" spans="6:28">
      <c r="F262" s="5">
        <f t="shared" si="38"/>
        <v>1.8548897726680662E-3</v>
      </c>
      <c r="G262" s="4">
        <f t="shared" si="39"/>
        <v>273.18085877921328</v>
      </c>
      <c r="H262" s="3">
        <f t="shared" si="40"/>
        <v>147276.06071506394</v>
      </c>
      <c r="I262">
        <f t="shared" si="41"/>
        <v>40233000.74376072</v>
      </c>
      <c r="J262" s="6"/>
      <c r="K262" s="6"/>
      <c r="L262" s="6"/>
      <c r="M262" s="6"/>
      <c r="N262" s="6"/>
      <c r="O262" s="6"/>
      <c r="P262" s="6"/>
      <c r="Q262" s="6"/>
      <c r="R262" s="6"/>
      <c r="X262" s="7"/>
      <c r="Z262" s="2"/>
      <c r="AA262" s="2"/>
      <c r="AB262" s="2"/>
    </row>
    <row r="263" spans="6:28">
      <c r="F263" s="5">
        <f t="shared" si="38"/>
        <v>1.7814361376704113E-3</v>
      </c>
      <c r="G263" s="4">
        <f t="shared" si="39"/>
        <v>267.71724160362902</v>
      </c>
      <c r="H263" s="3">
        <f t="shared" si="40"/>
        <v>150281.69460720808</v>
      </c>
      <c r="I263">
        <f t="shared" si="41"/>
        <v>40233000.74376072</v>
      </c>
      <c r="J263" s="6"/>
      <c r="K263" s="6"/>
      <c r="L263" s="6"/>
      <c r="M263" s="6"/>
      <c r="N263" s="6"/>
      <c r="O263" s="6"/>
      <c r="P263" s="6"/>
      <c r="Q263" s="6"/>
      <c r="R263" s="6"/>
      <c r="X263" s="7"/>
      <c r="Z263" s="2"/>
      <c r="AA263" s="2"/>
      <c r="AB263" s="2"/>
    </row>
    <row r="264" spans="6:28">
      <c r="F264" s="5">
        <f t="shared" si="38"/>
        <v>1.7108912666186629E-3</v>
      </c>
      <c r="G264" s="4">
        <f t="shared" si="39"/>
        <v>262.36289677155645</v>
      </c>
      <c r="H264" s="3">
        <f t="shared" si="40"/>
        <v>153348.66796653887</v>
      </c>
      <c r="I264">
        <f t="shared" si="41"/>
        <v>40233000.74376072</v>
      </c>
      <c r="J264" s="6"/>
      <c r="K264" s="6"/>
      <c r="L264" s="6"/>
      <c r="M264" s="6"/>
      <c r="N264" s="6"/>
      <c r="O264" s="6"/>
      <c r="P264" s="6"/>
      <c r="Q264" s="6"/>
      <c r="R264" s="6"/>
      <c r="X264" s="7"/>
      <c r="Z264" s="2"/>
      <c r="AA264" s="2"/>
      <c r="AB264" s="2"/>
    </row>
    <row r="265" spans="6:28">
      <c r="F265" s="5">
        <f t="shared" ref="F265:F328" si="42">G265/H265</f>
        <v>1.6431399724605635E-3</v>
      </c>
      <c r="G265" s="4">
        <f t="shared" si="39"/>
        <v>257.1156388361253</v>
      </c>
      <c r="H265" s="3">
        <f t="shared" si="40"/>
        <v>156478.23261891722</v>
      </c>
      <c r="I265">
        <f t="shared" si="41"/>
        <v>40233000.74376072</v>
      </c>
      <c r="J265" s="6"/>
      <c r="K265" s="6"/>
      <c r="L265" s="6"/>
      <c r="M265" s="6"/>
      <c r="N265" s="6"/>
      <c r="O265" s="6"/>
      <c r="P265" s="6"/>
      <c r="Q265" s="6"/>
      <c r="R265" s="6"/>
      <c r="X265" s="7"/>
      <c r="Z265" s="2"/>
      <c r="AA265" s="2"/>
      <c r="AB265" s="2"/>
    </row>
    <row r="266" spans="6:28">
      <c r="F266" s="5">
        <f t="shared" si="42"/>
        <v>1.5780716295511253E-3</v>
      </c>
      <c r="G266" s="4">
        <f t="shared" si="39"/>
        <v>251.97332605940278</v>
      </c>
      <c r="H266" s="3">
        <f t="shared" si="40"/>
        <v>159671.66593767062</v>
      </c>
      <c r="I266">
        <f t="shared" si="41"/>
        <v>40233000.74376072</v>
      </c>
      <c r="J266" s="6"/>
      <c r="K266" s="6"/>
      <c r="L266" s="6"/>
      <c r="M266" s="6"/>
      <c r="N266" s="6"/>
      <c r="O266" s="6"/>
      <c r="P266" s="6"/>
      <c r="Q266" s="6"/>
      <c r="R266" s="6"/>
      <c r="X266" s="7"/>
      <c r="Z266" s="2"/>
      <c r="AA266" s="2"/>
      <c r="AB266" s="2"/>
    </row>
    <row r="267" spans="6:28">
      <c r="F267" s="5">
        <f t="shared" si="42"/>
        <v>1.5155799930209005E-3</v>
      </c>
      <c r="G267" s="4">
        <f t="shared" si="39"/>
        <v>246.93385953821473</v>
      </c>
      <c r="H267" s="3">
        <f t="shared" si="40"/>
        <v>162930.27136497005</v>
      </c>
      <c r="I267">
        <f t="shared" si="41"/>
        <v>40233000.74376072</v>
      </c>
      <c r="J267" s="6"/>
      <c r="K267" s="6"/>
      <c r="L267" s="6"/>
      <c r="M267" s="6"/>
      <c r="N267" s="6"/>
      <c r="O267" s="6"/>
      <c r="P267" s="6"/>
      <c r="Q267" s="6"/>
      <c r="R267" s="6"/>
      <c r="X267" s="7"/>
      <c r="Z267" s="2"/>
      <c r="AA267" s="2"/>
      <c r="AB267" s="2"/>
    </row>
    <row r="268" spans="6:28">
      <c r="F268" s="5">
        <f t="shared" si="42"/>
        <v>1.455563025297273E-3</v>
      </c>
      <c r="G268" s="4">
        <f t="shared" si="39"/>
        <v>241.99518234745042</v>
      </c>
      <c r="H268" s="3">
        <f t="shared" si="40"/>
        <v>166255.37894384697</v>
      </c>
      <c r="I268">
        <f t="shared" si="41"/>
        <v>40233000.74376072</v>
      </c>
      <c r="J268" s="6"/>
      <c r="K268" s="6"/>
      <c r="L268" s="6"/>
      <c r="M268" s="6"/>
      <c r="N268" s="6"/>
      <c r="O268" s="6"/>
      <c r="P268" s="6"/>
      <c r="Q268" s="6"/>
      <c r="R268" s="6"/>
      <c r="X268" s="7"/>
      <c r="Z268" s="2"/>
      <c r="AA268" s="2"/>
      <c r="AB268" s="2"/>
    </row>
    <row r="269" spans="6:28">
      <c r="F269" s="5">
        <f t="shared" si="42"/>
        <v>1.3979227294955009E-3</v>
      </c>
      <c r="G269" s="4">
        <f t="shared" si="39"/>
        <v>237.15527870050141</v>
      </c>
      <c r="H269" s="3">
        <f t="shared" si="40"/>
        <v>169648.34586106834</v>
      </c>
      <c r="I269">
        <f t="shared" si="41"/>
        <v>40233000.74376072</v>
      </c>
      <c r="J269" s="6"/>
      <c r="K269" s="6"/>
      <c r="L269" s="6"/>
      <c r="M269" s="6"/>
      <c r="N269" s="6"/>
      <c r="O269" s="6"/>
      <c r="P269" s="6"/>
      <c r="Q269" s="6"/>
      <c r="R269" s="6"/>
      <c r="X269" s="7"/>
      <c r="Z269" s="2"/>
      <c r="AA269" s="2"/>
      <c r="AB269" s="2"/>
    </row>
    <row r="270" spans="6:28">
      <c r="F270" s="5">
        <f t="shared" si="42"/>
        <v>1.342564989407479E-3</v>
      </c>
      <c r="G270" s="4">
        <f t="shared" si="39"/>
        <v>232.41217312649138</v>
      </c>
      <c r="H270" s="3">
        <f t="shared" si="40"/>
        <v>173110.55700109014</v>
      </c>
      <c r="I270">
        <f t="shared" si="41"/>
        <v>40233000.74376072</v>
      </c>
      <c r="J270" s="6"/>
      <c r="K270" s="6"/>
      <c r="L270" s="6"/>
      <c r="M270" s="6"/>
      <c r="N270" s="6"/>
      <c r="O270" s="6"/>
      <c r="P270" s="6"/>
      <c r="Q270" s="6"/>
      <c r="R270" s="6"/>
      <c r="X270" s="7"/>
    </row>
    <row r="271" spans="6:28">
      <c r="F271" s="5">
        <f t="shared" si="42"/>
        <v>1.2893994158269429E-3</v>
      </c>
      <c r="G271" s="4">
        <f t="shared" si="39"/>
        <v>227.76392966396156</v>
      </c>
      <c r="H271" s="3">
        <f t="shared" si="40"/>
        <v>176643.42551131648</v>
      </c>
      <c r="I271">
        <f t="shared" si="41"/>
        <v>40233000.74376072</v>
      </c>
      <c r="J271" s="6"/>
      <c r="K271" s="6"/>
      <c r="L271" s="6"/>
      <c r="M271" s="6"/>
      <c r="N271" s="6"/>
      <c r="O271" s="6"/>
      <c r="P271" s="6"/>
      <c r="Q271" s="6"/>
      <c r="R271" s="6"/>
      <c r="X271" s="7"/>
    </row>
    <row r="272" spans="6:28">
      <c r="F272" s="5">
        <f t="shared" si="42"/>
        <v>1.238339198960196E-3</v>
      </c>
      <c r="G272" s="4">
        <f t="shared" si="39"/>
        <v>223.20865107068232</v>
      </c>
      <c r="H272" s="3">
        <f t="shared" si="40"/>
        <v>180248.39337889437</v>
      </c>
      <c r="I272">
        <f t="shared" si="41"/>
        <v>40233000.74376072</v>
      </c>
      <c r="J272" s="6"/>
      <c r="K272" s="6"/>
      <c r="L272" s="6"/>
      <c r="M272" s="6"/>
      <c r="N272" s="6"/>
      <c r="O272" s="6"/>
      <c r="P272" s="6"/>
      <c r="Q272" s="6"/>
      <c r="R272" s="6"/>
      <c r="X272" s="7"/>
    </row>
    <row r="273" spans="6:24">
      <c r="F273" s="5">
        <f t="shared" si="42"/>
        <v>1.189300966681372E-3</v>
      </c>
      <c r="G273" s="4">
        <f t="shared" si="39"/>
        <v>218.74447804926868</v>
      </c>
      <c r="H273" s="3">
        <f t="shared" si="40"/>
        <v>183926.93201927998</v>
      </c>
      <c r="I273">
        <f t="shared" si="41"/>
        <v>40233000.74376072</v>
      </c>
      <c r="J273" s="6"/>
      <c r="K273" s="6"/>
      <c r="L273" s="6"/>
      <c r="M273" s="6"/>
      <c r="N273" s="6"/>
      <c r="O273" s="6"/>
      <c r="P273" s="6"/>
      <c r="Q273" s="6"/>
      <c r="R273" s="6"/>
      <c r="X273" s="7"/>
    </row>
    <row r="274" spans="6:24">
      <c r="F274" s="5">
        <f t="shared" si="42"/>
        <v>1.1422046484007898E-3</v>
      </c>
      <c r="G274" s="4">
        <f t="shared" si="39"/>
        <v>214.36958848828331</v>
      </c>
      <c r="H274" s="3">
        <f t="shared" si="40"/>
        <v>187680.5428768163</v>
      </c>
      <c r="I274">
        <f t="shared" si="41"/>
        <v>40233000.74376072</v>
      </c>
      <c r="J274" s="6"/>
      <c r="K274" s="6"/>
      <c r="L274" s="6"/>
      <c r="M274" s="6"/>
      <c r="N274" s="6"/>
      <c r="O274" s="6"/>
      <c r="P274" s="6"/>
      <c r="Q274" s="6"/>
      <c r="R274" s="6"/>
      <c r="X274" s="7"/>
    </row>
    <row r="275" spans="6:24">
      <c r="F275" s="5">
        <f t="shared" si="42"/>
        <v>1.0969733443241187E-3</v>
      </c>
      <c r="G275" s="4">
        <f t="shared" si="39"/>
        <v>210.08219671851765</v>
      </c>
      <c r="H275" s="3">
        <f t="shared" si="40"/>
        <v>191510.75803756763</v>
      </c>
      <c r="I275">
        <f t="shared" si="41"/>
        <v>40233000.74376072</v>
      </c>
      <c r="J275" s="6"/>
      <c r="K275" s="6"/>
      <c r="L275" s="6"/>
      <c r="M275" s="6"/>
      <c r="N275" s="6"/>
      <c r="O275" s="6"/>
      <c r="P275" s="6"/>
      <c r="Q275" s="6"/>
      <c r="R275" s="6"/>
      <c r="X275" s="7"/>
    </row>
    <row r="276" spans="6:24">
      <c r="F276" s="5">
        <f t="shared" si="42"/>
        <v>1.0535331998888834E-3</v>
      </c>
      <c r="G276" s="4">
        <f t="shared" si="39"/>
        <v>205.88055278414728</v>
      </c>
      <c r="H276" s="3">
        <f t="shared" si="40"/>
        <v>195419.14085466086</v>
      </c>
      <c r="I276">
        <f t="shared" si="41"/>
        <v>40233000.74376072</v>
      </c>
      <c r="J276" s="6"/>
      <c r="K276" s="6"/>
      <c r="L276" s="6"/>
      <c r="M276" s="6"/>
      <c r="N276" s="6"/>
      <c r="O276" s="6"/>
      <c r="P276" s="6"/>
      <c r="Q276" s="6"/>
      <c r="R276" s="6"/>
    </row>
    <row r="277" spans="6:24">
      <c r="F277" s="5">
        <f t="shared" si="42"/>
        <v>1.0118132851732837E-3</v>
      </c>
      <c r="G277" s="4">
        <f t="shared" si="39"/>
        <v>201.76294172846434</v>
      </c>
      <c r="H277" s="3">
        <f t="shared" si="40"/>
        <v>199407.28658638863</v>
      </c>
      <c r="I277">
        <f t="shared" si="41"/>
        <v>40233000.74376072</v>
      </c>
      <c r="J277" s="6"/>
      <c r="K277" s="6"/>
      <c r="L277" s="6"/>
      <c r="M277" s="6"/>
      <c r="N277" s="6"/>
      <c r="O277" s="6"/>
      <c r="P277" s="6"/>
      <c r="Q277" s="6"/>
      <c r="R277" s="6"/>
    </row>
    <row r="278" spans="6:24">
      <c r="F278" s="5">
        <f t="shared" si="42"/>
        <v>9.7174547908042159E-4</v>
      </c>
      <c r="G278" s="4">
        <f t="shared" si="39"/>
        <v>197.72768289389506</v>
      </c>
      <c r="H278" s="3">
        <f t="shared" si="40"/>
        <v>203476.82304733535</v>
      </c>
      <c r="I278">
        <f t="shared" si="41"/>
        <v>40233000.74376072</v>
      </c>
      <c r="J278" s="6"/>
      <c r="K278" s="6"/>
      <c r="L278" s="6"/>
      <c r="M278" s="6"/>
      <c r="N278" s="6"/>
      <c r="O278" s="6"/>
      <c r="P278" s="6"/>
      <c r="Q278" s="6"/>
      <c r="R278" s="6"/>
    </row>
    <row r="279" spans="6:24">
      <c r="F279" s="5">
        <f t="shared" si="42"/>
        <v>9.3326435810883691E-4</v>
      </c>
      <c r="G279" s="4">
        <f t="shared" si="39"/>
        <v>193.77312923601716</v>
      </c>
      <c r="H279" s="3">
        <f t="shared" si="40"/>
        <v>207629.41127279116</v>
      </c>
      <c r="I279">
        <f t="shared" si="41"/>
        <v>40233000.74376072</v>
      </c>
      <c r="J279" s="6"/>
      <c r="K279" s="6"/>
      <c r="L279" s="6"/>
      <c r="M279" s="6"/>
      <c r="N279" s="6"/>
      <c r="O279" s="6"/>
      <c r="P279" s="6"/>
      <c r="Q279" s="6"/>
      <c r="R279" s="6"/>
    </row>
    <row r="280" spans="6:24">
      <c r="F280" s="5">
        <f t="shared" si="42"/>
        <v>8.9630708952772708E-4</v>
      </c>
      <c r="G280" s="4">
        <f t="shared" si="39"/>
        <v>189.89766665129682</v>
      </c>
      <c r="H280" s="3">
        <f t="shared" si="40"/>
        <v>211866.74619672567</v>
      </c>
      <c r="I280">
        <f t="shared" si="41"/>
        <v>40233000.74376072</v>
      </c>
      <c r="J280" s="6"/>
      <c r="K280" s="6"/>
      <c r="L280" s="6"/>
      <c r="M280" s="6"/>
      <c r="N280" s="6"/>
      <c r="O280" s="6"/>
      <c r="P280" s="6"/>
      <c r="Q280" s="6"/>
      <c r="R280" s="6"/>
    </row>
    <row r="281" spans="6:24">
      <c r="F281" s="5">
        <f t="shared" si="42"/>
        <v>8.6081332878242911E-4</v>
      </c>
      <c r="G281" s="4">
        <f t="shared" si="39"/>
        <v>186.09971331827089</v>
      </c>
      <c r="H281" s="3">
        <f t="shared" si="40"/>
        <v>216190.55734359761</v>
      </c>
      <c r="I281">
        <f t="shared" si="41"/>
        <v>40233000.74376072</v>
      </c>
      <c r="J281" s="6"/>
      <c r="K281" s="6"/>
      <c r="L281" s="6"/>
      <c r="M281" s="6"/>
      <c r="N281" s="6"/>
      <c r="O281" s="6"/>
      <c r="P281" s="6"/>
      <c r="Q281" s="6"/>
      <c r="R281" s="6"/>
    </row>
    <row r="282" spans="6:24">
      <c r="F282" s="5">
        <f t="shared" si="42"/>
        <v>8.267251209626449E-4</v>
      </c>
      <c r="G282" s="4">
        <f t="shared" si="39"/>
        <v>182.37771905190547</v>
      </c>
      <c r="H282" s="3">
        <f t="shared" si="40"/>
        <v>220602.60953428329</v>
      </c>
      <c r="I282">
        <f t="shared" si="41"/>
        <v>40233000.74376072</v>
      </c>
      <c r="J282" s="6"/>
      <c r="K282" s="6"/>
      <c r="L282" s="6"/>
      <c r="M282" s="6"/>
      <c r="N282" s="6"/>
      <c r="O282" s="6"/>
      <c r="P282" s="6"/>
      <c r="Q282" s="6"/>
      <c r="R282" s="6"/>
    </row>
    <row r="283" spans="6:24">
      <c r="F283" s="5">
        <f t="shared" si="42"/>
        <v>7.9398680617252424E-4</v>
      </c>
      <c r="G283" s="4">
        <f t="shared" si="39"/>
        <v>178.73016467086737</v>
      </c>
      <c r="H283" s="3">
        <f t="shared" si="40"/>
        <v>225104.70360641149</v>
      </c>
      <c r="I283">
        <f t="shared" si="41"/>
        <v>40233000.74376072</v>
      </c>
      <c r="J283" s="6"/>
      <c r="K283" s="6"/>
      <c r="L283" s="6"/>
      <c r="M283" s="6"/>
      <c r="N283" s="6"/>
      <c r="O283" s="6"/>
      <c r="P283" s="6"/>
      <c r="Q283" s="6"/>
      <c r="R283" s="6"/>
    </row>
    <row r="284" spans="6:24">
      <c r="F284" s="5">
        <f t="shared" si="42"/>
        <v>7.6254492864809233E-4</v>
      </c>
      <c r="G284" s="4">
        <f t="shared" si="39"/>
        <v>175.15556137745003</v>
      </c>
      <c r="H284" s="3">
        <f t="shared" si="40"/>
        <v>229698.67714939947</v>
      </c>
      <c r="I284">
        <f t="shared" si="41"/>
        <v>40233000.74376072</v>
      </c>
      <c r="J284" s="6"/>
      <c r="K284" s="6"/>
      <c r="L284" s="6"/>
      <c r="M284" s="6"/>
      <c r="N284" s="6"/>
      <c r="O284" s="6"/>
      <c r="P284" s="6"/>
      <c r="Q284" s="6"/>
      <c r="R284" s="6"/>
    </row>
    <row r="285" spans="6:24">
      <c r="F285" s="5">
        <f t="shared" si="42"/>
        <v>7.3234814947362788E-4</v>
      </c>
      <c r="G285" s="4">
        <f t="shared" si="39"/>
        <v>171.65245014990103</v>
      </c>
      <c r="H285" s="3">
        <f t="shared" si="40"/>
        <v>234386.40525448928</v>
      </c>
      <c r="I285">
        <f t="shared" si="41"/>
        <v>40233000.74376072</v>
      </c>
      <c r="J285" s="6"/>
      <c r="K285" s="6"/>
      <c r="L285" s="6"/>
      <c r="M285" s="6"/>
      <c r="N285" s="6"/>
      <c r="O285" s="6"/>
      <c r="P285" s="6"/>
      <c r="Q285" s="6"/>
      <c r="R285" s="6"/>
    </row>
    <row r="286" spans="6:24">
      <c r="F286" s="5">
        <f t="shared" si="42"/>
        <v>7.0334716275447223E-4</v>
      </c>
      <c r="G286" s="4">
        <f t="shared" si="39"/>
        <v>168.21940114690301</v>
      </c>
      <c r="H286" s="3">
        <f t="shared" si="40"/>
        <v>239169.80128009108</v>
      </c>
      <c r="I286">
        <f t="shared" si="41"/>
        <v>40233000.74376072</v>
      </c>
      <c r="J286" s="6"/>
      <c r="K286" s="6"/>
      <c r="L286" s="6"/>
      <c r="M286" s="6"/>
      <c r="N286" s="6"/>
      <c r="O286" s="6"/>
      <c r="P286" s="6"/>
      <c r="Q286" s="6"/>
      <c r="R286" s="6"/>
    </row>
    <row r="287" spans="6:24">
      <c r="F287" s="5">
        <f t="shared" si="42"/>
        <v>6.7549461510939496E-4</v>
      </c>
      <c r="G287" s="4">
        <f t="shared" si="39"/>
        <v>164.85501312396494</v>
      </c>
      <c r="H287" s="3">
        <f t="shared" si="40"/>
        <v>244050.81763274604</v>
      </c>
      <c r="I287">
        <f t="shared" si="41"/>
        <v>40233000.74376072</v>
      </c>
      <c r="J287" s="6"/>
      <c r="K287" s="6"/>
      <c r="L287" s="6"/>
      <c r="M287" s="6"/>
      <c r="N287" s="6"/>
      <c r="O287" s="6"/>
      <c r="P287" s="6"/>
      <c r="Q287" s="6"/>
      <c r="R287" s="6"/>
    </row>
    <row r="288" spans="6:24">
      <c r="F288" s="5">
        <f t="shared" si="42"/>
        <v>6.4874502835106308E-4</v>
      </c>
      <c r="G288" s="4">
        <f t="shared" si="39"/>
        <v>161.55791286148565</v>
      </c>
      <c r="H288" s="3">
        <f t="shared" si="40"/>
        <v>249031.44656402656</v>
      </c>
      <c r="I288">
        <f t="shared" si="41"/>
        <v>40233000.74376072</v>
      </c>
      <c r="J288" s="6"/>
      <c r="K288" s="6"/>
      <c r="L288" s="6"/>
      <c r="M288" s="6"/>
      <c r="N288" s="6"/>
      <c r="O288" s="6"/>
      <c r="P288" s="6"/>
      <c r="Q288" s="6"/>
      <c r="R288" s="6"/>
    </row>
    <row r="289" spans="6:18">
      <c r="F289" s="5">
        <f t="shared" si="42"/>
        <v>6.2305472522836104E-4</v>
      </c>
      <c r="G289" s="4">
        <f t="shared" si="39"/>
        <v>158.32675460425594</v>
      </c>
      <c r="H289" s="3">
        <f t="shared" si="40"/>
        <v>254113.72098370054</v>
      </c>
      <c r="I289">
        <f t="shared" si="41"/>
        <v>40233000.74376072</v>
      </c>
      <c r="J289" s="6"/>
      <c r="K289" s="6"/>
      <c r="L289" s="6"/>
      <c r="M289" s="6"/>
      <c r="N289" s="6"/>
      <c r="O289" s="6"/>
      <c r="P289" s="6"/>
      <c r="Q289" s="6"/>
      <c r="R289" s="6"/>
    </row>
    <row r="290" spans="6:18">
      <c r="F290" s="5">
        <f t="shared" si="42"/>
        <v>5.9838175810931788E-4</v>
      </c>
      <c r="G290" s="4">
        <f t="shared" si="39"/>
        <v>155.16021951217081</v>
      </c>
      <c r="H290" s="3">
        <f t="shared" si="40"/>
        <v>259299.71528949036</v>
      </c>
      <c r="I290">
        <f t="shared" si="41"/>
        <v>40233000.74376072</v>
      </c>
      <c r="J290" s="6"/>
      <c r="K290" s="6"/>
      <c r="L290" s="6"/>
      <c r="M290" s="6"/>
      <c r="N290" s="6"/>
      <c r="O290" s="6"/>
      <c r="P290" s="6"/>
      <c r="Q290" s="6"/>
      <c r="R290" s="6"/>
    </row>
    <row r="291" spans="6:18">
      <c r="F291" s="5">
        <f t="shared" si="42"/>
        <v>5.7468584048818894E-4</v>
      </c>
      <c r="G291" s="4">
        <f t="shared" si="39"/>
        <v>152.05701512192741</v>
      </c>
      <c r="H291" s="3">
        <f t="shared" si="40"/>
        <v>264591.54621376569</v>
      </c>
      <c r="I291">
        <f t="shared" si="41"/>
        <v>40233000.74376072</v>
      </c>
      <c r="J291" s="6"/>
      <c r="K291" s="6"/>
      <c r="L291" s="6"/>
      <c r="M291" s="6"/>
      <c r="N291" s="6"/>
      <c r="O291" s="6"/>
      <c r="P291" s="6"/>
      <c r="Q291" s="6"/>
      <c r="R291" s="6"/>
    </row>
    <row r="292" spans="6:18">
      <c r="F292" s="5">
        <f t="shared" si="42"/>
        <v>5.5192828120485674E-4</v>
      </c>
      <c r="G292" s="4">
        <f t="shared" si="39"/>
        <v>149.01587481948886</v>
      </c>
      <c r="H292" s="3">
        <f t="shared" si="40"/>
        <v>269991.37368751597</v>
      </c>
      <c r="I292">
        <f t="shared" si="41"/>
        <v>40233000.74376072</v>
      </c>
      <c r="J292" s="6"/>
      <c r="K292" s="6"/>
      <c r="L292" s="6"/>
      <c r="M292" s="6"/>
      <c r="N292" s="6"/>
      <c r="O292" s="6"/>
      <c r="P292" s="6"/>
      <c r="Q292" s="6"/>
      <c r="R292" s="6"/>
    </row>
    <row r="293" spans="6:18">
      <c r="F293" s="5">
        <f t="shared" si="42"/>
        <v>5.3007192126914432E-4</v>
      </c>
      <c r="G293" s="4">
        <f t="shared" si="39"/>
        <v>146.03555732309908</v>
      </c>
      <c r="H293" s="3">
        <f t="shared" si="40"/>
        <v>275501.4017219551</v>
      </c>
      <c r="I293">
        <f t="shared" si="41"/>
        <v>40233000.74376072</v>
      </c>
      <c r="J293" s="6"/>
      <c r="K293" s="6"/>
      <c r="L293" s="6"/>
      <c r="M293" s="6"/>
      <c r="N293" s="6"/>
      <c r="O293" s="6"/>
      <c r="P293" s="6"/>
      <c r="Q293" s="6"/>
      <c r="R293" s="6"/>
    </row>
    <row r="294" spans="6:18">
      <c r="F294" s="5">
        <f t="shared" si="42"/>
        <v>5.0908107318688612E-4</v>
      </c>
      <c r="G294" s="4">
        <f t="shared" si="39"/>
        <v>143.11484617663709</v>
      </c>
      <c r="H294" s="3">
        <f t="shared" si="40"/>
        <v>281123.87930811744</v>
      </c>
      <c r="I294">
        <f t="shared" si="41"/>
        <v>40233000.74376072</v>
      </c>
      <c r="J294" s="6"/>
      <c r="K294" s="6"/>
      <c r="L294" s="6"/>
      <c r="M294" s="6"/>
      <c r="N294" s="6"/>
      <c r="O294" s="6"/>
      <c r="P294" s="6"/>
      <c r="Q294" s="6"/>
      <c r="R294" s="6"/>
    </row>
    <row r="295" spans="6:18">
      <c r="F295" s="5">
        <f t="shared" si="42"/>
        <v>4.8892146268868545E-4</v>
      </c>
      <c r="G295" s="4">
        <f t="shared" si="39"/>
        <v>140.25254925310435</v>
      </c>
      <c r="H295" s="3">
        <f t="shared" si="40"/>
        <v>286861.10133481375</v>
      </c>
      <c r="I295">
        <f t="shared" si="41"/>
        <v>40233000.74376072</v>
      </c>
      <c r="J295" s="6"/>
      <c r="K295" s="6"/>
      <c r="L295" s="6"/>
      <c r="M295" s="6"/>
      <c r="N295" s="6"/>
      <c r="O295" s="6"/>
      <c r="P295" s="6"/>
      <c r="Q295" s="6"/>
      <c r="R295" s="6"/>
    </row>
    <row r="296" spans="6:18">
      <c r="F296" s="5">
        <f t="shared" si="42"/>
        <v>4.6956017276621355E-4</v>
      </c>
      <c r="G296" s="4">
        <f t="shared" si="39"/>
        <v>137.44749826804227</v>
      </c>
      <c r="H296" s="3">
        <f t="shared" si="40"/>
        <v>292715.40952532011</v>
      </c>
      <c r="I296">
        <f t="shared" si="41"/>
        <v>40233000.74376072</v>
      </c>
      <c r="J296" s="6"/>
      <c r="K296" s="6"/>
      <c r="L296" s="6"/>
      <c r="M296" s="6"/>
      <c r="N296" s="6"/>
      <c r="O296" s="6"/>
      <c r="P296" s="6"/>
      <c r="Q296" s="6"/>
      <c r="R296" s="6"/>
    </row>
    <row r="297" spans="6:18">
      <c r="F297" s="5">
        <f t="shared" si="42"/>
        <v>4.5096558992467145E-4</v>
      </c>
      <c r="G297" s="4">
        <f t="shared" si="39"/>
        <v>134.69854830268142</v>
      </c>
      <c r="H297" s="3">
        <f t="shared" si="40"/>
        <v>298689.19339318381</v>
      </c>
      <c r="I297">
        <f t="shared" si="41"/>
        <v>40233000.74376072</v>
      </c>
      <c r="J297" s="6"/>
      <c r="K297" s="6"/>
      <c r="L297" s="6"/>
      <c r="M297" s="6"/>
      <c r="N297" s="6"/>
      <c r="O297" s="6"/>
      <c r="P297" s="6"/>
      <c r="Q297" s="6"/>
      <c r="R297" s="6"/>
    </row>
    <row r="298" spans="6:18">
      <c r="F298" s="5">
        <f t="shared" si="42"/>
        <v>4.331073525636545E-4</v>
      </c>
      <c r="G298" s="4">
        <f t="shared" si="39"/>
        <v>132.00457733662779</v>
      </c>
      <c r="H298" s="3">
        <f t="shared" si="40"/>
        <v>304784.89121753449</v>
      </c>
      <c r="I298">
        <f t="shared" si="41"/>
        <v>40233000.74376072</v>
      </c>
      <c r="J298" s="6"/>
      <c r="K298" s="6"/>
      <c r="L298" s="6"/>
      <c r="M298" s="6"/>
      <c r="N298" s="6"/>
      <c r="O298" s="6"/>
      <c r="P298" s="6"/>
      <c r="Q298" s="6"/>
      <c r="R298" s="6"/>
    </row>
    <row r="299" spans="6:18">
      <c r="F299" s="5">
        <f t="shared" si="42"/>
        <v>4.1595630140213376E-4</v>
      </c>
      <c r="G299" s="4">
        <f t="shared" si="39"/>
        <v>129.36448578989524</v>
      </c>
      <c r="H299" s="3">
        <f t="shared" si="40"/>
        <v>311004.9910383005</v>
      </c>
      <c r="I299">
        <f t="shared" si="41"/>
        <v>40233000.74376072</v>
      </c>
      <c r="J299" s="6"/>
      <c r="K299" s="6"/>
      <c r="L299" s="6"/>
      <c r="M299" s="6"/>
      <c r="N299" s="6"/>
      <c r="O299" s="6"/>
      <c r="P299" s="6"/>
      <c r="Q299" s="6"/>
      <c r="R299" s="6"/>
    </row>
    <row r="300" spans="6:18">
      <c r="F300" s="5">
        <f t="shared" si="42"/>
        <v>3.9948443186660923E-4</v>
      </c>
      <c r="G300" s="4">
        <f t="shared" si="39"/>
        <v>126.77719607409733</v>
      </c>
      <c r="H300" s="3">
        <f t="shared" si="40"/>
        <v>317352.03167173523</v>
      </c>
      <c r="I300">
        <f t="shared" si="41"/>
        <v>40233000.74376072</v>
      </c>
      <c r="J300" s="6"/>
      <c r="K300" s="6"/>
      <c r="L300" s="6"/>
      <c r="M300" s="6"/>
      <c r="N300" s="6"/>
      <c r="O300" s="6"/>
      <c r="P300" s="6"/>
      <c r="Q300" s="6"/>
      <c r="R300" s="6"/>
    </row>
    <row r="301" spans="6:18">
      <c r="F301" s="5">
        <f t="shared" si="42"/>
        <v>3.8366484836469157E-4</v>
      </c>
      <c r="G301" s="4">
        <f t="shared" si="39"/>
        <v>124.24165215261539</v>
      </c>
      <c r="H301" s="3">
        <f t="shared" si="40"/>
        <v>323828.60374666855</v>
      </c>
      <c r="I301">
        <f t="shared" si="41"/>
        <v>40233000.74376072</v>
      </c>
      <c r="J301" s="6"/>
      <c r="K301" s="6"/>
      <c r="L301" s="6"/>
      <c r="M301" s="6"/>
      <c r="N301" s="6"/>
      <c r="O301" s="6"/>
      <c r="P301" s="6"/>
      <c r="Q301" s="6"/>
      <c r="R301" s="6"/>
    </row>
    <row r="302" spans="6:18">
      <c r="F302" s="5">
        <f t="shared" si="42"/>
        <v>3.6847172036944979E-4</v>
      </c>
      <c r="G302" s="4">
        <f t="shared" si="39"/>
        <v>121.75681910956308</v>
      </c>
      <c r="H302" s="3">
        <f t="shared" si="40"/>
        <v>330437.35076190671</v>
      </c>
      <c r="I302">
        <f t="shared" si="41"/>
        <v>40233000.74376072</v>
      </c>
      <c r="J302" s="6"/>
      <c r="K302" s="6"/>
      <c r="L302" s="6"/>
      <c r="M302" s="6"/>
      <c r="N302" s="6"/>
      <c r="O302" s="6"/>
      <c r="P302" s="6"/>
      <c r="Q302" s="6"/>
      <c r="R302" s="6"/>
    </row>
    <row r="303" spans="6:18">
      <c r="F303" s="5">
        <f t="shared" si="42"/>
        <v>3.5388024024281961E-4</v>
      </c>
      <c r="G303" s="4">
        <f t="shared" si="39"/>
        <v>119.32168272737182</v>
      </c>
      <c r="H303" s="3">
        <f t="shared" si="40"/>
        <v>337180.97016521089</v>
      </c>
      <c r="I303">
        <f t="shared" si="41"/>
        <v>40233000.74376072</v>
      </c>
      <c r="J303" s="6"/>
      <c r="K303" s="6"/>
      <c r="L303" s="6"/>
      <c r="M303" s="6"/>
      <c r="N303" s="6"/>
      <c r="O303" s="6"/>
      <c r="P303" s="6"/>
      <c r="Q303" s="6"/>
      <c r="R303" s="6"/>
    </row>
    <row r="304" spans="6:18">
      <c r="F304" s="5">
        <f t="shared" si="42"/>
        <v>3.39866582729204E-4</v>
      </c>
      <c r="G304" s="4">
        <f t="shared" si="39"/>
        <v>116.93524907282439</v>
      </c>
      <c r="H304" s="3">
        <f t="shared" si="40"/>
        <v>344062.2144542968</v>
      </c>
      <c r="I304">
        <f t="shared" si="41"/>
        <v>40233000.74376072</v>
      </c>
      <c r="J304" s="6"/>
      <c r="K304" s="6"/>
      <c r="L304" s="6"/>
      <c r="M304" s="6"/>
      <c r="N304" s="6"/>
      <c r="O304" s="6"/>
      <c r="P304" s="6"/>
      <c r="Q304" s="6"/>
      <c r="R304" s="6"/>
    </row>
    <row r="305" spans="6:18">
      <c r="F305" s="5">
        <f t="shared" si="42"/>
        <v>3.2640786605312751E-4</v>
      </c>
      <c r="G305" s="4">
        <f t="shared" si="39"/>
        <v>114.5965440913679</v>
      </c>
      <c r="H305" s="3">
        <f t="shared" si="40"/>
        <v>351083.89230030286</v>
      </c>
      <c r="I305">
        <f t="shared" si="41"/>
        <v>40233000.74376072</v>
      </c>
      <c r="J305" s="6"/>
      <c r="K305" s="6"/>
      <c r="L305" s="6"/>
      <c r="M305" s="6"/>
      <c r="N305" s="6"/>
      <c r="O305" s="6"/>
      <c r="P305" s="6"/>
      <c r="Q305" s="6"/>
      <c r="R305" s="6"/>
    </row>
    <row r="306" spans="6:18">
      <c r="F306" s="5">
        <f t="shared" si="42"/>
        <v>3.1348211455742368E-4</v>
      </c>
      <c r="G306" s="4">
        <f t="shared" ref="G306:G369" si="43">G305*(1-$O$1)</f>
        <v>112.30461320954055</v>
      </c>
      <c r="H306" s="3">
        <f t="shared" ref="H306:H369" si="44">I306/G306</f>
        <v>358248.86969418661</v>
      </c>
      <c r="I306">
        <f t="shared" ref="I306:I369" si="45">I305</f>
        <v>40233000.74376072</v>
      </c>
      <c r="J306" s="6"/>
      <c r="K306" s="6"/>
      <c r="L306" s="6"/>
      <c r="M306" s="6"/>
      <c r="N306" s="6"/>
      <c r="O306" s="6"/>
      <c r="P306" s="6"/>
      <c r="Q306" s="6"/>
      <c r="R306" s="6"/>
    </row>
    <row r="307" spans="6:18">
      <c r="F307" s="5">
        <f t="shared" si="42"/>
        <v>3.0106822282094972E-4</v>
      </c>
      <c r="G307" s="4">
        <f t="shared" si="43"/>
        <v>110.05852094534974</v>
      </c>
      <c r="H307" s="3">
        <f t="shared" si="44"/>
        <v>365560.07111651695</v>
      </c>
      <c r="I307">
        <f t="shared" si="45"/>
        <v>40233000.74376072</v>
      </c>
      <c r="J307" s="6"/>
      <c r="K307" s="6"/>
      <c r="L307" s="6"/>
      <c r="M307" s="6"/>
      <c r="N307" s="6"/>
      <c r="O307" s="6"/>
      <c r="P307" s="6"/>
      <c r="Q307" s="6"/>
      <c r="R307" s="6"/>
    </row>
    <row r="308" spans="6:18">
      <c r="F308" s="5">
        <f t="shared" si="42"/>
        <v>2.8914592119724011E-4</v>
      </c>
      <c r="G308" s="4">
        <f t="shared" si="43"/>
        <v>107.85735052644274</v>
      </c>
      <c r="H308" s="3">
        <f t="shared" si="44"/>
        <v>373020.48073113972</v>
      </c>
      <c r="I308">
        <f t="shared" si="45"/>
        <v>40233000.74376072</v>
      </c>
      <c r="J308" s="6"/>
      <c r="K308" s="6"/>
      <c r="L308" s="6"/>
      <c r="M308" s="6"/>
      <c r="N308" s="6"/>
      <c r="O308" s="6"/>
      <c r="P308" s="6"/>
      <c r="Q308" s="6"/>
      <c r="R308" s="6"/>
    </row>
    <row r="309" spans="6:18">
      <c r="F309" s="5">
        <f t="shared" si="42"/>
        <v>2.7769574271782935E-4</v>
      </c>
      <c r="G309" s="4">
        <f t="shared" si="43"/>
        <v>105.70020351591388</v>
      </c>
      <c r="H309" s="3">
        <f t="shared" si="44"/>
        <v>380633.14360320382</v>
      </c>
      <c r="I309">
        <f t="shared" si="45"/>
        <v>40233000.74376072</v>
      </c>
      <c r="J309" s="6"/>
      <c r="K309" s="6"/>
      <c r="L309" s="6"/>
      <c r="M309" s="6"/>
      <c r="N309" s="6"/>
      <c r="O309" s="6"/>
      <c r="P309" s="6"/>
      <c r="Q309" s="6"/>
      <c r="R309" s="6"/>
    </row>
    <row r="310" spans="6:18">
      <c r="F310" s="5">
        <f t="shared" si="42"/>
        <v>2.6669899130620336E-4</v>
      </c>
      <c r="G310" s="4">
        <f t="shared" si="43"/>
        <v>103.58619944559561</v>
      </c>
      <c r="H310" s="3">
        <f t="shared" si="44"/>
        <v>388401.16694204469</v>
      </c>
      <c r="I310">
        <f t="shared" si="45"/>
        <v>40233000.74376072</v>
      </c>
      <c r="J310" s="6"/>
      <c r="K310" s="6"/>
      <c r="L310" s="6"/>
      <c r="M310" s="6"/>
      <c r="N310" s="6"/>
      <c r="O310" s="6"/>
      <c r="P310" s="6"/>
      <c r="Q310" s="6"/>
      <c r="R310" s="6"/>
    </row>
    <row r="311" spans="6:18">
      <c r="F311" s="5">
        <f t="shared" si="42"/>
        <v>2.5613771125047765E-4</v>
      </c>
      <c r="G311" s="4">
        <f t="shared" si="43"/>
        <v>101.5144754566837</v>
      </c>
      <c r="H311" s="3">
        <f t="shared" si="44"/>
        <v>396327.72136943339</v>
      </c>
      <c r="I311">
        <f t="shared" si="45"/>
        <v>40233000.74376072</v>
      </c>
      <c r="J311" s="6"/>
      <c r="K311" s="6"/>
      <c r="L311" s="6"/>
      <c r="M311" s="6"/>
      <c r="N311" s="6"/>
      <c r="O311" s="6"/>
      <c r="P311" s="6"/>
      <c r="Q311" s="6"/>
      <c r="R311" s="6"/>
    </row>
    <row r="312" spans="6:18">
      <c r="F312" s="5">
        <f t="shared" si="42"/>
        <v>2.4599465788495873E-4</v>
      </c>
      <c r="G312" s="4">
        <f t="shared" si="43"/>
        <v>99.484185947550017</v>
      </c>
      <c r="H312" s="3">
        <f t="shared" si="44"/>
        <v>404416.04221370758</v>
      </c>
      <c r="I312">
        <f t="shared" si="45"/>
        <v>40233000.74376072</v>
      </c>
      <c r="J312" s="6"/>
      <c r="K312" s="6"/>
      <c r="L312" s="6"/>
      <c r="M312" s="6"/>
      <c r="N312" s="6"/>
      <c r="O312" s="6"/>
      <c r="P312" s="6"/>
      <c r="Q312" s="6"/>
      <c r="R312" s="6"/>
    </row>
    <row r="313" spans="6:18">
      <c r="F313" s="5">
        <f t="shared" si="42"/>
        <v>2.3625326943271438E-4</v>
      </c>
      <c r="G313" s="4">
        <f t="shared" si="43"/>
        <v>97.494502228599018</v>
      </c>
      <c r="H313" s="3">
        <f t="shared" si="44"/>
        <v>412669.43083031382</v>
      </c>
      <c r="I313">
        <f t="shared" si="45"/>
        <v>40233000.74376072</v>
      </c>
      <c r="J313" s="6"/>
      <c r="K313" s="6"/>
      <c r="L313" s="6"/>
      <c r="M313" s="6"/>
      <c r="N313" s="6"/>
      <c r="O313" s="6"/>
      <c r="P313" s="6"/>
      <c r="Q313" s="6"/>
      <c r="R313" s="6"/>
    </row>
    <row r="314" spans="6:18">
      <c r="F314" s="5">
        <f t="shared" si="42"/>
        <v>2.2689763996317885E-4</v>
      </c>
      <c r="G314" s="4">
        <f t="shared" si="43"/>
        <v>95.544612184027031</v>
      </c>
      <c r="H314" s="3">
        <f t="shared" si="44"/>
        <v>421091.25594929984</v>
      </c>
      <c r="I314">
        <f t="shared" si="45"/>
        <v>40233000.74376072</v>
      </c>
      <c r="J314" s="6"/>
      <c r="K314" s="6"/>
      <c r="L314" s="6"/>
      <c r="M314" s="6"/>
      <c r="N314" s="6"/>
      <c r="O314" s="6"/>
      <c r="P314" s="6"/>
      <c r="Q314" s="6"/>
      <c r="R314" s="6"/>
    </row>
    <row r="315" spans="6:18">
      <c r="F315" s="5">
        <f t="shared" si="42"/>
        <v>2.1791249342063699E-4</v>
      </c>
      <c r="G315" s="4">
        <f t="shared" si="43"/>
        <v>93.633719940346495</v>
      </c>
      <c r="H315" s="3">
        <f t="shared" si="44"/>
        <v>429684.95505030593</v>
      </c>
      <c r="I315">
        <f t="shared" si="45"/>
        <v>40233000.74376072</v>
      </c>
      <c r="J315" s="6"/>
      <c r="K315" s="6"/>
      <c r="L315" s="6"/>
      <c r="M315" s="6"/>
      <c r="N315" s="6"/>
      <c r="O315" s="6"/>
      <c r="P315" s="6"/>
      <c r="Q315" s="6"/>
      <c r="R315" s="6"/>
    </row>
    <row r="316" spans="6:18">
      <c r="F316" s="5">
        <f t="shared" si="42"/>
        <v>2.0928315868117974E-4</v>
      </c>
      <c r="G316" s="4">
        <f t="shared" si="43"/>
        <v>91.761045541539559</v>
      </c>
      <c r="H316" s="3">
        <f t="shared" si="44"/>
        <v>438454.03576561832</v>
      </c>
      <c r="I316">
        <f t="shared" si="45"/>
        <v>40233000.74376072</v>
      </c>
      <c r="J316" s="6"/>
      <c r="K316" s="6"/>
      <c r="L316" s="6"/>
      <c r="M316" s="6"/>
      <c r="N316" s="6"/>
      <c r="O316" s="6"/>
      <c r="P316" s="6"/>
      <c r="Q316" s="6"/>
      <c r="R316" s="6"/>
    </row>
    <row r="317" spans="6:18">
      <c r="F317" s="5">
        <f t="shared" si="42"/>
        <v>2.0099554559740497E-4</v>
      </c>
      <c r="G317" s="4">
        <f t="shared" si="43"/>
        <v>89.92582463070876</v>
      </c>
      <c r="H317" s="3">
        <f t="shared" si="44"/>
        <v>447402.07731185551</v>
      </c>
      <c r="I317">
        <f t="shared" si="45"/>
        <v>40233000.74376072</v>
      </c>
      <c r="J317" s="6"/>
      <c r="K317" s="6"/>
      <c r="L317" s="6"/>
      <c r="M317" s="6"/>
      <c r="N317" s="6"/>
      <c r="O317" s="6"/>
      <c r="P317" s="6"/>
      <c r="Q317" s="6"/>
      <c r="R317" s="6"/>
    </row>
    <row r="318" spans="6:18">
      <c r="F318" s="5">
        <f t="shared" si="42"/>
        <v>1.930361219917477E-4</v>
      </c>
      <c r="G318" s="4">
        <f t="shared" si="43"/>
        <v>88.127308138094577</v>
      </c>
      <c r="H318" s="3">
        <f t="shared" si="44"/>
        <v>456532.73195087299</v>
      </c>
      <c r="I318">
        <f t="shared" si="45"/>
        <v>40233000.74376072</v>
      </c>
      <c r="J318" s="6"/>
      <c r="K318" s="6"/>
      <c r="L318" s="6"/>
      <c r="M318" s="6"/>
      <c r="N318" s="6"/>
      <c r="O318" s="6"/>
      <c r="P318" s="6"/>
      <c r="Q318" s="6"/>
      <c r="R318" s="6"/>
    </row>
    <row r="319" spans="6:18">
      <c r="F319" s="5">
        <f t="shared" si="42"/>
        <v>1.853918915608745E-4</v>
      </c>
      <c r="G319" s="4">
        <f t="shared" si="43"/>
        <v>86.364761975332684</v>
      </c>
      <c r="H319" s="3">
        <f t="shared" si="44"/>
        <v>465849.72648048267</v>
      </c>
      <c r="I319">
        <f t="shared" si="45"/>
        <v>40233000.74376072</v>
      </c>
      <c r="J319" s="6"/>
      <c r="K319" s="6"/>
      <c r="L319" s="6"/>
      <c r="M319" s="6"/>
      <c r="N319" s="6"/>
      <c r="O319" s="6"/>
      <c r="P319" s="6"/>
      <c r="Q319" s="6"/>
      <c r="R319" s="6"/>
    </row>
    <row r="320" spans="6:18">
      <c r="F320" s="5">
        <f t="shared" si="42"/>
        <v>1.7805037265506383E-4</v>
      </c>
      <c r="G320" s="4">
        <f t="shared" si="43"/>
        <v>84.637466735826024</v>
      </c>
      <c r="H320" s="3">
        <f t="shared" si="44"/>
        <v>475356.86375559459</v>
      </c>
      <c r="I320">
        <f t="shared" si="45"/>
        <v>40233000.74376072</v>
      </c>
      <c r="J320" s="6"/>
      <c r="K320" s="6"/>
      <c r="L320" s="6"/>
      <c r="M320" s="6"/>
      <c r="N320" s="6"/>
      <c r="O320" s="6"/>
      <c r="P320" s="6"/>
      <c r="Q320" s="6"/>
      <c r="R320" s="6"/>
    </row>
    <row r="321" spans="6:18">
      <c r="F321" s="5">
        <f t="shared" si="42"/>
        <v>1.7099957789792328E-4</v>
      </c>
      <c r="G321" s="4">
        <f t="shared" si="43"/>
        <v>82.9447174011095</v>
      </c>
      <c r="H321" s="3">
        <f t="shared" si="44"/>
        <v>485058.02424040268</v>
      </c>
      <c r="I321">
        <f t="shared" si="45"/>
        <v>40233000.74376072</v>
      </c>
      <c r="J321" s="6"/>
      <c r="K321" s="6"/>
      <c r="L321" s="6"/>
      <c r="M321" s="6"/>
      <c r="N321" s="6"/>
      <c r="O321" s="6"/>
      <c r="P321" s="6"/>
      <c r="Q321" s="6"/>
      <c r="R321" s="6"/>
    </row>
    <row r="322" spans="6:18">
      <c r="F322" s="5">
        <f t="shared" si="42"/>
        <v>1.6422799461316554E-4</v>
      </c>
      <c r="G322" s="4">
        <f t="shared" si="43"/>
        <v>81.285823053087313</v>
      </c>
      <c r="H322" s="3">
        <f t="shared" si="44"/>
        <v>494957.1675922476</v>
      </c>
      <c r="I322">
        <f t="shared" si="45"/>
        <v>40233000.74376072</v>
      </c>
      <c r="J322" s="6"/>
      <c r="K322" s="6"/>
      <c r="L322" s="6"/>
      <c r="M322" s="6"/>
      <c r="N322" s="6"/>
      <c r="O322" s="6"/>
      <c r="P322" s="6"/>
      <c r="Q322" s="6"/>
      <c r="R322" s="6"/>
    </row>
    <row r="323" spans="6:18">
      <c r="F323" s="5">
        <f t="shared" si="42"/>
        <v>1.5772456602648421E-4</v>
      </c>
      <c r="G323" s="4">
        <f t="shared" si="43"/>
        <v>79.660106592025571</v>
      </c>
      <c r="H323" s="3">
        <f t="shared" si="44"/>
        <v>505058.33427780366</v>
      </c>
      <c r="I323">
        <f t="shared" si="45"/>
        <v>40233000.74376072</v>
      </c>
      <c r="J323" s="6"/>
      <c r="K323" s="6"/>
      <c r="L323" s="6"/>
      <c r="M323" s="6"/>
      <c r="N323" s="6"/>
      <c r="O323" s="6"/>
      <c r="P323" s="6"/>
      <c r="Q323" s="6"/>
      <c r="R323" s="6"/>
    </row>
    <row r="324" spans="6:18">
      <c r="F324" s="5">
        <f t="shared" si="42"/>
        <v>1.5147867321183543E-4</v>
      </c>
      <c r="G324" s="4">
        <f t="shared" si="43"/>
        <v>78.066904460185057</v>
      </c>
      <c r="H324" s="3">
        <f t="shared" si="44"/>
        <v>515365.6472222486</v>
      </c>
      <c r="I324">
        <f t="shared" si="45"/>
        <v>40233000.74376072</v>
      </c>
      <c r="J324" s="6"/>
      <c r="K324" s="6"/>
      <c r="L324" s="6"/>
      <c r="M324" s="6"/>
      <c r="N324" s="6"/>
      <c r="O324" s="6"/>
      <c r="P324" s="6"/>
      <c r="Q324" s="6"/>
      <c r="R324" s="6"/>
    </row>
    <row r="325" spans="6:18">
      <c r="F325" s="5">
        <f t="shared" si="42"/>
        <v>1.4548011775264674E-4</v>
      </c>
      <c r="G325" s="4">
        <f t="shared" si="43"/>
        <v>76.505566370981356</v>
      </c>
      <c r="H325" s="3">
        <f t="shared" si="44"/>
        <v>525883.31349209044</v>
      </c>
      <c r="I325">
        <f t="shared" si="45"/>
        <v>40233000.74376072</v>
      </c>
      <c r="J325" s="6"/>
      <c r="K325" s="6"/>
      <c r="L325" s="6"/>
      <c r="M325" s="6"/>
      <c r="N325" s="6"/>
      <c r="O325" s="6"/>
      <c r="P325" s="6"/>
      <c r="Q325" s="6"/>
      <c r="R325" s="6"/>
    </row>
    <row r="326" spans="6:18">
      <c r="F326" s="5">
        <f t="shared" si="42"/>
        <v>1.3971910508964191E-4</v>
      </c>
      <c r="G326" s="4">
        <f t="shared" si="43"/>
        <v>74.975455043561723</v>
      </c>
      <c r="H326" s="3">
        <f t="shared" si="44"/>
        <v>536615.62601233716</v>
      </c>
      <c r="I326">
        <f t="shared" si="45"/>
        <v>40233000.74376072</v>
      </c>
      <c r="J326" s="6"/>
      <c r="K326" s="6"/>
      <c r="L326" s="6"/>
      <c r="M326" s="6"/>
      <c r="N326" s="6"/>
      <c r="O326" s="6"/>
      <c r="P326" s="6"/>
      <c r="Q326" s="6"/>
      <c r="R326" s="6"/>
    </row>
    <row r="327" spans="6:18">
      <c r="F327" s="5">
        <f t="shared" si="42"/>
        <v>1.3418622852809207E-4</v>
      </c>
      <c r="G327" s="4">
        <f t="shared" si="43"/>
        <v>73.475945942690487</v>
      </c>
      <c r="H327" s="3">
        <f t="shared" si="44"/>
        <v>547566.96531871147</v>
      </c>
      <c r="I327">
        <f t="shared" si="45"/>
        <v>40233000.74376072</v>
      </c>
      <c r="J327" s="6"/>
      <c r="K327" s="6"/>
      <c r="L327" s="6"/>
      <c r="M327" s="6"/>
      <c r="N327" s="6"/>
      <c r="O327" s="6"/>
      <c r="P327" s="6"/>
      <c r="Q327" s="6"/>
      <c r="R327" s="6"/>
    </row>
    <row r="328" spans="6:18">
      <c r="F328" s="5">
        <f t="shared" si="42"/>
        <v>1.2887245387837963E-4</v>
      </c>
      <c r="G328" s="4">
        <f t="shared" si="43"/>
        <v>72.006427023836679</v>
      </c>
      <c r="H328" s="3">
        <f t="shared" si="44"/>
        <v>558741.80134562391</v>
      </c>
      <c r="I328">
        <f t="shared" si="45"/>
        <v>40233000.74376072</v>
      </c>
      <c r="J328" s="6"/>
      <c r="K328" s="6"/>
      <c r="L328" s="6"/>
      <c r="M328" s="6"/>
      <c r="N328" s="6"/>
      <c r="O328" s="6"/>
      <c r="P328" s="6"/>
      <c r="Q328" s="6"/>
      <c r="R328" s="6"/>
    </row>
    <row r="329" spans="6:18">
      <c r="F329" s="5">
        <f t="shared" ref="F329:F392" si="46">G329/H329</f>
        <v>1.2376910470479581E-4</v>
      </c>
      <c r="G329" s="4">
        <f t="shared" si="43"/>
        <v>70.566298483359944</v>
      </c>
      <c r="H329" s="3">
        <f t="shared" si="44"/>
        <v>570144.69525063667</v>
      </c>
      <c r="I329">
        <f t="shared" si="45"/>
        <v>40233000.74376072</v>
      </c>
      <c r="J329" s="6"/>
      <c r="K329" s="6"/>
      <c r="L329" s="6"/>
      <c r="M329" s="6"/>
      <c r="N329" s="6"/>
      <c r="O329" s="6"/>
      <c r="P329" s="6"/>
      <c r="Q329" s="6"/>
      <c r="R329" s="6"/>
    </row>
    <row r="330" spans="6:18">
      <c r="F330" s="5">
        <f t="shared" si="46"/>
        <v>1.1886784815848587E-4</v>
      </c>
      <c r="G330" s="4">
        <f t="shared" si="43"/>
        <v>69.154972513692741</v>
      </c>
      <c r="H330" s="3">
        <f t="shared" si="44"/>
        <v>581780.30127615994</v>
      </c>
      <c r="I330">
        <f t="shared" si="45"/>
        <v>40233000.74376072</v>
      </c>
      <c r="J330" s="6"/>
      <c r="K330" s="6"/>
      <c r="L330" s="6"/>
      <c r="M330" s="6"/>
      <c r="N330" s="6"/>
      <c r="O330" s="6"/>
      <c r="P330" s="6"/>
      <c r="Q330" s="6"/>
      <c r="R330" s="6"/>
    </row>
    <row r="331" spans="6:18">
      <c r="F331" s="5">
        <f t="shared" si="46"/>
        <v>1.1416068137140982E-4</v>
      </c>
      <c r="G331" s="4">
        <f t="shared" si="43"/>
        <v>67.77187306341888</v>
      </c>
      <c r="H331" s="3">
        <f t="shared" si="44"/>
        <v>593653.36864914279</v>
      </c>
      <c r="I331">
        <f t="shared" si="45"/>
        <v>40233000.74376072</v>
      </c>
      <c r="J331" s="6"/>
      <c r="K331" s="6"/>
      <c r="L331" s="6"/>
      <c r="M331" s="6"/>
      <c r="N331" s="6"/>
      <c r="O331" s="6"/>
      <c r="P331" s="6"/>
      <c r="Q331" s="6"/>
      <c r="R331" s="6"/>
    </row>
    <row r="332" spans="6:18">
      <c r="F332" s="5">
        <f t="shared" si="46"/>
        <v>1.0963991838910198E-4</v>
      </c>
      <c r="G332" s="4">
        <f t="shared" si="43"/>
        <v>66.4164356021505</v>
      </c>
      <c r="H332" s="3">
        <f t="shared" si="44"/>
        <v>605768.74351953354</v>
      </c>
      <c r="I332">
        <f t="shared" si="45"/>
        <v>40233000.74376072</v>
      </c>
      <c r="J332" s="6"/>
      <c r="K332" s="6"/>
      <c r="L332" s="6"/>
      <c r="M332" s="6"/>
      <c r="N332" s="6"/>
      <c r="O332" s="6"/>
      <c r="P332" s="6"/>
      <c r="Q332" s="6"/>
      <c r="R332" s="6"/>
    </row>
    <row r="333" spans="6:18">
      <c r="F333" s="5">
        <f t="shared" si="46"/>
        <v>1.0529817762089352E-4</v>
      </c>
      <c r="G333" s="4">
        <f t="shared" si="43"/>
        <v>65.088106890107483</v>
      </c>
      <c r="H333" s="3">
        <f t="shared" si="44"/>
        <v>618131.37093829957</v>
      </c>
      <c r="I333">
        <f t="shared" si="45"/>
        <v>40233000.74376072</v>
      </c>
      <c r="J333" s="6"/>
      <c r="K333" s="6"/>
      <c r="L333" s="6"/>
      <c r="M333" s="6"/>
      <c r="N333" s="6"/>
      <c r="O333" s="6"/>
      <c r="P333" s="6"/>
      <c r="Q333" s="6"/>
      <c r="R333" s="6"/>
    </row>
    <row r="334" spans="6:18">
      <c r="F334" s="5">
        <f t="shared" si="46"/>
        <v>1.0112836978710614E-4</v>
      </c>
      <c r="G334" s="4">
        <f t="shared" si="43"/>
        <v>63.786344752305332</v>
      </c>
      <c r="H334" s="3">
        <f t="shared" si="44"/>
        <v>630746.29687581584</v>
      </c>
      <c r="I334">
        <f t="shared" si="45"/>
        <v>40233000.74376072</v>
      </c>
      <c r="J334" s="6"/>
      <c r="K334" s="6"/>
      <c r="L334" s="6"/>
      <c r="M334" s="6"/>
      <c r="N334" s="6"/>
      <c r="O334" s="6"/>
      <c r="P334" s="6"/>
      <c r="Q334" s="6"/>
      <c r="R334" s="6"/>
    </row>
    <row r="335" spans="6:18">
      <c r="F335" s="5">
        <f t="shared" si="46"/>
        <v>9.7123686343536731E-5</v>
      </c>
      <c r="G335" s="4">
        <f t="shared" si="43"/>
        <v>62.510617857259227</v>
      </c>
      <c r="H335" s="3">
        <f t="shared" si="44"/>
        <v>643618.67028144479</v>
      </c>
      <c r="I335">
        <f t="shared" si="45"/>
        <v>40233000.74376072</v>
      </c>
      <c r="J335" s="6"/>
      <c r="K335" s="6"/>
      <c r="L335" s="6"/>
      <c r="M335" s="6"/>
      <c r="N335" s="6"/>
      <c r="O335" s="6"/>
      <c r="P335" s="6"/>
      <c r="Q335" s="6"/>
      <c r="R335" s="6"/>
    </row>
    <row r="336" spans="6:18">
      <c r="F336" s="5">
        <f t="shared" si="46"/>
        <v>9.3277588364332672E-5</v>
      </c>
      <c r="G336" s="4">
        <f t="shared" si="43"/>
        <v>61.26040550011404</v>
      </c>
      <c r="H336" s="3">
        <f t="shared" si="44"/>
        <v>656753.74518514774</v>
      </c>
      <c r="I336">
        <f t="shared" si="45"/>
        <v>40233000.74376072</v>
      </c>
      <c r="J336" s="6"/>
      <c r="K336" s="6"/>
      <c r="L336" s="6"/>
      <c r="M336" s="6"/>
      <c r="N336" s="6"/>
      <c r="O336" s="6"/>
      <c r="P336" s="6"/>
      <c r="Q336" s="6"/>
      <c r="R336" s="6"/>
    </row>
    <row r="337" spans="6:18">
      <c r="F337" s="5">
        <f t="shared" si="46"/>
        <v>8.9583795865105087E-5</v>
      </c>
      <c r="G337" s="4">
        <f t="shared" si="43"/>
        <v>60.035197390111755</v>
      </c>
      <c r="H337" s="3">
        <f t="shared" si="44"/>
        <v>670156.88284198754</v>
      </c>
      <c r="I337">
        <f t="shared" si="45"/>
        <v>40233000.74376072</v>
      </c>
      <c r="J337" s="6"/>
      <c r="K337" s="6"/>
      <c r="L337" s="6"/>
      <c r="M337" s="6"/>
      <c r="N337" s="6"/>
      <c r="O337" s="6"/>
      <c r="P337" s="6"/>
      <c r="Q337" s="6"/>
      <c r="R337" s="6"/>
    </row>
    <row r="338" spans="6:18">
      <c r="F338" s="5">
        <f t="shared" si="46"/>
        <v>8.6036277548846903E-5</v>
      </c>
      <c r="G338" s="4">
        <f t="shared" si="43"/>
        <v>58.834493442309515</v>
      </c>
      <c r="H338" s="3">
        <f t="shared" si="44"/>
        <v>683833.55392039556</v>
      </c>
      <c r="I338">
        <f t="shared" si="45"/>
        <v>40233000.74376072</v>
      </c>
      <c r="J338" s="6"/>
      <c r="K338" s="6"/>
      <c r="L338" s="6"/>
      <c r="M338" s="6"/>
      <c r="N338" s="6"/>
      <c r="O338" s="6"/>
      <c r="P338" s="6"/>
      <c r="Q338" s="6"/>
      <c r="R338" s="6"/>
    </row>
    <row r="339" spans="6:18">
      <c r="F339" s="5">
        <f t="shared" si="46"/>
        <v>8.2629240957912583E-5</v>
      </c>
      <c r="G339" s="4">
        <f t="shared" si="43"/>
        <v>57.657803573463326</v>
      </c>
      <c r="H339" s="3">
        <f t="shared" si="44"/>
        <v>697789.34073509742</v>
      </c>
      <c r="I339">
        <f t="shared" si="45"/>
        <v>40233000.74376072</v>
      </c>
      <c r="J339" s="6"/>
      <c r="K339" s="6"/>
      <c r="L339" s="6"/>
      <c r="M339" s="6"/>
      <c r="N339" s="6"/>
      <c r="O339" s="6"/>
      <c r="P339" s="6"/>
      <c r="Q339" s="6"/>
      <c r="R339" s="6"/>
    </row>
    <row r="340" spans="6:18">
      <c r="F340" s="5">
        <f t="shared" si="46"/>
        <v>7.9357123015979218E-5</v>
      </c>
      <c r="G340" s="4">
        <f t="shared" si="43"/>
        <v>56.504647501994057</v>
      </c>
      <c r="H340" s="3">
        <f t="shared" si="44"/>
        <v>712029.93952560972</v>
      </c>
      <c r="I340">
        <f t="shared" si="45"/>
        <v>40233000.74376072</v>
      </c>
      <c r="J340" s="6"/>
      <c r="K340" s="6"/>
      <c r="L340" s="6"/>
      <c r="M340" s="6"/>
      <c r="N340" s="6"/>
      <c r="O340" s="6"/>
      <c r="P340" s="6"/>
      <c r="Q340" s="6"/>
      <c r="R340" s="6"/>
    </row>
    <row r="341" spans="6:18">
      <c r="F341" s="5">
        <f t="shared" si="46"/>
        <v>7.6214580944546456E-5</v>
      </c>
      <c r="G341" s="4">
        <f t="shared" si="43"/>
        <v>55.374554551954176</v>
      </c>
      <c r="H341" s="3">
        <f t="shared" si="44"/>
        <v>726561.16278123436</v>
      </c>
      <c r="I341">
        <f t="shared" si="45"/>
        <v>40233000.74376072</v>
      </c>
      <c r="J341" s="6"/>
      <c r="K341" s="6"/>
      <c r="L341" s="6"/>
      <c r="M341" s="6"/>
      <c r="N341" s="6"/>
      <c r="O341" s="6"/>
      <c r="P341" s="6"/>
      <c r="Q341" s="6"/>
      <c r="R341" s="6"/>
    </row>
    <row r="342" spans="6:18">
      <c r="F342" s="5">
        <f t="shared" si="46"/>
        <v>7.319648353914241E-5</v>
      </c>
      <c r="G342" s="4">
        <f t="shared" si="43"/>
        <v>54.267063460915089</v>
      </c>
      <c r="H342" s="3">
        <f t="shared" si="44"/>
        <v>741388.94161350443</v>
      </c>
      <c r="I342">
        <f t="shared" si="45"/>
        <v>40233000.74376072</v>
      </c>
      <c r="J342" s="6"/>
      <c r="K342" s="6"/>
      <c r="L342" s="6"/>
      <c r="M342" s="6"/>
      <c r="N342" s="6"/>
      <c r="O342" s="6"/>
      <c r="P342" s="6"/>
      <c r="Q342" s="6"/>
      <c r="R342" s="6"/>
    </row>
    <row r="343" spans="6:18">
      <c r="F343" s="5">
        <f t="shared" si="46"/>
        <v>7.0297902790992362E-5</v>
      </c>
      <c r="G343" s="4">
        <f t="shared" si="43"/>
        <v>53.181722191696785</v>
      </c>
      <c r="H343" s="3">
        <f t="shared" si="44"/>
        <v>756519.32817704545</v>
      </c>
      <c r="I343">
        <f t="shared" si="45"/>
        <v>40233000.74376072</v>
      </c>
      <c r="J343" s="6"/>
      <c r="K343" s="6"/>
      <c r="L343" s="6"/>
      <c r="M343" s="6"/>
      <c r="N343" s="6"/>
      <c r="O343" s="6"/>
      <c r="P343" s="6"/>
      <c r="Q343" s="6"/>
      <c r="R343" s="6"/>
    </row>
    <row r="344" spans="6:18">
      <c r="F344" s="5">
        <f t="shared" si="46"/>
        <v>6.7514105840469057E-5</v>
      </c>
      <c r="G344" s="4">
        <f t="shared" si="43"/>
        <v>52.118087747862852</v>
      </c>
      <c r="H344" s="3">
        <f t="shared" si="44"/>
        <v>771958.4981398423</v>
      </c>
      <c r="I344">
        <f t="shared" si="45"/>
        <v>40233000.74376072</v>
      </c>
      <c r="J344" s="6"/>
      <c r="K344" s="6"/>
      <c r="L344" s="6"/>
      <c r="M344" s="6"/>
      <c r="N344" s="6"/>
      <c r="O344" s="6"/>
      <c r="P344" s="6"/>
      <c r="Q344" s="6"/>
      <c r="R344" s="6"/>
    </row>
    <row r="345" spans="6:18">
      <c r="F345" s="5">
        <f t="shared" si="46"/>
        <v>6.4840547249186487E-5</v>
      </c>
      <c r="G345" s="4">
        <f t="shared" si="43"/>
        <v>51.075725992905596</v>
      </c>
      <c r="H345" s="3">
        <f t="shared" si="44"/>
        <v>787712.75320392067</v>
      </c>
      <c r="I345">
        <f t="shared" si="45"/>
        <v>40233000.74376072</v>
      </c>
      <c r="J345" s="6"/>
      <c r="K345" s="6"/>
      <c r="L345" s="6"/>
      <c r="M345" s="6"/>
      <c r="N345" s="6"/>
      <c r="O345" s="6"/>
      <c r="P345" s="6"/>
      <c r="Q345" s="6"/>
      <c r="R345" s="6"/>
    </row>
    <row r="346" spans="6:18">
      <c r="F346" s="5">
        <f t="shared" si="46"/>
        <v>6.2272861578118707E-5</v>
      </c>
      <c r="G346" s="4">
        <f t="shared" si="43"/>
        <v>50.054211473047481</v>
      </c>
      <c r="H346" s="3">
        <f t="shared" si="44"/>
        <v>803788.52367747005</v>
      </c>
      <c r="I346">
        <f t="shared" si="45"/>
        <v>40233000.74376072</v>
      </c>
      <c r="J346" s="6"/>
      <c r="K346" s="6"/>
      <c r="L346" s="6"/>
      <c r="M346" s="6"/>
      <c r="N346" s="6"/>
      <c r="O346" s="6"/>
      <c r="P346" s="6"/>
      <c r="Q346" s="6"/>
      <c r="R346" s="6"/>
    </row>
    <row r="347" spans="6:18">
      <c r="F347" s="5">
        <f t="shared" si="46"/>
        <v>5.9806856259625205E-5</v>
      </c>
      <c r="G347" s="4">
        <f t="shared" si="43"/>
        <v>49.05312724358653</v>
      </c>
      <c r="H347" s="3">
        <f t="shared" si="44"/>
        <v>820192.37109945924</v>
      </c>
      <c r="I347">
        <f t="shared" si="45"/>
        <v>40233000.74376072</v>
      </c>
      <c r="J347" s="6"/>
      <c r="K347" s="6"/>
      <c r="L347" s="6"/>
      <c r="M347" s="6"/>
      <c r="N347" s="6"/>
      <c r="O347" s="6"/>
      <c r="P347" s="6"/>
      <c r="Q347" s="6"/>
      <c r="R347" s="6"/>
    </row>
    <row r="348" spans="6:18">
      <c r="F348" s="5">
        <f t="shared" si="46"/>
        <v>5.7438504751744038E-5</v>
      </c>
      <c r="G348" s="4">
        <f t="shared" si="43"/>
        <v>48.072064698714797</v>
      </c>
      <c r="H348" s="3">
        <f t="shared" si="44"/>
        <v>836930.99091781559</v>
      </c>
      <c r="I348">
        <f t="shared" si="45"/>
        <v>40233000.74376072</v>
      </c>
      <c r="J348" s="6"/>
      <c r="K348" s="6"/>
      <c r="L348" s="6"/>
      <c r="M348" s="6"/>
      <c r="N348" s="6"/>
      <c r="O348" s="6"/>
      <c r="P348" s="6"/>
      <c r="Q348" s="6"/>
      <c r="R348" s="6"/>
    </row>
    <row r="349" spans="6:18">
      <c r="F349" s="5">
        <f t="shared" si="46"/>
        <v>5.5163939963574966E-5</v>
      </c>
      <c r="G349" s="4">
        <f t="shared" si="43"/>
        <v>47.110623404740501</v>
      </c>
      <c r="H349" s="3">
        <f t="shared" si="44"/>
        <v>854011.21522226091</v>
      </c>
      <c r="I349">
        <f t="shared" si="45"/>
        <v>40233000.74376072</v>
      </c>
      <c r="J349" s="6"/>
      <c r="K349" s="6"/>
      <c r="L349" s="6"/>
      <c r="M349" s="6"/>
      <c r="N349" s="6"/>
      <c r="O349" s="6"/>
      <c r="P349" s="6"/>
      <c r="Q349" s="6"/>
      <c r="R349" s="6"/>
    </row>
    <row r="350" spans="6:18">
      <c r="F350" s="5">
        <f t="shared" si="46"/>
        <v>5.2979447941017404E-5</v>
      </c>
      <c r="G350" s="4">
        <f t="shared" si="43"/>
        <v>46.168410936645692</v>
      </c>
      <c r="H350" s="3">
        <f t="shared" si="44"/>
        <v>871440.01553291921</v>
      </c>
      <c r="I350">
        <f t="shared" si="45"/>
        <v>40233000.74376072</v>
      </c>
      <c r="J350" s="6"/>
      <c r="K350" s="6"/>
      <c r="L350" s="6"/>
      <c r="M350" s="6"/>
      <c r="N350" s="6"/>
      <c r="O350" s="6"/>
      <c r="P350" s="6"/>
      <c r="Q350" s="6"/>
      <c r="R350" s="6"/>
    </row>
    <row r="351" spans="6:18">
      <c r="F351" s="5">
        <f t="shared" si="46"/>
        <v>5.088146180255311E-5</v>
      </c>
      <c r="G351" s="4">
        <f t="shared" si="43"/>
        <v>45.245042717912774</v>
      </c>
      <c r="H351" s="3">
        <f t="shared" si="44"/>
        <v>889224.505645836</v>
      </c>
      <c r="I351">
        <f t="shared" si="45"/>
        <v>40233000.74376072</v>
      </c>
      <c r="J351" s="6"/>
      <c r="K351" s="6"/>
      <c r="L351" s="6"/>
      <c r="M351" s="6"/>
      <c r="N351" s="6"/>
      <c r="O351" s="6"/>
      <c r="P351" s="6"/>
      <c r="Q351" s="6"/>
      <c r="R351" s="6"/>
    </row>
    <row r="352" spans="6:18">
      <c r="F352" s="5">
        <f t="shared" si="46"/>
        <v>4.8866555915172005E-5</v>
      </c>
      <c r="G352" s="4">
        <f t="shared" si="43"/>
        <v>44.340141863554521</v>
      </c>
      <c r="H352" s="3">
        <f t="shared" si="44"/>
        <v>907371.94453656732</v>
      </c>
      <c r="I352">
        <f t="shared" si="45"/>
        <v>40233000.74376072</v>
      </c>
      <c r="J352" s="6"/>
      <c r="K352" s="6"/>
      <c r="L352" s="6"/>
      <c r="M352" s="6"/>
      <c r="N352" s="6"/>
      <c r="O352" s="6"/>
      <c r="P352" s="6"/>
      <c r="Q352" s="6"/>
      <c r="R352" s="6"/>
    </row>
    <row r="353" spans="6:18">
      <c r="F353" s="5">
        <f t="shared" si="46"/>
        <v>4.6931440300931194E-5</v>
      </c>
      <c r="G353" s="4">
        <f t="shared" si="43"/>
        <v>43.45333902628343</v>
      </c>
      <c r="H353" s="3">
        <f t="shared" si="44"/>
        <v>925889.7393230279</v>
      </c>
      <c r="I353">
        <f t="shared" si="45"/>
        <v>40233000.74376072</v>
      </c>
      <c r="J353" s="6"/>
      <c r="K353" s="6"/>
      <c r="L353" s="6"/>
      <c r="M353" s="6"/>
      <c r="N353" s="6"/>
      <c r="O353" s="6"/>
      <c r="P353" s="6"/>
      <c r="Q353" s="6"/>
      <c r="R353" s="6"/>
    </row>
    <row r="354" spans="6:18">
      <c r="F354" s="5">
        <f t="shared" si="46"/>
        <v>4.5072955265014312E-5</v>
      </c>
      <c r="G354" s="4">
        <f t="shared" si="43"/>
        <v>42.584272245757759</v>
      </c>
      <c r="H354" s="3">
        <f t="shared" si="44"/>
        <v>944785.44828880404</v>
      </c>
      <c r="I354">
        <f t="shared" si="45"/>
        <v>40233000.74376072</v>
      </c>
      <c r="J354" s="6"/>
      <c r="K354" s="6"/>
      <c r="L354" s="6"/>
      <c r="M354" s="6"/>
      <c r="N354" s="6"/>
      <c r="O354" s="6"/>
      <c r="P354" s="6"/>
      <c r="Q354" s="6"/>
      <c r="R354" s="6"/>
    </row>
    <row r="355" spans="6:18">
      <c r="F355" s="5">
        <f t="shared" si="46"/>
        <v>4.3288066236519751E-5</v>
      </c>
      <c r="G355" s="4">
        <f t="shared" si="43"/>
        <v>41.732586800842604</v>
      </c>
      <c r="H355" s="3">
        <f t="shared" si="44"/>
        <v>964066.78396816738</v>
      </c>
      <c r="I355">
        <f t="shared" si="45"/>
        <v>40233000.74376072</v>
      </c>
      <c r="J355" s="6"/>
      <c r="K355" s="6"/>
      <c r="L355" s="6"/>
      <c r="M355" s="6"/>
      <c r="N355" s="6"/>
      <c r="O355" s="6"/>
      <c r="P355" s="6"/>
      <c r="Q355" s="6"/>
      <c r="R355" s="6"/>
    </row>
    <row r="356" spans="6:18">
      <c r="F356" s="5">
        <f t="shared" si="46"/>
        <v>4.1573858813553567E-5</v>
      </c>
      <c r="G356" s="4">
        <f t="shared" si="43"/>
        <v>40.897935064825752</v>
      </c>
      <c r="H356" s="3">
        <f t="shared" si="44"/>
        <v>983741.61629404838</v>
      </c>
      <c r="I356">
        <f t="shared" si="45"/>
        <v>40233000.74376072</v>
      </c>
      <c r="J356" s="6"/>
      <c r="K356" s="6"/>
      <c r="L356" s="6"/>
      <c r="M356" s="6"/>
      <c r="N356" s="6"/>
      <c r="O356" s="6"/>
      <c r="P356" s="6"/>
      <c r="Q356" s="6"/>
      <c r="R356" s="6"/>
    </row>
    <row r="357" spans="6:18">
      <c r="F357" s="5">
        <f t="shared" si="46"/>
        <v>3.9927534004536837E-5</v>
      </c>
      <c r="G357" s="4">
        <f t="shared" si="43"/>
        <v>40.079976363529234</v>
      </c>
      <c r="H357" s="3">
        <f t="shared" si="44"/>
        <v>1003817.9758102535</v>
      </c>
      <c r="I357">
        <f t="shared" si="45"/>
        <v>40233000.74376072</v>
      </c>
      <c r="J357" s="6"/>
      <c r="K357" s="6"/>
      <c r="L357" s="6"/>
      <c r="M357" s="6"/>
      <c r="N357" s="6"/>
      <c r="O357" s="6"/>
      <c r="P357" s="6"/>
      <c r="Q357" s="6"/>
      <c r="R357" s="6"/>
    </row>
    <row r="358" spans="6:18">
      <c r="F358" s="5">
        <f t="shared" si="46"/>
        <v>3.8346403657957186E-5</v>
      </c>
      <c r="G358" s="4">
        <f t="shared" si="43"/>
        <v>39.278376836258651</v>
      </c>
      <c r="H358" s="3">
        <f t="shared" si="44"/>
        <v>1024304.0569492382</v>
      </c>
      <c r="I358">
        <f t="shared" si="45"/>
        <v>40233000.74376072</v>
      </c>
      <c r="J358" s="6"/>
      <c r="K358" s="6"/>
      <c r="L358" s="6"/>
      <c r="M358" s="6"/>
      <c r="N358" s="6"/>
      <c r="O358" s="6"/>
      <c r="P358" s="6"/>
      <c r="Q358" s="6"/>
      <c r="R358" s="6"/>
    </row>
    <row r="359" spans="6:18">
      <c r="F359" s="5">
        <f t="shared" si="46"/>
        <v>3.6827886073102076E-5</v>
      </c>
      <c r="G359" s="4">
        <f t="shared" si="43"/>
        <v>38.492809299533477</v>
      </c>
      <c r="H359" s="3">
        <f t="shared" si="44"/>
        <v>1045208.2213767737</v>
      </c>
      <c r="I359">
        <f t="shared" si="45"/>
        <v>40233000.74376072</v>
      </c>
      <c r="J359" s="6"/>
      <c r="K359" s="6"/>
      <c r="L359" s="6"/>
      <c r="M359" s="6"/>
      <c r="N359" s="6"/>
      <c r="O359" s="6"/>
      <c r="P359" s="6"/>
      <c r="Q359" s="6"/>
      <c r="R359" s="6"/>
    </row>
    <row r="360" spans="6:18">
      <c r="F360" s="5">
        <f t="shared" si="46"/>
        <v>3.5369501784607232E-5</v>
      </c>
      <c r="G360" s="4">
        <f t="shared" si="43"/>
        <v>37.722953113542808</v>
      </c>
      <c r="H360" s="3">
        <f t="shared" si="44"/>
        <v>1066539.0014048712</v>
      </c>
      <c r="I360">
        <f t="shared" si="45"/>
        <v>40233000.74376072</v>
      </c>
      <c r="J360" s="6"/>
      <c r="K360" s="6"/>
      <c r="L360" s="6"/>
      <c r="M360" s="6"/>
      <c r="N360" s="6"/>
      <c r="O360" s="6"/>
      <c r="P360" s="6"/>
      <c r="Q360" s="6"/>
      <c r="R360" s="6"/>
    </row>
    <row r="361" spans="6:18">
      <c r="F361" s="5">
        <f t="shared" si="46"/>
        <v>3.3968869513936788E-5</v>
      </c>
      <c r="G361" s="4">
        <f t="shared" si="43"/>
        <v>36.968494051271954</v>
      </c>
      <c r="H361" s="3">
        <f t="shared" si="44"/>
        <v>1088305.1034743583</v>
      </c>
      <c r="I361">
        <f t="shared" si="45"/>
        <v>40233000.74376072</v>
      </c>
      <c r="J361" s="6"/>
      <c r="K361" s="6"/>
      <c r="L361" s="6"/>
      <c r="M361" s="6"/>
      <c r="N361" s="6"/>
      <c r="O361" s="6"/>
      <c r="P361" s="6"/>
      <c r="Q361" s="6"/>
      <c r="R361" s="6"/>
    </row>
    <row r="362" spans="6:18">
      <c r="F362" s="5">
        <f t="shared" si="46"/>
        <v>3.2623702281184895E-5</v>
      </c>
      <c r="G362" s="4">
        <f t="shared" si="43"/>
        <v>36.229124170246514</v>
      </c>
      <c r="H362" s="3">
        <f t="shared" si="44"/>
        <v>1110515.4117085289</v>
      </c>
      <c r="I362">
        <f t="shared" si="45"/>
        <v>40233000.74376072</v>
      </c>
      <c r="J362" s="6"/>
      <c r="K362" s="6"/>
      <c r="L362" s="6"/>
      <c r="M362" s="6"/>
      <c r="N362" s="6"/>
      <c r="O362" s="6"/>
      <c r="P362" s="6"/>
      <c r="Q362" s="6"/>
      <c r="R362" s="6"/>
    </row>
    <row r="363" spans="6:18">
      <c r="F363" s="5">
        <f t="shared" si="46"/>
        <v>3.1331803670849971E-5</v>
      </c>
      <c r="G363" s="4">
        <f t="shared" si="43"/>
        <v>35.504541686841584</v>
      </c>
      <c r="H363" s="3">
        <f t="shared" si="44"/>
        <v>1133178.9915393151</v>
      </c>
      <c r="I363">
        <f t="shared" si="45"/>
        <v>40233000.74376072</v>
      </c>
      <c r="J363" s="6"/>
      <c r="K363" s="6"/>
      <c r="L363" s="6"/>
      <c r="M363" s="6"/>
      <c r="N363" s="6"/>
      <c r="O363" s="6"/>
      <c r="P363" s="6"/>
      <c r="Q363" s="6"/>
      <c r="R363" s="6"/>
    </row>
    <row r="364" spans="6:18">
      <c r="F364" s="5">
        <f t="shared" si="46"/>
        <v>3.0091064245484309E-5</v>
      </c>
      <c r="G364" s="4">
        <f t="shared" si="43"/>
        <v>34.794450853104749</v>
      </c>
      <c r="H364" s="3">
        <f t="shared" si="44"/>
        <v>1156305.0934074644</v>
      </c>
      <c r="I364">
        <f t="shared" si="45"/>
        <v>40233000.74376072</v>
      </c>
      <c r="J364" s="6"/>
      <c r="K364" s="6"/>
      <c r="L364" s="6"/>
      <c r="M364" s="6"/>
      <c r="N364" s="6"/>
      <c r="O364" s="6"/>
      <c r="P364" s="6"/>
      <c r="Q364" s="6"/>
      <c r="R364" s="6"/>
    </row>
    <row r="365" spans="6:18">
      <c r="F365" s="5">
        <f t="shared" si="46"/>
        <v>2.8899458101363134E-5</v>
      </c>
      <c r="G365" s="4">
        <f t="shared" si="43"/>
        <v>34.098561836042656</v>
      </c>
      <c r="H365" s="3">
        <f t="shared" si="44"/>
        <v>1179903.156538229</v>
      </c>
      <c r="I365">
        <f t="shared" si="45"/>
        <v>40233000.74376072</v>
      </c>
      <c r="J365" s="6"/>
      <c r="K365" s="6"/>
      <c r="L365" s="6"/>
      <c r="M365" s="6"/>
      <c r="N365" s="6"/>
      <c r="O365" s="6"/>
      <c r="P365" s="6"/>
      <c r="Q365" s="6"/>
      <c r="R365" s="6"/>
    </row>
    <row r="366" spans="6:18">
      <c r="F366" s="5">
        <f t="shared" si="46"/>
        <v>2.7755039560549146E-5</v>
      </c>
      <c r="G366" s="4">
        <f t="shared" si="43"/>
        <v>33.4165905993218</v>
      </c>
      <c r="H366" s="3">
        <f t="shared" si="44"/>
        <v>1203982.8127941114</v>
      </c>
      <c r="I366">
        <f t="shared" si="45"/>
        <v>40233000.74376072</v>
      </c>
      <c r="J366" s="6"/>
      <c r="K366" s="6"/>
      <c r="L366" s="6"/>
      <c r="M366" s="6"/>
      <c r="N366" s="6"/>
      <c r="O366" s="6"/>
      <c r="P366" s="6"/>
      <c r="Q366" s="6"/>
      <c r="R366" s="6"/>
    </row>
    <row r="367" spans="6:18">
      <c r="F367" s="5">
        <f t="shared" si="46"/>
        <v>2.6655939993951408E-5</v>
      </c>
      <c r="G367" s="4">
        <f t="shared" si="43"/>
        <v>32.748258787335367</v>
      </c>
      <c r="H367" s="3">
        <f t="shared" si="44"/>
        <v>1228553.8906062359</v>
      </c>
      <c r="I367">
        <f t="shared" si="45"/>
        <v>40233000.74376072</v>
      </c>
      <c r="J367" s="6"/>
      <c r="K367" s="6"/>
      <c r="L367" s="6"/>
      <c r="M367" s="6"/>
      <c r="N367" s="6"/>
      <c r="O367" s="6"/>
      <c r="P367" s="6"/>
      <c r="Q367" s="6"/>
      <c r="R367" s="6"/>
    </row>
    <row r="368" spans="6:18">
      <c r="F368" s="5">
        <f t="shared" si="46"/>
        <v>2.5600364770190926E-5</v>
      </c>
      <c r="G368" s="4">
        <f t="shared" si="43"/>
        <v>32.093293611588656</v>
      </c>
      <c r="H368" s="3">
        <f t="shared" si="44"/>
        <v>1253626.4189859552</v>
      </c>
      <c r="I368">
        <f t="shared" si="45"/>
        <v>40233000.74376072</v>
      </c>
      <c r="J368" s="6"/>
      <c r="K368" s="6"/>
      <c r="L368" s="6"/>
      <c r="M368" s="6"/>
      <c r="N368" s="6"/>
      <c r="O368" s="6"/>
      <c r="P368" s="6"/>
      <c r="Q368" s="6"/>
      <c r="R368" s="6"/>
    </row>
    <row r="369" spans="6:18">
      <c r="F369" s="5">
        <f t="shared" si="46"/>
        <v>2.4586590325291367E-5</v>
      </c>
      <c r="G369" s="4">
        <f t="shared" si="43"/>
        <v>31.451427739356884</v>
      </c>
      <c r="H369" s="3">
        <f t="shared" si="44"/>
        <v>1279210.6316183216</v>
      </c>
      <c r="I369">
        <f t="shared" si="45"/>
        <v>40233000.74376072</v>
      </c>
      <c r="J369" s="6"/>
      <c r="K369" s="6"/>
      <c r="L369" s="6"/>
      <c r="M369" s="6"/>
      <c r="N369" s="6"/>
      <c r="O369" s="6"/>
      <c r="P369" s="6"/>
      <c r="Q369" s="6"/>
      <c r="R369" s="6"/>
    </row>
    <row r="370" spans="6:18">
      <c r="F370" s="5">
        <f t="shared" si="46"/>
        <v>2.3612961348409831E-5</v>
      </c>
      <c r="G370" s="4">
        <f t="shared" ref="G370:G433" si="47">G369*(1-$O$1)</f>
        <v>30.822399184569747</v>
      </c>
      <c r="H370" s="3">
        <f t="shared" ref="H370:H433" si="48">I370/G370</f>
        <v>1305316.9710391036</v>
      </c>
      <c r="I370">
        <f t="shared" ref="I370:I433" si="49">I369</f>
        <v>40233000.74376072</v>
      </c>
      <c r="J370" s="6"/>
      <c r="K370" s="6"/>
      <c r="L370" s="6"/>
      <c r="M370" s="6"/>
      <c r="N370" s="6"/>
      <c r="O370" s="6"/>
      <c r="P370" s="6"/>
      <c r="Q370" s="6"/>
      <c r="R370" s="6"/>
    </row>
    <row r="371" spans="6:18">
      <c r="F371" s="5">
        <f t="shared" si="46"/>
        <v>2.2677888079012801E-5</v>
      </c>
      <c r="G371" s="4">
        <f t="shared" si="47"/>
        <v>30.205951200878353</v>
      </c>
      <c r="H371" s="3">
        <f t="shared" si="48"/>
        <v>1331956.0928970445</v>
      </c>
      <c r="I371">
        <f t="shared" si="49"/>
        <v>40233000.74376072</v>
      </c>
      <c r="J371" s="6"/>
      <c r="K371" s="6"/>
      <c r="L371" s="6"/>
      <c r="M371" s="6"/>
      <c r="N371" s="6"/>
      <c r="O371" s="6"/>
      <c r="P371" s="6"/>
      <c r="Q371" s="6"/>
      <c r="R371" s="6"/>
    </row>
    <row r="372" spans="6:18">
      <c r="F372" s="5">
        <f t="shared" si="46"/>
        <v>2.1779843711083894E-5</v>
      </c>
      <c r="G372" s="4">
        <f t="shared" si="47"/>
        <v>29.601832176860785</v>
      </c>
      <c r="H372" s="3">
        <f t="shared" si="48"/>
        <v>1359138.8703031067</v>
      </c>
      <c r="I372">
        <f t="shared" si="49"/>
        <v>40233000.74376072</v>
      </c>
      <c r="J372" s="6"/>
      <c r="K372" s="6"/>
      <c r="L372" s="6"/>
      <c r="M372" s="6"/>
      <c r="N372" s="6"/>
      <c r="O372" s="6"/>
      <c r="P372" s="6"/>
      <c r="Q372" s="6"/>
      <c r="R372" s="6"/>
    </row>
    <row r="373" spans="6:18">
      <c r="F373" s="5">
        <f t="shared" si="46"/>
        <v>2.0917361900124973E-5</v>
      </c>
      <c r="G373" s="4">
        <f t="shared" si="47"/>
        <v>29.009795533323569</v>
      </c>
      <c r="H373" s="3">
        <f t="shared" si="48"/>
        <v>1386876.3982684761</v>
      </c>
      <c r="I373">
        <f t="shared" si="49"/>
        <v>40233000.74376072</v>
      </c>
      <c r="J373" s="6"/>
      <c r="K373" s="6"/>
      <c r="L373" s="6"/>
      <c r="M373" s="6"/>
      <c r="N373" s="6"/>
      <c r="O373" s="6"/>
      <c r="P373" s="6"/>
      <c r="Q373" s="6"/>
      <c r="R373" s="6"/>
    </row>
    <row r="374" spans="6:18">
      <c r="F374" s="5">
        <f t="shared" si="46"/>
        <v>2.0089034368880019E-5</v>
      </c>
      <c r="G374" s="4">
        <f t="shared" si="47"/>
        <v>28.429599622657097</v>
      </c>
      <c r="H374" s="3">
        <f t="shared" si="48"/>
        <v>1415179.998233139</v>
      </c>
      <c r="I374">
        <f t="shared" si="49"/>
        <v>40233000.74376072</v>
      </c>
      <c r="J374" s="6"/>
      <c r="K374" s="6"/>
      <c r="L374" s="6"/>
      <c r="M374" s="6"/>
      <c r="N374" s="6"/>
      <c r="O374" s="6"/>
      <c r="P374" s="6"/>
      <c r="Q374" s="6"/>
      <c r="R374" s="6"/>
    </row>
    <row r="375" spans="6:18">
      <c r="F375" s="5">
        <f t="shared" si="46"/>
        <v>1.9293508607872371E-5</v>
      </c>
      <c r="G375" s="4">
        <f t="shared" si="47"/>
        <v>27.861007630203954</v>
      </c>
      <c r="H375" s="3">
        <f t="shared" si="48"/>
        <v>1444061.2226868765</v>
      </c>
      <c r="I375">
        <f t="shared" si="49"/>
        <v>40233000.74376072</v>
      </c>
      <c r="J375" s="6"/>
      <c r="K375" s="6"/>
      <c r="L375" s="6"/>
      <c r="M375" s="6"/>
      <c r="N375" s="6"/>
      <c r="O375" s="6"/>
      <c r="P375" s="6"/>
      <c r="Q375" s="6"/>
      <c r="R375" s="6"/>
    </row>
    <row r="376" spans="6:18">
      <c r="F376" s="5">
        <f t="shared" si="46"/>
        <v>1.8529485667000626E-5</v>
      </c>
      <c r="G376" s="4">
        <f t="shared" si="47"/>
        <v>27.303787477599876</v>
      </c>
      <c r="H376" s="3">
        <f t="shared" si="48"/>
        <v>1473531.8598845678</v>
      </c>
      <c r="I376">
        <f t="shared" si="49"/>
        <v>40233000.74376072</v>
      </c>
      <c r="J376" s="6"/>
      <c r="K376" s="6"/>
      <c r="L376" s="6"/>
      <c r="M376" s="6"/>
      <c r="N376" s="6"/>
      <c r="O376" s="6"/>
      <c r="P376" s="6"/>
      <c r="Q376" s="6"/>
      <c r="R376" s="6"/>
    </row>
    <row r="377" spans="6:18">
      <c r="F377" s="5">
        <f t="shared" si="46"/>
        <v>1.77957180345874E-5</v>
      </c>
      <c r="G377" s="4">
        <f t="shared" si="47"/>
        <v>26.757711728047877</v>
      </c>
      <c r="H377" s="3">
        <f t="shared" si="48"/>
        <v>1503603.9386577224</v>
      </c>
      <c r="I377">
        <f t="shared" si="49"/>
        <v>40233000.74376072</v>
      </c>
      <c r="J377" s="6"/>
      <c r="K377" s="6"/>
      <c r="L377" s="6"/>
      <c r="M377" s="6"/>
      <c r="N377" s="6"/>
      <c r="O377" s="6"/>
      <c r="P377" s="6"/>
      <c r="Q377" s="6"/>
      <c r="R377" s="6"/>
    </row>
    <row r="378" spans="6:18">
      <c r="F378" s="5">
        <f t="shared" si="46"/>
        <v>1.7091007600417735E-5</v>
      </c>
      <c r="G378" s="4">
        <f t="shared" si="47"/>
        <v>26.222557493486917</v>
      </c>
      <c r="H378" s="3">
        <f t="shared" si="48"/>
        <v>1534289.7333242067</v>
      </c>
      <c r="I378">
        <f t="shared" si="49"/>
        <v>40233000.74376072</v>
      </c>
      <c r="J378" s="6"/>
      <c r="K378" s="6"/>
      <c r="L378" s="6"/>
      <c r="M378" s="6"/>
      <c r="N378" s="6"/>
      <c r="O378" s="6"/>
      <c r="P378" s="6"/>
      <c r="Q378" s="6"/>
      <c r="R378" s="6"/>
    </row>
    <row r="379" spans="6:18">
      <c r="F379" s="5">
        <f t="shared" si="46"/>
        <v>1.6414203699441194E-5</v>
      </c>
      <c r="G379" s="4">
        <f t="shared" si="47"/>
        <v>25.69810634361718</v>
      </c>
      <c r="H379" s="3">
        <f t="shared" si="48"/>
        <v>1565601.7686981701</v>
      </c>
      <c r="I379">
        <f t="shared" si="49"/>
        <v>40233000.74376072</v>
      </c>
      <c r="J379" s="6"/>
      <c r="K379" s="6"/>
      <c r="L379" s="6"/>
      <c r="M379" s="6"/>
      <c r="N379" s="6"/>
      <c r="O379" s="6"/>
      <c r="P379" s="6"/>
      <c r="Q379" s="6"/>
      <c r="R379" s="6"/>
    </row>
    <row r="380" spans="6:18">
      <c r="F380" s="5">
        <f t="shared" si="46"/>
        <v>1.5764201232943324E-5</v>
      </c>
      <c r="G380" s="4">
        <f t="shared" si="47"/>
        <v>25.184144216744837</v>
      </c>
      <c r="H380" s="3">
        <f t="shared" si="48"/>
        <v>1597552.8252022143</v>
      </c>
      <c r="I380">
        <f t="shared" si="49"/>
        <v>40233000.74376072</v>
      </c>
      <c r="J380" s="6"/>
      <c r="K380" s="6"/>
      <c r="L380" s="6"/>
      <c r="M380" s="6"/>
      <c r="N380" s="6"/>
      <c r="O380" s="6"/>
      <c r="P380" s="6"/>
      <c r="Q380" s="6"/>
      <c r="R380" s="6"/>
    </row>
    <row r="381" spans="6:18">
      <c r="F381" s="5">
        <f t="shared" si="46"/>
        <v>1.513993886411877E-5</v>
      </c>
      <c r="G381" s="4">
        <f t="shared" si="47"/>
        <v>24.680461332409941</v>
      </c>
      <c r="H381" s="3">
        <f t="shared" si="48"/>
        <v>1630155.944083892</v>
      </c>
      <c r="I381">
        <f t="shared" si="49"/>
        <v>40233000.74376072</v>
      </c>
      <c r="J381" s="6"/>
      <c r="K381" s="6"/>
      <c r="L381" s="6"/>
      <c r="M381" s="6"/>
      <c r="N381" s="6"/>
      <c r="O381" s="6"/>
      <c r="P381" s="6"/>
      <c r="Q381" s="6"/>
      <c r="R381" s="6"/>
    </row>
    <row r="382" spans="6:18">
      <c r="F382" s="5">
        <f t="shared" si="46"/>
        <v>1.4540397285099664E-5</v>
      </c>
      <c r="G382" s="4">
        <f t="shared" si="47"/>
        <v>24.186852105761741</v>
      </c>
      <c r="H382" s="3">
        <f t="shared" si="48"/>
        <v>1663424.4327386655</v>
      </c>
      <c r="I382">
        <f t="shared" si="49"/>
        <v>40233000.74376072</v>
      </c>
      <c r="J382" s="6"/>
      <c r="K382" s="6"/>
      <c r="L382" s="6"/>
      <c r="M382" s="6"/>
      <c r="N382" s="6"/>
      <c r="O382" s="6"/>
      <c r="P382" s="6"/>
      <c r="Q382" s="6"/>
      <c r="R382" s="6"/>
    </row>
    <row r="383" spans="6:18">
      <c r="F383" s="5">
        <f t="shared" si="46"/>
        <v>1.3964597552609719E-5</v>
      </c>
      <c r="G383" s="4">
        <f t="shared" si="47"/>
        <v>23.703115063646507</v>
      </c>
      <c r="H383" s="3">
        <f t="shared" si="48"/>
        <v>1697371.8701414953</v>
      </c>
      <c r="I383">
        <f t="shared" si="49"/>
        <v>40233000.74376072</v>
      </c>
      <c r="J383" s="6"/>
      <c r="K383" s="6"/>
      <c r="L383" s="6"/>
      <c r="M383" s="6"/>
      <c r="N383" s="6"/>
      <c r="O383" s="6"/>
      <c r="P383" s="6"/>
      <c r="Q383" s="6"/>
      <c r="R383" s="6"/>
    </row>
    <row r="384" spans="6:18">
      <c r="F384" s="5">
        <f t="shared" si="46"/>
        <v>1.3411599489526374E-5</v>
      </c>
      <c r="G384" s="4">
        <f t="shared" si="47"/>
        <v>23.229052762373577</v>
      </c>
      <c r="H384" s="3">
        <f t="shared" si="48"/>
        <v>1732012.1123892809</v>
      </c>
      <c r="I384">
        <f t="shared" si="49"/>
        <v>40233000.74376072</v>
      </c>
      <c r="J384" s="6"/>
      <c r="K384" s="6"/>
      <c r="L384" s="6"/>
      <c r="M384" s="6"/>
      <c r="N384" s="6"/>
      <c r="O384" s="6"/>
      <c r="P384" s="6"/>
      <c r="Q384" s="6"/>
      <c r="R384" s="6"/>
    </row>
    <row r="385" spans="6:18">
      <c r="F385" s="5">
        <f t="shared" si="46"/>
        <v>1.2880500149741129E-5</v>
      </c>
      <c r="G385" s="4">
        <f t="shared" si="47"/>
        <v>22.764471707126106</v>
      </c>
      <c r="H385" s="3">
        <f t="shared" si="48"/>
        <v>1767359.2983564092</v>
      </c>
      <c r="I385">
        <f t="shared" si="49"/>
        <v>40233000.74376072</v>
      </c>
      <c r="J385" s="6"/>
      <c r="K385" s="6"/>
      <c r="L385" s="6"/>
      <c r="M385" s="6"/>
      <c r="N385" s="6"/>
      <c r="O385" s="6"/>
      <c r="P385" s="6"/>
      <c r="Q385" s="6"/>
      <c r="R385" s="6"/>
    </row>
    <row r="386" spans="6:18">
      <c r="F386" s="5">
        <f t="shared" si="46"/>
        <v>1.2370432343811382E-5</v>
      </c>
      <c r="G386" s="4">
        <f t="shared" si="47"/>
        <v>22.309182272983584</v>
      </c>
      <c r="H386" s="3">
        <f t="shared" si="48"/>
        <v>1803427.8554657234</v>
      </c>
      <c r="I386">
        <f t="shared" si="49"/>
        <v>40233000.74376072</v>
      </c>
      <c r="J386" s="6"/>
      <c r="K386" s="6"/>
      <c r="L386" s="6"/>
      <c r="M386" s="6"/>
      <c r="N386" s="6"/>
      <c r="O386" s="6"/>
      <c r="P386" s="6"/>
      <c r="Q386" s="6"/>
      <c r="R386" s="6"/>
    </row>
    <row r="387" spans="6:18">
      <c r="F387" s="5">
        <f t="shared" si="46"/>
        <v>1.188056322299645E-5</v>
      </c>
      <c r="G387" s="4">
        <f t="shared" si="47"/>
        <v>21.862998627523911</v>
      </c>
      <c r="H387" s="3">
        <f t="shared" si="48"/>
        <v>1840232.505577269</v>
      </c>
      <c r="I387">
        <f t="shared" si="49"/>
        <v>40233000.74376072</v>
      </c>
      <c r="J387" s="6"/>
      <c r="K387" s="6"/>
      <c r="L387" s="6"/>
      <c r="M387" s="6"/>
      <c r="N387" s="6"/>
      <c r="O387" s="6"/>
      <c r="P387" s="6"/>
      <c r="Q387" s="6"/>
      <c r="R387" s="6"/>
    </row>
    <row r="388" spans="6:18">
      <c r="F388" s="5">
        <f t="shared" si="46"/>
        <v>1.1410092919365791E-5</v>
      </c>
      <c r="G388" s="4">
        <f t="shared" si="47"/>
        <v>21.425738654973433</v>
      </c>
      <c r="H388" s="3">
        <f t="shared" si="48"/>
        <v>1877788.2709972132</v>
      </c>
      <c r="I388">
        <f t="shared" si="49"/>
        <v>40233000.74376072</v>
      </c>
      <c r="J388" s="6"/>
      <c r="K388" s="6"/>
      <c r="L388" s="6"/>
      <c r="M388" s="6"/>
      <c r="N388" s="6"/>
      <c r="O388" s="6"/>
      <c r="P388" s="6"/>
      <c r="Q388" s="6"/>
      <c r="R388" s="6"/>
    </row>
    <row r="389" spans="6:18">
      <c r="F389" s="5">
        <f t="shared" si="46"/>
        <v>1.0958253239758904E-5</v>
      </c>
      <c r="G389" s="4">
        <f t="shared" si="47"/>
        <v>20.997223881873964</v>
      </c>
      <c r="H389" s="3">
        <f t="shared" si="48"/>
        <v>1916110.4806094014</v>
      </c>
      <c r="I389">
        <f t="shared" si="49"/>
        <v>40233000.74376072</v>
      </c>
      <c r="J389" s="6"/>
      <c r="K389" s="6"/>
      <c r="L389" s="6"/>
      <c r="M389" s="6"/>
      <c r="N389" s="6"/>
      <c r="O389" s="6"/>
      <c r="P389" s="6"/>
      <c r="Q389" s="6"/>
      <c r="R389" s="6"/>
    </row>
    <row r="390" spans="6:18">
      <c r="F390" s="5">
        <f t="shared" si="46"/>
        <v>1.0524306411464453E-5</v>
      </c>
      <c r="G390" s="4">
        <f t="shared" si="47"/>
        <v>20.577279404236485</v>
      </c>
      <c r="H390" s="3">
        <f t="shared" si="48"/>
        <v>1955214.7761320421</v>
      </c>
      <c r="I390">
        <f t="shared" si="49"/>
        <v>40233000.74376072</v>
      </c>
      <c r="J390" s="6"/>
      <c r="K390" s="6"/>
      <c r="L390" s="6"/>
      <c r="M390" s="6"/>
      <c r="N390" s="6"/>
      <c r="O390" s="6"/>
      <c r="P390" s="6"/>
      <c r="Q390" s="6"/>
      <c r="R390" s="6"/>
    </row>
    <row r="391" spans="6:18">
      <c r="F391" s="5">
        <f t="shared" si="46"/>
        <v>1.0107543877570459E-5</v>
      </c>
      <c r="G391" s="4">
        <f t="shared" si="47"/>
        <v>20.165733816151754</v>
      </c>
      <c r="H391" s="3">
        <f t="shared" si="48"/>
        <v>1995117.1185020839</v>
      </c>
      <c r="I391">
        <f t="shared" si="49"/>
        <v>40233000.74376072</v>
      </c>
      <c r="J391" s="6"/>
      <c r="K391" s="6"/>
      <c r="L391" s="6"/>
      <c r="M391" s="6"/>
      <c r="N391" s="6"/>
      <c r="O391" s="6"/>
      <c r="P391" s="6"/>
      <c r="Q391" s="6"/>
      <c r="R391" s="6"/>
    </row>
    <row r="392" spans="6:18">
      <c r="F392" s="5">
        <f t="shared" si="46"/>
        <v>9.7072851400186679E-6</v>
      </c>
      <c r="G392" s="4">
        <f t="shared" si="47"/>
        <v>19.762419139828719</v>
      </c>
      <c r="H392" s="3">
        <f t="shared" si="48"/>
        <v>2035833.7943898817</v>
      </c>
      <c r="I392">
        <f t="shared" si="49"/>
        <v>40233000.74376072</v>
      </c>
      <c r="J392" s="6"/>
      <c r="K392" s="6"/>
      <c r="L392" s="6"/>
      <c r="M392" s="6"/>
      <c r="N392" s="6"/>
      <c r="O392" s="6"/>
      <c r="P392" s="6"/>
      <c r="Q392" s="6"/>
      <c r="R392" s="6"/>
    </row>
    <row r="393" spans="6:18">
      <c r="F393" s="5">
        <f t="shared" ref="F393:F456" si="50">G393/H393</f>
        <v>9.3228766484739295E-6</v>
      </c>
      <c r="G393" s="4">
        <f t="shared" si="47"/>
        <v>19.367170757032145</v>
      </c>
      <c r="H393" s="3">
        <f t="shared" si="48"/>
        <v>2077381.4228468179</v>
      </c>
      <c r="I393">
        <f t="shared" si="49"/>
        <v>40233000.74376072</v>
      </c>
      <c r="J393" s="6"/>
      <c r="K393" s="6"/>
      <c r="L393" s="6"/>
      <c r="M393" s="6"/>
      <c r="N393" s="6"/>
      <c r="O393" s="6"/>
      <c r="P393" s="6"/>
      <c r="Q393" s="6"/>
      <c r="R393" s="6"/>
    </row>
    <row r="394" spans="6:18">
      <c r="F394" s="5">
        <f t="shared" si="50"/>
        <v>8.9536907331943598E-6</v>
      </c>
      <c r="G394" s="4">
        <f t="shared" si="47"/>
        <v>18.9798273418915</v>
      </c>
      <c r="H394" s="3">
        <f t="shared" si="48"/>
        <v>2119776.96208859</v>
      </c>
      <c r="I394">
        <f t="shared" si="49"/>
        <v>40233000.74376072</v>
      </c>
      <c r="J394" s="6"/>
      <c r="K394" s="6"/>
      <c r="L394" s="6"/>
      <c r="M394" s="6"/>
      <c r="N394" s="6"/>
      <c r="O394" s="6"/>
      <c r="P394" s="6"/>
      <c r="Q394" s="6"/>
      <c r="R394" s="6"/>
    </row>
    <row r="395" spans="6:18">
      <c r="F395" s="5">
        <f t="shared" si="50"/>
        <v>8.5991245801598633E-6</v>
      </c>
      <c r="G395" s="4">
        <f t="shared" si="47"/>
        <v>18.600230795053669</v>
      </c>
      <c r="H395" s="3">
        <f t="shared" si="48"/>
        <v>2163037.7164169285</v>
      </c>
      <c r="I395">
        <f t="shared" si="49"/>
        <v>40233000.74376072</v>
      </c>
      <c r="J395" s="6"/>
      <c r="K395" s="6"/>
      <c r="L395" s="6"/>
      <c r="M395" s="6"/>
      <c r="N395" s="6"/>
      <c r="O395" s="6"/>
      <c r="P395" s="6"/>
      <c r="Q395" s="6"/>
      <c r="R395" s="6"/>
    </row>
    <row r="396" spans="6:18">
      <c r="F396" s="5">
        <f t="shared" si="50"/>
        <v>8.2585992467855341E-6</v>
      </c>
      <c r="G396" s="4">
        <f t="shared" si="47"/>
        <v>18.228226179152596</v>
      </c>
      <c r="H396" s="3">
        <f t="shared" si="48"/>
        <v>2207181.3432825799</v>
      </c>
      <c r="I396">
        <f t="shared" si="49"/>
        <v>40233000.74376072</v>
      </c>
      <c r="J396" s="6"/>
      <c r="K396" s="6"/>
      <c r="L396" s="6"/>
      <c r="M396" s="6"/>
      <c r="N396" s="6"/>
      <c r="O396" s="6"/>
      <c r="P396" s="6"/>
      <c r="Q396" s="6"/>
      <c r="R396" s="6"/>
    </row>
    <row r="397" spans="6:18">
      <c r="F397" s="5">
        <f t="shared" si="50"/>
        <v>7.9315587166128251E-6</v>
      </c>
      <c r="G397" s="4">
        <f t="shared" si="47"/>
        <v>17.863661655569544</v>
      </c>
      <c r="H397" s="3">
        <f t="shared" si="48"/>
        <v>2252225.8604924288</v>
      </c>
      <c r="I397">
        <f t="shared" si="49"/>
        <v>40233000.74376072</v>
      </c>
      <c r="J397" s="6"/>
      <c r="K397" s="6"/>
      <c r="L397" s="6"/>
      <c r="M397" s="6"/>
      <c r="N397" s="6"/>
      <c r="O397" s="6"/>
      <c r="P397" s="6"/>
      <c r="Q397" s="6"/>
      <c r="R397" s="6"/>
    </row>
    <row r="398" spans="6:18">
      <c r="F398" s="5">
        <f t="shared" si="50"/>
        <v>7.6174689914349558E-6</v>
      </c>
      <c r="G398" s="4">
        <f t="shared" si="47"/>
        <v>17.506388422458151</v>
      </c>
      <c r="H398" s="3">
        <f t="shared" si="48"/>
        <v>2298189.6535637029</v>
      </c>
      <c r="I398">
        <f t="shared" si="49"/>
        <v>40233000.74376072</v>
      </c>
      <c r="J398" s="6"/>
      <c r="K398" s="6"/>
      <c r="L398" s="6"/>
      <c r="M398" s="6"/>
      <c r="N398" s="6"/>
      <c r="O398" s="6"/>
      <c r="P398" s="6"/>
      <c r="Q398" s="6"/>
      <c r="R398" s="6"/>
    </row>
    <row r="399" spans="6:18">
      <c r="F399" s="5">
        <f t="shared" si="50"/>
        <v>7.315817219374133E-6</v>
      </c>
      <c r="G399" s="4">
        <f t="shared" si="47"/>
        <v>17.156260654008989</v>
      </c>
      <c r="H399" s="3">
        <f t="shared" si="48"/>
        <v>2345091.4832282681</v>
      </c>
      <c r="I399">
        <f t="shared" si="49"/>
        <v>40233000.74376072</v>
      </c>
      <c r="J399" s="6"/>
      <c r="K399" s="6"/>
      <c r="L399" s="6"/>
      <c r="M399" s="6"/>
      <c r="N399" s="6"/>
      <c r="O399" s="6"/>
      <c r="P399" s="6"/>
      <c r="Q399" s="6"/>
      <c r="R399" s="6"/>
    </row>
    <row r="400" spans="6:18">
      <c r="F400" s="5">
        <f t="shared" si="50"/>
        <v>7.0261108574869155E-6</v>
      </c>
      <c r="G400" s="4">
        <f t="shared" si="47"/>
        <v>16.813135440928807</v>
      </c>
      <c r="H400" s="3">
        <f t="shared" si="48"/>
        <v>2392950.4930900699</v>
      </c>
      <c r="I400">
        <f t="shared" si="49"/>
        <v>40233000.74376072</v>
      </c>
      <c r="J400" s="6"/>
      <c r="K400" s="6"/>
      <c r="L400" s="6"/>
      <c r="M400" s="6"/>
      <c r="N400" s="6"/>
      <c r="O400" s="6"/>
      <c r="P400" s="6"/>
      <c r="Q400" s="6"/>
      <c r="R400" s="6"/>
    </row>
    <row r="401" spans="6:18">
      <c r="F401" s="5">
        <f t="shared" si="50"/>
        <v>6.7478768675304326E-6</v>
      </c>
      <c r="G401" s="4">
        <f t="shared" si="47"/>
        <v>16.47687273211023</v>
      </c>
      <c r="H401" s="3">
        <f t="shared" si="48"/>
        <v>2441786.2174388468</v>
      </c>
      <c r="I401">
        <f t="shared" si="49"/>
        <v>40233000.74376072</v>
      </c>
      <c r="J401" s="6"/>
      <c r="K401" s="6"/>
      <c r="L401" s="6"/>
      <c r="M401" s="6"/>
      <c r="N401" s="6"/>
      <c r="O401" s="6"/>
      <c r="P401" s="6"/>
      <c r="Q401" s="6"/>
      <c r="R401" s="6"/>
    </row>
    <row r="402" spans="6:18">
      <c r="F402" s="5">
        <f t="shared" si="50"/>
        <v>6.480660943576228E-6</v>
      </c>
      <c r="G402" s="4">
        <f t="shared" si="47"/>
        <v>16.147335277468027</v>
      </c>
      <c r="H402" s="3">
        <f t="shared" si="48"/>
        <v>2491618.5892233131</v>
      </c>
      <c r="I402">
        <f t="shared" si="49"/>
        <v>40233000.74376072</v>
      </c>
      <c r="J402" s="6"/>
      <c r="K402" s="6"/>
      <c r="L402" s="6"/>
      <c r="M402" s="6"/>
      <c r="N402" s="6"/>
      <c r="O402" s="6"/>
      <c r="P402" s="6"/>
      <c r="Q402" s="6"/>
      <c r="R402" s="6"/>
    </row>
    <row r="403" spans="6:18">
      <c r="F403" s="5">
        <f t="shared" si="50"/>
        <v>6.22402677021061E-6</v>
      </c>
      <c r="G403" s="4">
        <f t="shared" si="47"/>
        <v>15.824388571918666</v>
      </c>
      <c r="H403" s="3">
        <f t="shared" si="48"/>
        <v>2542467.9481870541</v>
      </c>
      <c r="I403">
        <f t="shared" si="49"/>
        <v>40233000.74376072</v>
      </c>
      <c r="J403" s="6"/>
      <c r="K403" s="6"/>
      <c r="L403" s="6"/>
      <c r="M403" s="6"/>
      <c r="N403" s="6"/>
      <c r="O403" s="6"/>
      <c r="P403" s="6"/>
      <c r="Q403" s="6"/>
      <c r="R403" s="6"/>
    </row>
    <row r="404" spans="6:18">
      <c r="F404" s="5">
        <f t="shared" si="50"/>
        <v>5.9775553101102693E-6</v>
      </c>
      <c r="G404" s="4">
        <f t="shared" si="47"/>
        <v>15.507900800480293</v>
      </c>
      <c r="H404" s="3">
        <f t="shared" si="48"/>
        <v>2594355.0491704633</v>
      </c>
      <c r="I404">
        <f t="shared" si="49"/>
        <v>40233000.74376072</v>
      </c>
      <c r="J404" s="6"/>
      <c r="K404" s="6"/>
      <c r="L404" s="6"/>
      <c r="M404" s="6"/>
      <c r="N404" s="6"/>
      <c r="O404" s="6"/>
      <c r="P404" s="6"/>
      <c r="Q404" s="6"/>
      <c r="R404" s="6"/>
    </row>
    <row r="405" spans="6:18">
      <c r="F405" s="5">
        <f t="shared" si="50"/>
        <v>5.7408441198299032E-6</v>
      </c>
      <c r="G405" s="4">
        <f t="shared" si="47"/>
        <v>15.197742784470687</v>
      </c>
      <c r="H405" s="3">
        <f t="shared" si="48"/>
        <v>2647301.0705821053</v>
      </c>
      <c r="I405">
        <f t="shared" si="49"/>
        <v>40233000.74376072</v>
      </c>
      <c r="J405" s="6"/>
      <c r="K405" s="6"/>
      <c r="L405" s="6"/>
      <c r="M405" s="6"/>
      <c r="N405" s="6"/>
      <c r="O405" s="6"/>
      <c r="P405" s="6"/>
      <c r="Q405" s="6"/>
      <c r="R405" s="6"/>
    </row>
    <row r="406" spans="6:18">
      <c r="F406" s="5">
        <f t="shared" si="50"/>
        <v>5.5135066926846389E-6</v>
      </c>
      <c r="G406" s="4">
        <f t="shared" si="47"/>
        <v>14.893787928781274</v>
      </c>
      <c r="H406" s="3">
        <f t="shared" si="48"/>
        <v>2701327.6230429648</v>
      </c>
      <c r="I406">
        <f t="shared" si="49"/>
        <v>40233000.74376072</v>
      </c>
      <c r="J406" s="6"/>
      <c r="K406" s="6"/>
      <c r="L406" s="6"/>
      <c r="M406" s="6"/>
      <c r="N406" s="6"/>
      <c r="O406" s="6"/>
      <c r="P406" s="6"/>
      <c r="Q406" s="6"/>
      <c r="R406" s="6"/>
    </row>
    <row r="407" spans="6:18">
      <c r="F407" s="5">
        <f t="shared" si="50"/>
        <v>5.2951718276543271E-6</v>
      </c>
      <c r="G407" s="4">
        <f t="shared" si="47"/>
        <v>14.595912170205649</v>
      </c>
      <c r="H407" s="3">
        <f t="shared" si="48"/>
        <v>2756456.758207107</v>
      </c>
      <c r="I407">
        <f t="shared" si="49"/>
        <v>40233000.74376072</v>
      </c>
      <c r="J407" s="6"/>
      <c r="K407" s="6"/>
      <c r="L407" s="6"/>
      <c r="M407" s="6"/>
      <c r="N407" s="6"/>
      <c r="O407" s="6"/>
      <c r="P407" s="6"/>
      <c r="Q407" s="6"/>
      <c r="R407" s="6"/>
    </row>
    <row r="408" spans="6:18">
      <c r="F408" s="5">
        <f t="shared" si="50"/>
        <v>5.0854830232792157E-6</v>
      </c>
      <c r="G408" s="4">
        <f t="shared" si="47"/>
        <v>14.303993926801535</v>
      </c>
      <c r="H408" s="3">
        <f t="shared" si="48"/>
        <v>2812710.9777623541</v>
      </c>
      <c r="I408">
        <f t="shared" si="49"/>
        <v>40233000.74376072</v>
      </c>
      <c r="J408" s="6"/>
      <c r="K408" s="6"/>
      <c r="L408" s="6"/>
      <c r="M408" s="6"/>
      <c r="N408" s="6"/>
      <c r="O408" s="6"/>
      <c r="P408" s="6"/>
      <c r="Q408" s="6"/>
      <c r="R408" s="6"/>
    </row>
    <row r="409" spans="6:18">
      <c r="F409" s="5">
        <f t="shared" si="50"/>
        <v>4.8840978955573587E-6</v>
      </c>
      <c r="G409" s="4">
        <f t="shared" si="47"/>
        <v>14.017914048265505</v>
      </c>
      <c r="H409" s="3">
        <f t="shared" si="48"/>
        <v>2870113.2426146469</v>
      </c>
      <c r="I409">
        <f t="shared" si="49"/>
        <v>40233000.74376072</v>
      </c>
      <c r="J409" s="6"/>
      <c r="K409" s="6"/>
      <c r="L409" s="6"/>
      <c r="M409" s="6"/>
      <c r="N409" s="6"/>
      <c r="O409" s="6"/>
      <c r="P409" s="6"/>
      <c r="Q409" s="6"/>
      <c r="R409" s="6"/>
    </row>
    <row r="410" spans="6:18">
      <c r="F410" s="5">
        <f t="shared" si="50"/>
        <v>4.6906876188932873E-6</v>
      </c>
      <c r="G410" s="4">
        <f t="shared" si="47"/>
        <v>13.737555767300194</v>
      </c>
      <c r="H410" s="3">
        <f t="shared" si="48"/>
        <v>2928686.982259844</v>
      </c>
      <c r="I410">
        <f t="shared" si="49"/>
        <v>40233000.74376072</v>
      </c>
      <c r="J410" s="6"/>
      <c r="K410" s="6"/>
      <c r="L410" s="6"/>
      <c r="M410" s="6"/>
      <c r="N410" s="6"/>
      <c r="O410" s="6"/>
      <c r="P410" s="6"/>
      <c r="Q410" s="6"/>
      <c r="R410" s="6"/>
    </row>
    <row r="411" spans="6:18">
      <c r="F411" s="5">
        <f t="shared" si="50"/>
        <v>4.5049363891851119E-6</v>
      </c>
      <c r="G411" s="4">
        <f t="shared" si="47"/>
        <v>13.462804651954189</v>
      </c>
      <c r="H411" s="3">
        <f t="shared" si="48"/>
        <v>2988456.1043467796</v>
      </c>
      <c r="I411">
        <f t="shared" si="49"/>
        <v>40233000.74376072</v>
      </c>
      <c r="J411" s="6"/>
      <c r="K411" s="6"/>
      <c r="L411" s="6"/>
      <c r="M411" s="6"/>
      <c r="N411" s="6"/>
      <c r="O411" s="6"/>
      <c r="P411" s="6"/>
      <c r="Q411" s="6"/>
      <c r="R411" s="6"/>
    </row>
    <row r="412" spans="6:18">
      <c r="F412" s="5">
        <f t="shared" si="50"/>
        <v>4.3265409081733806E-6</v>
      </c>
      <c r="G412" s="4">
        <f t="shared" si="47"/>
        <v>13.193548558915104</v>
      </c>
      <c r="H412" s="3">
        <f t="shared" si="48"/>
        <v>3049445.0044354899</v>
      </c>
      <c r="I412">
        <f t="shared" si="49"/>
        <v>40233000.74376072</v>
      </c>
      <c r="J412" s="6"/>
      <c r="K412" s="6"/>
      <c r="L412" s="6"/>
      <c r="M412" s="6"/>
      <c r="N412" s="6"/>
      <c r="O412" s="6"/>
      <c r="P412" s="6"/>
      <c r="Q412" s="6"/>
      <c r="R412" s="6"/>
    </row>
    <row r="413" spans="6:18">
      <c r="F413" s="5">
        <f t="shared" si="50"/>
        <v>4.1552098882097151E-6</v>
      </c>
      <c r="G413" s="4">
        <f t="shared" si="47"/>
        <v>12.929677587736801</v>
      </c>
      <c r="H413" s="3">
        <f t="shared" si="48"/>
        <v>3111678.5759545816</v>
      </c>
      <c r="I413">
        <f t="shared" si="49"/>
        <v>40233000.74376072</v>
      </c>
      <c r="J413" s="6"/>
      <c r="K413" s="6"/>
      <c r="L413" s="6"/>
      <c r="M413" s="6"/>
      <c r="N413" s="6"/>
      <c r="O413" s="6"/>
      <c r="P413" s="6"/>
      <c r="Q413" s="6"/>
      <c r="R413" s="6"/>
    </row>
    <row r="414" spans="6:18">
      <c r="F414" s="5">
        <f t="shared" si="50"/>
        <v>3.9906635766366102E-6</v>
      </c>
      <c r="G414" s="4">
        <f t="shared" si="47"/>
        <v>12.671084035982066</v>
      </c>
      <c r="H414" s="3">
        <f t="shared" si="48"/>
        <v>3175182.2203618176</v>
      </c>
      <c r="I414">
        <f t="shared" si="49"/>
        <v>40233000.74376072</v>
      </c>
      <c r="J414" s="6"/>
      <c r="K414" s="6"/>
      <c r="L414" s="6"/>
      <c r="M414" s="6"/>
      <c r="N414" s="6"/>
      <c r="O414" s="6"/>
      <c r="P414" s="6"/>
      <c r="Q414" s="6"/>
      <c r="R414" s="6"/>
    </row>
    <row r="415" spans="6:18">
      <c r="F415" s="5">
        <f t="shared" si="50"/>
        <v>3.8326332990018001E-6</v>
      </c>
      <c r="G415" s="4">
        <f t="shared" si="47"/>
        <v>12.417662355262424</v>
      </c>
      <c r="H415" s="3">
        <f t="shared" si="48"/>
        <v>3239981.8575120592</v>
      </c>
      <c r="I415">
        <f t="shared" si="49"/>
        <v>40233000.74376072</v>
      </c>
      <c r="J415" s="6"/>
      <c r="K415" s="6"/>
      <c r="L415" s="6"/>
      <c r="M415" s="6"/>
      <c r="N415" s="6"/>
      <c r="O415" s="6"/>
      <c r="P415" s="6"/>
      <c r="Q415" s="6"/>
      <c r="R415" s="6"/>
    </row>
    <row r="416" spans="6:18">
      <c r="F416" s="5">
        <f t="shared" si="50"/>
        <v>3.6808610203613293E-6</v>
      </c>
      <c r="G416" s="4">
        <f t="shared" si="47"/>
        <v>12.169309108157176</v>
      </c>
      <c r="H416" s="3">
        <f t="shared" si="48"/>
        <v>3306103.936236795</v>
      </c>
      <c r="I416">
        <f t="shared" si="49"/>
        <v>40233000.74376072</v>
      </c>
      <c r="J416" s="6"/>
      <c r="K416" s="6"/>
      <c r="L416" s="6"/>
      <c r="M416" s="6"/>
      <c r="N416" s="6"/>
      <c r="O416" s="6"/>
      <c r="P416" s="6"/>
      <c r="Q416" s="6"/>
      <c r="R416" s="6"/>
    </row>
    <row r="417" spans="6:18">
      <c r="F417" s="5">
        <f t="shared" si="50"/>
        <v>3.5350989239550202E-6</v>
      </c>
      <c r="G417" s="4">
        <f t="shared" si="47"/>
        <v>11.925922925994032</v>
      </c>
      <c r="H417" s="3">
        <f t="shared" si="48"/>
        <v>3373575.4451395869</v>
      </c>
      <c r="I417">
        <f t="shared" si="49"/>
        <v>40233000.74376072</v>
      </c>
      <c r="J417" s="6"/>
      <c r="K417" s="6"/>
      <c r="L417" s="6"/>
      <c r="M417" s="6"/>
      <c r="N417" s="6"/>
      <c r="O417" s="6"/>
      <c r="P417" s="6"/>
      <c r="Q417" s="6"/>
      <c r="R417" s="6"/>
    </row>
    <row r="418" spans="6:18">
      <c r="F418" s="5">
        <f t="shared" si="50"/>
        <v>3.3951090065664014E-6</v>
      </c>
      <c r="G418" s="4">
        <f t="shared" si="47"/>
        <v>11.687404467474151</v>
      </c>
      <c r="H418" s="3">
        <f t="shared" si="48"/>
        <v>3442423.9236118235</v>
      </c>
      <c r="I418">
        <f t="shared" si="49"/>
        <v>40233000.74376072</v>
      </c>
      <c r="J418" s="6"/>
      <c r="K418" s="6"/>
      <c r="L418" s="6"/>
      <c r="M418" s="6"/>
      <c r="N418" s="6"/>
      <c r="O418" s="6"/>
      <c r="P418" s="6"/>
      <c r="Q418" s="6"/>
      <c r="R418" s="6"/>
    </row>
    <row r="419" spans="6:18">
      <c r="F419" s="5">
        <f t="shared" si="50"/>
        <v>3.2606626899063719E-6</v>
      </c>
      <c r="G419" s="4">
        <f t="shared" si="47"/>
        <v>11.453656378124668</v>
      </c>
      <c r="H419" s="3">
        <f t="shared" si="48"/>
        <v>3512677.4730732893</v>
      </c>
      <c r="I419">
        <f t="shared" si="49"/>
        <v>40233000.74376072</v>
      </c>
      <c r="J419" s="6"/>
      <c r="K419" s="6"/>
      <c r="L419" s="6"/>
      <c r="M419" s="6"/>
      <c r="N419" s="6"/>
      <c r="O419" s="6"/>
      <c r="P419" s="6"/>
      <c r="Q419" s="6"/>
      <c r="R419" s="6"/>
    </row>
    <row r="420" spans="6:18">
      <c r="F420" s="5">
        <f t="shared" si="50"/>
        <v>3.1315404473860796E-6</v>
      </c>
      <c r="G420" s="4">
        <f t="shared" si="47"/>
        <v>11.224583250562175</v>
      </c>
      <c r="H420" s="3">
        <f t="shared" si="48"/>
        <v>3584364.7684421316</v>
      </c>
      <c r="I420">
        <f t="shared" si="49"/>
        <v>40233000.74376072</v>
      </c>
      <c r="J420" s="6"/>
      <c r="K420" s="6"/>
      <c r="L420" s="6"/>
      <c r="M420" s="6"/>
      <c r="N420" s="6"/>
      <c r="O420" s="6"/>
      <c r="P420" s="6"/>
      <c r="Q420" s="6"/>
      <c r="R420" s="6"/>
    </row>
    <row r="421" spans="6:18">
      <c r="F421" s="5">
        <f t="shared" si="50"/>
        <v>3.007531445669591E-6</v>
      </c>
      <c r="G421" s="4">
        <f t="shared" si="47"/>
        <v>11.000091585550932</v>
      </c>
      <c r="H421" s="3">
        <f t="shared" si="48"/>
        <v>3657515.0698389099</v>
      </c>
      <c r="I421">
        <f t="shared" si="49"/>
        <v>40233000.74376072</v>
      </c>
      <c r="J421" s="6"/>
      <c r="K421" s="6"/>
      <c r="L421" s="6"/>
      <c r="M421" s="6"/>
      <c r="N421" s="6"/>
      <c r="O421" s="6"/>
      <c r="P421" s="6"/>
      <c r="Q421" s="6"/>
      <c r="R421" s="6"/>
    </row>
    <row r="422" spans="6:18">
      <c r="F422" s="5">
        <f t="shared" si="50"/>
        <v>2.8884332004210752E-6</v>
      </c>
      <c r="G422" s="4">
        <f t="shared" si="47"/>
        <v>10.780089753839913</v>
      </c>
      <c r="H422" s="3">
        <f t="shared" si="48"/>
        <v>3732158.2345294999</v>
      </c>
      <c r="I422">
        <f t="shared" si="49"/>
        <v>40233000.74376072</v>
      </c>
      <c r="J422" s="6"/>
      <c r="K422" s="6"/>
      <c r="L422" s="6"/>
      <c r="M422" s="6"/>
      <c r="N422" s="6"/>
      <c r="O422" s="6"/>
      <c r="P422" s="6"/>
      <c r="Q422" s="6"/>
      <c r="R422" s="6"/>
    </row>
    <row r="423" spans="6:18">
      <c r="F423" s="5">
        <f t="shared" si="50"/>
        <v>2.7740512456844008E-6</v>
      </c>
      <c r="G423" s="4">
        <f t="shared" si="47"/>
        <v>10.564487958763115</v>
      </c>
      <c r="H423" s="3">
        <f t="shared" si="48"/>
        <v>3808324.7291117343</v>
      </c>
      <c r="I423">
        <f t="shared" si="49"/>
        <v>40233000.74376072</v>
      </c>
      <c r="J423" s="6"/>
      <c r="K423" s="6"/>
      <c r="L423" s="6"/>
      <c r="M423" s="6"/>
      <c r="N423" s="6"/>
      <c r="O423" s="6"/>
      <c r="P423" s="6"/>
      <c r="Q423" s="6"/>
      <c r="R423" s="6"/>
    </row>
    <row r="424" spans="6:18">
      <c r="F424" s="5">
        <f t="shared" si="50"/>
        <v>2.6641988163552988E-6</v>
      </c>
      <c r="G424" s="4">
        <f t="shared" si="47"/>
        <v>10.353198199587853</v>
      </c>
      <c r="H424" s="3">
        <f t="shared" si="48"/>
        <v>3886045.6419507493</v>
      </c>
      <c r="I424">
        <f t="shared" si="49"/>
        <v>40233000.74376072</v>
      </c>
      <c r="J424" s="6"/>
      <c r="K424" s="6"/>
      <c r="L424" s="6"/>
      <c r="M424" s="6"/>
      <c r="N424" s="6"/>
      <c r="O424" s="6"/>
      <c r="P424" s="6"/>
      <c r="Q424" s="6"/>
      <c r="R424" s="6"/>
    </row>
    <row r="425" spans="6:18">
      <c r="F425" s="5">
        <f t="shared" si="50"/>
        <v>2.5586965432276287E-6</v>
      </c>
      <c r="G425" s="4">
        <f t="shared" si="47"/>
        <v>10.146134235596096</v>
      </c>
      <c r="H425" s="3">
        <f t="shared" si="48"/>
        <v>3965352.6958681117</v>
      </c>
      <c r="I425">
        <f t="shared" si="49"/>
        <v>40233000.74376072</v>
      </c>
      <c r="J425" s="6"/>
      <c r="K425" s="6"/>
      <c r="L425" s="6"/>
      <c r="M425" s="6"/>
      <c r="N425" s="6"/>
      <c r="O425" s="6"/>
      <c r="P425" s="6"/>
      <c r="Q425" s="6"/>
      <c r="R425" s="6"/>
    </row>
    <row r="426" spans="6:18">
      <c r="F426" s="5">
        <f t="shared" si="50"/>
        <v>2.4573721601158146E-6</v>
      </c>
      <c r="G426" s="4">
        <f t="shared" si="47"/>
        <v>9.9432115508841736</v>
      </c>
      <c r="H426" s="3">
        <f t="shared" si="48"/>
        <v>4046278.2610899098</v>
      </c>
      <c r="I426">
        <f t="shared" si="49"/>
        <v>40233000.74376072</v>
      </c>
      <c r="J426" s="6"/>
      <c r="K426" s="6"/>
      <c r="L426" s="6"/>
      <c r="M426" s="6"/>
      <c r="N426" s="6"/>
      <c r="O426" s="6"/>
      <c r="P426" s="6"/>
      <c r="Q426" s="6"/>
      <c r="R426" s="6"/>
    </row>
    <row r="427" spans="6:18">
      <c r="F427" s="5">
        <f t="shared" si="50"/>
        <v>2.3600602225752285E-6</v>
      </c>
      <c r="G427" s="4">
        <f t="shared" si="47"/>
        <v>9.7443473198664901</v>
      </c>
      <c r="H427" s="3">
        <f t="shared" si="48"/>
        <v>4128855.3684590915</v>
      </c>
      <c r="I427">
        <f t="shared" si="49"/>
        <v>40233000.74376072</v>
      </c>
      <c r="J427" s="6"/>
      <c r="K427" s="6"/>
      <c r="L427" s="6"/>
      <c r="M427" s="6"/>
      <c r="N427" s="6"/>
      <c r="O427" s="6"/>
      <c r="P427" s="6"/>
      <c r="Q427" s="6"/>
      <c r="R427" s="6"/>
    </row>
    <row r="428" spans="6:18">
      <c r="F428" s="5">
        <f t="shared" si="50"/>
        <v>2.2666018377612487E-6</v>
      </c>
      <c r="G428" s="4">
        <f t="shared" si="47"/>
        <v>9.5494603734691594</v>
      </c>
      <c r="H428" s="3">
        <f t="shared" si="48"/>
        <v>4213117.7229174413</v>
      </c>
      <c r="I428">
        <f t="shared" si="49"/>
        <v>40233000.74376072</v>
      </c>
      <c r="J428" s="6"/>
      <c r="K428" s="6"/>
      <c r="L428" s="6"/>
      <c r="M428" s="6"/>
      <c r="N428" s="6"/>
      <c r="O428" s="6"/>
      <c r="P428" s="6"/>
      <c r="Q428" s="6"/>
      <c r="R428" s="6"/>
    </row>
    <row r="429" spans="6:18">
      <c r="F429" s="5">
        <f t="shared" si="50"/>
        <v>2.1768444049859029E-6</v>
      </c>
      <c r="G429" s="4">
        <f t="shared" si="47"/>
        <v>9.3584711659997755</v>
      </c>
      <c r="H429" s="3">
        <f t="shared" si="48"/>
        <v>4299099.7172626955</v>
      </c>
      <c r="I429">
        <f t="shared" si="49"/>
        <v>40233000.74376072</v>
      </c>
      <c r="J429" s="6"/>
      <c r="K429" s="6"/>
      <c r="L429" s="6"/>
      <c r="M429" s="6"/>
      <c r="N429" s="6"/>
      <c r="O429" s="6"/>
      <c r="P429" s="6"/>
      <c r="Q429" s="6"/>
      <c r="R429" s="6"/>
    </row>
    <row r="430" spans="6:18">
      <c r="F430" s="5">
        <f t="shared" si="50"/>
        <v>2.0906413665484613E-6</v>
      </c>
      <c r="G430" s="4">
        <f t="shared" si="47"/>
        <v>9.1713017426797805</v>
      </c>
      <c r="H430" s="3">
        <f t="shared" si="48"/>
        <v>4386836.4461864233</v>
      </c>
      <c r="I430">
        <f t="shared" si="49"/>
        <v>40233000.74376072</v>
      </c>
      <c r="J430" s="6"/>
      <c r="K430" s="6"/>
      <c r="L430" s="6"/>
      <c r="M430" s="6"/>
      <c r="N430" s="6"/>
      <c r="O430" s="6"/>
      <c r="P430" s="6"/>
      <c r="Q430" s="6"/>
      <c r="R430" s="6"/>
    </row>
    <row r="431" spans="6:18">
      <c r="F431" s="5">
        <f t="shared" si="50"/>
        <v>2.0078519684331423E-6</v>
      </c>
      <c r="G431" s="4">
        <f t="shared" si="47"/>
        <v>8.9878757078261842</v>
      </c>
      <c r="H431" s="3">
        <f t="shared" si="48"/>
        <v>4476363.7205983913</v>
      </c>
      <c r="I431">
        <f t="shared" si="49"/>
        <v>40233000.74376072</v>
      </c>
      <c r="J431" s="6"/>
      <c r="K431" s="6"/>
      <c r="L431" s="6"/>
      <c r="M431" s="6"/>
      <c r="N431" s="6"/>
      <c r="O431" s="6"/>
      <c r="P431" s="6"/>
      <c r="Q431" s="6"/>
      <c r="R431" s="6"/>
    </row>
    <row r="432" spans="6:18">
      <c r="F432" s="5">
        <f t="shared" si="50"/>
        <v>1.9283410304831893E-6</v>
      </c>
      <c r="G432" s="4">
        <f t="shared" si="47"/>
        <v>8.8081181936696602</v>
      </c>
      <c r="H432" s="3">
        <f t="shared" si="48"/>
        <v>4567718.0822432572</v>
      </c>
      <c r="I432">
        <f t="shared" si="49"/>
        <v>40233000.74376072</v>
      </c>
      <c r="J432" s="6"/>
      <c r="K432" s="6"/>
      <c r="L432" s="6"/>
      <c r="M432" s="6"/>
      <c r="N432" s="6"/>
      <c r="O432" s="6"/>
      <c r="P432" s="6"/>
      <c r="Q432" s="6"/>
      <c r="R432" s="6"/>
    </row>
    <row r="433" spans="6:18">
      <c r="F433" s="5">
        <f t="shared" si="50"/>
        <v>1.8519787256760553E-6</v>
      </c>
      <c r="G433" s="4">
        <f t="shared" si="47"/>
        <v>8.6319558297962669</v>
      </c>
      <c r="H433" s="3">
        <f t="shared" si="48"/>
        <v>4660936.8186155679</v>
      </c>
      <c r="I433">
        <f t="shared" si="49"/>
        <v>40233000.74376072</v>
      </c>
      <c r="J433" s="6"/>
      <c r="K433" s="6"/>
      <c r="L433" s="6"/>
      <c r="M433" s="6"/>
      <c r="N433" s="6"/>
      <c r="O433" s="6"/>
      <c r="P433" s="6"/>
      <c r="Q433" s="6"/>
      <c r="R433" s="6"/>
    </row>
    <row r="434" spans="6:18">
      <c r="F434" s="5">
        <f t="shared" si="50"/>
        <v>1.778640368139283E-6</v>
      </c>
      <c r="G434" s="4">
        <f t="shared" ref="G434:G497" si="51">G433*(1-$O$1)</f>
        <v>8.4593167132003408</v>
      </c>
      <c r="H434" s="3">
        <f t="shared" ref="H434:H497" si="52">I434/G434</f>
        <v>4756057.9781791521</v>
      </c>
      <c r="I434">
        <f t="shared" ref="I434:I497" si="53">I433</f>
        <v>40233000.74376072</v>
      </c>
      <c r="J434" s="6"/>
      <c r="K434" s="6"/>
      <c r="L434" s="6"/>
      <c r="M434" s="6"/>
      <c r="N434" s="6"/>
      <c r="O434" s="6"/>
      <c r="P434" s="6"/>
      <c r="Q434" s="6"/>
      <c r="R434" s="6"/>
    </row>
    <row r="435" spans="6:18">
      <c r="F435" s="5">
        <f t="shared" si="50"/>
        <v>1.7082062095609677E-6</v>
      </c>
      <c r="G435" s="4">
        <f t="shared" si="51"/>
        <v>8.2901303789363343</v>
      </c>
      <c r="H435" s="3">
        <f t="shared" si="52"/>
        <v>4853120.3858970935</v>
      </c>
      <c r="I435">
        <f t="shared" si="53"/>
        <v>40233000.74376072</v>
      </c>
      <c r="J435" s="6"/>
      <c r="K435" s="6"/>
      <c r="L435" s="6"/>
      <c r="M435" s="6"/>
      <c r="N435" s="6"/>
      <c r="O435" s="6"/>
      <c r="P435" s="6"/>
      <c r="Q435" s="6"/>
      <c r="R435" s="6"/>
    </row>
    <row r="436" spans="6:18">
      <c r="F436" s="5">
        <f t="shared" si="50"/>
        <v>1.6405612436623536E-6</v>
      </c>
      <c r="G436" s="4">
        <f t="shared" si="51"/>
        <v>8.1243277713576081</v>
      </c>
      <c r="H436" s="3">
        <f t="shared" si="52"/>
        <v>4952163.659078666</v>
      </c>
      <c r="I436">
        <f t="shared" si="53"/>
        <v>40233000.74376072</v>
      </c>
      <c r="J436" s="6"/>
      <c r="K436" s="6"/>
      <c r="L436" s="6"/>
      <c r="M436" s="6"/>
      <c r="N436" s="6"/>
      <c r="O436" s="6"/>
      <c r="P436" s="6"/>
      <c r="Q436" s="6"/>
      <c r="R436" s="6"/>
    </row>
    <row r="437" spans="6:18">
      <c r="F437" s="5">
        <f t="shared" si="50"/>
        <v>1.5755950184133241E-6</v>
      </c>
      <c r="G437" s="4">
        <f t="shared" si="51"/>
        <v>7.9618412159304555</v>
      </c>
      <c r="H437" s="3">
        <f t="shared" si="52"/>
        <v>5053228.2235496603</v>
      </c>
      <c r="I437">
        <f t="shared" si="53"/>
        <v>40233000.74376072</v>
      </c>
      <c r="J437" s="6"/>
      <c r="K437" s="6"/>
      <c r="L437" s="6"/>
      <c r="M437" s="6"/>
      <c r="N437" s="6"/>
      <c r="O437" s="6"/>
      <c r="P437" s="6"/>
      <c r="Q437" s="6"/>
      <c r="R437" s="6"/>
    </row>
    <row r="438" spans="6:18">
      <c r="F438" s="5">
        <f t="shared" si="50"/>
        <v>1.5132014556841566E-6</v>
      </c>
      <c r="G438" s="4">
        <f t="shared" si="51"/>
        <v>7.8026043916118466</v>
      </c>
      <c r="H438" s="3">
        <f t="shared" si="52"/>
        <v>5156355.3301527137</v>
      </c>
      <c r="I438">
        <f t="shared" si="53"/>
        <v>40233000.74376072</v>
      </c>
      <c r="J438" s="6"/>
      <c r="K438" s="6"/>
      <c r="L438" s="6"/>
      <c r="M438" s="6"/>
      <c r="N438" s="6"/>
      <c r="O438" s="6"/>
      <c r="P438" s="6"/>
      <c r="Q438" s="6"/>
      <c r="R438" s="6"/>
    </row>
    <row r="439" spans="6:18">
      <c r="F439" s="5">
        <f t="shared" si="50"/>
        <v>1.4532786780390638E-6</v>
      </c>
      <c r="G439" s="4">
        <f t="shared" si="51"/>
        <v>7.6465523037796093</v>
      </c>
      <c r="H439" s="3">
        <f t="shared" si="52"/>
        <v>5261587.0715844026</v>
      </c>
      <c r="I439">
        <f t="shared" si="53"/>
        <v>40233000.74376072</v>
      </c>
      <c r="J439" s="6"/>
      <c r="K439" s="6"/>
      <c r="L439" s="6"/>
      <c r="M439" s="6"/>
      <c r="N439" s="6"/>
      <c r="O439" s="6"/>
      <c r="P439" s="6"/>
      <c r="Q439" s="6"/>
      <c r="R439" s="6"/>
    </row>
    <row r="440" spans="6:18">
      <c r="F440" s="5">
        <f t="shared" si="50"/>
        <v>1.395728842388717E-6</v>
      </c>
      <c r="G440" s="4">
        <f t="shared" si="51"/>
        <v>7.4936212577040173</v>
      </c>
      <c r="H440" s="3">
        <f t="shared" si="52"/>
        <v>5368966.3995759208</v>
      </c>
      <c r="I440">
        <f t="shared" si="53"/>
        <v>40233000.74376072</v>
      </c>
      <c r="J440" s="6"/>
      <c r="K440" s="6"/>
      <c r="L440" s="6"/>
      <c r="M440" s="6"/>
      <c r="N440" s="6"/>
      <c r="O440" s="6"/>
      <c r="P440" s="6"/>
      <c r="Q440" s="6"/>
      <c r="R440" s="6"/>
    </row>
    <row r="441" spans="6:18">
      <c r="F441" s="5">
        <f t="shared" si="50"/>
        <v>1.340457980230124E-6</v>
      </c>
      <c r="G441" s="4">
        <f t="shared" si="51"/>
        <v>7.3437488325499372</v>
      </c>
      <c r="H441" s="3">
        <f t="shared" si="52"/>
        <v>5478537.1424244083</v>
      </c>
      <c r="I441">
        <f t="shared" si="53"/>
        <v>40233000.74376072</v>
      </c>
      <c r="J441" s="6"/>
      <c r="K441" s="6"/>
      <c r="L441" s="6"/>
      <c r="M441" s="6"/>
      <c r="N441" s="6"/>
      <c r="O441" s="6"/>
      <c r="P441" s="6"/>
      <c r="Q441" s="6"/>
      <c r="R441" s="6"/>
    </row>
    <row r="442" spans="6:18">
      <c r="F442" s="5">
        <f t="shared" si="50"/>
        <v>1.287375844213011E-6</v>
      </c>
      <c r="G442" s="4">
        <f t="shared" si="51"/>
        <v>7.1968738558989385</v>
      </c>
      <c r="H442" s="3">
        <f t="shared" si="52"/>
        <v>5590344.0228820499</v>
      </c>
      <c r="I442">
        <f t="shared" si="53"/>
        <v>40233000.74376072</v>
      </c>
      <c r="J442" s="6"/>
      <c r="K442" s="6"/>
      <c r="L442" s="6"/>
      <c r="M442" s="6"/>
      <c r="N442" s="6"/>
      <c r="O442" s="6"/>
      <c r="P442" s="6"/>
      <c r="Q442" s="6"/>
      <c r="R442" s="6"/>
    </row>
    <row r="443" spans="6:18">
      <c r="F443" s="5">
        <f t="shared" si="50"/>
        <v>1.2363957607821756E-6</v>
      </c>
      <c r="G443" s="4">
        <f t="shared" si="51"/>
        <v>7.0529363787809594</v>
      </c>
      <c r="H443" s="3">
        <f t="shared" si="52"/>
        <v>5704432.676410255</v>
      </c>
      <c r="I443">
        <f t="shared" si="53"/>
        <v>40233000.74376072</v>
      </c>
      <c r="J443" s="6"/>
      <c r="K443" s="6"/>
      <c r="L443" s="6"/>
      <c r="M443" s="6"/>
      <c r="N443" s="6"/>
      <c r="O443" s="6"/>
      <c r="P443" s="6"/>
      <c r="Q443" s="6"/>
      <c r="R443" s="6"/>
    </row>
    <row r="444" spans="6:18">
      <c r="F444" s="5">
        <f t="shared" si="50"/>
        <v>1.1874344886552014E-6</v>
      </c>
      <c r="G444" s="4">
        <f t="shared" si="51"/>
        <v>6.9118776512053399</v>
      </c>
      <c r="H444" s="3">
        <f t="shared" si="52"/>
        <v>5820849.6698063826</v>
      </c>
      <c r="I444">
        <f t="shared" si="53"/>
        <v>40233000.74376072</v>
      </c>
      <c r="J444" s="6"/>
      <c r="K444" s="6"/>
      <c r="L444" s="6"/>
      <c r="M444" s="6"/>
      <c r="N444" s="6"/>
      <c r="O444" s="6"/>
      <c r="P444" s="6"/>
      <c r="Q444" s="6"/>
      <c r="R444" s="6"/>
    </row>
    <row r="445" spans="6:18">
      <c r="F445" s="5">
        <f t="shared" si="50"/>
        <v>1.1404120829044553E-6</v>
      </c>
      <c r="G445" s="4">
        <f t="shared" si="51"/>
        <v>6.7736400981812332</v>
      </c>
      <c r="H445" s="3">
        <f t="shared" si="52"/>
        <v>5939642.5202105949</v>
      </c>
      <c r="I445">
        <f t="shared" si="53"/>
        <v>40233000.74376072</v>
      </c>
      <c r="J445" s="6"/>
      <c r="K445" s="6"/>
      <c r="L445" s="6"/>
      <c r="M445" s="6"/>
      <c r="N445" s="6"/>
      <c r="O445" s="6"/>
      <c r="P445" s="6"/>
      <c r="Q445" s="6"/>
      <c r="R445" s="6"/>
    </row>
    <row r="446" spans="6:18">
      <c r="F446" s="5">
        <f t="shared" si="50"/>
        <v>1.095251764421439E-6</v>
      </c>
      <c r="G446" s="4">
        <f t="shared" si="51"/>
        <v>6.6381672962176088</v>
      </c>
      <c r="H446" s="3">
        <f t="shared" si="52"/>
        <v>6060859.714500607</v>
      </c>
      <c r="I446">
        <f t="shared" si="53"/>
        <v>40233000.74376072</v>
      </c>
      <c r="J446" s="6"/>
      <c r="K446" s="6"/>
      <c r="L446" s="6"/>
      <c r="M446" s="6"/>
      <c r="N446" s="6"/>
      <c r="O446" s="6"/>
      <c r="P446" s="6"/>
      <c r="Q446" s="6"/>
      <c r="R446" s="6"/>
    </row>
    <row r="447" spans="6:18">
      <c r="F447" s="5">
        <f t="shared" si="50"/>
        <v>1.0518797945503501E-6</v>
      </c>
      <c r="G447" s="4">
        <f t="shared" si="51"/>
        <v>6.5054039502932568</v>
      </c>
      <c r="H447" s="3">
        <f t="shared" si="52"/>
        <v>6184550.729082251</v>
      </c>
      <c r="I447">
        <f t="shared" si="53"/>
        <v>40233000.74376072</v>
      </c>
      <c r="J447" s="6"/>
      <c r="K447" s="6"/>
      <c r="L447" s="6"/>
      <c r="M447" s="6"/>
      <c r="N447" s="6"/>
      <c r="O447" s="6"/>
      <c r="P447" s="6"/>
      <c r="Q447" s="6"/>
      <c r="R447" s="6"/>
    </row>
    <row r="448" spans="6:18">
      <c r="F448" s="5">
        <f t="shared" si="50"/>
        <v>1.0102253546861563E-6</v>
      </c>
      <c r="G448" s="4">
        <f t="shared" si="51"/>
        <v>6.3752958712873919</v>
      </c>
      <c r="H448" s="3">
        <f t="shared" si="52"/>
        <v>6310766.0500839297</v>
      </c>
      <c r="I448">
        <f t="shared" si="53"/>
        <v>40233000.74376072</v>
      </c>
      <c r="J448" s="6"/>
      <c r="K448" s="6"/>
      <c r="L448" s="6"/>
      <c r="M448" s="6"/>
      <c r="N448" s="6"/>
      <c r="O448" s="6"/>
      <c r="P448" s="6"/>
      <c r="Q448" s="6"/>
      <c r="R448" s="6"/>
    </row>
    <row r="449" spans="6:18">
      <c r="F449" s="5">
        <f t="shared" si="50"/>
        <v>9.7022043064058438E-7</v>
      </c>
      <c r="G449" s="4">
        <f t="shared" si="51"/>
        <v>6.2477899538616439</v>
      </c>
      <c r="H449" s="3">
        <f t="shared" si="52"/>
        <v>6439557.1939631943</v>
      </c>
      <c r="I449">
        <f t="shared" si="53"/>
        <v>40233000.74376072</v>
      </c>
      <c r="J449" s="6"/>
      <c r="K449" s="6"/>
      <c r="L449" s="6"/>
      <c r="M449" s="6"/>
      <c r="N449" s="6"/>
      <c r="O449" s="6"/>
      <c r="P449" s="6"/>
      <c r="Q449" s="6"/>
      <c r="R449" s="6"/>
    </row>
    <row r="450" spans="6:18">
      <c r="F450" s="5">
        <f t="shared" si="50"/>
        <v>9.3179970158721734E-7</v>
      </c>
      <c r="G450" s="4">
        <f t="shared" si="51"/>
        <v>6.1228341547844112</v>
      </c>
      <c r="H450" s="3">
        <f t="shared" si="52"/>
        <v>6570976.7285338715</v>
      </c>
      <c r="I450">
        <f t="shared" si="53"/>
        <v>40233000.74376072</v>
      </c>
      <c r="J450" s="6"/>
      <c r="K450" s="6"/>
      <c r="L450" s="6"/>
      <c r="M450" s="6"/>
      <c r="N450" s="6"/>
      <c r="O450" s="6"/>
      <c r="P450" s="6"/>
      <c r="Q450" s="6"/>
      <c r="R450" s="6"/>
    </row>
    <row r="451" spans="6:18">
      <c r="F451" s="5">
        <f t="shared" si="50"/>
        <v>8.9490043340436366E-7</v>
      </c>
      <c r="G451" s="4">
        <f t="shared" si="51"/>
        <v>6.000377471688723</v>
      </c>
      <c r="H451" s="3">
        <f t="shared" si="52"/>
        <v>6705078.2944223173</v>
      </c>
      <c r="I451">
        <f t="shared" si="53"/>
        <v>40233000.74376072</v>
      </c>
      <c r="J451" s="6"/>
      <c r="K451" s="6"/>
      <c r="L451" s="6"/>
      <c r="M451" s="6"/>
      <c r="N451" s="6"/>
      <c r="O451" s="6"/>
      <c r="P451" s="6"/>
      <c r="Q451" s="6"/>
      <c r="R451" s="6"/>
    </row>
    <row r="452" spans="6:18">
      <c r="F452" s="5">
        <f t="shared" si="50"/>
        <v>8.5946237624155091E-7</v>
      </c>
      <c r="G452" s="4">
        <f t="shared" si="51"/>
        <v>5.8803699222549488</v>
      </c>
      <c r="H452" s="3">
        <f t="shared" si="52"/>
        <v>6841916.6269615479</v>
      </c>
      <c r="I452">
        <f t="shared" si="53"/>
        <v>40233000.74376072</v>
      </c>
      <c r="J452" s="6"/>
      <c r="K452" s="6"/>
      <c r="L452" s="6"/>
      <c r="M452" s="6"/>
      <c r="N452" s="6"/>
      <c r="O452" s="6"/>
      <c r="P452" s="6"/>
      <c r="Q452" s="6"/>
      <c r="R452" s="6"/>
    </row>
    <row r="453" spans="6:18">
      <c r="F453" s="5">
        <f t="shared" si="50"/>
        <v>8.2542766614238555E-7</v>
      </c>
      <c r="G453" s="4">
        <f t="shared" si="51"/>
        <v>5.7627625238098501</v>
      </c>
      <c r="H453" s="3">
        <f t="shared" si="52"/>
        <v>6981547.5785321919</v>
      </c>
      <c r="I453">
        <f t="shared" si="53"/>
        <v>40233000.74376072</v>
      </c>
      <c r="J453" s="6"/>
      <c r="K453" s="6"/>
      <c r="L453" s="6"/>
      <c r="M453" s="6"/>
      <c r="N453" s="6"/>
      <c r="O453" s="6"/>
      <c r="P453" s="6"/>
      <c r="Q453" s="6"/>
      <c r="R453" s="6"/>
    </row>
    <row r="454" spans="6:18">
      <c r="F454" s="5">
        <f t="shared" si="50"/>
        <v>7.9274073056314699E-7</v>
      </c>
      <c r="G454" s="4">
        <f t="shared" si="51"/>
        <v>5.6475072733336527</v>
      </c>
      <c r="H454" s="3">
        <f t="shared" si="52"/>
        <v>7124028.1413593795</v>
      </c>
      <c r="I454">
        <f t="shared" si="53"/>
        <v>40233000.74376072</v>
      </c>
      <c r="J454" s="6"/>
      <c r="K454" s="6"/>
      <c r="L454" s="6"/>
      <c r="M454" s="6"/>
      <c r="N454" s="6"/>
      <c r="O454" s="6"/>
      <c r="P454" s="6"/>
      <c r="Q454" s="6"/>
      <c r="R454" s="6"/>
    </row>
    <row r="455" spans="6:18">
      <c r="F455" s="5">
        <f t="shared" si="50"/>
        <v>7.6134819763284642E-7</v>
      </c>
      <c r="G455" s="4">
        <f t="shared" si="51"/>
        <v>5.5345571278669796</v>
      </c>
      <c r="H455" s="3">
        <f t="shared" si="52"/>
        <v>7269416.4707748769</v>
      </c>
      <c r="I455">
        <f t="shared" si="53"/>
        <v>40233000.74376072</v>
      </c>
      <c r="J455" s="6"/>
      <c r="K455" s="6"/>
      <c r="L455" s="6"/>
      <c r="M455" s="6"/>
      <c r="N455" s="6"/>
      <c r="O455" s="6"/>
      <c r="P455" s="6"/>
      <c r="Q455" s="6"/>
      <c r="R455" s="6"/>
    </row>
    <row r="456" spans="6:18">
      <c r="F456" s="5">
        <f t="shared" si="50"/>
        <v>7.3119880900658568E-7</v>
      </c>
      <c r="G456" s="4">
        <f t="shared" si="51"/>
        <v>5.4238659853096403</v>
      </c>
      <c r="H456" s="3">
        <f t="shared" si="52"/>
        <v>7417771.9089539563</v>
      </c>
      <c r="I456">
        <f t="shared" si="53"/>
        <v>40233000.74376072</v>
      </c>
      <c r="J456" s="6"/>
      <c r="K456" s="6"/>
      <c r="L456" s="6"/>
      <c r="M456" s="6"/>
      <c r="N456" s="6"/>
      <c r="O456" s="6"/>
      <c r="P456" s="6"/>
      <c r="Q456" s="6"/>
      <c r="R456" s="6"/>
    </row>
    <row r="457" spans="6:18">
      <c r="F457" s="5">
        <f t="shared" ref="F457:F520" si="54">G457/H457</f>
        <v>7.0224333616992487E-7</v>
      </c>
      <c r="G457" s="4">
        <f t="shared" si="51"/>
        <v>5.3153886656034475</v>
      </c>
      <c r="H457" s="3">
        <f t="shared" si="52"/>
        <v>7569155.0091366898</v>
      </c>
      <c r="I457">
        <f t="shared" si="53"/>
        <v>40233000.74376072</v>
      </c>
      <c r="J457" s="6"/>
      <c r="K457" s="6"/>
      <c r="L457" s="6"/>
      <c r="M457" s="6"/>
      <c r="N457" s="6"/>
      <c r="O457" s="6"/>
      <c r="P457" s="6"/>
      <c r="Q457" s="6"/>
      <c r="R457" s="6"/>
    </row>
    <row r="458" spans="6:18">
      <c r="F458" s="5">
        <f t="shared" si="54"/>
        <v>6.7443450005759597E-7</v>
      </c>
      <c r="G458" s="4">
        <f t="shared" si="51"/>
        <v>5.2090808922913787</v>
      </c>
      <c r="H458" s="3">
        <f t="shared" si="52"/>
        <v>7723627.5603435608</v>
      </c>
      <c r="I458">
        <f t="shared" si="53"/>
        <v>40233000.74376072</v>
      </c>
      <c r="J458" s="6"/>
      <c r="K458" s="6"/>
      <c r="L458" s="6"/>
      <c r="M458" s="6"/>
      <c r="N458" s="6"/>
      <c r="O458" s="6"/>
      <c r="P458" s="6"/>
      <c r="Q458" s="6"/>
      <c r="R458" s="6"/>
    </row>
    <row r="459" spans="6:18">
      <c r="F459" s="5">
        <f t="shared" si="54"/>
        <v>6.4772689385531523E-7</v>
      </c>
      <c r="G459" s="4">
        <f t="shared" si="51"/>
        <v>5.1048992744455512</v>
      </c>
      <c r="H459" s="3">
        <f t="shared" si="52"/>
        <v>7881252.6125954697</v>
      </c>
      <c r="I459">
        <f t="shared" si="53"/>
        <v>40233000.74376072</v>
      </c>
      <c r="J459" s="6"/>
      <c r="K459" s="6"/>
      <c r="L459" s="6"/>
      <c r="M459" s="6"/>
      <c r="N459" s="6"/>
      <c r="O459" s="6"/>
      <c r="P459" s="6"/>
      <c r="Q459" s="6"/>
      <c r="R459" s="6"/>
    </row>
    <row r="460" spans="6:18">
      <c r="F460" s="5">
        <f t="shared" si="54"/>
        <v>6.2207690885864463E-7</v>
      </c>
      <c r="G460" s="4">
        <f t="shared" si="51"/>
        <v>5.0028012889566398</v>
      </c>
      <c r="H460" s="3">
        <f t="shared" si="52"/>
        <v>8042094.5026484393</v>
      </c>
      <c r="I460">
        <f t="shared" si="53"/>
        <v>40233000.74376072</v>
      </c>
      <c r="J460" s="6"/>
      <c r="K460" s="6"/>
      <c r="L460" s="6"/>
      <c r="M460" s="6"/>
      <c r="N460" s="6"/>
      <c r="O460" s="6"/>
      <c r="P460" s="6"/>
      <c r="Q460" s="6"/>
      <c r="R460" s="6"/>
    </row>
    <row r="461" spans="6:18">
      <c r="F461" s="5">
        <f t="shared" si="54"/>
        <v>5.9744266326784225E-7</v>
      </c>
      <c r="G461" s="4">
        <f t="shared" si="51"/>
        <v>4.9027452631775068</v>
      </c>
      <c r="H461" s="3">
        <f t="shared" si="52"/>
        <v>8206218.8802535096</v>
      </c>
      <c r="I461">
        <f t="shared" si="53"/>
        <v>40233000.74376072</v>
      </c>
      <c r="J461" s="6"/>
      <c r="K461" s="6"/>
      <c r="L461" s="6"/>
      <c r="M461" s="6"/>
      <c r="N461" s="6"/>
      <c r="O461" s="6"/>
      <c r="P461" s="6"/>
      <c r="Q461" s="6"/>
      <c r="R461" s="6"/>
    </row>
    <row r="462" spans="6:18">
      <c r="F462" s="5">
        <f t="shared" si="54"/>
        <v>5.7378393380243546E-7</v>
      </c>
      <c r="G462" s="4">
        <f t="shared" si="51"/>
        <v>4.8046903579139562</v>
      </c>
      <c r="H462" s="3">
        <f t="shared" si="52"/>
        <v>8373692.7349525625</v>
      </c>
      <c r="I462">
        <f t="shared" si="53"/>
        <v>40233000.74376072</v>
      </c>
      <c r="J462" s="6"/>
      <c r="K462" s="6"/>
      <c r="L462" s="6"/>
      <c r="M462" s="6"/>
      <c r="N462" s="6"/>
      <c r="O462" s="6"/>
      <c r="P462" s="6"/>
      <c r="Q462" s="6"/>
      <c r="R462" s="6"/>
    </row>
    <row r="463" spans="6:18">
      <c r="F463" s="5">
        <f t="shared" si="54"/>
        <v>5.5106209002385904E-7</v>
      </c>
      <c r="G463" s="4">
        <f t="shared" si="51"/>
        <v>4.7085965507556766</v>
      </c>
      <c r="H463" s="3">
        <f t="shared" si="52"/>
        <v>8544584.4234209824</v>
      </c>
      <c r="I463">
        <f t="shared" si="53"/>
        <v>40233000.74376072</v>
      </c>
      <c r="J463" s="6"/>
      <c r="K463" s="6"/>
      <c r="L463" s="6"/>
      <c r="M463" s="6"/>
      <c r="N463" s="6"/>
      <c r="O463" s="6"/>
      <c r="P463" s="6"/>
      <c r="Q463" s="6"/>
      <c r="R463" s="6"/>
    </row>
    <row r="464" spans="6:18">
      <c r="F464" s="5">
        <f t="shared" si="54"/>
        <v>5.2924003125891425E-7</v>
      </c>
      <c r="G464" s="4">
        <f t="shared" si="51"/>
        <v>4.6144246197405634</v>
      </c>
      <c r="H464" s="3">
        <f t="shared" si="52"/>
        <v>8718963.697368348</v>
      </c>
      <c r="I464">
        <f t="shared" si="53"/>
        <v>40233000.74376072</v>
      </c>
      <c r="J464" s="6"/>
      <c r="K464" s="6"/>
      <c r="L464" s="6"/>
      <c r="M464" s="6"/>
      <c r="N464" s="6"/>
      <c r="O464" s="6"/>
      <c r="P464" s="6"/>
      <c r="Q464" s="6"/>
      <c r="R464" s="6"/>
    </row>
    <row r="465" spans="6:18">
      <c r="F465" s="5">
        <f t="shared" si="54"/>
        <v>5.0828212602106129E-7</v>
      </c>
      <c r="G465" s="4">
        <f t="shared" si="51"/>
        <v>4.5221361273457523</v>
      </c>
      <c r="H465" s="3">
        <f t="shared" si="52"/>
        <v>8896901.7320085187</v>
      </c>
      <c r="I465">
        <f t="shared" si="53"/>
        <v>40233000.74376072</v>
      </c>
      <c r="J465" s="6"/>
      <c r="K465" s="6"/>
      <c r="L465" s="6"/>
      <c r="M465" s="6"/>
      <c r="N465" s="6"/>
      <c r="O465" s="6"/>
      <c r="P465" s="6"/>
      <c r="Q465" s="6"/>
      <c r="R465" s="6"/>
    </row>
    <row r="466" spans="6:18">
      <c r="F466" s="5">
        <f t="shared" si="54"/>
        <v>4.8815415383062726E-7</v>
      </c>
      <c r="G466" s="4">
        <f t="shared" si="51"/>
        <v>4.4316934047988372</v>
      </c>
      <c r="H466" s="3">
        <f t="shared" si="52"/>
        <v>9078471.1551107336</v>
      </c>
      <c r="I466">
        <f t="shared" si="53"/>
        <v>40233000.74376072</v>
      </c>
      <c r="J466" s="6"/>
      <c r="K466" s="6"/>
      <c r="L466" s="6"/>
      <c r="M466" s="6"/>
      <c r="N466" s="6"/>
      <c r="O466" s="6"/>
      <c r="P466" s="6"/>
      <c r="Q466" s="6"/>
      <c r="R466" s="6"/>
    </row>
    <row r="467" spans="6:18">
      <c r="F467" s="5">
        <f t="shared" si="54"/>
        <v>4.6882324933893432E-7</v>
      </c>
      <c r="G467" s="4">
        <f t="shared" si="51"/>
        <v>4.3430595367028602</v>
      </c>
      <c r="H467" s="3">
        <f t="shared" si="52"/>
        <v>9263746.0766436066</v>
      </c>
      <c r="I467">
        <f t="shared" si="53"/>
        <v>40233000.74376072</v>
      </c>
      <c r="J467" s="6"/>
      <c r="K467" s="6"/>
      <c r="L467" s="6"/>
      <c r="M467" s="6"/>
      <c r="N467" s="6"/>
      <c r="O467" s="6"/>
      <c r="P467" s="6"/>
      <c r="Q467" s="6"/>
      <c r="R467" s="6"/>
    </row>
    <row r="468" spans="6:18">
      <c r="F468" s="5">
        <f t="shared" si="54"/>
        <v>4.5025784866511265E-7</v>
      </c>
      <c r="G468" s="4">
        <f t="shared" si="51"/>
        <v>4.2561983459688033</v>
      </c>
      <c r="H468" s="3">
        <f t="shared" si="52"/>
        <v>9452802.1190240867</v>
      </c>
      <c r="I468">
        <f t="shared" si="53"/>
        <v>40233000.74376072</v>
      </c>
      <c r="J468" s="6"/>
      <c r="K468" s="6"/>
      <c r="L468" s="6"/>
      <c r="M468" s="6"/>
      <c r="N468" s="6"/>
      <c r="O468" s="6"/>
      <c r="P468" s="6"/>
      <c r="Q468" s="6"/>
      <c r="R468" s="6"/>
    </row>
    <row r="469" spans="6:18">
      <c r="F469" s="5">
        <f t="shared" si="54"/>
        <v>4.324276378579742E-7</v>
      </c>
      <c r="G469" s="4">
        <f t="shared" si="51"/>
        <v>4.1710743790494273</v>
      </c>
      <c r="H469" s="3">
        <f t="shared" si="52"/>
        <v>9645716.4479837622</v>
      </c>
      <c r="I469">
        <f t="shared" si="53"/>
        <v>40233000.74376072</v>
      </c>
      <c r="J469" s="6"/>
      <c r="K469" s="6"/>
      <c r="L469" s="6"/>
      <c r="M469" s="6"/>
      <c r="N469" s="6"/>
      <c r="O469" s="6"/>
      <c r="P469" s="6"/>
      <c r="Q469" s="6"/>
      <c r="R469" s="6"/>
    </row>
    <row r="470" spans="6:18">
      <c r="F470" s="5">
        <f t="shared" si="54"/>
        <v>4.1530350339879843E-7</v>
      </c>
      <c r="G470" s="4">
        <f t="shared" si="51"/>
        <v>4.0876528914684389</v>
      </c>
      <c r="H470" s="3">
        <f t="shared" si="52"/>
        <v>9842567.8040650636</v>
      </c>
      <c r="I470">
        <f t="shared" si="53"/>
        <v>40233000.74376072</v>
      </c>
      <c r="J470" s="6"/>
      <c r="K470" s="6"/>
      <c r="L470" s="6"/>
      <c r="M470" s="6"/>
      <c r="N470" s="6"/>
      <c r="O470" s="6"/>
      <c r="P470" s="6"/>
      <c r="Q470" s="6"/>
      <c r="R470" s="6"/>
    </row>
    <row r="471" spans="6:18">
      <c r="F471" s="5">
        <f t="shared" si="54"/>
        <v>3.9885748466420601E-7</v>
      </c>
      <c r="G471" s="4">
        <f t="shared" si="51"/>
        <v>4.0058998336390701</v>
      </c>
      <c r="H471" s="3">
        <f t="shared" si="52"/>
        <v>10043436.534760268</v>
      </c>
      <c r="I471">
        <f t="shared" si="53"/>
        <v>40233000.74376072</v>
      </c>
      <c r="J471" s="6"/>
      <c r="K471" s="6"/>
      <c r="L471" s="6"/>
      <c r="M471" s="6"/>
      <c r="N471" s="6"/>
      <c r="O471" s="6"/>
      <c r="P471" s="6"/>
      <c r="Q471" s="6"/>
      <c r="R471" s="6"/>
    </row>
    <row r="472" spans="6:18">
      <c r="F472" s="5">
        <f t="shared" si="54"/>
        <v>3.8306272827150337E-7</v>
      </c>
      <c r="G472" s="4">
        <f t="shared" si="51"/>
        <v>3.9257818369662885</v>
      </c>
      <c r="H472" s="3">
        <f t="shared" si="52"/>
        <v>10248404.627306398</v>
      </c>
      <c r="I472">
        <f t="shared" si="53"/>
        <v>40233000.74376072</v>
      </c>
      <c r="J472" s="6"/>
      <c r="K472" s="6"/>
      <c r="L472" s="6"/>
      <c r="M472" s="6"/>
      <c r="N472" s="6"/>
      <c r="O472" s="6"/>
      <c r="P472" s="6"/>
      <c r="Q472" s="6"/>
      <c r="R472" s="6"/>
    </row>
    <row r="473" spans="6:18">
      <c r="F473" s="5">
        <f t="shared" si="54"/>
        <v>3.6789344423195176E-7</v>
      </c>
      <c r="G473" s="4">
        <f t="shared" si="51"/>
        <v>3.8472662002269624</v>
      </c>
      <c r="H473" s="3">
        <f t="shared" si="52"/>
        <v>10457555.742149387</v>
      </c>
      <c r="I473">
        <f t="shared" si="53"/>
        <v>40233000.74376072</v>
      </c>
      <c r="J473" s="6"/>
      <c r="K473" s="6"/>
      <c r="L473" s="6"/>
      <c r="M473" s="6"/>
      <c r="N473" s="6"/>
      <c r="O473" s="6"/>
      <c r="P473" s="6"/>
      <c r="Q473" s="6"/>
      <c r="R473" s="6"/>
    </row>
    <row r="474" spans="6:18">
      <c r="F474" s="5">
        <f t="shared" si="54"/>
        <v>3.5332486384036643E-7</v>
      </c>
      <c r="G474" s="4">
        <f t="shared" si="51"/>
        <v>3.770320876222423</v>
      </c>
      <c r="H474" s="3">
        <f t="shared" si="52"/>
        <v>10670975.247091211</v>
      </c>
      <c r="I474">
        <f t="shared" si="53"/>
        <v>40233000.74376072</v>
      </c>
      <c r="J474" s="6"/>
      <c r="K474" s="6"/>
      <c r="L474" s="6"/>
      <c r="M474" s="6"/>
      <c r="N474" s="6"/>
      <c r="O474" s="6"/>
      <c r="P474" s="6"/>
      <c r="Q474" s="6"/>
      <c r="R474" s="6"/>
    </row>
    <row r="475" spans="6:18">
      <c r="F475" s="5">
        <f t="shared" si="54"/>
        <v>3.3933319923228795E-7</v>
      </c>
      <c r="G475" s="4">
        <f t="shared" si="51"/>
        <v>3.6949144586979745</v>
      </c>
      <c r="H475" s="3">
        <f t="shared" si="52"/>
        <v>10888750.252133889</v>
      </c>
      <c r="I475">
        <f t="shared" si="53"/>
        <v>40233000.74376072</v>
      </c>
      <c r="J475" s="6"/>
      <c r="K475" s="6"/>
      <c r="L475" s="6"/>
      <c r="M475" s="6"/>
      <c r="N475" s="6"/>
      <c r="O475" s="6"/>
      <c r="P475" s="6"/>
      <c r="Q475" s="6"/>
      <c r="R475" s="6"/>
    </row>
    <row r="476" spans="6:18">
      <c r="F476" s="5">
        <f t="shared" si="54"/>
        <v>3.2589560454268931E-7</v>
      </c>
      <c r="G476" s="4">
        <f t="shared" si="51"/>
        <v>3.6210161695240148</v>
      </c>
      <c r="H476" s="3">
        <f t="shared" si="52"/>
        <v>11110969.645034581</v>
      </c>
      <c r="I476">
        <f t="shared" si="53"/>
        <v>40233000.74376072</v>
      </c>
      <c r="J476" s="6"/>
      <c r="K476" s="6"/>
      <c r="L476" s="6"/>
      <c r="M476" s="6"/>
      <c r="N476" s="6"/>
      <c r="O476" s="6"/>
      <c r="P476" s="6"/>
      <c r="Q476" s="6"/>
      <c r="R476" s="6"/>
    </row>
    <row r="477" spans="6:18">
      <c r="F477" s="5">
        <f t="shared" si="54"/>
        <v>3.129901386027988E-7</v>
      </c>
      <c r="G477" s="4">
        <f t="shared" si="51"/>
        <v>3.5485958461335345</v>
      </c>
      <c r="H477" s="3">
        <f t="shared" si="52"/>
        <v>11337724.127586307</v>
      </c>
      <c r="I477">
        <f t="shared" si="53"/>
        <v>40233000.74376072</v>
      </c>
      <c r="J477" s="6"/>
      <c r="K477" s="6"/>
      <c r="L477" s="6"/>
      <c r="M477" s="6"/>
      <c r="N477" s="6"/>
      <c r="O477" s="6"/>
      <c r="P477" s="6"/>
      <c r="Q477" s="6"/>
      <c r="R477" s="6"/>
    </row>
    <row r="478" spans="6:18">
      <c r="F478" s="5">
        <f t="shared" si="54"/>
        <v>3.00595729114128E-7</v>
      </c>
      <c r="G478" s="4">
        <f t="shared" si="51"/>
        <v>3.4776239292108637</v>
      </c>
      <c r="H478" s="3">
        <f t="shared" si="52"/>
        <v>11569106.252639089</v>
      </c>
      <c r="I478">
        <f t="shared" si="53"/>
        <v>40233000.74376072</v>
      </c>
      <c r="J478" s="6"/>
      <c r="K478" s="6"/>
      <c r="L478" s="6"/>
      <c r="M478" s="6"/>
      <c r="N478" s="6"/>
      <c r="O478" s="6"/>
      <c r="P478" s="6"/>
      <c r="Q478" s="6"/>
      <c r="R478" s="6"/>
    </row>
    <row r="479" spans="6:18">
      <c r="F479" s="5">
        <f t="shared" si="54"/>
        <v>2.8869213824120846E-7</v>
      </c>
      <c r="G479" s="4">
        <f t="shared" si="51"/>
        <v>3.4080714506266463</v>
      </c>
      <c r="H479" s="3">
        <f t="shared" si="52"/>
        <v>11805210.461876621</v>
      </c>
      <c r="I479">
        <f t="shared" si="53"/>
        <v>40233000.74376072</v>
      </c>
      <c r="J479" s="6"/>
      <c r="K479" s="6"/>
      <c r="L479" s="6"/>
      <c r="M479" s="6"/>
      <c r="N479" s="6"/>
      <c r="O479" s="6"/>
      <c r="P479" s="6"/>
      <c r="Q479" s="6"/>
      <c r="R479" s="6"/>
    </row>
    <row r="480" spans="6:18">
      <c r="F480" s="5">
        <f t="shared" si="54"/>
        <v>2.7725992956685662E-7</v>
      </c>
      <c r="G480" s="4">
        <f t="shared" si="51"/>
        <v>3.3399100216141133</v>
      </c>
      <c r="H480" s="3">
        <f t="shared" si="52"/>
        <v>12046133.124363899</v>
      </c>
      <c r="I480">
        <f t="shared" si="53"/>
        <v>40233000.74376072</v>
      </c>
      <c r="J480" s="6"/>
      <c r="K480" s="6"/>
      <c r="L480" s="6"/>
      <c r="M480" s="6"/>
      <c r="N480" s="6"/>
      <c r="O480" s="6"/>
      <c r="P480" s="6"/>
      <c r="Q480" s="6"/>
      <c r="R480" s="6"/>
    </row>
    <row r="481" spans="6:18">
      <c r="F481" s="5">
        <f t="shared" si="54"/>
        <v>2.6628043635600908E-7</v>
      </c>
      <c r="G481" s="4">
        <f t="shared" si="51"/>
        <v>3.2731118211818311</v>
      </c>
      <c r="H481" s="3">
        <f t="shared" si="52"/>
        <v>12291972.575881531</v>
      </c>
      <c r="I481">
        <f t="shared" si="53"/>
        <v>40233000.74376072</v>
      </c>
      <c r="J481" s="6"/>
      <c r="K481" s="6"/>
      <c r="L481" s="6"/>
      <c r="M481" s="6"/>
      <c r="N481" s="6"/>
      <c r="O481" s="6"/>
      <c r="P481" s="6"/>
      <c r="Q481" s="6"/>
      <c r="R481" s="6"/>
    </row>
    <row r="482" spans="6:18">
      <c r="F482" s="5">
        <f t="shared" si="54"/>
        <v>2.5573573107631106E-7</v>
      </c>
      <c r="G482" s="4">
        <f t="shared" si="51"/>
        <v>3.2076495847581943</v>
      </c>
      <c r="H482" s="3">
        <f t="shared" si="52"/>
        <v>12542829.159062788</v>
      </c>
      <c r="I482">
        <f t="shared" si="53"/>
        <v>40233000.74376072</v>
      </c>
      <c r="J482" s="6"/>
      <c r="K482" s="6"/>
      <c r="L482" s="6"/>
      <c r="M482" s="6"/>
      <c r="N482" s="6"/>
      <c r="O482" s="6"/>
      <c r="P482" s="6"/>
      <c r="Q482" s="6"/>
      <c r="R482" s="6"/>
    </row>
    <row r="483" spans="6:18">
      <c r="F483" s="5">
        <f t="shared" si="54"/>
        <v>2.4560859612568918E-7</v>
      </c>
      <c r="G483" s="4">
        <f t="shared" si="51"/>
        <v>3.1434965930630305</v>
      </c>
      <c r="H483" s="3">
        <f t="shared" si="52"/>
        <v>12798805.264349783</v>
      </c>
      <c r="I483">
        <f t="shared" si="53"/>
        <v>40233000.74376072</v>
      </c>
      <c r="J483" s="6"/>
      <c r="K483" s="6"/>
      <c r="L483" s="6"/>
      <c r="M483" s="6"/>
      <c r="N483" s="6"/>
      <c r="O483" s="6"/>
      <c r="P483" s="6"/>
      <c r="Q483" s="6"/>
      <c r="R483" s="6"/>
    </row>
    <row r="484" spans="6:18">
      <c r="F484" s="5">
        <f t="shared" si="54"/>
        <v>2.358824957191119E-7</v>
      </c>
      <c r="G484" s="4">
        <f t="shared" si="51"/>
        <v>3.0806266612017699</v>
      </c>
      <c r="H484" s="3">
        <f t="shared" si="52"/>
        <v>13060005.371785492</v>
      </c>
      <c r="I484">
        <f t="shared" si="53"/>
        <v>40233000.74376072</v>
      </c>
      <c r="J484" s="6"/>
      <c r="K484" s="6"/>
      <c r="L484" s="6"/>
      <c r="M484" s="6"/>
      <c r="N484" s="6"/>
      <c r="O484" s="6"/>
      <c r="P484" s="6"/>
      <c r="Q484" s="6"/>
      <c r="R484" s="6"/>
    </row>
    <row r="485" spans="6:18">
      <c r="F485" s="5">
        <f t="shared" si="54"/>
        <v>2.2654154888863507E-7</v>
      </c>
      <c r="G485" s="4">
        <f t="shared" si="51"/>
        <v>3.0190141279777345</v>
      </c>
      <c r="H485" s="3">
        <f t="shared" si="52"/>
        <v>13326536.093658665</v>
      </c>
      <c r="I485">
        <f t="shared" si="53"/>
        <v>40233000.74376072</v>
      </c>
      <c r="J485" s="6"/>
      <c r="K485" s="6"/>
      <c r="L485" s="6"/>
      <c r="M485" s="6"/>
      <c r="N485" s="6"/>
      <c r="O485" s="6"/>
      <c r="P485" s="6"/>
      <c r="Q485" s="6"/>
      <c r="R485" s="6"/>
    </row>
    <row r="486" spans="6:18">
      <c r="F486" s="5">
        <f t="shared" si="54"/>
        <v>2.1757050355264514E-7</v>
      </c>
      <c r="G486" s="4">
        <f t="shared" si="51"/>
        <v>2.9586338454181798</v>
      </c>
      <c r="H486" s="3">
        <f t="shared" si="52"/>
        <v>13598506.218019046</v>
      </c>
      <c r="I486">
        <f t="shared" si="53"/>
        <v>40233000.74376072</v>
      </c>
      <c r="J486" s="6"/>
      <c r="K486" s="6"/>
      <c r="L486" s="6"/>
      <c r="M486" s="6"/>
      <c r="N486" s="6"/>
      <c r="O486" s="6"/>
      <c r="P486" s="6"/>
      <c r="Q486" s="6"/>
      <c r="R486" s="6"/>
    </row>
    <row r="487" spans="6:18">
      <c r="F487" s="5">
        <f t="shared" si="54"/>
        <v>2.0895471161196036E-7</v>
      </c>
      <c r="G487" s="4">
        <f t="shared" si="51"/>
        <v>2.8994611685098159</v>
      </c>
      <c r="H487" s="3">
        <f t="shared" si="52"/>
        <v>13876026.75308066</v>
      </c>
      <c r="I487">
        <f t="shared" si="53"/>
        <v>40233000.74376072</v>
      </c>
      <c r="J487" s="6"/>
      <c r="K487" s="6"/>
      <c r="L487" s="6"/>
      <c r="M487" s="6"/>
      <c r="N487" s="6"/>
      <c r="O487" s="6"/>
      <c r="P487" s="6"/>
      <c r="Q487" s="6"/>
      <c r="R487" s="6"/>
    </row>
    <row r="488" spans="6:18">
      <c r="F488" s="5">
        <f t="shared" si="54"/>
        <v>2.0068010503212675E-7</v>
      </c>
      <c r="G488" s="4">
        <f t="shared" si="51"/>
        <v>2.8414719451396198</v>
      </c>
      <c r="H488" s="3">
        <f t="shared" si="52"/>
        <v>14159210.972531285</v>
      </c>
      <c r="I488">
        <f t="shared" si="53"/>
        <v>40233000.74376072</v>
      </c>
      <c r="J488" s="6"/>
      <c r="K488" s="6"/>
      <c r="L488" s="6"/>
      <c r="M488" s="6"/>
      <c r="N488" s="6"/>
      <c r="O488" s="6"/>
      <c r="P488" s="6"/>
      <c r="Q488" s="6"/>
      <c r="R488" s="6"/>
    </row>
    <row r="489" spans="6:18">
      <c r="F489" s="5">
        <f t="shared" si="54"/>
        <v>1.9273317287285453E-7</v>
      </c>
      <c r="G489" s="4">
        <f t="shared" si="51"/>
        <v>2.7846425062368274</v>
      </c>
      <c r="H489" s="3">
        <f t="shared" si="52"/>
        <v>14448174.461766617</v>
      </c>
      <c r="I489">
        <f t="shared" si="53"/>
        <v>40233000.74376072</v>
      </c>
      <c r="J489" s="6"/>
      <c r="K489" s="6"/>
      <c r="L489" s="6"/>
      <c r="M489" s="6"/>
      <c r="N489" s="6"/>
      <c r="O489" s="6"/>
      <c r="P489" s="6"/>
      <c r="Q489" s="6"/>
      <c r="R489" s="6"/>
    </row>
    <row r="490" spans="6:18">
      <c r="F490" s="5">
        <f t="shared" si="54"/>
        <v>1.8510093922708951E-7</v>
      </c>
      <c r="G490" s="4">
        <f t="shared" si="51"/>
        <v>2.7289496561120909</v>
      </c>
      <c r="H490" s="3">
        <f t="shared" si="52"/>
        <v>14743035.165067976</v>
      </c>
      <c r="I490">
        <f t="shared" si="53"/>
        <v>40233000.74376072</v>
      </c>
      <c r="J490" s="6"/>
      <c r="K490" s="6"/>
      <c r="L490" s="6"/>
      <c r="M490" s="6"/>
      <c r="N490" s="6"/>
      <c r="O490" s="6"/>
      <c r="P490" s="6"/>
      <c r="Q490" s="6"/>
      <c r="R490" s="6"/>
    </row>
    <row r="491" spans="6:18">
      <c r="F491" s="5">
        <f t="shared" si="54"/>
        <v>1.7777094203369673E-7</v>
      </c>
      <c r="G491" s="4">
        <f t="shared" si="51"/>
        <v>2.6743706629898489</v>
      </c>
      <c r="H491" s="3">
        <f t="shared" si="52"/>
        <v>15043913.433742834</v>
      </c>
      <c r="I491">
        <f t="shared" si="53"/>
        <v>40233000.74376072</v>
      </c>
      <c r="J491" s="6"/>
      <c r="K491" s="6"/>
      <c r="L491" s="6"/>
      <c r="M491" s="6"/>
      <c r="N491" s="6"/>
      <c r="O491" s="6"/>
      <c r="P491" s="6"/>
      <c r="Q491" s="6"/>
      <c r="R491" s="6"/>
    </row>
    <row r="492" spans="6:18">
      <c r="F492" s="5">
        <f t="shared" si="54"/>
        <v>1.7073121272916233E-7</v>
      </c>
      <c r="G492" s="4">
        <f t="shared" si="51"/>
        <v>2.6208832497300518</v>
      </c>
      <c r="H492" s="3">
        <f t="shared" si="52"/>
        <v>15350932.075247791</v>
      </c>
      <c r="I492">
        <f t="shared" si="53"/>
        <v>40233000.74376072</v>
      </c>
      <c r="J492" s="6"/>
      <c r="K492" s="6"/>
      <c r="L492" s="6"/>
      <c r="M492" s="6"/>
      <c r="N492" s="6"/>
      <c r="O492" s="6"/>
      <c r="P492" s="6"/>
      <c r="Q492" s="6"/>
      <c r="R492" s="6"/>
    </row>
    <row r="493" spans="6:18">
      <c r="F493" s="5">
        <f t="shared" si="54"/>
        <v>1.6397025670508749E-7</v>
      </c>
      <c r="G493" s="4">
        <f t="shared" si="51"/>
        <v>2.5684655847354509</v>
      </c>
      <c r="H493" s="3">
        <f t="shared" si="52"/>
        <v>15664216.403314073</v>
      </c>
      <c r="I493">
        <f t="shared" si="53"/>
        <v>40233000.74376072</v>
      </c>
      <c r="J493" s="6"/>
      <c r="K493" s="6"/>
      <c r="L493" s="6"/>
      <c r="M493" s="6"/>
      <c r="N493" s="6"/>
      <c r="O493" s="6"/>
      <c r="P493" s="6"/>
      <c r="Q493" s="6"/>
      <c r="R493" s="6"/>
    </row>
    <row r="494" spans="6:18">
      <c r="F494" s="5">
        <f t="shared" si="54"/>
        <v>1.5747703453956607E-7</v>
      </c>
      <c r="G494" s="4">
        <f t="shared" si="51"/>
        <v>2.517096273040742</v>
      </c>
      <c r="H494" s="3">
        <f t="shared" si="52"/>
        <v>15983894.28909599</v>
      </c>
      <c r="I494">
        <f t="shared" si="53"/>
        <v>40233000.74376072</v>
      </c>
      <c r="J494" s="6"/>
      <c r="K494" s="6"/>
      <c r="L494" s="6"/>
      <c r="M494" s="6"/>
      <c r="N494" s="6"/>
      <c r="O494" s="6"/>
      <c r="P494" s="6"/>
      <c r="Q494" s="6"/>
      <c r="R494" s="6"/>
    </row>
    <row r="495" spans="6:18">
      <c r="F495" s="5">
        <f t="shared" si="54"/>
        <v>1.5124094397179921E-7</v>
      </c>
      <c r="G495" s="4">
        <f t="shared" si="51"/>
        <v>2.466754347579927</v>
      </c>
      <c r="H495" s="3">
        <f t="shared" si="52"/>
        <v>16310096.213363258</v>
      </c>
      <c r="I495">
        <f t="shared" si="53"/>
        <v>40233000.74376072</v>
      </c>
      <c r="J495" s="6"/>
      <c r="K495" s="6"/>
      <c r="L495" s="6"/>
      <c r="M495" s="6"/>
      <c r="N495" s="6"/>
      <c r="O495" s="6"/>
      <c r="P495" s="6"/>
      <c r="Q495" s="6"/>
      <c r="R495" s="6"/>
    </row>
    <row r="496" spans="6:18">
      <c r="F496" s="5">
        <f t="shared" si="54"/>
        <v>1.4525180259051596E-7</v>
      </c>
      <c r="G496" s="4">
        <f t="shared" si="51"/>
        <v>2.4174192606283285</v>
      </c>
      <c r="H496" s="3">
        <f t="shared" si="52"/>
        <v>16642955.319758426</v>
      </c>
      <c r="I496">
        <f t="shared" si="53"/>
        <v>40233000.74376072</v>
      </c>
      <c r="J496" s="6"/>
      <c r="K496" s="6"/>
      <c r="L496" s="6"/>
      <c r="M496" s="6"/>
      <c r="N496" s="6"/>
      <c r="O496" s="6"/>
      <c r="P496" s="6"/>
      <c r="Q496" s="6"/>
      <c r="R496" s="6"/>
    </row>
    <row r="497" spans="6:18">
      <c r="F497" s="5">
        <f t="shared" si="54"/>
        <v>1.3949983120793152E-7</v>
      </c>
      <c r="G497" s="4">
        <f t="shared" si="51"/>
        <v>2.3690708754157619</v>
      </c>
      <c r="H497" s="3">
        <f t="shared" si="52"/>
        <v>16982607.469141252</v>
      </c>
      <c r="I497">
        <f t="shared" si="53"/>
        <v>40233000.74376072</v>
      </c>
      <c r="J497" s="6"/>
      <c r="K497" s="6"/>
      <c r="L497" s="6"/>
      <c r="M497" s="6"/>
      <c r="N497" s="6"/>
      <c r="O497" s="6"/>
      <c r="P497" s="6"/>
      <c r="Q497" s="6"/>
      <c r="R497" s="6"/>
    </row>
    <row r="498" spans="6:18">
      <c r="F498" s="5">
        <f t="shared" si="54"/>
        <v>1.3397563789209744E-7</v>
      </c>
      <c r="G498" s="4">
        <f t="shared" ref="G498:G561" si="55">G497*(1-$O$1)</f>
        <v>2.3216894579074467</v>
      </c>
      <c r="H498" s="3">
        <f t="shared" ref="H498:H561" si="56">I498/G498</f>
        <v>17329191.295042094</v>
      </c>
      <c r="I498">
        <f t="shared" ref="I498:I561" si="57">I497</f>
        <v>40233000.74376072</v>
      </c>
      <c r="J498" s="6"/>
      <c r="K498" s="6"/>
      <c r="L498" s="6"/>
      <c r="M498" s="6"/>
      <c r="N498" s="6"/>
      <c r="O498" s="6"/>
      <c r="P498" s="6"/>
      <c r="Q498" s="6"/>
      <c r="R498" s="6"/>
    </row>
    <row r="499" spans="6:18">
      <c r="F499" s="5">
        <f t="shared" si="54"/>
        <v>1.2867020263157039E-7</v>
      </c>
      <c r="G499" s="4">
        <f t="shared" si="55"/>
        <v>2.2752556687492977</v>
      </c>
      <c r="H499" s="3">
        <f t="shared" si="56"/>
        <v>17682848.260247033</v>
      </c>
      <c r="I499">
        <f t="shared" si="57"/>
        <v>40233000.74376072</v>
      </c>
      <c r="J499" s="6"/>
      <c r="K499" s="6"/>
      <c r="L499" s="6"/>
      <c r="M499" s="6"/>
      <c r="N499" s="6"/>
      <c r="O499" s="6"/>
      <c r="P499" s="6"/>
      <c r="Q499" s="6"/>
      <c r="R499" s="6"/>
    </row>
    <row r="500" spans="6:18">
      <c r="F500" s="5">
        <f t="shared" si="54"/>
        <v>1.2357486260736018E-7</v>
      </c>
      <c r="G500" s="4">
        <f t="shared" si="55"/>
        <v>2.2297505553743115</v>
      </c>
      <c r="H500" s="3">
        <f t="shared" si="56"/>
        <v>18043722.714537792</v>
      </c>
      <c r="I500">
        <f t="shared" si="57"/>
        <v>40233000.74376072</v>
      </c>
      <c r="J500" s="6"/>
      <c r="K500" s="6"/>
      <c r="L500" s="6"/>
      <c r="M500" s="6"/>
      <c r="N500" s="6"/>
      <c r="O500" s="6"/>
      <c r="P500" s="6"/>
      <c r="Q500" s="6"/>
      <c r="R500" s="6"/>
    </row>
    <row r="501" spans="6:18">
      <c r="F501" s="5">
        <f t="shared" si="54"/>
        <v>1.186812980481087E-7</v>
      </c>
      <c r="G501" s="4">
        <f t="shared" si="55"/>
        <v>2.1851555442668253</v>
      </c>
      <c r="H501" s="3">
        <f t="shared" si="56"/>
        <v>18411961.953609992</v>
      </c>
      <c r="I501">
        <f t="shared" si="57"/>
        <v>40233000.74376072</v>
      </c>
      <c r="J501" s="6"/>
      <c r="K501" s="6"/>
      <c r="L501" s="6"/>
      <c r="M501" s="6"/>
      <c r="N501" s="6"/>
      <c r="O501" s="6"/>
      <c r="P501" s="6"/>
      <c r="Q501" s="6"/>
      <c r="R501" s="6"/>
    </row>
    <row r="502" spans="6:18">
      <c r="F502" s="5">
        <f t="shared" si="54"/>
        <v>1.1398151864540359E-7</v>
      </c>
      <c r="G502" s="4">
        <f t="shared" si="55"/>
        <v>2.1414524333814886</v>
      </c>
      <c r="H502" s="3">
        <f t="shared" si="56"/>
        <v>18787716.279193871</v>
      </c>
      <c r="I502">
        <f t="shared" si="57"/>
        <v>40233000.74376072</v>
      </c>
      <c r="J502" s="6"/>
      <c r="K502" s="6"/>
      <c r="L502" s="6"/>
      <c r="M502" s="6"/>
      <c r="N502" s="6"/>
      <c r="O502" s="6"/>
      <c r="P502" s="6"/>
      <c r="Q502" s="6"/>
      <c r="R502" s="6"/>
    </row>
    <row r="503" spans="6:18">
      <c r="F503" s="5">
        <f t="shared" si="54"/>
        <v>1.0946785050704561E-7</v>
      </c>
      <c r="G503" s="4">
        <f t="shared" si="55"/>
        <v>2.0986233847138589</v>
      </c>
      <c r="H503" s="3">
        <f t="shared" si="56"/>
        <v>19171139.060401909</v>
      </c>
      <c r="I503">
        <f t="shared" si="57"/>
        <v>40233000.74376072</v>
      </c>
      <c r="J503" s="6"/>
      <c r="K503" s="6"/>
      <c r="L503" s="6"/>
      <c r="M503" s="6"/>
      <c r="N503" s="6"/>
      <c r="O503" s="6"/>
      <c r="P503" s="6"/>
      <c r="Q503" s="6"/>
      <c r="R503" s="6"/>
    </row>
    <row r="504" spans="6:18">
      <c r="F504" s="5">
        <f t="shared" si="54"/>
        <v>1.0513292362696657E-7</v>
      </c>
      <c r="G504" s="4">
        <f t="shared" si="55"/>
        <v>2.0566509170195815</v>
      </c>
      <c r="H504" s="3">
        <f t="shared" si="56"/>
        <v>19562386.796328481</v>
      </c>
      <c r="I504">
        <f t="shared" si="57"/>
        <v>40233000.74376072</v>
      </c>
      <c r="J504" s="6"/>
      <c r="K504" s="6"/>
      <c r="L504" s="6"/>
      <c r="M504" s="6"/>
      <c r="N504" s="6"/>
      <c r="O504" s="6"/>
      <c r="P504" s="6"/>
      <c r="Q504" s="6"/>
      <c r="R504" s="6"/>
    </row>
    <row r="505" spans="6:18">
      <c r="F505" s="5">
        <f t="shared" si="54"/>
        <v>1.009696598513387E-7</v>
      </c>
      <c r="G505" s="4">
        <f t="shared" si="55"/>
        <v>2.0155178986791897</v>
      </c>
      <c r="H505" s="3">
        <f t="shared" si="56"/>
        <v>19961619.179927021</v>
      </c>
      <c r="I505">
        <f t="shared" si="57"/>
        <v>40233000.74376072</v>
      </c>
      <c r="J505" s="6"/>
      <c r="K505" s="6"/>
      <c r="L505" s="6"/>
      <c r="M505" s="6"/>
      <c r="N505" s="6"/>
      <c r="O505" s="6"/>
      <c r="P505" s="6"/>
      <c r="Q505" s="6"/>
      <c r="R505" s="6"/>
    </row>
    <row r="506" spans="6:18">
      <c r="F506" s="5">
        <f t="shared" si="54"/>
        <v>9.6971261321225687E-8</v>
      </c>
      <c r="G506" s="4">
        <f t="shared" si="55"/>
        <v>1.975207540705606</v>
      </c>
      <c r="H506" s="3">
        <f t="shared" si="56"/>
        <v>20368999.163190838</v>
      </c>
      <c r="I506">
        <f t="shared" si="57"/>
        <v>40233000.74376072</v>
      </c>
      <c r="J506" s="6"/>
      <c r="K506" s="6"/>
      <c r="L506" s="6"/>
      <c r="M506" s="6"/>
      <c r="N506" s="6"/>
      <c r="O506" s="6"/>
      <c r="P506" s="6"/>
      <c r="Q506" s="6"/>
      <c r="R506" s="6"/>
    </row>
    <row r="507" spans="6:18">
      <c r="F507" s="5">
        <f t="shared" si="54"/>
        <v>9.3131199372905152E-8</v>
      </c>
      <c r="G507" s="4">
        <f t="shared" si="55"/>
        <v>1.9357033898914939</v>
      </c>
      <c r="H507" s="3">
        <f t="shared" si="56"/>
        <v>20784693.023664121</v>
      </c>
      <c r="I507">
        <f t="shared" si="57"/>
        <v>40233000.74376072</v>
      </c>
      <c r="J507" s="6"/>
      <c r="K507" s="6"/>
      <c r="L507" s="6"/>
      <c r="M507" s="6"/>
      <c r="N507" s="6"/>
      <c r="O507" s="6"/>
      <c r="P507" s="6"/>
      <c r="Q507" s="6"/>
      <c r="R507" s="6"/>
    </row>
    <row r="508" spans="6:18">
      <c r="F508" s="5">
        <f t="shared" si="54"/>
        <v>8.9443203877738101E-8</v>
      </c>
      <c r="G508" s="4">
        <f t="shared" si="55"/>
        <v>1.896989322093664</v>
      </c>
      <c r="H508" s="3">
        <f t="shared" si="56"/>
        <v>21208870.432310328</v>
      </c>
      <c r="I508">
        <f t="shared" si="57"/>
        <v>40233000.74376072</v>
      </c>
      <c r="J508" s="6"/>
      <c r="K508" s="6"/>
      <c r="L508" s="6"/>
      <c r="M508" s="6"/>
      <c r="N508" s="6"/>
      <c r="O508" s="6"/>
      <c r="P508" s="6"/>
      <c r="Q508" s="6"/>
      <c r="R508" s="6"/>
    </row>
    <row r="509" spans="6:18">
      <c r="F509" s="5">
        <f t="shared" si="54"/>
        <v>8.5901253004179671E-8</v>
      </c>
      <c r="G509" s="4">
        <f t="shared" si="55"/>
        <v>1.8590495356517907</v>
      </c>
      <c r="H509" s="3">
        <f t="shared" si="56"/>
        <v>21641704.52276564</v>
      </c>
      <c r="I509">
        <f t="shared" si="57"/>
        <v>40233000.74376072</v>
      </c>
      <c r="J509" s="6"/>
      <c r="K509" s="6"/>
      <c r="L509" s="6"/>
      <c r="M509" s="6"/>
      <c r="N509" s="6"/>
      <c r="O509" s="6"/>
      <c r="P509" s="6"/>
      <c r="Q509" s="6"/>
      <c r="R509" s="6"/>
    </row>
    <row r="510" spans="6:18">
      <c r="F510" s="5">
        <f t="shared" si="54"/>
        <v>8.2499563385214167E-8</v>
      </c>
      <c r="G510" s="4">
        <f t="shared" si="55"/>
        <v>1.8218685449387548</v>
      </c>
      <c r="H510" s="3">
        <f t="shared" si="56"/>
        <v>22083371.962005753</v>
      </c>
      <c r="I510">
        <f t="shared" si="57"/>
        <v>40233000.74376072</v>
      </c>
      <c r="J510" s="6"/>
      <c r="K510" s="6"/>
      <c r="L510" s="6"/>
      <c r="M510" s="6"/>
      <c r="N510" s="6"/>
      <c r="O510" s="6"/>
      <c r="P510" s="6"/>
      <c r="Q510" s="6"/>
      <c r="R510" s="6"/>
    </row>
    <row r="511" spans="6:18">
      <c r="F511" s="5">
        <f t="shared" si="54"/>
        <v>7.9232580675159683E-8</v>
      </c>
      <c r="G511" s="4">
        <f t="shared" si="55"/>
        <v>1.7854311740399798</v>
      </c>
      <c r="H511" s="3">
        <f t="shared" si="56"/>
        <v>22534053.02245485</v>
      </c>
      <c r="I511">
        <f t="shared" si="57"/>
        <v>40233000.74376072</v>
      </c>
      <c r="J511" s="6"/>
      <c r="K511" s="6"/>
      <c r="L511" s="6"/>
      <c r="M511" s="6"/>
      <c r="N511" s="6"/>
      <c r="O511" s="6"/>
      <c r="P511" s="6"/>
      <c r="Q511" s="6"/>
      <c r="R511" s="6"/>
    </row>
    <row r="512" spans="6:18">
      <c r="F512" s="5">
        <f t="shared" si="54"/>
        <v>7.6094970480423341E-8</v>
      </c>
      <c r="G512" s="4">
        <f t="shared" si="55"/>
        <v>1.74972255055918</v>
      </c>
      <c r="H512" s="3">
        <f t="shared" si="56"/>
        <v>22993931.655566178</v>
      </c>
      <c r="I512">
        <f t="shared" si="57"/>
        <v>40233000.74376072</v>
      </c>
      <c r="J512" s="6"/>
      <c r="K512" s="6"/>
      <c r="L512" s="6"/>
      <c r="M512" s="6"/>
      <c r="N512" s="6"/>
      <c r="O512" s="6"/>
      <c r="P512" s="6"/>
      <c r="Q512" s="6"/>
      <c r="R512" s="6"/>
    </row>
    <row r="513" spans="6:18">
      <c r="F513" s="5">
        <f t="shared" si="54"/>
        <v>7.3081609649398578E-8</v>
      </c>
      <c r="G513" s="4">
        <f t="shared" si="55"/>
        <v>1.7147280995479963</v>
      </c>
      <c r="H513" s="3">
        <f t="shared" si="56"/>
        <v>23463195.566904262</v>
      </c>
      <c r="I513">
        <f t="shared" si="57"/>
        <v>40233000.74376072</v>
      </c>
      <c r="J513" s="6"/>
      <c r="K513" s="6"/>
      <c r="L513" s="6"/>
      <c r="M513" s="6"/>
      <c r="N513" s="6"/>
      <c r="O513" s="6"/>
      <c r="P513" s="6"/>
      <c r="Q513" s="6"/>
      <c r="R513" s="6"/>
    </row>
    <row r="514" spans="6:18">
      <c r="F514" s="5">
        <f t="shared" si="54"/>
        <v>7.0187577907282368E-8</v>
      </c>
      <c r="G514" s="4">
        <f t="shared" si="55"/>
        <v>1.6804335375570363</v>
      </c>
      <c r="H514" s="3">
        <f t="shared" si="56"/>
        <v>23942036.292759456</v>
      </c>
      <c r="I514">
        <f t="shared" si="57"/>
        <v>40233000.74376072</v>
      </c>
      <c r="J514" s="6"/>
      <c r="K514" s="6"/>
      <c r="L514" s="6"/>
      <c r="M514" s="6"/>
      <c r="N514" s="6"/>
      <c r="O514" s="6"/>
      <c r="P514" s="6"/>
      <c r="Q514" s="6"/>
      <c r="R514" s="6"/>
    </row>
    <row r="515" spans="6:18">
      <c r="F515" s="5">
        <f t="shared" si="54"/>
        <v>6.740814982215399E-8</v>
      </c>
      <c r="G515" s="4">
        <f t="shared" si="55"/>
        <v>1.6468248668058956</v>
      </c>
      <c r="H515" s="3">
        <f t="shared" si="56"/>
        <v>24430649.278325975</v>
      </c>
      <c r="I515">
        <f t="shared" si="57"/>
        <v>40233000.74376072</v>
      </c>
      <c r="J515" s="6"/>
      <c r="K515" s="6"/>
      <c r="L515" s="6"/>
      <c r="M515" s="6"/>
      <c r="N515" s="6"/>
      <c r="O515" s="6"/>
      <c r="P515" s="6"/>
      <c r="Q515" s="6"/>
      <c r="R515" s="6"/>
    </row>
    <row r="516" spans="6:18">
      <c r="F516" s="5">
        <f t="shared" si="54"/>
        <v>6.4738787089196689E-8</v>
      </c>
      <c r="G516" s="4">
        <f t="shared" si="55"/>
        <v>1.6138883694697777</v>
      </c>
      <c r="H516" s="3">
        <f t="shared" si="56"/>
        <v>24929233.957475483</v>
      </c>
      <c r="I516">
        <f t="shared" si="57"/>
        <v>40233000.74376072</v>
      </c>
      <c r="J516" s="6"/>
      <c r="K516" s="6"/>
      <c r="L516" s="6"/>
      <c r="M516" s="6"/>
      <c r="N516" s="6"/>
      <c r="O516" s="6"/>
      <c r="P516" s="6"/>
      <c r="Q516" s="6"/>
      <c r="R516" s="6"/>
    </row>
    <row r="517" spans="6:18">
      <c r="F517" s="5">
        <f t="shared" si="54"/>
        <v>6.2175131120464508E-8</v>
      </c>
      <c r="G517" s="4">
        <f t="shared" si="55"/>
        <v>1.5816106020803822</v>
      </c>
      <c r="H517" s="3">
        <f t="shared" si="56"/>
        <v>25437993.834158655</v>
      </c>
      <c r="I517">
        <f t="shared" si="57"/>
        <v>40233000.74376072</v>
      </c>
      <c r="J517" s="6"/>
      <c r="K517" s="6"/>
      <c r="L517" s="6"/>
      <c r="M517" s="6"/>
      <c r="N517" s="6"/>
      <c r="O517" s="6"/>
      <c r="P517" s="6"/>
      <c r="Q517" s="6"/>
      <c r="R517" s="6"/>
    </row>
    <row r="518" spans="6:18">
      <c r="F518" s="5">
        <f t="shared" si="54"/>
        <v>5.9712995928094115E-8</v>
      </c>
      <c r="G518" s="4">
        <f t="shared" si="55"/>
        <v>1.5499783900387745</v>
      </c>
      <c r="H518" s="3">
        <f t="shared" si="56"/>
        <v>25957136.565468017</v>
      </c>
      <c r="I518">
        <f t="shared" si="57"/>
        <v>40233000.74376072</v>
      </c>
      <c r="J518" s="6"/>
      <c r="K518" s="6"/>
      <c r="L518" s="6"/>
      <c r="M518" s="6"/>
      <c r="N518" s="6"/>
      <c r="O518" s="6"/>
      <c r="P518" s="6"/>
      <c r="Q518" s="6"/>
      <c r="R518" s="6"/>
    </row>
    <row r="519" spans="6:18">
      <c r="F519" s="5">
        <f t="shared" si="54"/>
        <v>5.7348361289341582E-8</v>
      </c>
      <c r="G519" s="4">
        <f t="shared" si="55"/>
        <v>1.518978822237999</v>
      </c>
      <c r="H519" s="3">
        <f t="shared" si="56"/>
        <v>26486874.046395935</v>
      </c>
      <c r="I519">
        <f t="shared" si="57"/>
        <v>40233000.74376072</v>
      </c>
      <c r="J519" s="6"/>
      <c r="K519" s="6"/>
      <c r="L519" s="6"/>
      <c r="M519" s="6"/>
      <c r="N519" s="6"/>
      <c r="O519" s="6"/>
      <c r="P519" s="6"/>
      <c r="Q519" s="6"/>
      <c r="R519" s="6"/>
    </row>
    <row r="520" spans="6:18">
      <c r="F520" s="5">
        <f t="shared" si="54"/>
        <v>5.5077366182283649E-8</v>
      </c>
      <c r="G520" s="4">
        <f t="shared" si="55"/>
        <v>1.4885992457932389</v>
      </c>
      <c r="H520" s="3">
        <f t="shared" si="56"/>
        <v>27027422.496322386</v>
      </c>
      <c r="I520">
        <f t="shared" si="57"/>
        <v>40233000.74376072</v>
      </c>
      <c r="J520" s="6"/>
      <c r="K520" s="6"/>
      <c r="L520" s="6"/>
      <c r="M520" s="6"/>
      <c r="N520" s="6"/>
      <c r="O520" s="6"/>
      <c r="P520" s="6"/>
      <c r="Q520" s="6"/>
      <c r="R520" s="6"/>
    </row>
    <row r="521" spans="6:18">
      <c r="F521" s="5">
        <f t="shared" ref="F521:F584" si="58">G521/H521</f>
        <v>5.289630248146521E-8</v>
      </c>
      <c r="G521" s="4">
        <f t="shared" si="55"/>
        <v>1.458827260877374</v>
      </c>
      <c r="H521" s="3">
        <f t="shared" si="56"/>
        <v>27579002.547267742</v>
      </c>
      <c r="I521">
        <f t="shared" si="57"/>
        <v>40233000.74376072</v>
      </c>
      <c r="J521" s="6"/>
      <c r="K521" s="6"/>
      <c r="L521" s="6"/>
      <c r="M521" s="6"/>
      <c r="N521" s="6"/>
      <c r="O521" s="6"/>
      <c r="P521" s="6"/>
      <c r="Q521" s="6"/>
      <c r="R521" s="6"/>
    </row>
    <row r="522" spans="6:18">
      <c r="F522" s="5">
        <f t="shared" si="58"/>
        <v>5.0801608903199194E-8</v>
      </c>
      <c r="G522" s="4">
        <f t="shared" si="55"/>
        <v>1.4296507156598266</v>
      </c>
      <c r="H522" s="3">
        <f t="shared" si="56"/>
        <v>28141839.333946675</v>
      </c>
      <c r="I522">
        <f t="shared" si="57"/>
        <v>40233000.74376072</v>
      </c>
      <c r="J522" s="6"/>
      <c r="K522" s="6"/>
      <c r="L522" s="6"/>
      <c r="M522" s="6"/>
      <c r="N522" s="6"/>
      <c r="O522" s="6"/>
      <c r="P522" s="6"/>
      <c r="Q522" s="6"/>
      <c r="R522" s="6"/>
    </row>
    <row r="523" spans="6:18">
      <c r="F523" s="5">
        <f t="shared" si="58"/>
        <v>4.8789865190632509E-8</v>
      </c>
      <c r="G523" s="4">
        <f t="shared" si="55"/>
        <v>1.4010577013466301</v>
      </c>
      <c r="H523" s="3">
        <f t="shared" si="56"/>
        <v>28716162.585659869</v>
      </c>
      <c r="I523">
        <f t="shared" si="57"/>
        <v>40233000.74376072</v>
      </c>
      <c r="J523" s="6"/>
      <c r="K523" s="6"/>
      <c r="L523" s="6"/>
      <c r="M523" s="6"/>
      <c r="N523" s="6"/>
      <c r="O523" s="6"/>
      <c r="P523" s="6"/>
      <c r="Q523" s="6"/>
      <c r="R523" s="6"/>
    </row>
    <row r="524" spans="6:18">
      <c r="F524" s="5">
        <f t="shared" si="58"/>
        <v>4.685778652908346E-8</v>
      </c>
      <c r="G524" s="4">
        <f t="shared" si="55"/>
        <v>1.3730365473196975</v>
      </c>
      <c r="H524" s="3">
        <f t="shared" si="56"/>
        <v>29302206.720061094</v>
      </c>
      <c r="I524">
        <f t="shared" si="57"/>
        <v>40233000.74376072</v>
      </c>
      <c r="J524" s="6"/>
      <c r="K524" s="6"/>
      <c r="L524" s="6"/>
      <c r="M524" s="6"/>
      <c r="N524" s="6"/>
      <c r="O524" s="6"/>
      <c r="P524" s="6"/>
      <c r="Q524" s="6"/>
      <c r="R524" s="6"/>
    </row>
    <row r="525" spans="6:18">
      <c r="F525" s="5">
        <f t="shared" si="58"/>
        <v>4.500221818253176E-8</v>
      </c>
      <c r="G525" s="4">
        <f t="shared" si="55"/>
        <v>1.3455758163733036</v>
      </c>
      <c r="H525" s="3">
        <f t="shared" si="56"/>
        <v>29900210.938837849</v>
      </c>
      <c r="I525">
        <f t="shared" si="57"/>
        <v>40233000.74376072</v>
      </c>
      <c r="J525" s="6"/>
      <c r="K525" s="6"/>
      <c r="L525" s="6"/>
      <c r="M525" s="6"/>
      <c r="N525" s="6"/>
      <c r="O525" s="6"/>
      <c r="P525" s="6"/>
      <c r="Q525" s="6"/>
      <c r="R525" s="6"/>
    </row>
    <row r="526" spans="6:18">
      <c r="F526" s="5">
        <f t="shared" si="58"/>
        <v>4.3220130342503504E-8</v>
      </c>
      <c r="G526" s="4">
        <f t="shared" si="55"/>
        <v>1.3186643000458376</v>
      </c>
      <c r="H526" s="3">
        <f t="shared" si="56"/>
        <v>30510419.325344741</v>
      </c>
      <c r="I526">
        <f t="shared" si="57"/>
        <v>40233000.74376072</v>
      </c>
      <c r="J526" s="6"/>
      <c r="K526" s="6"/>
      <c r="L526" s="6"/>
      <c r="M526" s="6"/>
      <c r="N526" s="6"/>
      <c r="O526" s="6"/>
      <c r="P526" s="6"/>
      <c r="Q526" s="6"/>
      <c r="R526" s="6"/>
    </row>
    <row r="527" spans="6:18">
      <c r="F527" s="5">
        <f t="shared" si="58"/>
        <v>4.1508613180940369E-8</v>
      </c>
      <c r="G527" s="4">
        <f t="shared" si="55"/>
        <v>1.2922910140449209</v>
      </c>
      <c r="H527" s="3">
        <f t="shared" si="56"/>
        <v>31133080.944229327</v>
      </c>
      <c r="I527">
        <f t="shared" si="57"/>
        <v>40233000.74376072</v>
      </c>
      <c r="J527" s="6"/>
      <c r="K527" s="6"/>
      <c r="L527" s="6"/>
      <c r="M527" s="6"/>
      <c r="N527" s="6"/>
      <c r="O527" s="6"/>
      <c r="P527" s="6"/>
      <c r="Q527" s="6"/>
      <c r="R527" s="6"/>
    </row>
    <row r="528" spans="6:18">
      <c r="F528" s="5">
        <f t="shared" si="58"/>
        <v>3.986487209897513E-8</v>
      </c>
      <c r="G528" s="4">
        <f t="shared" si="55"/>
        <v>1.2664451937640224</v>
      </c>
      <c r="H528" s="3">
        <f t="shared" si="56"/>
        <v>31768449.94309115</v>
      </c>
      <c r="I528">
        <f t="shared" si="57"/>
        <v>40233000.74376072</v>
      </c>
      <c r="J528" s="6"/>
      <c r="K528" s="6"/>
      <c r="L528" s="6"/>
      <c r="M528" s="6"/>
      <c r="N528" s="6"/>
      <c r="O528" s="6"/>
      <c r="P528" s="6"/>
      <c r="Q528" s="6"/>
      <c r="R528" s="6"/>
    </row>
    <row r="529" spans="6:18">
      <c r="F529" s="5">
        <f t="shared" si="58"/>
        <v>3.8286223163855716E-8</v>
      </c>
      <c r="G529" s="4">
        <f t="shared" si="55"/>
        <v>1.241116289888742</v>
      </c>
      <c r="H529" s="3">
        <f t="shared" si="56"/>
        <v>32416785.656215459</v>
      </c>
      <c r="I529">
        <f t="shared" si="57"/>
        <v>40233000.74376072</v>
      </c>
      <c r="J529" s="6"/>
      <c r="K529" s="6"/>
      <c r="L529" s="6"/>
      <c r="M529" s="6"/>
      <c r="N529" s="6"/>
      <c r="O529" s="6"/>
      <c r="P529" s="6"/>
      <c r="Q529" s="6"/>
      <c r="R529" s="6"/>
    </row>
    <row r="530" spans="6:18">
      <c r="F530" s="5">
        <f t="shared" si="58"/>
        <v>3.6770088726567027E-8</v>
      </c>
      <c r="G530" s="4">
        <f t="shared" si="55"/>
        <v>1.2162939640909671</v>
      </c>
      <c r="H530" s="3">
        <f t="shared" si="56"/>
        <v>33078352.710423939</v>
      </c>
      <c r="I530">
        <f t="shared" si="57"/>
        <v>40233000.74376072</v>
      </c>
      <c r="J530" s="6"/>
      <c r="K530" s="6"/>
      <c r="L530" s="6"/>
      <c r="M530" s="6"/>
      <c r="N530" s="6"/>
      <c r="O530" s="6"/>
      <c r="P530" s="6"/>
      <c r="Q530" s="6"/>
      <c r="R530" s="6"/>
    </row>
    <row r="531" spans="6:18">
      <c r="F531" s="5">
        <f t="shared" si="58"/>
        <v>3.5313993212994973E-8</v>
      </c>
      <c r="G531" s="4">
        <f t="shared" si="55"/>
        <v>1.1919680848091478</v>
      </c>
      <c r="H531" s="3">
        <f t="shared" si="56"/>
        <v>33753421.133085653</v>
      </c>
      <c r="I531">
        <f t="shared" si="57"/>
        <v>40233000.74376072</v>
      </c>
      <c r="J531" s="6"/>
      <c r="K531" s="6"/>
      <c r="L531" s="6"/>
      <c r="M531" s="6"/>
      <c r="N531" s="6"/>
      <c r="O531" s="6"/>
      <c r="P531" s="6"/>
      <c r="Q531" s="6"/>
      <c r="R531" s="6"/>
    </row>
    <row r="532" spans="6:18">
      <c r="F532" s="5">
        <f t="shared" si="58"/>
        <v>3.3915559081760377E-8</v>
      </c>
      <c r="G532" s="4">
        <f t="shared" si="55"/>
        <v>1.1681287231129649</v>
      </c>
      <c r="H532" s="3">
        <f t="shared" si="56"/>
        <v>34442266.462332293</v>
      </c>
      <c r="I532">
        <f t="shared" si="57"/>
        <v>40233000.74376072</v>
      </c>
      <c r="J532" s="6"/>
      <c r="K532" s="6"/>
      <c r="L532" s="6"/>
      <c r="M532" s="6"/>
      <c r="N532" s="6"/>
      <c r="O532" s="6"/>
      <c r="P532" s="6"/>
      <c r="Q532" s="6"/>
      <c r="R532" s="6"/>
    </row>
    <row r="533" spans="6:18">
      <c r="F533" s="5">
        <f t="shared" si="58"/>
        <v>3.2572502942122663E-8</v>
      </c>
      <c r="G533" s="4">
        <f t="shared" si="55"/>
        <v>1.1447661486507055</v>
      </c>
      <c r="H533" s="3">
        <f t="shared" si="56"/>
        <v>35145169.859522752</v>
      </c>
      <c r="I533">
        <f t="shared" si="57"/>
        <v>40233000.74376072</v>
      </c>
      <c r="J533" s="6"/>
      <c r="K533" s="6"/>
      <c r="L533" s="6"/>
      <c r="M533" s="6"/>
      <c r="N533" s="6"/>
      <c r="O533" s="6"/>
      <c r="P533" s="6"/>
      <c r="Q533" s="6"/>
      <c r="R533" s="6"/>
    </row>
    <row r="534" spans="6:18">
      <c r="F534" s="5">
        <f t="shared" si="58"/>
        <v>3.1282631825614595E-8</v>
      </c>
      <c r="G534" s="4">
        <f t="shared" si="55"/>
        <v>1.1218708256776913</v>
      </c>
      <c r="H534" s="3">
        <f t="shared" si="56"/>
        <v>35862418.224002816</v>
      </c>
      <c r="I534">
        <f t="shared" si="57"/>
        <v>40233000.74376072</v>
      </c>
      <c r="J534" s="6"/>
      <c r="K534" s="6"/>
      <c r="L534" s="6"/>
      <c r="M534" s="6"/>
      <c r="N534" s="6"/>
      <c r="O534" s="6"/>
      <c r="P534" s="6"/>
      <c r="Q534" s="6"/>
      <c r="R534" s="6"/>
    </row>
    <row r="535" spans="6:18">
      <c r="F535" s="5">
        <f t="shared" si="58"/>
        <v>3.004383960532025E-8</v>
      </c>
      <c r="G535" s="4">
        <f t="shared" si="55"/>
        <v>1.0994334091641373</v>
      </c>
      <c r="H535" s="3">
        <f t="shared" si="56"/>
        <v>36594304.310206957</v>
      </c>
      <c r="I535">
        <f t="shared" si="57"/>
        <v>40233000.74376072</v>
      </c>
      <c r="J535" s="6"/>
      <c r="K535" s="6"/>
      <c r="L535" s="6"/>
      <c r="M535" s="6"/>
      <c r="N535" s="6"/>
      <c r="O535" s="6"/>
      <c r="P535" s="6"/>
      <c r="Q535" s="6"/>
      <c r="R535" s="6"/>
    </row>
    <row r="536" spans="6:18">
      <c r="F536" s="5">
        <f t="shared" si="58"/>
        <v>2.8854103556949565E-8</v>
      </c>
      <c r="G536" s="4">
        <f t="shared" si="55"/>
        <v>1.0774447409808545</v>
      </c>
      <c r="H536" s="3">
        <f t="shared" si="56"/>
        <v>37341126.847149961</v>
      </c>
      <c r="I536">
        <f t="shared" si="57"/>
        <v>40233000.74376072</v>
      </c>
      <c r="J536" s="6"/>
      <c r="K536" s="6"/>
      <c r="L536" s="6"/>
      <c r="M536" s="6"/>
      <c r="N536" s="6"/>
      <c r="O536" s="6"/>
      <c r="P536" s="6"/>
      <c r="Q536" s="6"/>
      <c r="R536" s="6"/>
    </row>
    <row r="537" spans="6:18">
      <c r="F537" s="5">
        <f t="shared" si="58"/>
        <v>2.7711481056094357E-8</v>
      </c>
      <c r="G537" s="4">
        <f t="shared" si="55"/>
        <v>1.0558958461612373</v>
      </c>
      <c r="H537" s="3">
        <f t="shared" si="56"/>
        <v>38103190.660357103</v>
      </c>
      <c r="I537">
        <f t="shared" si="57"/>
        <v>40233000.74376072</v>
      </c>
      <c r="J537" s="6"/>
      <c r="K537" s="6"/>
      <c r="L537" s="6"/>
      <c r="M537" s="6"/>
      <c r="N537" s="6"/>
      <c r="O537" s="6"/>
      <c r="P537" s="6"/>
      <c r="Q537" s="6"/>
      <c r="R537" s="6"/>
    </row>
    <row r="538" spans="6:18">
      <c r="F538" s="5">
        <f t="shared" si="58"/>
        <v>2.661410640627302E-8</v>
      </c>
      <c r="G538" s="4">
        <f t="shared" si="55"/>
        <v>1.0347779292380126</v>
      </c>
      <c r="H538" s="3">
        <f t="shared" si="56"/>
        <v>38880806.796282761</v>
      </c>
      <c r="I538">
        <f t="shared" si="57"/>
        <v>40233000.74376072</v>
      </c>
      <c r="J538" s="6"/>
      <c r="K538" s="6"/>
      <c r="L538" s="6"/>
      <c r="M538" s="6"/>
      <c r="N538" s="6"/>
      <c r="O538" s="6"/>
      <c r="P538" s="6"/>
      <c r="Q538" s="6"/>
      <c r="R538" s="6"/>
    </row>
    <row r="539" spans="6:18">
      <c r="F539" s="5">
        <f t="shared" si="58"/>
        <v>2.5560187792584603E-8</v>
      </c>
      <c r="G539" s="4">
        <f t="shared" si="55"/>
        <v>1.0140823706532522</v>
      </c>
      <c r="H539" s="3">
        <f t="shared" si="56"/>
        <v>39674292.649268128</v>
      </c>
      <c r="I539">
        <f t="shared" si="57"/>
        <v>40233000.74376072</v>
      </c>
      <c r="J539" s="6"/>
      <c r="K539" s="6"/>
      <c r="L539" s="6"/>
      <c r="M539" s="6"/>
      <c r="N539" s="6"/>
      <c r="O539" s="6"/>
      <c r="P539" s="6"/>
      <c r="Q539" s="6"/>
      <c r="R539" s="6"/>
    </row>
    <row r="540" spans="6:18">
      <c r="F540" s="5">
        <f t="shared" si="58"/>
        <v>2.4548004355998254E-8</v>
      </c>
      <c r="G540" s="4">
        <f t="shared" si="55"/>
        <v>0.9938007232401872</v>
      </c>
      <c r="H540" s="3">
        <f t="shared" si="56"/>
        <v>40483972.091089927</v>
      </c>
      <c r="I540">
        <f t="shared" si="57"/>
        <v>40233000.74376072</v>
      </c>
      <c r="J540" s="6"/>
      <c r="K540" s="6"/>
      <c r="L540" s="6"/>
      <c r="M540" s="6"/>
      <c r="N540" s="6"/>
      <c r="O540" s="6"/>
      <c r="P540" s="6"/>
      <c r="Q540" s="6"/>
      <c r="R540" s="6"/>
    </row>
    <row r="541" spans="6:18">
      <c r="F541" s="5">
        <f t="shared" si="58"/>
        <v>2.3575903383500722E-8</v>
      </c>
      <c r="G541" s="4">
        <f t="shared" si="55"/>
        <v>0.9739247087753834</v>
      </c>
      <c r="H541" s="3">
        <f t="shared" si="56"/>
        <v>41310175.603152983</v>
      </c>
      <c r="I541">
        <f t="shared" si="57"/>
        <v>40233000.74376072</v>
      </c>
      <c r="J541" s="6"/>
      <c r="K541" s="6"/>
      <c r="L541" s="6"/>
      <c r="M541" s="6"/>
      <c r="N541" s="6"/>
      <c r="O541" s="6"/>
      <c r="P541" s="6"/>
      <c r="Q541" s="6"/>
      <c r="R541" s="6"/>
    </row>
    <row r="542" spans="6:18">
      <c r="F542" s="5">
        <f t="shared" si="58"/>
        <v>2.2642297609514087E-8</v>
      </c>
      <c r="G542" s="4">
        <f t="shared" si="55"/>
        <v>0.95444621459987566</v>
      </c>
      <c r="H542" s="3">
        <f t="shared" si="56"/>
        <v>42153240.411380604</v>
      </c>
      <c r="I542">
        <f t="shared" si="57"/>
        <v>40233000.74376072</v>
      </c>
      <c r="J542" s="6"/>
      <c r="K542" s="6"/>
      <c r="L542" s="6"/>
      <c r="M542" s="6"/>
      <c r="N542" s="6"/>
      <c r="O542" s="6"/>
      <c r="P542" s="6"/>
      <c r="Q542" s="6"/>
      <c r="R542" s="6"/>
    </row>
    <row r="543" spans="6:18">
      <c r="F543" s="5">
        <f t="shared" si="58"/>
        <v>2.1745662624177335E-8</v>
      </c>
      <c r="G543" s="4">
        <f t="shared" si="55"/>
        <v>0.93535729030787818</v>
      </c>
      <c r="H543" s="3">
        <f t="shared" si="56"/>
        <v>43013510.623857751</v>
      </c>
      <c r="I543">
        <f t="shared" si="57"/>
        <v>40233000.74376072</v>
      </c>
      <c r="J543" s="6"/>
      <c r="K543" s="6"/>
      <c r="L543" s="6"/>
      <c r="M543" s="6"/>
      <c r="N543" s="6"/>
      <c r="O543" s="6"/>
      <c r="P543" s="6"/>
      <c r="Q543" s="6"/>
      <c r="R543" s="6"/>
    </row>
    <row r="544" spans="6:18">
      <c r="F544" s="5">
        <f t="shared" si="58"/>
        <v>2.0884534384259906E-8</v>
      </c>
      <c r="G544" s="4">
        <f t="shared" si="55"/>
        <v>0.91665014450172055</v>
      </c>
      <c r="H544" s="3">
        <f t="shared" si="56"/>
        <v>43891337.371283427</v>
      </c>
      <c r="I544">
        <f t="shared" si="57"/>
        <v>40233000.74376072</v>
      </c>
      <c r="J544" s="6"/>
      <c r="K544" s="6"/>
      <c r="L544" s="6"/>
      <c r="M544" s="6"/>
      <c r="N544" s="6"/>
      <c r="O544" s="6"/>
      <c r="P544" s="6"/>
      <c r="Q544" s="6"/>
      <c r="R544" s="6"/>
    </row>
    <row r="545" spans="6:18">
      <c r="F545" s="5">
        <f t="shared" si="58"/>
        <v>2.0057506822643214E-8</v>
      </c>
      <c r="G545" s="4">
        <f t="shared" si="55"/>
        <v>0.89831714161168608</v>
      </c>
      <c r="H545" s="3">
        <f t="shared" si="56"/>
        <v>44787078.950289212</v>
      </c>
      <c r="I545">
        <f t="shared" si="57"/>
        <v>40233000.74376072</v>
      </c>
      <c r="J545" s="6"/>
      <c r="K545" s="6"/>
      <c r="L545" s="6"/>
      <c r="M545" s="6"/>
      <c r="N545" s="6"/>
      <c r="O545" s="6"/>
      <c r="P545" s="6"/>
      <c r="Q545" s="6"/>
      <c r="R545" s="6"/>
    </row>
    <row r="546" spans="6:18">
      <c r="F546" s="5">
        <f t="shared" si="58"/>
        <v>1.9263229552466538E-8</v>
      </c>
      <c r="G546" s="4">
        <f t="shared" si="55"/>
        <v>0.88035079877945233</v>
      </c>
      <c r="H546" s="3">
        <f t="shared" si="56"/>
        <v>45701100.969682872</v>
      </c>
      <c r="I546">
        <f t="shared" si="57"/>
        <v>40233000.74376072</v>
      </c>
      <c r="J546" s="6"/>
      <c r="K546" s="6"/>
      <c r="L546" s="6"/>
      <c r="M546" s="6"/>
      <c r="N546" s="6"/>
      <c r="O546" s="6"/>
      <c r="P546" s="6"/>
      <c r="Q546" s="6"/>
      <c r="R546" s="6"/>
    </row>
    <row r="547" spans="6:18">
      <c r="F547" s="5">
        <f t="shared" si="58"/>
        <v>1.8500405662188862E-8</v>
      </c>
      <c r="G547" s="4">
        <f t="shared" si="55"/>
        <v>0.86274378280386321</v>
      </c>
      <c r="H547" s="3">
        <f t="shared" si="56"/>
        <v>46633776.499676406</v>
      </c>
      <c r="I547">
        <f t="shared" si="57"/>
        <v>40233000.74376072</v>
      </c>
      <c r="J547" s="6"/>
      <c r="K547" s="6"/>
      <c r="L547" s="6"/>
      <c r="M547" s="6"/>
      <c r="N547" s="6"/>
      <c r="O547" s="6"/>
      <c r="P547" s="6"/>
      <c r="Q547" s="6"/>
      <c r="R547" s="6"/>
    </row>
    <row r="548" spans="6:18">
      <c r="F548" s="5">
        <f t="shared" si="58"/>
        <v>1.7767789597966181E-8</v>
      </c>
      <c r="G548" s="4">
        <f t="shared" si="55"/>
        <v>0.84548890714778591</v>
      </c>
      <c r="H548" s="3">
        <f t="shared" si="56"/>
        <v>47585486.224159598</v>
      </c>
      <c r="I548">
        <f t="shared" si="57"/>
        <v>40233000.74376072</v>
      </c>
      <c r="J548" s="6"/>
      <c r="K548" s="6"/>
      <c r="L548" s="6"/>
      <c r="M548" s="6"/>
      <c r="N548" s="6"/>
      <c r="O548" s="6"/>
      <c r="P548" s="6"/>
      <c r="Q548" s="6"/>
      <c r="R548" s="6"/>
    </row>
    <row r="549" spans="6:18">
      <c r="F549" s="5">
        <f t="shared" si="58"/>
        <v>1.7064185129886721E-8</v>
      </c>
      <c r="G549" s="4">
        <f t="shared" si="55"/>
        <v>0.82857912900483022</v>
      </c>
      <c r="H549" s="3">
        <f t="shared" si="56"/>
        <v>48556618.59608122</v>
      </c>
      <c r="I549">
        <f t="shared" si="57"/>
        <v>40233000.74376072</v>
      </c>
      <c r="J549" s="6"/>
      <c r="K549" s="6"/>
      <c r="L549" s="6"/>
      <c r="M549" s="6"/>
      <c r="N549" s="6"/>
      <c r="O549" s="6"/>
      <c r="P549" s="6"/>
      <c r="Q549" s="6"/>
      <c r="R549" s="6"/>
    </row>
    <row r="550" spans="6:18">
      <c r="F550" s="5">
        <f t="shared" si="58"/>
        <v>1.6388443398743208E-8</v>
      </c>
      <c r="G550" s="4">
        <f t="shared" si="55"/>
        <v>0.81200754642473361</v>
      </c>
      <c r="H550" s="3">
        <f t="shared" si="56"/>
        <v>49547569.996001244</v>
      </c>
      <c r="I550">
        <f t="shared" si="57"/>
        <v>40233000.74376072</v>
      </c>
      <c r="J550" s="6"/>
      <c r="K550" s="6"/>
      <c r="L550" s="6"/>
      <c r="M550" s="6"/>
      <c r="N550" s="6"/>
      <c r="O550" s="6"/>
      <c r="P550" s="6"/>
      <c r="Q550" s="6"/>
      <c r="R550" s="6"/>
    </row>
    <row r="551" spans="6:18">
      <c r="F551" s="5">
        <f t="shared" si="58"/>
        <v>1.5739461040152972E-8</v>
      </c>
      <c r="G551" s="4">
        <f t="shared" si="55"/>
        <v>0.79576739549623887</v>
      </c>
      <c r="H551" s="3">
        <f t="shared" si="56"/>
        <v>50558744.893878825</v>
      </c>
      <c r="I551">
        <f t="shared" si="57"/>
        <v>40233000.74376072</v>
      </c>
      <c r="J551" s="6"/>
      <c r="K551" s="6"/>
      <c r="L551" s="6"/>
      <c r="M551" s="6"/>
      <c r="N551" s="6"/>
      <c r="O551" s="6"/>
      <c r="P551" s="6"/>
      <c r="Q551" s="6"/>
      <c r="R551" s="6"/>
    </row>
    <row r="552" spans="6:18">
      <c r="F552" s="5">
        <f t="shared" si="58"/>
        <v>1.5116178382962913E-8</v>
      </c>
      <c r="G552" s="4">
        <f t="shared" si="55"/>
        <v>0.7798520475863141</v>
      </c>
      <c r="H552" s="3">
        <f t="shared" si="56"/>
        <v>51590556.014162071</v>
      </c>
      <c r="I552">
        <f t="shared" si="57"/>
        <v>40233000.74376072</v>
      </c>
      <c r="J552" s="6"/>
      <c r="K552" s="6"/>
      <c r="L552" s="6"/>
      <c r="M552" s="6"/>
      <c r="N552" s="6"/>
      <c r="O552" s="6"/>
      <c r="P552" s="6"/>
      <c r="Q552" s="6"/>
      <c r="R552" s="6"/>
    </row>
    <row r="553" spans="6:18">
      <c r="F553" s="5">
        <f t="shared" si="58"/>
        <v>1.4517577718997583E-8</v>
      </c>
      <c r="G553" s="4">
        <f t="shared" si="55"/>
        <v>0.76425500663458779</v>
      </c>
      <c r="H553" s="3">
        <f t="shared" si="56"/>
        <v>52643424.50424701</v>
      </c>
      <c r="I553">
        <f t="shared" si="57"/>
        <v>40233000.74376072</v>
      </c>
      <c r="J553" s="6"/>
      <c r="K553" s="6"/>
      <c r="L553" s="6"/>
      <c r="M553" s="6"/>
      <c r="N553" s="6"/>
      <c r="O553" s="6"/>
      <c r="P553" s="6"/>
      <c r="Q553" s="6"/>
      <c r="R553" s="6"/>
    </row>
    <row r="554" spans="6:18">
      <c r="F554" s="5">
        <f t="shared" si="58"/>
        <v>1.3942681641325277E-8</v>
      </c>
      <c r="G554" s="4">
        <f t="shared" si="55"/>
        <v>0.74896990650189599</v>
      </c>
      <c r="H554" s="3">
        <f t="shared" si="56"/>
        <v>53717780.106374502</v>
      </c>
      <c r="I554">
        <f t="shared" si="57"/>
        <v>40233000.74376072</v>
      </c>
      <c r="J554" s="6"/>
      <c r="K554" s="6"/>
      <c r="L554" s="6"/>
      <c r="M554" s="6"/>
      <c r="N554" s="6"/>
      <c r="O554" s="6"/>
      <c r="P554" s="6"/>
      <c r="Q554" s="6"/>
      <c r="R554" s="6"/>
    </row>
    <row r="555" spans="6:18">
      <c r="F555" s="5">
        <f t="shared" si="58"/>
        <v>1.3390551448328796E-8</v>
      </c>
      <c r="G555" s="4">
        <f t="shared" si="55"/>
        <v>0.73399050837185809</v>
      </c>
      <c r="H555" s="3">
        <f t="shared" si="56"/>
        <v>54814061.333035208</v>
      </c>
      <c r="I555">
        <f t="shared" si="57"/>
        <v>40233000.74376072</v>
      </c>
      <c r="J555" s="6"/>
      <c r="K555" s="6"/>
      <c r="L555" s="6"/>
      <c r="M555" s="6"/>
      <c r="N555" s="6"/>
      <c r="O555" s="6"/>
      <c r="P555" s="6"/>
      <c r="Q555" s="6"/>
      <c r="R555" s="6"/>
    </row>
    <row r="556" spans="6:18">
      <c r="F556" s="5">
        <f t="shared" si="58"/>
        <v>1.2860285610974978E-8</v>
      </c>
      <c r="G556" s="4">
        <f t="shared" si="55"/>
        <v>0.71931069820442095</v>
      </c>
      <c r="H556" s="3">
        <f t="shared" si="56"/>
        <v>55932715.645954289</v>
      </c>
      <c r="I556">
        <f t="shared" si="57"/>
        <v>40233000.74376072</v>
      </c>
      <c r="J556" s="6"/>
      <c r="K556" s="6"/>
      <c r="L556" s="6"/>
      <c r="M556" s="6"/>
      <c r="N556" s="6"/>
      <c r="O556" s="6"/>
      <c r="P556" s="6"/>
      <c r="Q556" s="6"/>
      <c r="R556" s="6"/>
    </row>
    <row r="557" spans="6:18">
      <c r="F557" s="5">
        <f t="shared" si="58"/>
        <v>1.2351018300780367E-8</v>
      </c>
      <c r="G557" s="4">
        <f t="shared" si="55"/>
        <v>0.70492448424033249</v>
      </c>
      <c r="H557" s="3">
        <f t="shared" si="56"/>
        <v>57074199.638728872</v>
      </c>
      <c r="I557">
        <f t="shared" si="57"/>
        <v>40233000.74376072</v>
      </c>
      <c r="J557" s="6"/>
      <c r="K557" s="6"/>
      <c r="L557" s="6"/>
      <c r="M557" s="6"/>
      <c r="N557" s="6"/>
      <c r="O557" s="6"/>
      <c r="P557" s="6"/>
      <c r="Q557" s="6"/>
      <c r="R557" s="6"/>
    </row>
    <row r="558" spans="6:18">
      <c r="F558" s="5">
        <f t="shared" si="58"/>
        <v>1.1861917976069466E-8</v>
      </c>
      <c r="G558" s="4">
        <f t="shared" si="55"/>
        <v>0.69082599455552585</v>
      </c>
      <c r="H558" s="3">
        <f t="shared" si="56"/>
        <v>58238979.223192722</v>
      </c>
      <c r="I558">
        <f t="shared" si="57"/>
        <v>40233000.74376072</v>
      </c>
      <c r="J558" s="6"/>
      <c r="K558" s="6"/>
      <c r="L558" s="6"/>
      <c r="M558" s="6"/>
      <c r="N558" s="6"/>
      <c r="O558" s="6"/>
      <c r="P558" s="6"/>
      <c r="Q558" s="6"/>
      <c r="R558" s="6"/>
    </row>
    <row r="559" spans="6:18">
      <c r="F559" s="5">
        <f t="shared" si="58"/>
        <v>1.1392186024217114E-8</v>
      </c>
      <c r="G559" s="4">
        <f t="shared" si="55"/>
        <v>0.6770094746644153</v>
      </c>
      <c r="H559" s="3">
        <f t="shared" si="56"/>
        <v>59427529.819584414</v>
      </c>
      <c r="I559">
        <f t="shared" si="57"/>
        <v>40233000.74376072</v>
      </c>
      <c r="J559" s="6"/>
      <c r="K559" s="6"/>
      <c r="L559" s="6"/>
      <c r="M559" s="6"/>
      <c r="N559" s="6"/>
      <c r="O559" s="6"/>
      <c r="P559" s="6"/>
      <c r="Q559" s="6"/>
      <c r="R559" s="6"/>
    </row>
    <row r="560" spans="6:18">
      <c r="F560" s="5">
        <f t="shared" si="58"/>
        <v>1.0941055457658116E-8</v>
      </c>
      <c r="G560" s="4">
        <f t="shared" si="55"/>
        <v>0.66346928517112702</v>
      </c>
      <c r="H560" s="3">
        <f t="shared" si="56"/>
        <v>60640336.550596341</v>
      </c>
      <c r="I560">
        <f t="shared" si="57"/>
        <v>40233000.74376072</v>
      </c>
      <c r="J560" s="6"/>
      <c r="K560" s="6"/>
      <c r="L560" s="6"/>
      <c r="M560" s="6"/>
      <c r="N560" s="6"/>
      <c r="O560" s="6"/>
      <c r="P560" s="6"/>
      <c r="Q560" s="6"/>
      <c r="R560" s="6"/>
    </row>
    <row r="561" spans="6:18">
      <c r="F561" s="5">
        <f t="shared" si="58"/>
        <v>1.0507789661534857E-8</v>
      </c>
      <c r="G561" s="4">
        <f t="shared" si="55"/>
        <v>0.65019989946770451</v>
      </c>
      <c r="H561" s="3">
        <f t="shared" si="56"/>
        <v>61877894.439384013</v>
      </c>
      <c r="I561">
        <f t="shared" si="57"/>
        <v>40233000.74376072</v>
      </c>
      <c r="J561" s="6"/>
      <c r="K561" s="6"/>
      <c r="L561" s="6"/>
      <c r="M561" s="6"/>
      <c r="N561" s="6"/>
      <c r="O561" s="6"/>
      <c r="P561" s="6"/>
      <c r="Q561" s="6"/>
      <c r="R561" s="6"/>
    </row>
    <row r="562" spans="6:18">
      <c r="F562" s="5">
        <f t="shared" si="58"/>
        <v>1.0091681190938074E-8</v>
      </c>
      <c r="G562" s="4">
        <f t="shared" ref="G562:G625" si="59">G561*(1-$O$1)</f>
        <v>0.63719590147835037</v>
      </c>
      <c r="H562" s="3">
        <f t="shared" ref="H562:H625" si="60">I562/G562</f>
        <v>63140708.611616351</v>
      </c>
      <c r="I562">
        <f t="shared" ref="I562:I625" si="61">I561</f>
        <v>40233000.74376072</v>
      </c>
      <c r="J562" s="6"/>
      <c r="K562" s="6"/>
      <c r="L562" s="6"/>
      <c r="M562" s="6"/>
      <c r="N562" s="6"/>
      <c r="O562" s="6"/>
      <c r="P562" s="6"/>
      <c r="Q562" s="6"/>
      <c r="R562" s="6"/>
    </row>
    <row r="563" spans="6:18">
      <c r="F563" s="5">
        <f t="shared" si="58"/>
        <v>9.6920506157769263E-9</v>
      </c>
      <c r="G563" s="4">
        <f t="shared" si="59"/>
        <v>0.62445198344878339</v>
      </c>
      <c r="H563" s="3">
        <f t="shared" si="60"/>
        <v>64429294.501649335</v>
      </c>
      <c r="I563">
        <f t="shared" si="61"/>
        <v>40233000.74376072</v>
      </c>
      <c r="J563" s="6"/>
      <c r="K563" s="6"/>
      <c r="L563" s="6"/>
      <c r="M563" s="6"/>
      <c r="N563" s="6"/>
      <c r="O563" s="6"/>
      <c r="P563" s="6"/>
      <c r="Q563" s="6"/>
      <c r="R563" s="6"/>
    </row>
    <row r="564" spans="6:18">
      <c r="F564" s="5">
        <f t="shared" si="58"/>
        <v>9.3082454113921615E-9</v>
      </c>
      <c r="G564" s="4">
        <f t="shared" si="59"/>
        <v>0.61196294377980776</v>
      </c>
      <c r="H564" s="3">
        <f t="shared" si="60"/>
        <v>65744178.06290748</v>
      </c>
      <c r="I564">
        <f t="shared" si="61"/>
        <v>40233000.74376072</v>
      </c>
      <c r="J564" s="6"/>
      <c r="K564" s="6"/>
      <c r="L564" s="6"/>
      <c r="M564" s="6"/>
      <c r="N564" s="6"/>
      <c r="O564" s="6"/>
      <c r="P564" s="6"/>
      <c r="Q564" s="6"/>
      <c r="R564" s="6"/>
    </row>
    <row r="565" spans="6:18">
      <c r="F565" s="5">
        <f t="shared" si="58"/>
        <v>8.9396388931010308E-9</v>
      </c>
      <c r="G565" s="4">
        <f t="shared" si="59"/>
        <v>0.59972368490421157</v>
      </c>
      <c r="H565" s="3">
        <f t="shared" si="60"/>
        <v>67085895.982558653</v>
      </c>
      <c r="I565">
        <f t="shared" si="61"/>
        <v>40233000.74376072</v>
      </c>
      <c r="J565" s="6"/>
      <c r="K565" s="6"/>
      <c r="L565" s="6"/>
      <c r="M565" s="6"/>
      <c r="N565" s="6"/>
      <c r="O565" s="6"/>
      <c r="P565" s="6"/>
      <c r="Q565" s="6"/>
      <c r="R565" s="6"/>
    </row>
    <row r="566" spans="6:18">
      <c r="F566" s="5">
        <f t="shared" si="58"/>
        <v>8.585629192934229E-9</v>
      </c>
      <c r="G566" s="4">
        <f t="shared" si="59"/>
        <v>0.58772921120612731</v>
      </c>
      <c r="H566" s="3">
        <f t="shared" si="60"/>
        <v>68454995.900570065</v>
      </c>
      <c r="I566">
        <f t="shared" si="61"/>
        <v>40233000.74376072</v>
      </c>
      <c r="J566" s="6"/>
      <c r="K566" s="6"/>
      <c r="L566" s="6"/>
      <c r="M566" s="6"/>
      <c r="N566" s="6"/>
      <c r="O566" s="6"/>
      <c r="P566" s="6"/>
      <c r="Q566" s="6"/>
      <c r="R566" s="6"/>
    </row>
    <row r="567" spans="6:18">
      <c r="F567" s="5">
        <f t="shared" si="58"/>
        <v>8.2456382768940334E-9</v>
      </c>
      <c r="G567" s="4">
        <f t="shared" si="59"/>
        <v>0.57597462698200474</v>
      </c>
      <c r="H567" s="3">
        <f t="shared" si="60"/>
        <v>69852036.633234754</v>
      </c>
      <c r="I567">
        <f t="shared" si="61"/>
        <v>40233000.74376072</v>
      </c>
      <c r="J567" s="6"/>
      <c r="K567" s="6"/>
      <c r="L567" s="6"/>
      <c r="M567" s="6"/>
      <c r="N567" s="6"/>
      <c r="O567" s="6"/>
      <c r="P567" s="6"/>
      <c r="Q567" s="6"/>
      <c r="R567" s="6"/>
    </row>
    <row r="568" spans="6:18">
      <c r="F568" s="5">
        <f t="shared" si="58"/>
        <v>7.919111001129029E-9</v>
      </c>
      <c r="G568" s="4">
        <f t="shared" si="59"/>
        <v>0.56445513444236461</v>
      </c>
      <c r="H568" s="3">
        <f t="shared" si="60"/>
        <v>71277588.401259959</v>
      </c>
      <c r="I568">
        <f t="shared" si="61"/>
        <v>40233000.74376072</v>
      </c>
      <c r="J568" s="6"/>
      <c r="K568" s="6"/>
      <c r="L568" s="6"/>
      <c r="M568" s="6"/>
      <c r="N568" s="6"/>
      <c r="O568" s="6"/>
      <c r="P568" s="6"/>
      <c r="Q568" s="6"/>
      <c r="R568" s="6"/>
    </row>
    <row r="569" spans="6:18">
      <c r="F569" s="5">
        <f t="shared" si="58"/>
        <v>7.6055142054843194E-9</v>
      </c>
      <c r="G569" s="4">
        <f t="shared" si="59"/>
        <v>0.55316603175351731</v>
      </c>
      <c r="H569" s="3">
        <f t="shared" si="60"/>
        <v>72732233.062510163</v>
      </c>
      <c r="I569">
        <f t="shared" si="61"/>
        <v>40233000.74376072</v>
      </c>
      <c r="J569" s="6"/>
      <c r="K569" s="6"/>
      <c r="L569" s="6"/>
      <c r="M569" s="6"/>
      <c r="N569" s="6"/>
      <c r="O569" s="6"/>
      <c r="P569" s="6"/>
      <c r="Q569" s="6"/>
      <c r="R569" s="6"/>
    </row>
    <row r="570" spans="6:18">
      <c r="F570" s="5">
        <f t="shared" si="58"/>
        <v>7.3043358429471404E-9</v>
      </c>
      <c r="G570" s="4">
        <f t="shared" si="59"/>
        <v>0.54210271111844699</v>
      </c>
      <c r="H570" s="3">
        <f t="shared" si="60"/>
        <v>74216564.349500164</v>
      </c>
      <c r="I570">
        <f t="shared" si="61"/>
        <v>40233000.74376072</v>
      </c>
      <c r="J570" s="6"/>
      <c r="K570" s="6"/>
      <c r="L570" s="6"/>
      <c r="M570" s="6"/>
      <c r="N570" s="6"/>
      <c r="O570" s="6"/>
      <c r="P570" s="6"/>
      <c r="Q570" s="6"/>
      <c r="R570" s="6"/>
    </row>
    <row r="571" spans="6:18">
      <c r="F571" s="5">
        <f t="shared" si="58"/>
        <v>7.015084143566433E-9</v>
      </c>
      <c r="G571" s="4">
        <f t="shared" si="59"/>
        <v>0.53126065689607804</v>
      </c>
      <c r="H571" s="3">
        <f t="shared" si="60"/>
        <v>75731188.111734867</v>
      </c>
      <c r="I571">
        <f t="shared" si="61"/>
        <v>40233000.74376072</v>
      </c>
      <c r="J571" s="6"/>
      <c r="K571" s="6"/>
      <c r="L571" s="6"/>
      <c r="M571" s="6"/>
      <c r="N571" s="6"/>
      <c r="O571" s="6"/>
      <c r="P571" s="6"/>
      <c r="Q571" s="6"/>
      <c r="R571" s="6"/>
    </row>
    <row r="572" spans="6:18">
      <c r="F572" s="5">
        <f t="shared" si="58"/>
        <v>6.7372868114812038E-9</v>
      </c>
      <c r="G572" s="4">
        <f t="shared" si="59"/>
        <v>0.52063544375815651</v>
      </c>
      <c r="H572" s="3">
        <f t="shared" si="60"/>
        <v>77276722.562994748</v>
      </c>
      <c r="I572">
        <f t="shared" si="61"/>
        <v>40233000.74376072</v>
      </c>
      <c r="J572" s="6"/>
      <c r="K572" s="6"/>
      <c r="L572" s="6"/>
      <c r="M572" s="6"/>
      <c r="N572" s="6"/>
      <c r="O572" s="6"/>
      <c r="P572" s="6"/>
      <c r="Q572" s="6"/>
      <c r="R572" s="6"/>
    </row>
    <row r="573" spans="6:18">
      <c r="F573" s="5">
        <f t="shared" si="58"/>
        <v>6.4704902537465485E-9</v>
      </c>
      <c r="G573" s="4">
        <f t="shared" si="59"/>
        <v>0.51022273488299341</v>
      </c>
      <c r="H573" s="3">
        <f t="shared" si="60"/>
        <v>78853798.533668116</v>
      </c>
      <c r="I573">
        <f t="shared" si="61"/>
        <v>40233000.74376072</v>
      </c>
      <c r="J573" s="6"/>
      <c r="K573" s="6"/>
      <c r="L573" s="6"/>
      <c r="M573" s="6"/>
      <c r="N573" s="6"/>
      <c r="O573" s="6"/>
      <c r="P573" s="6"/>
      <c r="Q573" s="6"/>
      <c r="R573" s="6"/>
    </row>
    <row r="574" spans="6:18">
      <c r="F574" s="5">
        <f t="shared" si="58"/>
        <v>6.2142588396981852E-9</v>
      </c>
      <c r="G574" s="4">
        <f t="shared" si="59"/>
        <v>0.50001828018533356</v>
      </c>
      <c r="H574" s="3">
        <f t="shared" si="60"/>
        <v>80463059.728232771</v>
      </c>
      <c r="I574">
        <f t="shared" si="61"/>
        <v>40233000.74376072</v>
      </c>
      <c r="J574" s="6"/>
      <c r="K574" s="6"/>
      <c r="L574" s="6"/>
      <c r="M574" s="6"/>
      <c r="N574" s="6"/>
      <c r="O574" s="6"/>
      <c r="P574" s="6"/>
      <c r="Q574" s="6"/>
      <c r="R574" s="6"/>
    </row>
    <row r="575" spans="6:18">
      <c r="F575" s="5">
        <f t="shared" si="58"/>
        <v>5.9681741896461366E-9</v>
      </c>
      <c r="G575" s="4">
        <f t="shared" si="59"/>
        <v>0.49001791458162686</v>
      </c>
      <c r="H575" s="3">
        <f t="shared" si="60"/>
        <v>82105162.987992629</v>
      </c>
      <c r="I575">
        <f t="shared" si="61"/>
        <v>40233000.74376072</v>
      </c>
      <c r="J575" s="6"/>
      <c r="K575" s="6"/>
      <c r="L575" s="6"/>
      <c r="M575" s="6"/>
      <c r="N575" s="6"/>
      <c r="O575" s="6"/>
      <c r="P575" s="6"/>
      <c r="Q575" s="6"/>
      <c r="R575" s="6"/>
    </row>
    <row r="576" spans="6:18">
      <c r="F576" s="5">
        <f t="shared" si="58"/>
        <v>5.7318344917361495E-9</v>
      </c>
      <c r="G576" s="4">
        <f t="shared" si="59"/>
        <v>0.4802175562899943</v>
      </c>
      <c r="H576" s="3">
        <f t="shared" si="60"/>
        <v>83780778.559176147</v>
      </c>
      <c r="I576">
        <f t="shared" si="61"/>
        <v>40233000.74376072</v>
      </c>
      <c r="J576" s="6"/>
      <c r="K576" s="6"/>
      <c r="L576" s="6"/>
      <c r="M576" s="6"/>
      <c r="N576" s="6"/>
      <c r="O576" s="6"/>
      <c r="P576" s="6"/>
      <c r="Q576" s="6"/>
      <c r="R576" s="6"/>
    </row>
    <row r="577" spans="6:18">
      <c r="F577" s="5">
        <f t="shared" si="58"/>
        <v>5.5048538458633972E-9</v>
      </c>
      <c r="G577" s="4">
        <f t="shared" si="59"/>
        <v>0.47061320516419441</v>
      </c>
      <c r="H577" s="3">
        <f t="shared" si="60"/>
        <v>85490590.366506279</v>
      </c>
      <c r="I577">
        <f t="shared" si="61"/>
        <v>40233000.74376072</v>
      </c>
      <c r="J577" s="6"/>
      <c r="K577" s="6"/>
      <c r="L577" s="6"/>
      <c r="M577" s="6"/>
      <c r="N577" s="6"/>
      <c r="O577" s="6"/>
      <c r="P577" s="6"/>
      <c r="Q577" s="6"/>
      <c r="R577" s="6"/>
    </row>
    <row r="578" spans="6:18">
      <c r="F578" s="5">
        <f t="shared" si="58"/>
        <v>5.286861633567207E-9</v>
      </c>
      <c r="G578" s="4">
        <f t="shared" si="59"/>
        <v>0.46120094106091053</v>
      </c>
      <c r="H578" s="3">
        <f t="shared" si="60"/>
        <v>87235296.292353347</v>
      </c>
      <c r="I578">
        <f t="shared" si="61"/>
        <v>40233000.74376072</v>
      </c>
      <c r="J578" s="6"/>
      <c r="K578" s="6"/>
      <c r="L578" s="6"/>
      <c r="M578" s="6"/>
      <c r="N578" s="6"/>
      <c r="O578" s="6"/>
      <c r="P578" s="6"/>
      <c r="Q578" s="6"/>
      <c r="R578" s="6"/>
    </row>
    <row r="579" spans="6:18">
      <c r="F579" s="5">
        <f t="shared" si="58"/>
        <v>5.0775019128779457E-9</v>
      </c>
      <c r="G579" s="4">
        <f t="shared" si="59"/>
        <v>0.45197692223969232</v>
      </c>
      <c r="H579" s="3">
        <f t="shared" si="60"/>
        <v>89015608.461585045</v>
      </c>
      <c r="I579">
        <f t="shared" si="61"/>
        <v>40233000.74376072</v>
      </c>
      <c r="J579" s="6"/>
      <c r="K579" s="6"/>
      <c r="L579" s="6"/>
      <c r="M579" s="6"/>
      <c r="N579" s="6"/>
      <c r="O579" s="6"/>
      <c r="P579" s="6"/>
      <c r="Q579" s="6"/>
      <c r="R579" s="6"/>
    </row>
    <row r="580" spans="6:18">
      <c r="F580" s="5">
        <f t="shared" si="58"/>
        <v>4.8764328371279786E-9</v>
      </c>
      <c r="G580" s="4">
        <f t="shared" si="59"/>
        <v>0.44293738379489844</v>
      </c>
      <c r="H580" s="3">
        <f t="shared" si="60"/>
        <v>90832253.532229647</v>
      </c>
      <c r="I580">
        <f t="shared" si="61"/>
        <v>40233000.74376072</v>
      </c>
      <c r="J580" s="6"/>
      <c r="K580" s="6"/>
      <c r="L580" s="6"/>
      <c r="M580" s="6"/>
      <c r="N580" s="6"/>
      <c r="O580" s="6"/>
      <c r="P580" s="6"/>
      <c r="Q580" s="6"/>
      <c r="R580" s="6"/>
    </row>
    <row r="581" spans="6:18">
      <c r="F581" s="5">
        <f t="shared" si="58"/>
        <v>4.6833260967777099E-9</v>
      </c>
      <c r="G581" s="4">
        <f t="shared" si="59"/>
        <v>0.43407863611900044</v>
      </c>
      <c r="H581" s="3">
        <f t="shared" si="60"/>
        <v>92685972.992071062</v>
      </c>
      <c r="I581">
        <f t="shared" si="61"/>
        <v>40233000.74376072</v>
      </c>
      <c r="J581" s="6"/>
      <c r="K581" s="6"/>
      <c r="L581" s="6"/>
      <c r="M581" s="6"/>
      <c r="N581" s="6"/>
      <c r="O581" s="6"/>
      <c r="P581" s="6"/>
      <c r="Q581" s="6"/>
      <c r="R581" s="6"/>
    </row>
    <row r="582" spans="6:18">
      <c r="F582" s="5">
        <f t="shared" si="58"/>
        <v>4.4978663833453127E-9</v>
      </c>
      <c r="G582" s="4">
        <f t="shared" si="59"/>
        <v>0.42539706339662042</v>
      </c>
      <c r="H582" s="3">
        <f t="shared" si="60"/>
        <v>94577523.461297005</v>
      </c>
      <c r="I582">
        <f t="shared" si="61"/>
        <v>40233000.74376072</v>
      </c>
      <c r="J582" s="6"/>
      <c r="K582" s="6"/>
      <c r="L582" s="6"/>
      <c r="M582" s="6"/>
      <c r="N582" s="6"/>
      <c r="O582" s="6"/>
      <c r="P582" s="6"/>
      <c r="Q582" s="6"/>
      <c r="R582" s="6"/>
    </row>
    <row r="583" spans="6:18">
      <c r="F583" s="5">
        <f t="shared" si="58"/>
        <v>4.319750874564838E-9</v>
      </c>
      <c r="G583" s="4">
        <f t="shared" si="59"/>
        <v>0.41688912212868801</v>
      </c>
      <c r="H583" s="3">
        <f t="shared" si="60"/>
        <v>96507677.001323476</v>
      </c>
      <c r="I583">
        <f t="shared" si="61"/>
        <v>40233000.74376072</v>
      </c>
      <c r="J583" s="6"/>
      <c r="K583" s="6"/>
      <c r="L583" s="6"/>
      <c r="M583" s="6"/>
      <c r="N583" s="6"/>
      <c r="O583" s="6"/>
      <c r="P583" s="6"/>
      <c r="Q583" s="6"/>
      <c r="R583" s="6"/>
    </row>
    <row r="584" spans="6:18">
      <c r="F584" s="5">
        <f t="shared" si="58"/>
        <v>4.1486887399320701E-9</v>
      </c>
      <c r="G584" s="4">
        <f t="shared" si="59"/>
        <v>0.40855133968611423</v>
      </c>
      <c r="H584" s="3">
        <f t="shared" si="60"/>
        <v>98477221.429921925</v>
      </c>
      <c r="I584">
        <f t="shared" si="61"/>
        <v>40233000.74376072</v>
      </c>
      <c r="J584" s="6"/>
      <c r="K584" s="6"/>
      <c r="L584" s="6"/>
      <c r="M584" s="6"/>
      <c r="N584" s="6"/>
      <c r="O584" s="6"/>
      <c r="P584" s="6"/>
      <c r="Q584" s="6"/>
      <c r="R584" s="6"/>
    </row>
    <row r="585" spans="6:18">
      <c r="F585" s="5">
        <f t="shared" ref="F585:F648" si="62">G585/H585</f>
        <v>3.9844006658307602E-9</v>
      </c>
      <c r="G585" s="4">
        <f t="shared" si="59"/>
        <v>0.40038031289239195</v>
      </c>
      <c r="H585" s="3">
        <f t="shared" si="60"/>
        <v>100486960.64277747</v>
      </c>
      <c r="I585">
        <f t="shared" si="61"/>
        <v>40233000.74376072</v>
      </c>
      <c r="J585" s="6"/>
      <c r="K585" s="6"/>
      <c r="L585" s="6"/>
      <c r="M585" s="6"/>
      <c r="N585" s="6"/>
      <c r="O585" s="6"/>
      <c r="P585" s="6"/>
      <c r="Q585" s="6"/>
      <c r="R585" s="6"/>
    </row>
    <row r="586" spans="6:18">
      <c r="F586" s="5">
        <f t="shared" si="62"/>
        <v>3.8266183994638621E-9</v>
      </c>
      <c r="G586" s="4">
        <f t="shared" si="59"/>
        <v>0.3923727066345441</v>
      </c>
      <c r="H586" s="3">
        <f t="shared" si="60"/>
        <v>102537714.94160967</v>
      </c>
      <c r="I586">
        <f t="shared" si="61"/>
        <v>40233000.74376072</v>
      </c>
      <c r="J586" s="6"/>
      <c r="K586" s="6"/>
      <c r="L586" s="6"/>
      <c r="M586" s="6"/>
      <c r="N586" s="6"/>
      <c r="O586" s="6"/>
      <c r="P586" s="6"/>
      <c r="Q586" s="6"/>
      <c r="R586" s="6"/>
    </row>
    <row r="587" spans="6:18">
      <c r="F587" s="5">
        <f t="shared" si="62"/>
        <v>3.6750843108450924E-9</v>
      </c>
      <c r="G587" s="4">
        <f t="shared" si="59"/>
        <v>0.38452525250185321</v>
      </c>
      <c r="H587" s="3">
        <f t="shared" si="60"/>
        <v>104630321.36898947</v>
      </c>
      <c r="I587">
        <f t="shared" si="61"/>
        <v>40233000.74376072</v>
      </c>
      <c r="J587" s="6"/>
      <c r="K587" s="6"/>
      <c r="L587" s="6"/>
      <c r="M587" s="6"/>
      <c r="N587" s="6"/>
      <c r="O587" s="6"/>
      <c r="P587" s="6"/>
      <c r="Q587" s="6"/>
      <c r="R587" s="6"/>
    </row>
    <row r="588" spans="6:18">
      <c r="F588" s="5">
        <f t="shared" si="62"/>
        <v>3.5295509721356274E-9</v>
      </c>
      <c r="G588" s="4">
        <f t="shared" si="59"/>
        <v>0.37683474745181617</v>
      </c>
      <c r="H588" s="3">
        <f t="shared" si="60"/>
        <v>106765634.04998924</v>
      </c>
      <c r="I588">
        <f t="shared" si="61"/>
        <v>40233000.74376072</v>
      </c>
      <c r="J588" s="6"/>
      <c r="K588" s="6"/>
      <c r="L588" s="6"/>
      <c r="M588" s="6"/>
      <c r="N588" s="6"/>
      <c r="O588" s="6"/>
      <c r="P588" s="6"/>
      <c r="Q588" s="6"/>
      <c r="R588" s="6"/>
    </row>
    <row r="589" spans="6:18">
      <c r="F589" s="5">
        <f t="shared" si="62"/>
        <v>3.3897807536390571E-9</v>
      </c>
      <c r="G589" s="4">
        <f t="shared" si="59"/>
        <v>0.36929805250277986</v>
      </c>
      <c r="H589" s="3">
        <f t="shared" si="60"/>
        <v>108944524.54080534</v>
      </c>
      <c r="I589">
        <f t="shared" si="61"/>
        <v>40233000.74376072</v>
      </c>
      <c r="J589" s="6"/>
      <c r="K589" s="6"/>
      <c r="L589" s="6"/>
      <c r="M589" s="6"/>
      <c r="N589" s="6"/>
      <c r="O589" s="6"/>
      <c r="P589" s="6"/>
      <c r="Q589" s="6"/>
      <c r="R589" s="6"/>
    </row>
    <row r="590" spans="6:18">
      <c r="F590" s="5">
        <f t="shared" si="62"/>
        <v>3.25554543579495E-9</v>
      </c>
      <c r="G590" s="4">
        <f t="shared" si="59"/>
        <v>0.36191209145272424</v>
      </c>
      <c r="H590" s="3">
        <f t="shared" si="60"/>
        <v>111167882.18449526</v>
      </c>
      <c r="I590">
        <f t="shared" si="61"/>
        <v>40233000.74376072</v>
      </c>
      <c r="J590" s="6"/>
      <c r="K590" s="6"/>
      <c r="L590" s="6"/>
      <c r="M590" s="6"/>
      <c r="N590" s="6"/>
      <c r="O590" s="6"/>
      <c r="P590" s="6"/>
      <c r="Q590" s="6"/>
      <c r="R590" s="6"/>
    </row>
    <row r="591" spans="6:18">
      <c r="F591" s="5">
        <f t="shared" si="62"/>
        <v>3.12662583653747E-9</v>
      </c>
      <c r="G591" s="4">
        <f t="shared" si="59"/>
        <v>0.35467384962366977</v>
      </c>
      <c r="H591" s="3">
        <f t="shared" si="60"/>
        <v>113436614.47397475</v>
      </c>
      <c r="I591">
        <f t="shared" si="61"/>
        <v>40233000.74376072</v>
      </c>
      <c r="J591" s="6"/>
      <c r="K591" s="6"/>
      <c r="L591" s="6"/>
      <c r="M591" s="6"/>
      <c r="N591" s="6"/>
      <c r="O591" s="6"/>
      <c r="P591" s="6"/>
      <c r="Q591" s="6"/>
      <c r="R591" s="6"/>
    </row>
    <row r="592" spans="6:18">
      <c r="F592" s="5">
        <f t="shared" si="62"/>
        <v>3.002811453410586E-9</v>
      </c>
      <c r="G592" s="4">
        <f t="shared" si="59"/>
        <v>0.34758037263119634</v>
      </c>
      <c r="H592" s="3">
        <f t="shared" si="60"/>
        <v>115751647.42242321</v>
      </c>
      <c r="I592">
        <f t="shared" si="61"/>
        <v>40233000.74376072</v>
      </c>
      <c r="J592" s="6"/>
      <c r="K592" s="6"/>
      <c r="L592" s="6"/>
      <c r="M592" s="6"/>
      <c r="N592" s="6"/>
      <c r="O592" s="6"/>
      <c r="P592" s="6"/>
      <c r="Q592" s="6"/>
      <c r="R592" s="6"/>
    </row>
    <row r="593" spans="6:18">
      <c r="F593" s="5">
        <f t="shared" si="62"/>
        <v>2.8839001198555268E-9</v>
      </c>
      <c r="G593" s="4">
        <f t="shared" si="59"/>
        <v>0.34062876517857243</v>
      </c>
      <c r="H593" s="3">
        <f t="shared" si="60"/>
        <v>118113925.94124818</v>
      </c>
      <c r="I593">
        <f t="shared" si="61"/>
        <v>40233000.74376072</v>
      </c>
      <c r="J593" s="6"/>
      <c r="K593" s="6"/>
      <c r="L593" s="6"/>
      <c r="M593" s="6"/>
      <c r="N593" s="6"/>
      <c r="O593" s="6"/>
      <c r="P593" s="6"/>
      <c r="Q593" s="6"/>
      <c r="R593" s="6"/>
    </row>
    <row r="594" spans="6:18">
      <c r="F594" s="5">
        <f t="shared" si="62"/>
        <v>2.7696976751092484E-9</v>
      </c>
      <c r="G594" s="4">
        <f t="shared" si="59"/>
        <v>0.333816189875001</v>
      </c>
      <c r="H594" s="3">
        <f t="shared" si="60"/>
        <v>120524414.22576344</v>
      </c>
      <c r="I594">
        <f t="shared" si="61"/>
        <v>40233000.74376072</v>
      </c>
      <c r="J594" s="6"/>
      <c r="K594" s="6"/>
      <c r="L594" s="6"/>
      <c r="M594" s="6"/>
      <c r="N594" s="6"/>
      <c r="O594" s="6"/>
      <c r="P594" s="6"/>
      <c r="Q594" s="6"/>
      <c r="R594" s="6"/>
    </row>
    <row r="595" spans="6:18">
      <c r="F595" s="5">
        <f t="shared" si="62"/>
        <v>2.6600176471749215E-9</v>
      </c>
      <c r="G595" s="4">
        <f t="shared" si="59"/>
        <v>0.32713986607750095</v>
      </c>
      <c r="H595" s="3">
        <f t="shared" si="60"/>
        <v>122984096.14873822</v>
      </c>
      <c r="I595">
        <f t="shared" si="61"/>
        <v>40233000.74376072</v>
      </c>
      <c r="J595" s="6"/>
      <c r="K595" s="6"/>
      <c r="L595" s="6"/>
      <c r="M595" s="6"/>
      <c r="N595" s="6"/>
      <c r="O595" s="6"/>
      <c r="P595" s="6"/>
      <c r="Q595" s="6"/>
      <c r="R595" s="6"/>
    </row>
    <row r="596" spans="6:18">
      <c r="F596" s="5">
        <f t="shared" si="62"/>
        <v>2.5546809483467948E-9</v>
      </c>
      <c r="G596" s="4">
        <f t="shared" si="59"/>
        <v>0.32059706875595095</v>
      </c>
      <c r="H596" s="3">
        <f t="shared" si="60"/>
        <v>125493975.66197777</v>
      </c>
      <c r="I596">
        <f t="shared" si="61"/>
        <v>40233000.74376072</v>
      </c>
      <c r="J596" s="6"/>
      <c r="K596" s="6"/>
      <c r="L596" s="6"/>
      <c r="M596" s="6"/>
      <c r="N596" s="6"/>
      <c r="O596" s="6"/>
      <c r="P596" s="6"/>
      <c r="Q596" s="6"/>
      <c r="R596" s="6"/>
    </row>
    <row r="597" spans="6:18">
      <c r="F597" s="5">
        <f t="shared" si="62"/>
        <v>2.4535155827922617E-9</v>
      </c>
      <c r="G597" s="4">
        <f t="shared" si="59"/>
        <v>0.31418512738083193</v>
      </c>
      <c r="H597" s="3">
        <f t="shared" si="60"/>
        <v>128055077.20609976</v>
      </c>
      <c r="I597">
        <f t="shared" si="61"/>
        <v>40233000.74376072</v>
      </c>
      <c r="J597" s="6"/>
      <c r="K597" s="6"/>
      <c r="L597" s="6"/>
      <c r="M597" s="6"/>
      <c r="N597" s="6"/>
      <c r="O597" s="6"/>
      <c r="P597" s="6"/>
      <c r="Q597" s="6"/>
      <c r="R597" s="6"/>
    </row>
    <row r="598" spans="6:18">
      <c r="F598" s="5">
        <f t="shared" si="62"/>
        <v>2.3563563657136887E-9</v>
      </c>
      <c r="G598" s="4">
        <f t="shared" si="59"/>
        <v>0.30790142483321531</v>
      </c>
      <c r="H598" s="3">
        <f t="shared" si="60"/>
        <v>130668446.12867321</v>
      </c>
      <c r="I598">
        <f t="shared" si="61"/>
        <v>40233000.74376072</v>
      </c>
      <c r="J598" s="6"/>
      <c r="K598" s="6"/>
      <c r="L598" s="6"/>
      <c r="M598" s="6"/>
      <c r="N598" s="6"/>
      <c r="O598" s="6"/>
      <c r="P598" s="6"/>
      <c r="Q598" s="6"/>
      <c r="R598" s="6"/>
    </row>
    <row r="599" spans="6:18">
      <c r="F599" s="5">
        <f t="shared" si="62"/>
        <v>2.2630446536314266E-9</v>
      </c>
      <c r="G599" s="4">
        <f t="shared" si="59"/>
        <v>0.30174339633655101</v>
      </c>
      <c r="H599" s="3">
        <f t="shared" si="60"/>
        <v>133335149.11089103</v>
      </c>
      <c r="I599">
        <f t="shared" si="61"/>
        <v>40233000.74376072</v>
      </c>
      <c r="J599" s="6"/>
      <c r="K599" s="6"/>
      <c r="L599" s="6"/>
      <c r="M599" s="6"/>
      <c r="N599" s="6"/>
      <c r="O599" s="6"/>
      <c r="P599" s="6"/>
      <c r="Q599" s="6"/>
      <c r="R599" s="6"/>
    </row>
    <row r="600" spans="6:18">
      <c r="F600" s="5">
        <f t="shared" si="62"/>
        <v>2.1734280853476219E-9</v>
      </c>
      <c r="G600" s="4">
        <f t="shared" si="59"/>
        <v>0.29570852840981998</v>
      </c>
      <c r="H600" s="3">
        <f t="shared" si="60"/>
        <v>136056274.60295004</v>
      </c>
      <c r="I600">
        <f t="shared" si="61"/>
        <v>40233000.74376072</v>
      </c>
      <c r="J600" s="6"/>
      <c r="K600" s="6"/>
      <c r="L600" s="6"/>
      <c r="M600" s="6"/>
      <c r="N600" s="6"/>
      <c r="O600" s="6"/>
      <c r="P600" s="6"/>
      <c r="Q600" s="6"/>
      <c r="R600" s="6"/>
    </row>
    <row r="601" spans="6:18">
      <c r="F601" s="5">
        <f t="shared" si="62"/>
        <v>2.0873603331678554E-9</v>
      </c>
      <c r="G601" s="4">
        <f t="shared" si="59"/>
        <v>0.28979435784162355</v>
      </c>
      <c r="H601" s="3">
        <f t="shared" si="60"/>
        <v>138832933.26831639</v>
      </c>
      <c r="I601">
        <f t="shared" si="61"/>
        <v>40233000.74376072</v>
      </c>
      <c r="J601" s="6"/>
      <c r="K601" s="6"/>
      <c r="L601" s="6"/>
      <c r="M601" s="6"/>
      <c r="N601" s="6"/>
      <c r="O601" s="6"/>
      <c r="P601" s="6"/>
      <c r="Q601" s="6"/>
      <c r="R601" s="6"/>
    </row>
    <row r="602" spans="6:18">
      <c r="F602" s="5">
        <f t="shared" si="62"/>
        <v>2.0047008639744085E-9</v>
      </c>
      <c r="G602" s="4">
        <f t="shared" si="59"/>
        <v>0.28399847068479106</v>
      </c>
      <c r="H602" s="3">
        <f t="shared" si="60"/>
        <v>141666258.43705752</v>
      </c>
      <c r="I602">
        <f t="shared" si="61"/>
        <v>40233000.74376072</v>
      </c>
      <c r="J602" s="6"/>
      <c r="K602" s="6"/>
      <c r="L602" s="6"/>
      <c r="M602" s="6"/>
      <c r="N602" s="6"/>
      <c r="O602" s="6"/>
      <c r="P602" s="6"/>
      <c r="Q602" s="6"/>
      <c r="R602" s="6"/>
    </row>
    <row r="603" spans="6:18">
      <c r="F603" s="5">
        <f t="shared" si="62"/>
        <v>1.9253147097610221E-9</v>
      </c>
      <c r="G603" s="4">
        <f t="shared" si="59"/>
        <v>0.27831850127109525</v>
      </c>
      <c r="H603" s="3">
        <f t="shared" si="60"/>
        <v>144557406.56842604</v>
      </c>
      <c r="I603">
        <f t="shared" si="61"/>
        <v>40233000.74376072</v>
      </c>
      <c r="J603" s="6"/>
      <c r="K603" s="6"/>
      <c r="L603" s="6"/>
      <c r="M603" s="6"/>
      <c r="N603" s="6"/>
      <c r="O603" s="6"/>
      <c r="P603" s="6"/>
      <c r="Q603" s="6"/>
      <c r="R603" s="6"/>
    </row>
    <row r="604" spans="6:18">
      <c r="F604" s="5">
        <f t="shared" si="62"/>
        <v>1.8490722472544852E-9</v>
      </c>
      <c r="G604" s="4">
        <f t="shared" si="59"/>
        <v>0.27275213124567332</v>
      </c>
      <c r="H604" s="3">
        <f t="shared" si="60"/>
        <v>147507557.72288373</v>
      </c>
      <c r="I604">
        <f t="shared" si="61"/>
        <v>40233000.74376072</v>
      </c>
      <c r="J604" s="6"/>
      <c r="K604" s="6"/>
      <c r="L604" s="6"/>
      <c r="M604" s="6"/>
      <c r="N604" s="6"/>
      <c r="O604" s="6"/>
      <c r="P604" s="6"/>
      <c r="Q604" s="6"/>
      <c r="R604" s="6"/>
    </row>
    <row r="605" spans="6:18">
      <c r="F605" s="5">
        <f t="shared" si="62"/>
        <v>1.7758489862632073E-9</v>
      </c>
      <c r="G605" s="4">
        <f t="shared" si="59"/>
        <v>0.26729708862075985</v>
      </c>
      <c r="H605" s="3">
        <f t="shared" si="60"/>
        <v>150517916.04375893</v>
      </c>
      <c r="I605">
        <f t="shared" si="61"/>
        <v>40233000.74376072</v>
      </c>
      <c r="J605" s="6"/>
      <c r="K605" s="6"/>
      <c r="L605" s="6"/>
      <c r="M605" s="6"/>
      <c r="N605" s="6"/>
      <c r="O605" s="6"/>
      <c r="P605" s="6"/>
      <c r="Q605" s="6"/>
      <c r="R605" s="6"/>
    </row>
    <row r="606" spans="6:18">
      <c r="F606" s="5">
        <f t="shared" si="62"/>
        <v>1.7055253664071841E-9</v>
      </c>
      <c r="G606" s="4">
        <f t="shared" si="59"/>
        <v>0.26195114684834464</v>
      </c>
      <c r="H606" s="3">
        <f t="shared" si="60"/>
        <v>153589710.24873361</v>
      </c>
      <c r="I606">
        <f t="shared" si="61"/>
        <v>40233000.74376072</v>
      </c>
      <c r="J606" s="6"/>
      <c r="K606" s="6"/>
      <c r="L606" s="6"/>
      <c r="M606" s="6"/>
      <c r="N606" s="6"/>
      <c r="O606" s="6"/>
      <c r="P606" s="6"/>
      <c r="Q606" s="6"/>
      <c r="R606" s="6"/>
    </row>
    <row r="607" spans="6:18">
      <c r="F607" s="5">
        <f t="shared" si="62"/>
        <v>1.6379865618974601E-9</v>
      </c>
      <c r="G607" s="4">
        <f t="shared" si="59"/>
        <v>0.25671212391137777</v>
      </c>
      <c r="H607" s="3">
        <f t="shared" si="60"/>
        <v>156724194.1313608</v>
      </c>
      <c r="I607">
        <f t="shared" si="61"/>
        <v>40233000.74376072</v>
      </c>
      <c r="J607" s="6"/>
      <c r="K607" s="6"/>
      <c r="L607" s="6"/>
      <c r="M607" s="6"/>
      <c r="N607" s="6"/>
      <c r="O607" s="6"/>
      <c r="P607" s="6"/>
      <c r="Q607" s="6"/>
      <c r="R607" s="6"/>
    </row>
    <row r="608" spans="6:18">
      <c r="F608" s="5">
        <f t="shared" si="62"/>
        <v>1.5731222940463201E-9</v>
      </c>
      <c r="G608" s="4">
        <f t="shared" si="59"/>
        <v>0.25157788143315019</v>
      </c>
      <c r="H608" s="3">
        <f t="shared" si="60"/>
        <v>159922647.07281718</v>
      </c>
      <c r="I608">
        <f t="shared" si="61"/>
        <v>40233000.74376072</v>
      </c>
      <c r="J608" s="6"/>
      <c r="K608" s="6"/>
      <c r="L608" s="6"/>
      <c r="M608" s="6"/>
      <c r="N608" s="6"/>
      <c r="O608" s="6"/>
      <c r="P608" s="6"/>
      <c r="Q608" s="6"/>
      <c r="R608" s="6"/>
    </row>
    <row r="609" spans="6:18">
      <c r="F609" s="5">
        <f t="shared" si="62"/>
        <v>1.510826651202086E-9</v>
      </c>
      <c r="G609" s="4">
        <f t="shared" si="59"/>
        <v>0.24654632380448718</v>
      </c>
      <c r="H609" s="3">
        <f t="shared" si="60"/>
        <v>163186374.56409916</v>
      </c>
      <c r="I609">
        <f t="shared" si="61"/>
        <v>40233000.74376072</v>
      </c>
      <c r="J609" s="6"/>
      <c r="K609" s="6"/>
      <c r="L609" s="6"/>
      <c r="M609" s="6"/>
      <c r="N609" s="6"/>
      <c r="O609" s="6"/>
      <c r="P609" s="6"/>
      <c r="Q609" s="6"/>
      <c r="R609" s="6"/>
    </row>
    <row r="610" spans="6:18">
      <c r="F610" s="5">
        <f t="shared" si="62"/>
        <v>1.4509979158144832E-9</v>
      </c>
      <c r="G610" s="4">
        <f t="shared" si="59"/>
        <v>0.24161539732839743</v>
      </c>
      <c r="H610" s="3">
        <f t="shared" si="60"/>
        <v>166516708.7388767</v>
      </c>
      <c r="I610">
        <f t="shared" si="61"/>
        <v>40233000.74376072</v>
      </c>
      <c r="J610" s="6"/>
      <c r="K610" s="6"/>
      <c r="L610" s="6"/>
      <c r="M610" s="6"/>
      <c r="N610" s="6"/>
      <c r="O610" s="6"/>
      <c r="P610" s="6"/>
      <c r="Q610" s="6"/>
      <c r="R610" s="6"/>
    </row>
    <row r="611" spans="6:18">
      <c r="F611" s="5">
        <f t="shared" si="62"/>
        <v>1.39353839834823E-9</v>
      </c>
      <c r="G611" s="4">
        <f t="shared" si="59"/>
        <v>0.23678308938182949</v>
      </c>
      <c r="H611" s="3">
        <f t="shared" si="60"/>
        <v>169915008.9172211</v>
      </c>
      <c r="I611">
        <f t="shared" si="61"/>
        <v>40233000.74376072</v>
      </c>
      <c r="J611" s="6"/>
      <c r="K611" s="6"/>
      <c r="L611" s="6"/>
      <c r="M611" s="6"/>
      <c r="N611" s="6"/>
      <c r="O611" s="6"/>
      <c r="P611" s="6"/>
      <c r="Q611" s="6"/>
      <c r="R611" s="6"/>
    </row>
    <row r="612" spans="6:18">
      <c r="F612" s="5">
        <f t="shared" si="62"/>
        <v>1.3383542777736397E-9</v>
      </c>
      <c r="G612" s="4">
        <f t="shared" si="59"/>
        <v>0.23204742759419289</v>
      </c>
      <c r="H612" s="3">
        <f t="shared" si="60"/>
        <v>173382662.16042972</v>
      </c>
      <c r="I612">
        <f t="shared" si="61"/>
        <v>40233000.74376072</v>
      </c>
      <c r="J612" s="6"/>
      <c r="K612" s="6"/>
      <c r="L612" s="6"/>
      <c r="M612" s="6"/>
      <c r="N612" s="6"/>
      <c r="O612" s="6"/>
      <c r="P612" s="6"/>
      <c r="Q612" s="6"/>
      <c r="R612" s="6"/>
    </row>
    <row r="613" spans="6:18">
      <c r="F613" s="5">
        <f t="shared" si="62"/>
        <v>1.2853554483738039E-9</v>
      </c>
      <c r="G613" s="4">
        <f t="shared" si="59"/>
        <v>0.22740647904230904</v>
      </c>
      <c r="H613" s="3">
        <f t="shared" si="60"/>
        <v>176921083.83717316</v>
      </c>
      <c r="I613">
        <f t="shared" si="61"/>
        <v>40233000.74376072</v>
      </c>
      <c r="J613" s="6"/>
      <c r="K613" s="6"/>
      <c r="L613" s="6"/>
      <c r="M613" s="6"/>
      <c r="N613" s="6"/>
      <c r="O613" s="6"/>
      <c r="P613" s="6"/>
      <c r="Q613" s="6"/>
      <c r="R613" s="6"/>
    </row>
    <row r="614" spans="6:18">
      <c r="F614" s="5">
        <f t="shared" si="62"/>
        <v>1.2344553726182011E-9</v>
      </c>
      <c r="G614" s="4">
        <f t="shared" si="59"/>
        <v>0.22285834946146285</v>
      </c>
      <c r="H614" s="3">
        <f t="shared" si="60"/>
        <v>180531718.20119712</v>
      </c>
      <c r="I614">
        <f t="shared" si="61"/>
        <v>40233000.74376072</v>
      </c>
      <c r="J614" s="6"/>
      <c r="K614" s="6"/>
      <c r="L614" s="6"/>
      <c r="M614" s="6"/>
      <c r="N614" s="6"/>
      <c r="O614" s="6"/>
      <c r="P614" s="6"/>
      <c r="Q614" s="6"/>
      <c r="R614" s="6"/>
    </row>
    <row r="615" spans="6:18">
      <c r="F615" s="5">
        <f t="shared" si="62"/>
        <v>1.1855709398625202E-9</v>
      </c>
      <c r="G615" s="4">
        <f t="shared" si="59"/>
        <v>0.21840118247223358</v>
      </c>
      <c r="H615" s="3">
        <f t="shared" si="60"/>
        <v>184216038.98081338</v>
      </c>
      <c r="I615">
        <f t="shared" si="61"/>
        <v>40233000.74376072</v>
      </c>
      <c r="J615" s="6"/>
      <c r="K615" s="6"/>
      <c r="L615" s="6"/>
      <c r="M615" s="6"/>
      <c r="N615" s="6"/>
      <c r="O615" s="6"/>
      <c r="P615" s="6"/>
      <c r="Q615" s="6"/>
      <c r="R615" s="6"/>
    </row>
    <row r="616" spans="6:18">
      <c r="F616" s="5">
        <f t="shared" si="62"/>
        <v>1.1386223306439644E-9</v>
      </c>
      <c r="G616" s="4">
        <f t="shared" si="59"/>
        <v>0.21403315882278892</v>
      </c>
      <c r="H616" s="3">
        <f t="shared" si="60"/>
        <v>187975549.98042181</v>
      </c>
      <c r="I616">
        <f t="shared" si="61"/>
        <v>40233000.74376072</v>
      </c>
      <c r="J616" s="6"/>
      <c r="K616" s="6"/>
      <c r="L616" s="6"/>
      <c r="M616" s="6"/>
      <c r="N616" s="6"/>
      <c r="O616" s="6"/>
      <c r="P616" s="6"/>
      <c r="Q616" s="6"/>
      <c r="R616" s="6"/>
    </row>
    <row r="617" spans="6:18">
      <c r="F617" s="5">
        <f t="shared" si="62"/>
        <v>1.0935328863504635E-9</v>
      </c>
      <c r="G617" s="4">
        <f t="shared" si="59"/>
        <v>0.20975249564633314</v>
      </c>
      <c r="H617" s="3">
        <f t="shared" si="60"/>
        <v>191811785.69430798</v>
      </c>
      <c r="I617">
        <f t="shared" si="61"/>
        <v>40233000.74376072</v>
      </c>
      <c r="J617" s="6"/>
      <c r="K617" s="6"/>
      <c r="L617" s="6"/>
      <c r="M617" s="6"/>
      <c r="N617" s="6"/>
      <c r="O617" s="6"/>
      <c r="P617" s="6"/>
      <c r="Q617" s="6"/>
      <c r="R617" s="6"/>
    </row>
    <row r="618" spans="6:18">
      <c r="F618" s="5">
        <f t="shared" si="62"/>
        <v>1.0502289840509851E-9</v>
      </c>
      <c r="G618" s="4">
        <f t="shared" si="59"/>
        <v>0.20555744573340648</v>
      </c>
      <c r="H618" s="3">
        <f t="shared" si="60"/>
        <v>195726311.93296733</v>
      </c>
      <c r="I618">
        <f t="shared" si="61"/>
        <v>40233000.74376072</v>
      </c>
      <c r="J618" s="6"/>
      <c r="K618" s="6"/>
      <c r="L618" s="6"/>
      <c r="M618" s="6"/>
      <c r="N618" s="6"/>
      <c r="O618" s="6"/>
      <c r="P618" s="6"/>
      <c r="Q618" s="6"/>
      <c r="R618" s="6"/>
    </row>
    <row r="619" spans="6:18">
      <c r="F619" s="5">
        <f t="shared" si="62"/>
        <v>1.0086399162825662E-9</v>
      </c>
      <c r="G619" s="4">
        <f t="shared" si="59"/>
        <v>0.20144629681873835</v>
      </c>
      <c r="H619" s="3">
        <f t="shared" si="60"/>
        <v>199720726.46221155</v>
      </c>
      <c r="I619">
        <f t="shared" si="61"/>
        <v>40233000.74376072</v>
      </c>
      <c r="J619" s="6"/>
      <c r="K619" s="6"/>
      <c r="L619" s="6"/>
      <c r="M619" s="6"/>
      <c r="N619" s="6"/>
      <c r="O619" s="6"/>
      <c r="P619" s="6"/>
      <c r="Q619" s="6"/>
      <c r="R619" s="6"/>
    </row>
    <row r="620" spans="6:18">
      <c r="F620" s="5">
        <f t="shared" si="62"/>
        <v>9.6869777559777643E-10</v>
      </c>
      <c r="G620" s="4">
        <f t="shared" si="59"/>
        <v>0.19741737088236358</v>
      </c>
      <c r="H620" s="3">
        <f t="shared" si="60"/>
        <v>203796659.6553179</v>
      </c>
      <c r="I620">
        <f t="shared" si="61"/>
        <v>40233000.74376072</v>
      </c>
      <c r="J620" s="6"/>
      <c r="K620" s="6"/>
      <c r="L620" s="6"/>
      <c r="M620" s="6"/>
      <c r="N620" s="6"/>
      <c r="O620" s="6"/>
      <c r="P620" s="6"/>
      <c r="Q620" s="6"/>
      <c r="R620" s="6"/>
    </row>
    <row r="621" spans="6:18">
      <c r="F621" s="5">
        <f t="shared" si="62"/>
        <v>9.3033734368410451E-10</v>
      </c>
      <c r="G621" s="4">
        <f t="shared" si="59"/>
        <v>0.19346902346471631</v>
      </c>
      <c r="H621" s="3">
        <f t="shared" si="60"/>
        <v>207955775.15848768</v>
      </c>
      <c r="I621">
        <f t="shared" si="61"/>
        <v>40233000.74376072</v>
      </c>
      <c r="J621" s="6"/>
      <c r="K621" s="6"/>
      <c r="L621" s="6"/>
      <c r="M621" s="6"/>
      <c r="N621" s="6"/>
      <c r="O621" s="6"/>
      <c r="P621" s="6"/>
      <c r="Q621" s="6"/>
      <c r="R621" s="6"/>
    </row>
    <row r="622" spans="6:18">
      <c r="F622" s="5">
        <f t="shared" si="62"/>
        <v>8.9349598487421402E-10</v>
      </c>
      <c r="G622" s="4">
        <f t="shared" si="59"/>
        <v>0.18959964299542198</v>
      </c>
      <c r="H622" s="3">
        <f t="shared" si="60"/>
        <v>212199770.56988537</v>
      </c>
      <c r="I622">
        <f t="shared" si="61"/>
        <v>40233000.74376072</v>
      </c>
      <c r="J622" s="6"/>
      <c r="K622" s="6"/>
      <c r="L622" s="6"/>
      <c r="M622" s="6"/>
      <c r="N622" s="6"/>
      <c r="O622" s="6"/>
      <c r="P622" s="6"/>
      <c r="Q622" s="6"/>
      <c r="R622" s="6"/>
    </row>
    <row r="623" spans="6:18">
      <c r="F623" s="5">
        <f t="shared" si="62"/>
        <v>8.5811354387319505E-10</v>
      </c>
      <c r="G623" s="4">
        <f t="shared" si="59"/>
        <v>0.18580765013551354</v>
      </c>
      <c r="H623" s="3">
        <f t="shared" si="60"/>
        <v>216530378.13253611</v>
      </c>
      <c r="I623">
        <f t="shared" si="61"/>
        <v>40233000.74376072</v>
      </c>
      <c r="J623" s="6"/>
      <c r="K623" s="6"/>
      <c r="L623" s="6"/>
      <c r="M623" s="6"/>
      <c r="N623" s="6"/>
      <c r="O623" s="6"/>
      <c r="P623" s="6"/>
      <c r="Q623" s="6"/>
      <c r="R623" s="6"/>
    </row>
    <row r="624" spans="6:18">
      <c r="F624" s="5">
        <f t="shared" si="62"/>
        <v>8.2413224753581647E-10</v>
      </c>
      <c r="G624" s="4">
        <f t="shared" si="59"/>
        <v>0.18209149713280326</v>
      </c>
      <c r="H624" s="3">
        <f t="shared" si="60"/>
        <v>220949365.44136339</v>
      </c>
      <c r="I624">
        <f t="shared" si="61"/>
        <v>40233000.74376072</v>
      </c>
      <c r="J624" s="6"/>
      <c r="K624" s="6"/>
      <c r="L624" s="6"/>
      <c r="M624" s="6"/>
      <c r="N624" s="6"/>
      <c r="O624" s="6"/>
      <c r="P624" s="6"/>
      <c r="Q624" s="6"/>
      <c r="R624" s="6"/>
    </row>
    <row r="625" spans="6:18">
      <c r="F625" s="5">
        <f t="shared" si="62"/>
        <v>7.9149661053339801E-10</v>
      </c>
      <c r="G625" s="4">
        <f t="shared" si="59"/>
        <v>0.17844966719014718</v>
      </c>
      <c r="H625" s="3">
        <f t="shared" si="60"/>
        <v>225458536.16465652</v>
      </c>
      <c r="I625">
        <f t="shared" si="61"/>
        <v>40233000.74376072</v>
      </c>
      <c r="J625" s="6"/>
      <c r="K625" s="6"/>
      <c r="L625" s="6"/>
      <c r="M625" s="6"/>
      <c r="N625" s="6"/>
      <c r="O625" s="6"/>
      <c r="P625" s="6"/>
      <c r="Q625" s="6"/>
      <c r="R625" s="6"/>
    </row>
    <row r="626" spans="6:18">
      <c r="F626" s="5">
        <f t="shared" si="62"/>
        <v>7.6015334475627539E-10</v>
      </c>
      <c r="G626" s="4">
        <f t="shared" ref="G626:G689" si="63">G625*(1-$O$1)</f>
        <v>0.17488067384634423</v>
      </c>
      <c r="H626" s="3">
        <f t="shared" ref="H626:H689" si="64">I626/G626</f>
        <v>230059730.78026178</v>
      </c>
      <c r="I626">
        <f t="shared" ref="I626:I689" si="65">I625</f>
        <v>40233000.74376072</v>
      </c>
      <c r="J626" s="6"/>
      <c r="K626" s="6"/>
      <c r="L626" s="6"/>
      <c r="M626" s="6"/>
      <c r="N626" s="6"/>
      <c r="O626" s="6"/>
      <c r="P626" s="6"/>
      <c r="Q626" s="6"/>
      <c r="R626" s="6"/>
    </row>
    <row r="627" spans="6:18">
      <c r="F627" s="5">
        <f t="shared" si="62"/>
        <v>7.3005127230392677E-10</v>
      </c>
      <c r="G627" s="4">
        <f t="shared" si="63"/>
        <v>0.17138306036941733</v>
      </c>
      <c r="H627" s="3">
        <f t="shared" si="64"/>
        <v>234754827.32679775</v>
      </c>
      <c r="I627">
        <f t="shared" si="65"/>
        <v>40233000.74376072</v>
      </c>
      <c r="J627" s="6"/>
      <c r="K627" s="6"/>
      <c r="L627" s="6"/>
      <c r="M627" s="6"/>
      <c r="N627" s="6"/>
      <c r="O627" s="6"/>
      <c r="P627" s="6"/>
      <c r="Q627" s="6"/>
      <c r="R627" s="6"/>
    </row>
    <row r="628" spans="6:18">
      <c r="F628" s="5">
        <f t="shared" si="62"/>
        <v>7.0114124192069122E-10</v>
      </c>
      <c r="G628" s="4">
        <f t="shared" si="63"/>
        <v>0.16795539916202898</v>
      </c>
      <c r="H628" s="3">
        <f t="shared" si="64"/>
        <v>239545742.17020178</v>
      </c>
      <c r="I628">
        <f t="shared" si="65"/>
        <v>40233000.74376072</v>
      </c>
      <c r="J628" s="6"/>
      <c r="K628" s="6"/>
      <c r="L628" s="6"/>
      <c r="M628" s="6"/>
      <c r="N628" s="6"/>
      <c r="O628" s="6"/>
      <c r="P628" s="6"/>
      <c r="Q628" s="6"/>
      <c r="R628" s="6"/>
    </row>
    <row r="629" spans="6:18">
      <c r="F629" s="5">
        <f t="shared" si="62"/>
        <v>6.7337604874063198E-10</v>
      </c>
      <c r="G629" s="4">
        <f t="shared" si="63"/>
        <v>0.16459629117878841</v>
      </c>
      <c r="H629" s="3">
        <f t="shared" si="64"/>
        <v>244434430.78592017</v>
      </c>
      <c r="I629">
        <f t="shared" si="65"/>
        <v>40233000.74376072</v>
      </c>
      <c r="J629" s="6"/>
      <c r="K629" s="6"/>
      <c r="L629" s="6"/>
      <c r="M629" s="6"/>
      <c r="N629" s="6"/>
      <c r="O629" s="6"/>
      <c r="P629" s="6"/>
      <c r="Q629" s="6"/>
      <c r="R629" s="6"/>
    </row>
    <row r="630" spans="6:18">
      <c r="F630" s="5">
        <f t="shared" si="62"/>
        <v>6.4671035721050294E-10</v>
      </c>
      <c r="G630" s="4">
        <f t="shared" si="63"/>
        <v>0.16130436535521264</v>
      </c>
      <c r="H630" s="3">
        <f t="shared" si="64"/>
        <v>249422888.5570614</v>
      </c>
      <c r="I630">
        <f t="shared" si="65"/>
        <v>40233000.74376072</v>
      </c>
      <c r="J630" s="6"/>
      <c r="K630" s="6"/>
      <c r="L630" s="6"/>
      <c r="M630" s="6"/>
      <c r="N630" s="6"/>
      <c r="O630" s="6"/>
      <c r="P630" s="6"/>
      <c r="Q630" s="6"/>
      <c r="R630" s="6"/>
    </row>
    <row r="631" spans="6:18">
      <c r="F631" s="5">
        <f t="shared" si="62"/>
        <v>6.2110062706496701E-10</v>
      </c>
      <c r="G631" s="4">
        <f t="shared" si="63"/>
        <v>0.15807827804810839</v>
      </c>
      <c r="H631" s="3">
        <f t="shared" si="64"/>
        <v>254513151.58883816</v>
      </c>
      <c r="I631">
        <f t="shared" si="65"/>
        <v>40233000.74376072</v>
      </c>
      <c r="J631" s="6"/>
      <c r="K631" s="6"/>
      <c r="L631" s="6"/>
      <c r="M631" s="6"/>
      <c r="N631" s="6"/>
      <c r="O631" s="6"/>
      <c r="P631" s="6"/>
      <c r="Q631" s="6"/>
      <c r="R631" s="6"/>
    </row>
    <row r="632" spans="6:18">
      <c r="F632" s="5">
        <f t="shared" si="62"/>
        <v>5.9650504223319437E-10</v>
      </c>
      <c r="G632" s="4">
        <f t="shared" si="63"/>
        <v>0.15491671248714622</v>
      </c>
      <c r="H632" s="3">
        <f t="shared" si="64"/>
        <v>259707297.53963077</v>
      </c>
      <c r="I632">
        <f t="shared" si="65"/>
        <v>40233000.74376072</v>
      </c>
      <c r="J632" s="6"/>
      <c r="K632" s="6"/>
      <c r="L632" s="6"/>
      <c r="M632" s="6"/>
      <c r="N632" s="6"/>
      <c r="O632" s="6"/>
      <c r="P632" s="6"/>
      <c r="Q632" s="6"/>
      <c r="R632" s="6"/>
    </row>
    <row r="633" spans="6:18">
      <c r="F633" s="5">
        <f t="shared" si="62"/>
        <v>5.728834425607598E-10</v>
      </c>
      <c r="G633" s="4">
        <f t="shared" si="63"/>
        <v>0.1518183782374033</v>
      </c>
      <c r="H633" s="3">
        <f t="shared" si="64"/>
        <v>265007446.46901101</v>
      </c>
      <c r="I633">
        <f t="shared" si="65"/>
        <v>40233000.74376072</v>
      </c>
      <c r="J633" s="6"/>
      <c r="K633" s="6"/>
      <c r="L633" s="6"/>
      <c r="M633" s="6"/>
      <c r="N633" s="6"/>
      <c r="O633" s="6"/>
      <c r="P633" s="6"/>
      <c r="Q633" s="6"/>
      <c r="R633" s="6"/>
    </row>
    <row r="634" spans="6:18">
      <c r="F634" s="5">
        <f t="shared" si="62"/>
        <v>5.501972582353537E-10</v>
      </c>
      <c r="G634" s="4">
        <f t="shared" si="63"/>
        <v>0.14878201067265523</v>
      </c>
      <c r="H634" s="3">
        <f t="shared" si="64"/>
        <v>270415761.70307249</v>
      </c>
      <c r="I634">
        <f t="shared" si="65"/>
        <v>40233000.74376072</v>
      </c>
      <c r="J634" s="6"/>
      <c r="K634" s="6"/>
      <c r="L634" s="6"/>
      <c r="M634" s="6"/>
      <c r="N634" s="6"/>
      <c r="O634" s="6"/>
      <c r="P634" s="6"/>
      <c r="Q634" s="6"/>
      <c r="R634" s="6"/>
    </row>
    <row r="635" spans="6:18">
      <c r="F635" s="5">
        <f t="shared" si="62"/>
        <v>5.2840944680923368E-10</v>
      </c>
      <c r="G635" s="4">
        <f t="shared" si="63"/>
        <v>0.14580637045920211</v>
      </c>
      <c r="H635" s="3">
        <f t="shared" si="64"/>
        <v>275934450.71742088</v>
      </c>
      <c r="I635">
        <f t="shared" si="65"/>
        <v>40233000.74376072</v>
      </c>
      <c r="J635" s="6"/>
      <c r="K635" s="6"/>
      <c r="L635" s="6"/>
      <c r="M635" s="6"/>
      <c r="N635" s="6"/>
      <c r="O635" s="6"/>
      <c r="P635" s="6"/>
      <c r="Q635" s="6"/>
      <c r="R635" s="6"/>
    </row>
    <row r="636" spans="6:18">
      <c r="F636" s="5">
        <f t="shared" si="62"/>
        <v>5.0748443271558802E-10</v>
      </c>
      <c r="G636" s="4">
        <f t="shared" si="63"/>
        <v>0.14289024305001807</v>
      </c>
      <c r="H636" s="3">
        <f t="shared" si="64"/>
        <v>281565766.03818458</v>
      </c>
      <c r="I636">
        <f t="shared" si="65"/>
        <v>40233000.74376072</v>
      </c>
      <c r="J636" s="6"/>
      <c r="K636" s="6"/>
      <c r="L636" s="6"/>
      <c r="M636" s="6"/>
      <c r="N636" s="6"/>
      <c r="O636" s="6"/>
      <c r="P636" s="6"/>
      <c r="Q636" s="6"/>
      <c r="R636" s="6"/>
    </row>
    <row r="637" spans="6:18">
      <c r="F637" s="5">
        <f t="shared" si="62"/>
        <v>4.8738804918005061E-10</v>
      </c>
      <c r="G637" s="4">
        <f t="shared" si="63"/>
        <v>0.1400324381890177</v>
      </c>
      <c r="H637" s="3">
        <f t="shared" si="64"/>
        <v>287312006.16141289</v>
      </c>
      <c r="I637">
        <f t="shared" si="65"/>
        <v>40233000.74376072</v>
      </c>
      <c r="J637" s="6"/>
      <c r="K637" s="6"/>
      <c r="L637" s="6"/>
      <c r="M637" s="6"/>
      <c r="N637" s="6"/>
      <c r="O637" s="6"/>
      <c r="P637" s="6"/>
      <c r="Q637" s="6"/>
      <c r="R637" s="6"/>
    </row>
    <row r="638" spans="6:18">
      <c r="F638" s="5">
        <f t="shared" si="62"/>
        <v>4.6808748243252056E-10</v>
      </c>
      <c r="G638" s="4">
        <f t="shared" si="63"/>
        <v>0.13723178942523734</v>
      </c>
      <c r="H638" s="3">
        <f t="shared" si="64"/>
        <v>293175516.49123764</v>
      </c>
      <c r="I638">
        <f t="shared" si="65"/>
        <v>40233000.74376072</v>
      </c>
      <c r="J638" s="6"/>
      <c r="K638" s="6"/>
      <c r="L638" s="6"/>
      <c r="M638" s="6"/>
      <c r="N638" s="6"/>
      <c r="O638" s="6"/>
      <c r="P638" s="6"/>
      <c r="Q638" s="6"/>
      <c r="R638" s="6"/>
    </row>
    <row r="639" spans="6:18">
      <c r="F639" s="5">
        <f t="shared" si="62"/>
        <v>4.4955121812819266E-10</v>
      </c>
      <c r="G639" s="4">
        <f t="shared" si="63"/>
        <v>0.13448715363673258</v>
      </c>
      <c r="H639" s="3">
        <f t="shared" si="64"/>
        <v>299158690.29718131</v>
      </c>
      <c r="I639">
        <f t="shared" si="65"/>
        <v>40233000.74376072</v>
      </c>
      <c r="J639" s="6"/>
      <c r="K639" s="6"/>
      <c r="L639" s="6"/>
      <c r="M639" s="6"/>
      <c r="N639" s="6"/>
      <c r="O639" s="6"/>
      <c r="P639" s="6"/>
      <c r="Q639" s="6"/>
      <c r="R639" s="6"/>
    </row>
    <row r="640" spans="6:18">
      <c r="F640" s="5">
        <f t="shared" si="62"/>
        <v>4.317489898903163E-10</v>
      </c>
      <c r="G640" s="4">
        <f t="shared" si="63"/>
        <v>0.13179741056399794</v>
      </c>
      <c r="H640" s="3">
        <f t="shared" si="64"/>
        <v>305263969.6910013</v>
      </c>
      <c r="I640">
        <f t="shared" si="65"/>
        <v>40233000.74376072</v>
      </c>
      <c r="J640" s="6"/>
      <c r="K640" s="6"/>
      <c r="L640" s="6"/>
      <c r="M640" s="6"/>
      <c r="N640" s="6"/>
      <c r="O640" s="6"/>
      <c r="P640" s="6"/>
      <c r="Q640" s="6"/>
      <c r="R640" s="6"/>
    </row>
    <row r="641" spans="6:18">
      <c r="F641" s="5">
        <f t="shared" si="62"/>
        <v>4.1465172989065971E-10</v>
      </c>
      <c r="G641" s="4">
        <f t="shared" si="63"/>
        <v>0.12916146235271797</v>
      </c>
      <c r="H641" s="3">
        <f t="shared" si="64"/>
        <v>311493846.62347072</v>
      </c>
      <c r="I641">
        <f t="shared" si="65"/>
        <v>40233000.74376072</v>
      </c>
      <c r="J641" s="6"/>
      <c r="K641" s="6"/>
      <c r="L641" s="6"/>
      <c r="M641" s="6"/>
      <c r="N641" s="6"/>
      <c r="O641" s="6"/>
      <c r="P641" s="6"/>
      <c r="Q641" s="6"/>
      <c r="R641" s="6"/>
    </row>
    <row r="642" spans="6:18">
      <c r="F642" s="5">
        <f t="shared" si="62"/>
        <v>3.9823152138698954E-10</v>
      </c>
      <c r="G642" s="4">
        <f t="shared" si="63"/>
        <v>0.1265782331056636</v>
      </c>
      <c r="H642" s="3">
        <f t="shared" si="64"/>
        <v>317850863.90150076</v>
      </c>
      <c r="I642">
        <f t="shared" si="65"/>
        <v>40233000.74376072</v>
      </c>
      <c r="J642" s="6"/>
      <c r="K642" s="6"/>
      <c r="L642" s="6"/>
      <c r="M642" s="6"/>
      <c r="N642" s="6"/>
      <c r="O642" s="6"/>
      <c r="P642" s="6"/>
      <c r="Q642" s="6"/>
      <c r="R642" s="6"/>
    </row>
    <row r="643" spans="6:18">
      <c r="F643" s="5">
        <f t="shared" si="62"/>
        <v>3.8246155314006469E-10</v>
      </c>
      <c r="G643" s="4">
        <f t="shared" si="63"/>
        <v>0.12404666844355032</v>
      </c>
      <c r="H643" s="3">
        <f t="shared" si="64"/>
        <v>324337616.22602123</v>
      </c>
      <c r="I643">
        <f t="shared" si="65"/>
        <v>40233000.74376072</v>
      </c>
      <c r="J643" s="6"/>
      <c r="K643" s="6"/>
      <c r="L643" s="6"/>
      <c r="M643" s="6"/>
      <c r="N643" s="6"/>
      <c r="O643" s="6"/>
      <c r="P643" s="6"/>
      <c r="Q643" s="6"/>
      <c r="R643" s="6"/>
    </row>
    <row r="644" spans="6:18">
      <c r="F644" s="5">
        <f t="shared" si="62"/>
        <v>3.673160756357181E-10</v>
      </c>
      <c r="G644" s="4">
        <f t="shared" si="63"/>
        <v>0.12156573507467931</v>
      </c>
      <c r="H644" s="3">
        <f t="shared" si="64"/>
        <v>330956751.25104207</v>
      </c>
      <c r="I644">
        <f t="shared" si="65"/>
        <v>40233000.74376072</v>
      </c>
      <c r="J644" s="6"/>
      <c r="K644" s="6"/>
      <c r="L644" s="6"/>
      <c r="M644" s="6"/>
      <c r="N644" s="6"/>
      <c r="O644" s="6"/>
      <c r="P644" s="6"/>
      <c r="Q644" s="6"/>
      <c r="R644" s="6"/>
    </row>
    <row r="645" spans="6:18">
      <c r="F645" s="5">
        <f t="shared" si="62"/>
        <v>3.5277035904054366E-10</v>
      </c>
      <c r="G645" s="4">
        <f t="shared" si="63"/>
        <v>0.11913442037318572</v>
      </c>
      <c r="H645" s="3">
        <f t="shared" si="64"/>
        <v>337710970.66432863</v>
      </c>
      <c r="I645">
        <f t="shared" si="65"/>
        <v>40233000.74376072</v>
      </c>
      <c r="J645" s="6"/>
      <c r="K645" s="6"/>
      <c r="L645" s="6"/>
      <c r="M645" s="6"/>
      <c r="N645" s="6"/>
      <c r="O645" s="6"/>
      <c r="P645" s="6"/>
      <c r="Q645" s="6"/>
      <c r="R645" s="6"/>
    </row>
    <row r="646" spans="6:18">
      <c r="F646" s="5">
        <f t="shared" si="62"/>
        <v>3.3880065282253811E-10</v>
      </c>
      <c r="G646" s="4">
        <f t="shared" si="63"/>
        <v>0.116751731965722</v>
      </c>
      <c r="H646" s="3">
        <f t="shared" si="64"/>
        <v>344603031.29013127</v>
      </c>
      <c r="I646">
        <f t="shared" si="65"/>
        <v>40233000.74376072</v>
      </c>
      <c r="J646" s="6"/>
      <c r="K646" s="6"/>
      <c r="L646" s="6"/>
      <c r="M646" s="6"/>
      <c r="N646" s="6"/>
      <c r="O646" s="6"/>
      <c r="P646" s="6"/>
      <c r="Q646" s="6"/>
      <c r="R646" s="6"/>
    </row>
    <row r="647" spans="6:18">
      <c r="F647" s="5">
        <f t="shared" si="62"/>
        <v>3.2538414697076554E-10</v>
      </c>
      <c r="G647" s="4">
        <f t="shared" si="63"/>
        <v>0.11441669732640755</v>
      </c>
      <c r="H647" s="3">
        <f t="shared" si="64"/>
        <v>351635746.21441972</v>
      </c>
      <c r="I647">
        <f t="shared" si="65"/>
        <v>40233000.74376072</v>
      </c>
      <c r="J647" s="6"/>
      <c r="K647" s="6"/>
      <c r="L647" s="6"/>
      <c r="M647" s="6"/>
      <c r="N647" s="6"/>
      <c r="O647" s="6"/>
      <c r="P647" s="6"/>
      <c r="Q647" s="6"/>
      <c r="R647" s="6"/>
    </row>
    <row r="648" spans="6:18">
      <c r="F648" s="5">
        <f t="shared" si="62"/>
        <v>3.124989347507232E-10</v>
      </c>
      <c r="G648" s="4">
        <f t="shared" si="63"/>
        <v>0.1121283633798794</v>
      </c>
      <c r="H648" s="3">
        <f t="shared" si="64"/>
        <v>358811985.93308133</v>
      </c>
      <c r="I648">
        <f t="shared" si="65"/>
        <v>40233000.74376072</v>
      </c>
      <c r="J648" s="6"/>
      <c r="K648" s="6"/>
      <c r="L648" s="6"/>
      <c r="M648" s="6"/>
      <c r="N648" s="6"/>
      <c r="O648" s="6"/>
      <c r="P648" s="6"/>
      <c r="Q648" s="6"/>
      <c r="R648" s="6"/>
    </row>
    <row r="649" spans="6:18">
      <c r="F649" s="5">
        <f t="shared" ref="F649:F712" si="66">G649/H649</f>
        <v>3.0012397693459463E-10</v>
      </c>
      <c r="G649" s="4">
        <f t="shared" si="63"/>
        <v>0.10988579611228182</v>
      </c>
      <c r="H649" s="3">
        <f t="shared" si="64"/>
        <v>366134679.52355236</v>
      </c>
      <c r="I649">
        <f t="shared" si="65"/>
        <v>40233000.74376072</v>
      </c>
      <c r="J649" s="6"/>
      <c r="K649" s="6"/>
      <c r="L649" s="6"/>
      <c r="M649" s="6"/>
      <c r="N649" s="6"/>
      <c r="O649" s="6"/>
      <c r="P649" s="6"/>
      <c r="Q649" s="6"/>
      <c r="R649" s="6"/>
    </row>
    <row r="650" spans="6:18">
      <c r="F650" s="5">
        <f t="shared" si="66"/>
        <v>2.8823906744798462E-10</v>
      </c>
      <c r="G650" s="4">
        <f t="shared" si="63"/>
        <v>0.10768808019003617</v>
      </c>
      <c r="H650" s="3">
        <f t="shared" si="64"/>
        <v>373606815.84035957</v>
      </c>
      <c r="I650">
        <f t="shared" si="65"/>
        <v>40233000.74376072</v>
      </c>
      <c r="J650" s="6"/>
      <c r="K650" s="6"/>
      <c r="L650" s="6"/>
      <c r="M650" s="6"/>
      <c r="N650" s="6"/>
      <c r="O650" s="6"/>
      <c r="P650" s="6"/>
      <c r="Q650" s="6"/>
      <c r="R650" s="6"/>
    </row>
    <row r="651" spans="6:18">
      <c r="F651" s="5">
        <f t="shared" si="66"/>
        <v>2.7682480037704444E-10</v>
      </c>
      <c r="G651" s="4">
        <f t="shared" si="63"/>
        <v>0.10553431858623545</v>
      </c>
      <c r="H651" s="3">
        <f t="shared" si="64"/>
        <v>381231444.73506081</v>
      </c>
      <c r="I651">
        <f t="shared" si="65"/>
        <v>40233000.74376072</v>
      </c>
      <c r="J651" s="6"/>
      <c r="K651" s="6"/>
      <c r="L651" s="6"/>
      <c r="M651" s="6"/>
      <c r="N651" s="6"/>
      <c r="O651" s="6"/>
      <c r="P651" s="6"/>
      <c r="Q651" s="6"/>
      <c r="R651" s="6"/>
    </row>
    <row r="652" spans="6:18">
      <c r="F652" s="5">
        <f t="shared" si="66"/>
        <v>2.6586253828211347E-10</v>
      </c>
      <c r="G652" s="4">
        <f t="shared" si="63"/>
        <v>0.10342363221451074</v>
      </c>
      <c r="H652" s="3">
        <f t="shared" si="64"/>
        <v>389011678.30108243</v>
      </c>
      <c r="I652">
        <f t="shared" si="65"/>
        <v>40233000.74376072</v>
      </c>
      <c r="J652" s="6"/>
      <c r="K652" s="6"/>
      <c r="L652" s="6"/>
      <c r="M652" s="6"/>
      <c r="N652" s="6"/>
      <c r="O652" s="6"/>
      <c r="P652" s="6"/>
      <c r="Q652" s="6"/>
      <c r="R652" s="6"/>
    </row>
    <row r="653" spans="6:18">
      <c r="F653" s="5">
        <f t="shared" si="66"/>
        <v>2.5533438176614177E-10</v>
      </c>
      <c r="G653" s="4">
        <f t="shared" si="63"/>
        <v>0.10135515957022052</v>
      </c>
      <c r="H653" s="3">
        <f t="shared" si="64"/>
        <v>396950692.14396167</v>
      </c>
      <c r="I653">
        <f t="shared" si="65"/>
        <v>40233000.74376072</v>
      </c>
      <c r="J653" s="6"/>
      <c r="K653" s="6"/>
      <c r="L653" s="6"/>
      <c r="M653" s="6"/>
      <c r="N653" s="6"/>
      <c r="O653" s="6"/>
      <c r="P653" s="6"/>
      <c r="Q653" s="6"/>
      <c r="R653" s="6"/>
    </row>
    <row r="654" spans="6:18">
      <c r="F654" s="5">
        <f t="shared" si="66"/>
        <v>2.4522314024820256E-10</v>
      </c>
      <c r="G654" s="4">
        <f t="shared" si="63"/>
        <v>9.9328056378816115E-2</v>
      </c>
      <c r="H654" s="3">
        <f t="shared" si="64"/>
        <v>405051726.67751193</v>
      </c>
      <c r="I654">
        <f t="shared" si="65"/>
        <v>40233000.74376072</v>
      </c>
      <c r="J654" s="6"/>
      <c r="K654" s="6"/>
      <c r="L654" s="6"/>
      <c r="M654" s="6"/>
      <c r="N654" s="6"/>
      <c r="O654" s="6"/>
      <c r="P654" s="6"/>
      <c r="Q654" s="6"/>
      <c r="R654" s="6"/>
    </row>
    <row r="655" spans="6:18">
      <c r="F655" s="5">
        <f t="shared" si="66"/>
        <v>2.3551230389437372E-10</v>
      </c>
      <c r="G655" s="4">
        <f t="shared" si="63"/>
        <v>9.7341495251239793E-2</v>
      </c>
      <c r="H655" s="3">
        <f t="shared" si="64"/>
        <v>413318088.44644076</v>
      </c>
      <c r="I655">
        <f t="shared" si="65"/>
        <v>40233000.74376072</v>
      </c>
      <c r="J655" s="6"/>
      <c r="K655" s="6"/>
      <c r="L655" s="6"/>
      <c r="M655" s="6"/>
      <c r="N655" s="6"/>
      <c r="O655" s="6"/>
      <c r="P655" s="6"/>
      <c r="Q655" s="6"/>
      <c r="R655" s="6"/>
    </row>
    <row r="656" spans="6:18">
      <c r="F656" s="5">
        <f t="shared" si="66"/>
        <v>2.2618601666015651E-10</v>
      </c>
      <c r="G656" s="4">
        <f t="shared" si="63"/>
        <v>9.5394665346214991E-2</v>
      </c>
      <c r="H656" s="3">
        <f t="shared" si="64"/>
        <v>421753151.47595996</v>
      </c>
      <c r="I656">
        <f t="shared" si="65"/>
        <v>40233000.74376072</v>
      </c>
      <c r="J656" s="6"/>
      <c r="K656" s="6"/>
      <c r="L656" s="6"/>
      <c r="M656" s="6"/>
      <c r="N656" s="6"/>
      <c r="O656" s="6"/>
      <c r="P656" s="6"/>
      <c r="Q656" s="6"/>
      <c r="R656" s="6"/>
    </row>
    <row r="657" spans="6:18">
      <c r="F657" s="5">
        <f t="shared" si="66"/>
        <v>2.1722905040041432E-10</v>
      </c>
      <c r="G657" s="4">
        <f t="shared" si="63"/>
        <v>9.3486772039290691E-2</v>
      </c>
      <c r="H657" s="3">
        <f t="shared" si="64"/>
        <v>430360358.64893872</v>
      </c>
      <c r="I657">
        <f t="shared" si="65"/>
        <v>40233000.74376072</v>
      </c>
      <c r="J657" s="6"/>
      <c r="K657" s="6"/>
      <c r="L657" s="6"/>
      <c r="M657" s="6"/>
      <c r="N657" s="6"/>
      <c r="O657" s="6"/>
      <c r="P657" s="6"/>
      <c r="Q657" s="6"/>
      <c r="R657" s="6"/>
    </row>
    <row r="658" spans="6:18">
      <c r="F658" s="5">
        <f t="shared" si="66"/>
        <v>2.0862678000455788E-10</v>
      </c>
      <c r="G658" s="4">
        <f t="shared" si="63"/>
        <v>9.161703659850487E-2</v>
      </c>
      <c r="H658" s="3">
        <f t="shared" si="64"/>
        <v>439143223.11116201</v>
      </c>
      <c r="I658">
        <f t="shared" si="65"/>
        <v>40233000.74376072</v>
      </c>
      <c r="J658" s="6"/>
      <c r="K658" s="6"/>
      <c r="L658" s="6"/>
      <c r="M658" s="6"/>
      <c r="N658" s="6"/>
      <c r="O658" s="6"/>
      <c r="P658" s="6"/>
      <c r="Q658" s="6"/>
      <c r="R658" s="6"/>
    </row>
    <row r="659" spans="6:18">
      <c r="F659" s="5">
        <f t="shared" si="66"/>
        <v>2.0036515951637738E-10</v>
      </c>
      <c r="G659" s="4">
        <f t="shared" si="63"/>
        <v>8.9784695866534772E-2</v>
      </c>
      <c r="H659" s="3">
        <f t="shared" si="64"/>
        <v>448105329.70526737</v>
      </c>
      <c r="I659">
        <f t="shared" si="65"/>
        <v>40233000.74376072</v>
      </c>
      <c r="J659" s="6"/>
      <c r="K659" s="6"/>
      <c r="L659" s="6"/>
      <c r="M659" s="6"/>
      <c r="N659" s="6"/>
      <c r="O659" s="6"/>
      <c r="P659" s="6"/>
      <c r="Q659" s="6"/>
      <c r="R659" s="6"/>
    </row>
    <row r="660" spans="6:18">
      <c r="F660" s="5">
        <f t="shared" si="66"/>
        <v>1.9243069919952881E-10</v>
      </c>
      <c r="G660" s="4">
        <f t="shared" si="63"/>
        <v>8.7989001949204074E-2</v>
      </c>
      <c r="H660" s="3">
        <f t="shared" si="64"/>
        <v>457250336.43394631</v>
      </c>
      <c r="I660">
        <f t="shared" si="65"/>
        <v>40233000.74376072</v>
      </c>
      <c r="J660" s="6"/>
      <c r="K660" s="6"/>
      <c r="L660" s="6"/>
      <c r="M660" s="6"/>
      <c r="N660" s="6"/>
      <c r="O660" s="6"/>
      <c r="P660" s="6"/>
      <c r="Q660" s="6"/>
      <c r="R660" s="6"/>
    </row>
    <row r="661" spans="6:18">
      <c r="F661" s="5">
        <f t="shared" si="66"/>
        <v>1.8481044351122746E-10</v>
      </c>
      <c r="G661" s="4">
        <f t="shared" si="63"/>
        <v>8.6229221910219991E-2</v>
      </c>
      <c r="H661" s="3">
        <f t="shared" si="64"/>
        <v>466581975.95300645</v>
      </c>
      <c r="I661">
        <f t="shared" si="65"/>
        <v>40233000.74376072</v>
      </c>
      <c r="J661" s="6"/>
      <c r="K661" s="6"/>
      <c r="L661" s="6"/>
      <c r="M661" s="6"/>
      <c r="N661" s="6"/>
      <c r="O661" s="6"/>
      <c r="P661" s="6"/>
      <c r="Q661" s="6"/>
      <c r="R661" s="6"/>
    </row>
    <row r="662" spans="6:18">
      <c r="F662" s="5">
        <f t="shared" si="66"/>
        <v>1.7749194994818285E-10</v>
      </c>
      <c r="G662" s="4">
        <f t="shared" si="63"/>
        <v>8.4504637472015587E-2</v>
      </c>
      <c r="H662" s="3">
        <f t="shared" si="64"/>
        <v>476104057.09490454</v>
      </c>
      <c r="I662">
        <f t="shared" si="65"/>
        <v>40233000.74376072</v>
      </c>
      <c r="J662" s="6"/>
      <c r="K662" s="6"/>
      <c r="L662" s="6"/>
      <c r="M662" s="6"/>
      <c r="N662" s="6"/>
      <c r="O662" s="6"/>
      <c r="P662" s="6"/>
      <c r="Q662" s="6"/>
      <c r="R662" s="6"/>
    </row>
    <row r="663" spans="6:18">
      <c r="F663" s="5">
        <f t="shared" si="66"/>
        <v>1.7046326873023478E-10</v>
      </c>
      <c r="G663" s="4">
        <f t="shared" si="63"/>
        <v>8.2814544722575267E-2</v>
      </c>
      <c r="H663" s="3">
        <f t="shared" si="64"/>
        <v>485820466.42337203</v>
      </c>
      <c r="I663">
        <f t="shared" si="65"/>
        <v>40233000.74376072</v>
      </c>
      <c r="J663" s="6"/>
      <c r="K663" s="6"/>
      <c r="L663" s="6"/>
      <c r="M663" s="6"/>
      <c r="N663" s="6"/>
      <c r="O663" s="6"/>
      <c r="P663" s="6"/>
      <c r="Q663" s="6"/>
      <c r="R663" s="6"/>
    </row>
    <row r="664" spans="6:18">
      <c r="F664" s="5">
        <f t="shared" si="66"/>
        <v>1.6371292328851748E-10</v>
      </c>
      <c r="G664" s="4">
        <f t="shared" si="63"/>
        <v>8.1158253828123764E-2</v>
      </c>
      <c r="H664" s="3">
        <f t="shared" si="64"/>
        <v>495735169.81976736</v>
      </c>
      <c r="I664">
        <f t="shared" si="65"/>
        <v>40233000.74376072</v>
      </c>
      <c r="J664" s="6"/>
      <c r="K664" s="6"/>
      <c r="L664" s="6"/>
      <c r="M664" s="6"/>
      <c r="N664" s="6"/>
      <c r="O664" s="6"/>
      <c r="P664" s="6"/>
      <c r="Q664" s="6"/>
      <c r="R664" s="6"/>
    </row>
    <row r="665" spans="6:18">
      <c r="F665" s="5">
        <f t="shared" si="66"/>
        <v>1.572298915262922E-10</v>
      </c>
      <c r="G665" s="4">
        <f t="shared" si="63"/>
        <v>7.9535088751561289E-2</v>
      </c>
      <c r="H665" s="3">
        <f t="shared" si="64"/>
        <v>505852214.10180342</v>
      </c>
      <c r="I665">
        <f t="shared" si="65"/>
        <v>40233000.74376072</v>
      </c>
      <c r="J665" s="6"/>
      <c r="K665" s="6"/>
      <c r="L665" s="6"/>
      <c r="M665" s="6"/>
      <c r="N665" s="6"/>
      <c r="O665" s="6"/>
      <c r="P665" s="6"/>
      <c r="Q665" s="6"/>
      <c r="R665" s="6"/>
    </row>
    <row r="666" spans="6:18">
      <c r="F666" s="5">
        <f t="shared" si="66"/>
        <v>1.5100358782185099E-10</v>
      </c>
      <c r="G666" s="4">
        <f t="shared" si="63"/>
        <v>7.7944386976530056E-2</v>
      </c>
      <c r="H666" s="3">
        <f t="shared" si="64"/>
        <v>516175728.67530966</v>
      </c>
      <c r="I666">
        <f t="shared" si="65"/>
        <v>40233000.74376072</v>
      </c>
      <c r="J666" s="6"/>
      <c r="K666" s="6"/>
      <c r="L666" s="6"/>
      <c r="M666" s="6"/>
      <c r="N666" s="6"/>
      <c r="O666" s="6"/>
      <c r="P666" s="6"/>
      <c r="Q666" s="6"/>
      <c r="R666" s="6"/>
    </row>
    <row r="667" spans="6:18">
      <c r="F667" s="5">
        <f t="shared" si="66"/>
        <v>1.450238457441057E-10</v>
      </c>
      <c r="G667" s="4">
        <f t="shared" si="63"/>
        <v>7.6385499236999457E-2</v>
      </c>
      <c r="H667" s="3">
        <f t="shared" si="64"/>
        <v>526709927.21970373</v>
      </c>
      <c r="I667">
        <f t="shared" si="65"/>
        <v>40233000.74376072</v>
      </c>
      <c r="J667" s="6"/>
      <c r="K667" s="6"/>
      <c r="L667" s="6"/>
      <c r="M667" s="6"/>
      <c r="N667" s="6"/>
      <c r="O667" s="6"/>
      <c r="P667" s="6"/>
      <c r="Q667" s="6"/>
      <c r="R667" s="6"/>
    </row>
    <row r="668" spans="6:18">
      <c r="F668" s="5">
        <f t="shared" si="66"/>
        <v>1.392809014526391E-10</v>
      </c>
      <c r="G668" s="4">
        <f t="shared" si="63"/>
        <v>7.4857789252259471E-2</v>
      </c>
      <c r="H668" s="3">
        <f t="shared" si="64"/>
        <v>537459109.40786099</v>
      </c>
      <c r="I668">
        <f t="shared" si="65"/>
        <v>40233000.74376072</v>
      </c>
      <c r="J668" s="6"/>
      <c r="K668" s="6"/>
      <c r="L668" s="6"/>
      <c r="M668" s="6"/>
      <c r="N668" s="6"/>
      <c r="O668" s="6"/>
      <c r="P668" s="6"/>
      <c r="Q668" s="6"/>
      <c r="R668" s="6"/>
    </row>
    <row r="669" spans="6:18">
      <c r="F669" s="5">
        <f t="shared" si="66"/>
        <v>1.337653777551146E-10</v>
      </c>
      <c r="G669" s="4">
        <f t="shared" si="63"/>
        <v>7.3360633467214276E-2</v>
      </c>
      <c r="H669" s="3">
        <f t="shared" si="64"/>
        <v>548427662.66108263</v>
      </c>
      <c r="I669">
        <f t="shared" si="65"/>
        <v>40233000.74376072</v>
      </c>
      <c r="J669" s="6"/>
      <c r="K669" s="6"/>
      <c r="L669" s="6"/>
      <c r="M669" s="6"/>
      <c r="N669" s="6"/>
      <c r="O669" s="6"/>
      <c r="P669" s="6"/>
      <c r="Q669" s="6"/>
      <c r="R669" s="6"/>
    </row>
    <row r="670" spans="6:18">
      <c r="F670" s="5">
        <f t="shared" si="66"/>
        <v>1.2846826879601206E-10</v>
      </c>
      <c r="G670" s="4">
        <f t="shared" si="63"/>
        <v>7.1893420797869992E-2</v>
      </c>
      <c r="H670" s="3">
        <f t="shared" si="64"/>
        <v>559620063.93988025</v>
      </c>
      <c r="I670">
        <f t="shared" si="65"/>
        <v>40233000.74376072</v>
      </c>
      <c r="J670" s="6"/>
      <c r="K670" s="6"/>
      <c r="L670" s="6"/>
      <c r="M670" s="6"/>
      <c r="N670" s="6"/>
      <c r="O670" s="6"/>
      <c r="P670" s="6"/>
      <c r="Q670" s="6"/>
      <c r="R670" s="6"/>
    </row>
    <row r="671" spans="6:18">
      <c r="F671" s="5">
        <f t="shared" si="66"/>
        <v>1.2338092535168998E-10</v>
      </c>
      <c r="G671" s="4">
        <f t="shared" si="63"/>
        <v>7.045555238191259E-2</v>
      </c>
      <c r="H671" s="3">
        <f t="shared" si="64"/>
        <v>571040881.57130635</v>
      </c>
      <c r="I671">
        <f t="shared" si="65"/>
        <v>40233000.74376072</v>
      </c>
      <c r="J671" s="6"/>
      <c r="K671" s="6"/>
      <c r="L671" s="6"/>
      <c r="M671" s="6"/>
      <c r="N671" s="6"/>
      <c r="O671" s="6"/>
      <c r="P671" s="6"/>
      <c r="Q671" s="6"/>
      <c r="R671" s="6"/>
    </row>
    <row r="672" spans="6:18">
      <c r="F672" s="5">
        <f t="shared" si="66"/>
        <v>1.1849504070776304E-10</v>
      </c>
      <c r="G672" s="4">
        <f t="shared" si="63"/>
        <v>6.9046441334274331E-2</v>
      </c>
      <c r="H672" s="3">
        <f t="shared" si="64"/>
        <v>582694777.11357796</v>
      </c>
      <c r="I672">
        <f t="shared" si="65"/>
        <v>40233000.74376072</v>
      </c>
      <c r="J672" s="6"/>
      <c r="K672" s="6"/>
      <c r="L672" s="6"/>
      <c r="M672" s="6"/>
      <c r="N672" s="6"/>
      <c r="O672" s="6"/>
      <c r="P672" s="6"/>
      <c r="Q672" s="6"/>
      <c r="R672" s="6"/>
    </row>
    <row r="673" spans="6:18">
      <c r="F673" s="5">
        <f t="shared" si="66"/>
        <v>1.1380263709573561E-10</v>
      </c>
      <c r="G673" s="4">
        <f t="shared" si="63"/>
        <v>6.7665512507588843E-2</v>
      </c>
      <c r="H673" s="3">
        <f t="shared" si="64"/>
        <v>594586507.25875306</v>
      </c>
      <c r="I673">
        <f t="shared" si="65"/>
        <v>40233000.74376072</v>
      </c>
      <c r="J673" s="6"/>
      <c r="K673" s="6"/>
      <c r="L673" s="6"/>
      <c r="M673" s="6"/>
      <c r="N673" s="6"/>
      <c r="O673" s="6"/>
      <c r="P673" s="6"/>
      <c r="Q673" s="6"/>
      <c r="R673" s="6"/>
    </row>
    <row r="674" spans="6:18">
      <c r="F674" s="5">
        <f t="shared" si="66"/>
        <v>1.0929605266674446E-10</v>
      </c>
      <c r="G674" s="4">
        <f t="shared" si="63"/>
        <v>6.6312202257437058E-2</v>
      </c>
      <c r="H674" s="3">
        <f t="shared" si="64"/>
        <v>606720925.77423787</v>
      </c>
      <c r="I674">
        <f t="shared" si="65"/>
        <v>40233000.74376072</v>
      </c>
      <c r="J674" s="6"/>
      <c r="K674" s="6"/>
      <c r="L674" s="6"/>
      <c r="M674" s="6"/>
      <c r="N674" s="6"/>
      <c r="O674" s="6"/>
      <c r="P674" s="6"/>
      <c r="Q674" s="6"/>
      <c r="R674" s="6"/>
    </row>
    <row r="675" spans="6:18">
      <c r="F675" s="5">
        <f t="shared" si="66"/>
        <v>1.0496792898114139E-10</v>
      </c>
      <c r="G675" s="4">
        <f t="shared" si="63"/>
        <v>6.4985958212288322E-2</v>
      </c>
      <c r="H675" s="3">
        <f t="shared" si="64"/>
        <v>619102985.48391616</v>
      </c>
      <c r="I675">
        <f t="shared" si="65"/>
        <v>40233000.74376072</v>
      </c>
      <c r="J675" s="6"/>
      <c r="K675" s="6"/>
      <c r="L675" s="6"/>
      <c r="M675" s="6"/>
      <c r="N675" s="6"/>
      <c r="O675" s="6"/>
      <c r="P675" s="6"/>
      <c r="Q675" s="6"/>
      <c r="R675" s="6"/>
    </row>
    <row r="676" spans="6:18">
      <c r="F676" s="5">
        <f t="shared" si="66"/>
        <v>1.0081119899348818E-10</v>
      </c>
      <c r="G676" s="4">
        <f t="shared" si="63"/>
        <v>6.3686239048042548E-2</v>
      </c>
      <c r="H676" s="3">
        <f t="shared" si="64"/>
        <v>631737740.2897104</v>
      </c>
      <c r="I676">
        <f t="shared" si="65"/>
        <v>40233000.74376072</v>
      </c>
      <c r="J676" s="6"/>
      <c r="K676" s="6"/>
      <c r="L676" s="6"/>
      <c r="M676" s="6"/>
      <c r="N676" s="6"/>
      <c r="O676" s="6"/>
      <c r="P676" s="6"/>
      <c r="Q676" s="6"/>
      <c r="R676" s="6"/>
    </row>
    <row r="677" spans="6:18">
      <c r="F677" s="5">
        <f t="shared" si="66"/>
        <v>9.6819075513346024E-11</v>
      </c>
      <c r="G677" s="4">
        <f t="shared" si="63"/>
        <v>6.2412514267081692E-2</v>
      </c>
      <c r="H677" s="3">
        <f t="shared" si="64"/>
        <v>644630347.23439848</v>
      </c>
      <c r="I677">
        <f t="shared" si="65"/>
        <v>40233000.74376072</v>
      </c>
      <c r="J677" s="6"/>
      <c r="K677" s="6"/>
      <c r="L677" s="6"/>
      <c r="M677" s="6"/>
      <c r="N677" s="6"/>
      <c r="O677" s="6"/>
      <c r="P677" s="6"/>
      <c r="Q677" s="6"/>
      <c r="R677" s="6"/>
    </row>
    <row r="678" spans="6:18">
      <c r="F678" s="5">
        <f t="shared" si="66"/>
        <v>9.2985040123017525E-11</v>
      </c>
      <c r="G678" s="4">
        <f t="shared" si="63"/>
        <v>6.1164263981740061E-2</v>
      </c>
      <c r="H678" s="3">
        <f t="shared" si="64"/>
        <v>657786068.606529</v>
      </c>
      <c r="I678">
        <f t="shared" si="65"/>
        <v>40233000.74376072</v>
      </c>
      <c r="J678" s="6"/>
      <c r="K678" s="6"/>
      <c r="L678" s="6"/>
      <c r="M678" s="6"/>
      <c r="N678" s="6"/>
      <c r="O678" s="6"/>
      <c r="P678" s="6"/>
      <c r="Q678" s="6"/>
      <c r="R678" s="6"/>
    </row>
    <row r="679" spans="6:18">
      <c r="F679" s="5">
        <f t="shared" si="66"/>
        <v>8.9302832534146049E-11</v>
      </c>
      <c r="G679" s="4">
        <f t="shared" si="63"/>
        <v>5.9940978702105262E-2</v>
      </c>
      <c r="H679" s="3">
        <f t="shared" si="64"/>
        <v>671210274.08829486</v>
      </c>
      <c r="I679">
        <f t="shared" si="65"/>
        <v>40233000.74376072</v>
      </c>
      <c r="J679" s="6"/>
      <c r="K679" s="6"/>
      <c r="L679" s="6"/>
      <c r="M679" s="6"/>
      <c r="N679" s="6"/>
      <c r="O679" s="6"/>
      <c r="P679" s="6"/>
      <c r="Q679" s="6"/>
      <c r="R679" s="6"/>
    </row>
    <row r="680" spans="6:18">
      <c r="F680" s="5">
        <f t="shared" si="66"/>
        <v>8.5766440365793838E-11</v>
      </c>
      <c r="G680" s="4">
        <f t="shared" si="63"/>
        <v>5.8742159128063152E-2</v>
      </c>
      <c r="H680" s="3">
        <f t="shared" si="64"/>
        <v>684908442.94723976</v>
      </c>
      <c r="I680">
        <f t="shared" si="65"/>
        <v>40233000.74376072</v>
      </c>
      <c r="J680" s="6"/>
      <c r="K680" s="6"/>
      <c r="L680" s="6"/>
      <c r="M680" s="6"/>
      <c r="N680" s="6"/>
      <c r="O680" s="6"/>
      <c r="P680" s="6"/>
      <c r="Q680" s="6"/>
      <c r="R680" s="6"/>
    </row>
    <row r="681" spans="6:18">
      <c r="F681" s="5">
        <f t="shared" si="66"/>
        <v>8.2370089327308404E-11</v>
      </c>
      <c r="G681" s="4">
        <f t="shared" si="63"/>
        <v>5.7567315945501886E-2</v>
      </c>
      <c r="H681" s="3">
        <f t="shared" si="64"/>
        <v>698886166.27269363</v>
      </c>
      <c r="I681">
        <f t="shared" si="65"/>
        <v>40233000.74376072</v>
      </c>
      <c r="J681" s="6"/>
      <c r="K681" s="6"/>
      <c r="L681" s="6"/>
      <c r="M681" s="6"/>
      <c r="N681" s="6"/>
      <c r="O681" s="6"/>
      <c r="P681" s="6"/>
      <c r="Q681" s="6"/>
      <c r="R681" s="6"/>
    </row>
    <row r="682" spans="6:18">
      <c r="F682" s="5">
        <f t="shared" si="66"/>
        <v>7.9108233789946971E-11</v>
      </c>
      <c r="G682" s="4">
        <f t="shared" si="63"/>
        <v>5.6415969626591844E-2</v>
      </c>
      <c r="H682" s="3">
        <f t="shared" si="64"/>
        <v>713149149.25785077</v>
      </c>
      <c r="I682">
        <f t="shared" si="65"/>
        <v>40233000.74376072</v>
      </c>
      <c r="J682" s="6"/>
      <c r="K682" s="6"/>
      <c r="L682" s="6"/>
      <c r="M682" s="6"/>
      <c r="N682" s="6"/>
      <c r="O682" s="6"/>
      <c r="P682" s="6"/>
      <c r="Q682" s="6"/>
      <c r="R682" s="6"/>
    </row>
    <row r="683" spans="6:18">
      <c r="F683" s="5">
        <f t="shared" si="66"/>
        <v>7.5975547731865069E-11</v>
      </c>
      <c r="G683" s="4">
        <f t="shared" si="63"/>
        <v>5.5287650234060008E-2</v>
      </c>
      <c r="H683" s="3">
        <f t="shared" si="64"/>
        <v>727703213.52841914</v>
      </c>
      <c r="I683">
        <f t="shared" si="65"/>
        <v>40233000.74376072</v>
      </c>
      <c r="J683" s="6"/>
      <c r="K683" s="6"/>
      <c r="L683" s="6"/>
      <c r="M683" s="6"/>
      <c r="N683" s="6"/>
      <c r="O683" s="6"/>
      <c r="P683" s="6"/>
      <c r="Q683" s="6"/>
      <c r="R683" s="6"/>
    </row>
    <row r="684" spans="6:18">
      <c r="F684" s="5">
        <f t="shared" si="66"/>
        <v>7.2966916041683219E-11</v>
      </c>
      <c r="G684" s="4">
        <f t="shared" si="63"/>
        <v>5.4181897229378807E-2</v>
      </c>
      <c r="H684" s="3">
        <f t="shared" si="64"/>
        <v>742554299.51879501</v>
      </c>
      <c r="I684">
        <f t="shared" si="65"/>
        <v>40233000.74376072</v>
      </c>
      <c r="J684" s="6"/>
      <c r="K684" s="6"/>
      <c r="L684" s="6"/>
      <c r="M684" s="6"/>
      <c r="N684" s="6"/>
      <c r="O684" s="6"/>
      <c r="P684" s="6"/>
      <c r="Q684" s="6"/>
      <c r="R684" s="6"/>
    </row>
    <row r="685" spans="6:18">
      <c r="F685" s="5">
        <f t="shared" si="66"/>
        <v>7.0077426166432545E-11</v>
      </c>
      <c r="G685" s="4">
        <f t="shared" si="63"/>
        <v>5.3098259284791227E-2</v>
      </c>
      <c r="H685" s="3">
        <f t="shared" si="64"/>
        <v>757708468.89672971</v>
      </c>
      <c r="I685">
        <f t="shared" si="65"/>
        <v>40233000.74376072</v>
      </c>
      <c r="J685" s="6"/>
      <c r="K685" s="6"/>
      <c r="L685" s="6"/>
      <c r="M685" s="6"/>
      <c r="N685" s="6"/>
      <c r="O685" s="6"/>
      <c r="P685" s="6"/>
      <c r="Q685" s="6"/>
      <c r="R685" s="6"/>
    </row>
    <row r="686" spans="6:18">
      <c r="F686" s="5">
        <f t="shared" si="66"/>
        <v>6.730236009024182E-11</v>
      </c>
      <c r="G686" s="4">
        <f t="shared" si="63"/>
        <v>5.2036294099095402E-2</v>
      </c>
      <c r="H686" s="3">
        <f t="shared" si="64"/>
        <v>773171907.03747928</v>
      </c>
      <c r="I686">
        <f t="shared" si="65"/>
        <v>40233000.74376072</v>
      </c>
      <c r="J686" s="6"/>
      <c r="K686" s="6"/>
      <c r="L686" s="6"/>
      <c r="M686" s="6"/>
      <c r="N686" s="6"/>
      <c r="O686" s="6"/>
      <c r="P686" s="6"/>
      <c r="Q686" s="6"/>
      <c r="R686" s="6"/>
    </row>
    <row r="687" spans="6:18">
      <c r="F687" s="5">
        <f t="shared" si="66"/>
        <v>6.4637186630668245E-11</v>
      </c>
      <c r="G687" s="4">
        <f t="shared" si="63"/>
        <v>5.0995568217113492E-2</v>
      </c>
      <c r="H687" s="3">
        <f t="shared" si="64"/>
        <v>788950925.5484482</v>
      </c>
      <c r="I687">
        <f t="shared" si="65"/>
        <v>40233000.74376072</v>
      </c>
      <c r="J687" s="6"/>
      <c r="K687" s="6"/>
      <c r="L687" s="6"/>
      <c r="M687" s="6"/>
      <c r="N687" s="6"/>
      <c r="O687" s="6"/>
      <c r="P687" s="6"/>
      <c r="Q687" s="6"/>
      <c r="R687" s="6"/>
    </row>
    <row r="688" spans="6:18">
      <c r="F688" s="5">
        <f t="shared" si="66"/>
        <v>6.2077554040093771E-11</v>
      </c>
      <c r="G688" s="4">
        <f t="shared" si="63"/>
        <v>4.9975656852771222E-2</v>
      </c>
      <c r="H688" s="3">
        <f t="shared" si="64"/>
        <v>805051964.84535539</v>
      </c>
      <c r="I688">
        <f t="shared" si="65"/>
        <v>40233000.74376072</v>
      </c>
      <c r="J688" s="6"/>
      <c r="K688" s="6"/>
      <c r="L688" s="6"/>
      <c r="M688" s="6"/>
      <c r="N688" s="6"/>
      <c r="O688" s="6"/>
      <c r="P688" s="6"/>
      <c r="Q688" s="6"/>
      <c r="R688" s="6"/>
    </row>
    <row r="689" spans="6:18">
      <c r="F689" s="5">
        <f t="shared" si="66"/>
        <v>5.9619282900106066E-11</v>
      </c>
      <c r="G689" s="4">
        <f t="shared" si="63"/>
        <v>4.8976143715715799E-2</v>
      </c>
      <c r="H689" s="3">
        <f t="shared" si="64"/>
        <v>821481596.78097486</v>
      </c>
      <c r="I689">
        <f t="shared" si="65"/>
        <v>40233000.74376072</v>
      </c>
      <c r="J689" s="6"/>
      <c r="K689" s="6"/>
      <c r="L689" s="6"/>
      <c r="M689" s="6"/>
      <c r="N689" s="6"/>
      <c r="O689" s="6"/>
      <c r="P689" s="6"/>
      <c r="Q689" s="6"/>
      <c r="R689" s="6"/>
    </row>
    <row r="690" spans="6:18">
      <c r="F690" s="5">
        <f t="shared" si="66"/>
        <v>5.7258359297261862E-11</v>
      </c>
      <c r="G690" s="4">
        <f t="shared" ref="G690:G753" si="67">G689*(1-$O$1)</f>
        <v>4.799662084140148E-2</v>
      </c>
      <c r="H690" s="3">
        <f t="shared" ref="H690:H753" si="68">I690/G690</f>
        <v>838246527.32752538</v>
      </c>
      <c r="I690">
        <f t="shared" ref="I690:I753" si="69">I689</f>
        <v>40233000.74376072</v>
      </c>
      <c r="J690" s="6"/>
      <c r="K690" s="6"/>
      <c r="L690" s="6"/>
      <c r="M690" s="6"/>
      <c r="N690" s="6"/>
      <c r="O690" s="6"/>
      <c r="P690" s="6"/>
      <c r="Q690" s="6"/>
      <c r="R690" s="6"/>
    </row>
    <row r="691" spans="6:18">
      <c r="F691" s="5">
        <f t="shared" si="66"/>
        <v>5.4990928269090295E-11</v>
      </c>
      <c r="G691" s="4">
        <f t="shared" si="67"/>
        <v>4.7036688424573453E-2</v>
      </c>
      <c r="H691" s="3">
        <f t="shared" si="68"/>
        <v>855353599.31380141</v>
      </c>
      <c r="I691">
        <f t="shared" si="69"/>
        <v>40233000.74376072</v>
      </c>
      <c r="J691" s="6"/>
      <c r="K691" s="6"/>
      <c r="L691" s="6"/>
      <c r="M691" s="6"/>
      <c r="N691" s="6"/>
      <c r="O691" s="6"/>
      <c r="P691" s="6"/>
      <c r="Q691" s="6"/>
      <c r="R691" s="6"/>
    </row>
    <row r="692" spans="6:18">
      <c r="F692" s="5">
        <f t="shared" si="66"/>
        <v>5.2813287509634319E-11</v>
      </c>
      <c r="G692" s="4">
        <f t="shared" si="67"/>
        <v>4.6095954656081982E-2</v>
      </c>
      <c r="H692" s="3">
        <f t="shared" si="68"/>
        <v>872809795.21816468</v>
      </c>
      <c r="I692">
        <f t="shared" si="69"/>
        <v>40233000.74376072</v>
      </c>
      <c r="J692" s="6"/>
      <c r="K692" s="6"/>
      <c r="L692" s="6"/>
      <c r="M692" s="6"/>
      <c r="N692" s="6"/>
      <c r="O692" s="6"/>
      <c r="P692" s="6"/>
      <c r="Q692" s="6"/>
      <c r="R692" s="6"/>
    </row>
    <row r="693" spans="6:18">
      <c r="F693" s="5">
        <f t="shared" si="66"/>
        <v>5.0721881324252791E-11</v>
      </c>
      <c r="G693" s="4">
        <f t="shared" si="67"/>
        <v>4.5174035562960339E-2</v>
      </c>
      <c r="H693" s="3">
        <f t="shared" si="68"/>
        <v>890622240.01853549</v>
      </c>
      <c r="I693">
        <f t="shared" si="69"/>
        <v>40233000.74376072</v>
      </c>
      <c r="J693" s="6"/>
      <c r="K693" s="6"/>
      <c r="L693" s="6"/>
      <c r="M693" s="6"/>
      <c r="N693" s="6"/>
      <c r="O693" s="6"/>
      <c r="P693" s="6"/>
      <c r="Q693" s="6"/>
      <c r="R693" s="6"/>
    </row>
    <row r="694" spans="6:18">
      <c r="F694" s="5">
        <f t="shared" si="66"/>
        <v>4.8713294823812372E-11</v>
      </c>
      <c r="G694" s="4">
        <f t="shared" si="67"/>
        <v>4.427055485170113E-2</v>
      </c>
      <c r="H694" s="3">
        <f t="shared" si="68"/>
        <v>908798204.10054648</v>
      </c>
      <c r="I694">
        <f t="shared" si="69"/>
        <v>40233000.74376072</v>
      </c>
      <c r="J694" s="6"/>
      <c r="K694" s="6"/>
      <c r="L694" s="6"/>
      <c r="M694" s="6"/>
      <c r="N694" s="6"/>
      <c r="O694" s="6"/>
      <c r="P694" s="6"/>
      <c r="Q694" s="6"/>
      <c r="R694" s="6"/>
    </row>
    <row r="695" spans="6:18">
      <c r="F695" s="5">
        <f t="shared" si="66"/>
        <v>4.6784248348789406E-11</v>
      </c>
      <c r="G695" s="4">
        <f t="shared" si="67"/>
        <v>4.3385143754667108E-2</v>
      </c>
      <c r="H695" s="3">
        <f t="shared" si="68"/>
        <v>927345106.22504735</v>
      </c>
      <c r="I695">
        <f t="shared" si="69"/>
        <v>40233000.74376072</v>
      </c>
      <c r="J695" s="6"/>
      <c r="K695" s="6"/>
      <c r="L695" s="6"/>
      <c r="M695" s="6"/>
      <c r="N695" s="6"/>
      <c r="O695" s="6"/>
      <c r="P695" s="6"/>
      <c r="Q695" s="6"/>
      <c r="R695" s="6"/>
    </row>
    <row r="696" spans="6:18">
      <c r="F696" s="5">
        <f t="shared" si="66"/>
        <v>4.4931592114177344E-11</v>
      </c>
      <c r="G696" s="4">
        <f t="shared" si="67"/>
        <v>4.2517440879573765E-2</v>
      </c>
      <c r="H696" s="3">
        <f t="shared" si="68"/>
        <v>946270516.55617082</v>
      </c>
      <c r="I696">
        <f t="shared" si="69"/>
        <v>40233000.74376072</v>
      </c>
      <c r="J696" s="6"/>
      <c r="K696" s="6"/>
      <c r="L696" s="6"/>
      <c r="M696" s="6"/>
      <c r="N696" s="6"/>
      <c r="O696" s="6"/>
      <c r="P696" s="6"/>
      <c r="Q696" s="6"/>
      <c r="R696" s="6"/>
    </row>
    <row r="697" spans="6:18">
      <c r="F697" s="5">
        <f t="shared" si="66"/>
        <v>4.3152301066455921E-11</v>
      </c>
      <c r="G697" s="4">
        <f t="shared" si="67"/>
        <v>4.166709206198229E-2</v>
      </c>
      <c r="H697" s="3">
        <f t="shared" si="68"/>
        <v>965582159.75119472</v>
      </c>
      <c r="I697">
        <f t="shared" si="69"/>
        <v>40233000.74376072</v>
      </c>
      <c r="J697" s="6"/>
      <c r="K697" s="6"/>
      <c r="L697" s="6"/>
      <c r="M697" s="6"/>
      <c r="N697" s="6"/>
      <c r="O697" s="6"/>
      <c r="P697" s="6"/>
      <c r="Q697" s="6"/>
      <c r="R697" s="6"/>
    </row>
    <row r="698" spans="6:18">
      <c r="F698" s="5">
        <f t="shared" si="66"/>
        <v>4.1443469944224266E-11</v>
      </c>
      <c r="G698" s="4">
        <f t="shared" si="67"/>
        <v>4.0833750220742641E-2</v>
      </c>
      <c r="H698" s="3">
        <f t="shared" si="68"/>
        <v>985287918.113464</v>
      </c>
      <c r="I698">
        <f t="shared" si="69"/>
        <v>40233000.74376072</v>
      </c>
      <c r="J698" s="6"/>
      <c r="K698" s="6"/>
      <c r="L698" s="6"/>
      <c r="M698" s="6"/>
      <c r="N698" s="6"/>
      <c r="O698" s="6"/>
      <c r="P698" s="6"/>
      <c r="Q698" s="6"/>
      <c r="R698" s="6"/>
    </row>
    <row r="699" spans="6:18">
      <c r="F699" s="5">
        <f t="shared" si="66"/>
        <v>3.9802308534432975E-11</v>
      </c>
      <c r="G699" s="4">
        <f t="shared" si="67"/>
        <v>4.0017075216327788E-2</v>
      </c>
      <c r="H699" s="3">
        <f t="shared" si="68"/>
        <v>1005395834.8096572</v>
      </c>
      <c r="I699">
        <f t="shared" si="69"/>
        <v>40233000.74376072</v>
      </c>
      <c r="J699" s="6"/>
      <c r="K699" s="6"/>
      <c r="L699" s="6"/>
      <c r="M699" s="6"/>
      <c r="N699" s="6"/>
      <c r="O699" s="6"/>
      <c r="P699" s="6"/>
      <c r="Q699" s="6"/>
      <c r="R699" s="6"/>
    </row>
    <row r="700" spans="6:18">
      <c r="F700" s="5">
        <f t="shared" si="66"/>
        <v>3.8226137116469434E-11</v>
      </c>
      <c r="G700" s="4">
        <f t="shared" si="67"/>
        <v>3.9216733712001232E-2</v>
      </c>
      <c r="H700" s="3">
        <f t="shared" si="68"/>
        <v>1025914117.1527114</v>
      </c>
      <c r="I700">
        <f t="shared" si="69"/>
        <v>40233000.74376072</v>
      </c>
      <c r="J700" s="6"/>
      <c r="K700" s="6"/>
      <c r="L700" s="6"/>
      <c r="M700" s="6"/>
      <c r="N700" s="6"/>
      <c r="O700" s="6"/>
      <c r="P700" s="6"/>
      <c r="Q700" s="6"/>
      <c r="R700" s="6"/>
    </row>
    <row r="701" spans="6:18">
      <c r="F701" s="5">
        <f t="shared" si="66"/>
        <v>3.6712382086657244E-11</v>
      </c>
      <c r="G701" s="4">
        <f t="shared" si="67"/>
        <v>3.843239903776121E-2</v>
      </c>
      <c r="H701" s="3">
        <f t="shared" si="68"/>
        <v>1046851139.9517463</v>
      </c>
      <c r="I701">
        <f t="shared" si="69"/>
        <v>40233000.74376072</v>
      </c>
      <c r="J701" s="6"/>
      <c r="K701" s="6"/>
      <c r="L701" s="6"/>
      <c r="M701" s="6"/>
      <c r="N701" s="6"/>
      <c r="O701" s="6"/>
      <c r="P701" s="6"/>
      <c r="Q701" s="6"/>
      <c r="R701" s="6"/>
    </row>
    <row r="702" spans="6:18">
      <c r="F702" s="5">
        <f t="shared" si="66"/>
        <v>3.5258571756025617E-11</v>
      </c>
      <c r="G702" s="4">
        <f t="shared" si="67"/>
        <v>3.7663751057005986E-2</v>
      </c>
      <c r="H702" s="3">
        <f t="shared" si="68"/>
        <v>1068215448.9303534</v>
      </c>
      <c r="I702">
        <f t="shared" si="69"/>
        <v>40233000.74376072</v>
      </c>
      <c r="J702" s="6"/>
      <c r="K702" s="6"/>
      <c r="L702" s="6"/>
      <c r="M702" s="6"/>
      <c r="N702" s="6"/>
      <c r="O702" s="6"/>
      <c r="P702" s="6"/>
      <c r="Q702" s="6"/>
      <c r="R702" s="6"/>
    </row>
    <row r="703" spans="6:18">
      <c r="F703" s="5">
        <f t="shared" si="66"/>
        <v>3.3862332314487001E-11</v>
      </c>
      <c r="G703" s="4">
        <f t="shared" si="67"/>
        <v>3.6910476035865863E-2</v>
      </c>
      <c r="H703" s="3">
        <f t="shared" si="68"/>
        <v>1090015764.2146463</v>
      </c>
      <c r="I703">
        <f t="shared" si="69"/>
        <v>40233000.74376072</v>
      </c>
      <c r="J703" s="6"/>
      <c r="K703" s="6"/>
      <c r="L703" s="6"/>
      <c r="M703" s="6"/>
      <c r="N703" s="6"/>
      <c r="O703" s="6"/>
      <c r="P703" s="6"/>
      <c r="Q703" s="6"/>
      <c r="R703" s="6"/>
    </row>
    <row r="704" spans="6:18">
      <c r="F704" s="5">
        <f t="shared" si="66"/>
        <v>3.2521383954833314E-11</v>
      </c>
      <c r="G704" s="4">
        <f t="shared" si="67"/>
        <v>3.6172266515148543E-2</v>
      </c>
      <c r="H704" s="3">
        <f t="shared" si="68"/>
        <v>1112260983.8924963</v>
      </c>
      <c r="I704">
        <f t="shared" si="69"/>
        <v>40233000.74376072</v>
      </c>
      <c r="J704" s="6"/>
      <c r="K704" s="6"/>
      <c r="L704" s="6"/>
      <c r="M704" s="6"/>
      <c r="N704" s="6"/>
      <c r="O704" s="6"/>
      <c r="P704" s="6"/>
      <c r="Q704" s="6"/>
      <c r="R704" s="6"/>
    </row>
    <row r="705" spans="6:18">
      <c r="F705" s="5">
        <f t="shared" si="66"/>
        <v>3.1233537150221917E-11</v>
      </c>
      <c r="G705" s="4">
        <f t="shared" si="67"/>
        <v>3.5448821184845575E-2</v>
      </c>
      <c r="H705" s="3">
        <f t="shared" si="68"/>
        <v>1134960187.6454043</v>
      </c>
      <c r="I705">
        <f t="shared" si="69"/>
        <v>40233000.74376072</v>
      </c>
      <c r="J705" s="6"/>
      <c r="K705" s="6"/>
      <c r="L705" s="6"/>
      <c r="M705" s="6"/>
      <c r="N705" s="6"/>
      <c r="O705" s="6"/>
      <c r="P705" s="6"/>
      <c r="Q705" s="6"/>
      <c r="R705" s="6"/>
    </row>
    <row r="706" spans="6:18">
      <c r="F706" s="5">
        <f t="shared" si="66"/>
        <v>2.999668907907313E-11</v>
      </c>
      <c r="G706" s="4">
        <f t="shared" si="67"/>
        <v>3.4739844761148664E-2</v>
      </c>
      <c r="H706" s="3">
        <f t="shared" si="68"/>
        <v>1158122640.4544942</v>
      </c>
      <c r="I706">
        <f t="shared" si="69"/>
        <v>40233000.74376072</v>
      </c>
      <c r="J706" s="6"/>
      <c r="K706" s="6"/>
      <c r="L706" s="6"/>
      <c r="M706" s="6"/>
      <c r="N706" s="6"/>
      <c r="O706" s="6"/>
      <c r="P706" s="6"/>
      <c r="Q706" s="6"/>
      <c r="R706" s="6"/>
    </row>
    <row r="707" spans="6:18">
      <c r="F707" s="5">
        <f t="shared" si="66"/>
        <v>2.8808820191541829E-11</v>
      </c>
      <c r="G707" s="4">
        <f t="shared" si="67"/>
        <v>3.4045047865925687E-2</v>
      </c>
      <c r="H707" s="3">
        <f t="shared" si="68"/>
        <v>1181757796.3821371</v>
      </c>
      <c r="I707">
        <f t="shared" si="69"/>
        <v>40233000.74376072</v>
      </c>
      <c r="J707" s="6"/>
      <c r="K707" s="6"/>
      <c r="L707" s="6"/>
      <c r="M707" s="6"/>
      <c r="N707" s="6"/>
      <c r="O707" s="6"/>
      <c r="P707" s="6"/>
      <c r="Q707" s="6"/>
      <c r="R707" s="6"/>
    </row>
    <row r="708" spans="6:18">
      <c r="F708" s="5">
        <f t="shared" si="66"/>
        <v>2.7667990911956767E-11</v>
      </c>
      <c r="G708" s="4">
        <f t="shared" si="67"/>
        <v>3.3364146908607173E-2</v>
      </c>
      <c r="H708" s="3">
        <f t="shared" si="68"/>
        <v>1205875302.4307523</v>
      </c>
      <c r="I708">
        <f t="shared" si="69"/>
        <v>40233000.74376072</v>
      </c>
      <c r="J708" s="6"/>
      <c r="K708" s="6"/>
      <c r="L708" s="6"/>
      <c r="M708" s="6"/>
      <c r="N708" s="6"/>
      <c r="O708" s="6"/>
      <c r="P708" s="6"/>
      <c r="Q708" s="6"/>
      <c r="R708" s="6"/>
    </row>
    <row r="709" spans="6:18">
      <c r="F709" s="5">
        <f t="shared" si="66"/>
        <v>2.6572338471843283E-11</v>
      </c>
      <c r="G709" s="4">
        <f t="shared" si="67"/>
        <v>3.2696863970435031E-2</v>
      </c>
      <c r="H709" s="3">
        <f t="shared" si="68"/>
        <v>1230485002.4803593</v>
      </c>
      <c r="I709">
        <f t="shared" si="69"/>
        <v>40233000.74376072</v>
      </c>
      <c r="J709" s="6"/>
      <c r="K709" s="6"/>
      <c r="L709" s="6"/>
      <c r="M709" s="6"/>
      <c r="N709" s="6"/>
      <c r="O709" s="6"/>
      <c r="P709" s="6"/>
      <c r="Q709" s="6"/>
      <c r="R709" s="6"/>
    </row>
    <row r="710" spans="6:18">
      <c r="F710" s="5">
        <f t="shared" si="66"/>
        <v>2.5520073868358293E-11</v>
      </c>
      <c r="G710" s="4">
        <f t="shared" si="67"/>
        <v>3.2042926691026333E-2</v>
      </c>
      <c r="H710" s="3">
        <f t="shared" si="68"/>
        <v>1255596941.306489</v>
      </c>
      <c r="I710">
        <f t="shared" si="69"/>
        <v>40233000.74376072</v>
      </c>
      <c r="J710" s="6"/>
      <c r="K710" s="6"/>
      <c r="L710" s="6"/>
      <c r="M710" s="6"/>
      <c r="N710" s="6"/>
      <c r="O710" s="6"/>
      <c r="P710" s="6"/>
      <c r="Q710" s="6"/>
      <c r="R710" s="6"/>
    </row>
    <row r="711" spans="6:18">
      <c r="F711" s="5">
        <f t="shared" si="66"/>
        <v>2.45094789431713E-11</v>
      </c>
      <c r="G711" s="4">
        <f t="shared" si="67"/>
        <v>3.1402068157205802E-2</v>
      </c>
      <c r="H711" s="3">
        <f t="shared" si="68"/>
        <v>1281221368.6800909</v>
      </c>
      <c r="I711">
        <f t="shared" si="69"/>
        <v>40233000.74376072</v>
      </c>
      <c r="J711" s="6"/>
      <c r="K711" s="6"/>
      <c r="L711" s="6"/>
      <c r="M711" s="6"/>
      <c r="N711" s="6"/>
      <c r="O711" s="6"/>
      <c r="P711" s="6"/>
      <c r="Q711" s="6"/>
      <c r="R711" s="6"/>
    </row>
    <row r="712" spans="6:18">
      <c r="F712" s="5">
        <f t="shared" si="66"/>
        <v>2.3538903577021712E-11</v>
      </c>
      <c r="G712" s="4">
        <f t="shared" si="67"/>
        <v>3.0774026794061684E-2</v>
      </c>
      <c r="H712" s="3">
        <f t="shared" si="68"/>
        <v>1307368743.5511134</v>
      </c>
      <c r="I712">
        <f t="shared" si="69"/>
        <v>40233000.74376072</v>
      </c>
      <c r="J712" s="6"/>
      <c r="K712" s="6"/>
      <c r="L712" s="6"/>
      <c r="M712" s="6"/>
      <c r="N712" s="6"/>
      <c r="O712" s="6"/>
      <c r="P712" s="6"/>
      <c r="Q712" s="6"/>
      <c r="R712" s="6"/>
    </row>
    <row r="713" spans="6:18">
      <c r="F713" s="5">
        <f t="shared" ref="F713:F776" si="70">G713/H713</f>
        <v>2.2606762995371652E-11</v>
      </c>
      <c r="G713" s="4">
        <f t="shared" si="67"/>
        <v>3.0158546258180451E-2</v>
      </c>
      <c r="H713" s="3">
        <f t="shared" si="68"/>
        <v>1334049738.3174627</v>
      </c>
      <c r="I713">
        <f t="shared" si="69"/>
        <v>40233000.74376072</v>
      </c>
      <c r="J713" s="6"/>
      <c r="K713" s="6"/>
      <c r="L713" s="6"/>
      <c r="M713" s="6"/>
      <c r="N713" s="6"/>
      <c r="O713" s="6"/>
      <c r="P713" s="6"/>
      <c r="Q713" s="6"/>
      <c r="R713" s="6"/>
    </row>
    <row r="714" spans="6:18">
      <c r="F714" s="5">
        <f t="shared" si="70"/>
        <v>2.1711535180754938E-11</v>
      </c>
      <c r="G714" s="4">
        <f t="shared" si="67"/>
        <v>2.9555375333016842E-2</v>
      </c>
      <c r="H714" s="3">
        <f t="shared" si="68"/>
        <v>1361275243.1810842</v>
      </c>
      <c r="I714">
        <f t="shared" si="69"/>
        <v>40233000.74376072</v>
      </c>
      <c r="J714" s="6"/>
      <c r="K714" s="6"/>
      <c r="L714" s="6"/>
      <c r="M714" s="6"/>
      <c r="N714" s="6"/>
      <c r="O714" s="6"/>
      <c r="P714" s="6"/>
      <c r="Q714" s="6"/>
      <c r="R714" s="6"/>
    </row>
    <row r="715" spans="6:18">
      <c r="F715" s="5">
        <f t="shared" si="70"/>
        <v>2.0851758387597045E-11</v>
      </c>
      <c r="G715" s="4">
        <f t="shared" si="67"/>
        <v>2.8964267826356506E-2</v>
      </c>
      <c r="H715" s="3">
        <f t="shared" si="68"/>
        <v>1389056370.592943</v>
      </c>
      <c r="I715">
        <f t="shared" si="69"/>
        <v>40233000.74376072</v>
      </c>
      <c r="J715" s="6"/>
      <c r="K715" s="6"/>
      <c r="L715" s="6"/>
      <c r="M715" s="6"/>
      <c r="N715" s="6"/>
      <c r="O715" s="6"/>
      <c r="P715" s="6"/>
      <c r="Q715" s="6"/>
      <c r="R715" s="6"/>
    </row>
    <row r="716" spans="6:18">
      <c r="F716" s="5">
        <f t="shared" si="70"/>
        <v>2.00260287554482E-11</v>
      </c>
      <c r="G716" s="4">
        <f t="shared" si="67"/>
        <v>2.8384982469829376E-2</v>
      </c>
      <c r="H716" s="3">
        <f t="shared" si="68"/>
        <v>1417404459.7887173</v>
      </c>
      <c r="I716">
        <f t="shared" si="69"/>
        <v>40233000.74376072</v>
      </c>
      <c r="J716" s="6"/>
      <c r="K716" s="6"/>
      <c r="L716" s="6"/>
      <c r="M716" s="6"/>
      <c r="N716" s="6"/>
      <c r="O716" s="6"/>
      <c r="P716" s="6"/>
      <c r="Q716" s="6"/>
      <c r="R716" s="6"/>
    </row>
    <row r="717" spans="6:18">
      <c r="F717" s="5">
        <f t="shared" si="70"/>
        <v>1.9232998016732455E-11</v>
      </c>
      <c r="G717" s="4">
        <f t="shared" si="67"/>
        <v>2.781728282043279E-2</v>
      </c>
      <c r="H717" s="3">
        <f t="shared" si="68"/>
        <v>1446331081.4170585</v>
      </c>
      <c r="I717">
        <f t="shared" si="69"/>
        <v>40233000.74376072</v>
      </c>
      <c r="J717" s="6"/>
      <c r="K717" s="6"/>
      <c r="L717" s="6"/>
      <c r="M717" s="6"/>
      <c r="N717" s="6"/>
      <c r="O717" s="6"/>
      <c r="P717" s="6"/>
      <c r="Q717" s="6"/>
      <c r="R717" s="6"/>
    </row>
    <row r="718" spans="6:18">
      <c r="F718" s="5">
        <f t="shared" si="70"/>
        <v>1.8471371295269847E-11</v>
      </c>
      <c r="G718" s="4">
        <f t="shared" si="67"/>
        <v>2.7260937164024134E-2</v>
      </c>
      <c r="H718" s="3">
        <f t="shared" si="68"/>
        <v>1475848042.2623045</v>
      </c>
      <c r="I718">
        <f t="shared" si="69"/>
        <v>40233000.74376072</v>
      </c>
      <c r="J718" s="6"/>
      <c r="K718" s="6"/>
      <c r="L718" s="6"/>
      <c r="M718" s="6"/>
      <c r="N718" s="6"/>
      <c r="O718" s="6"/>
      <c r="P718" s="6"/>
      <c r="Q718" s="6"/>
      <c r="R718" s="6"/>
    </row>
    <row r="719" spans="6:18">
      <c r="F719" s="5">
        <f t="shared" si="70"/>
        <v>1.7739904991977161E-11</v>
      </c>
      <c r="G719" s="4">
        <f t="shared" si="67"/>
        <v>2.6715718420743651E-2</v>
      </c>
      <c r="H719" s="3">
        <f t="shared" si="68"/>
        <v>1505967390.0635762</v>
      </c>
      <c r="I719">
        <f t="shared" si="69"/>
        <v>40233000.74376072</v>
      </c>
      <c r="J719" s="6"/>
      <c r="K719" s="6"/>
      <c r="L719" s="6"/>
      <c r="M719" s="6"/>
      <c r="N719" s="6"/>
      <c r="O719" s="6"/>
      <c r="P719" s="6"/>
      <c r="Q719" s="6"/>
      <c r="R719" s="6"/>
    </row>
    <row r="720" spans="6:18">
      <c r="F720" s="5">
        <f t="shared" si="70"/>
        <v>1.7037404754294867E-11</v>
      </c>
      <c r="G720" s="4">
        <f t="shared" si="67"/>
        <v>2.6181404052328779E-2</v>
      </c>
      <c r="H720" s="3">
        <f t="shared" si="68"/>
        <v>1536701418.4322205</v>
      </c>
      <c r="I720">
        <f t="shared" si="69"/>
        <v>40233000.74376072</v>
      </c>
      <c r="J720" s="6"/>
      <c r="K720" s="6"/>
      <c r="L720" s="6"/>
      <c r="M720" s="6"/>
      <c r="N720" s="6"/>
      <c r="O720" s="6"/>
      <c r="P720" s="6"/>
      <c r="Q720" s="6"/>
      <c r="R720" s="6"/>
    </row>
    <row r="721" spans="6:18">
      <c r="F721" s="5">
        <f t="shared" si="70"/>
        <v>1.6362723526024786E-11</v>
      </c>
      <c r="G721" s="4">
        <f t="shared" si="67"/>
        <v>2.5657775971282201E-2</v>
      </c>
      <c r="H721" s="3">
        <f t="shared" si="68"/>
        <v>1568062671.8696129</v>
      </c>
      <c r="I721">
        <f t="shared" si="69"/>
        <v>40233000.74376072</v>
      </c>
      <c r="J721" s="6"/>
      <c r="K721" s="6"/>
      <c r="L721" s="6"/>
      <c r="M721" s="6"/>
      <c r="N721" s="6"/>
      <c r="O721" s="6"/>
      <c r="P721" s="6"/>
      <c r="Q721" s="6"/>
      <c r="R721" s="6"/>
    </row>
    <row r="722" spans="6:18">
      <c r="F722" s="5">
        <f t="shared" si="70"/>
        <v>1.5714759674394205E-11</v>
      </c>
      <c r="G722" s="4">
        <f t="shared" si="67"/>
        <v>2.5144620451856555E-2</v>
      </c>
      <c r="H722" s="3">
        <f t="shared" si="68"/>
        <v>1600063950.8873601</v>
      </c>
      <c r="I722">
        <f t="shared" si="69"/>
        <v>40233000.74376072</v>
      </c>
      <c r="J722" s="6"/>
      <c r="K722" s="6"/>
      <c r="L722" s="6"/>
      <c r="M722" s="6"/>
      <c r="N722" s="6"/>
      <c r="O722" s="6"/>
      <c r="P722" s="6"/>
      <c r="Q722" s="6"/>
      <c r="R722" s="6"/>
    </row>
    <row r="723" spans="6:18">
      <c r="F723" s="5">
        <f t="shared" si="70"/>
        <v>1.509245519128819E-11</v>
      </c>
      <c r="G723" s="4">
        <f t="shared" si="67"/>
        <v>2.4641728042819423E-2</v>
      </c>
      <c r="H723" s="3">
        <f t="shared" si="68"/>
        <v>1632718317.2320004</v>
      </c>
      <c r="I723">
        <f t="shared" si="69"/>
        <v>40233000.74376072</v>
      </c>
      <c r="J723" s="6"/>
      <c r="K723" s="6"/>
      <c r="L723" s="6"/>
      <c r="M723" s="6"/>
      <c r="N723" s="6"/>
      <c r="O723" s="6"/>
      <c r="P723" s="6"/>
      <c r="Q723" s="6"/>
      <c r="R723" s="6"/>
    </row>
    <row r="724" spans="6:18">
      <c r="F724" s="5">
        <f t="shared" si="70"/>
        <v>1.4494793965713178E-11</v>
      </c>
      <c r="G724" s="4">
        <f t="shared" si="67"/>
        <v>2.4148893481963033E-2</v>
      </c>
      <c r="H724" s="3">
        <f t="shared" si="68"/>
        <v>1666039099.216327</v>
      </c>
      <c r="I724">
        <f t="shared" si="69"/>
        <v>40233000.74376072</v>
      </c>
      <c r="J724" s="6"/>
      <c r="K724" s="6"/>
      <c r="L724" s="6"/>
      <c r="M724" s="6"/>
      <c r="N724" s="6"/>
      <c r="O724" s="6"/>
      <c r="P724" s="6"/>
      <c r="Q724" s="6"/>
      <c r="R724" s="6"/>
    </row>
    <row r="725" spans="6:18">
      <c r="F725" s="5">
        <f t="shared" si="70"/>
        <v>1.3920800124670935E-11</v>
      </c>
      <c r="G725" s="4">
        <f t="shared" si="67"/>
        <v>2.3665915612323771E-2</v>
      </c>
      <c r="H725" s="3">
        <f t="shared" si="68"/>
        <v>1700039897.1595173</v>
      </c>
      <c r="I725">
        <f t="shared" si="69"/>
        <v>40233000.74376072</v>
      </c>
      <c r="J725" s="6"/>
      <c r="K725" s="6"/>
      <c r="L725" s="6"/>
      <c r="M725" s="6"/>
      <c r="N725" s="6"/>
      <c r="O725" s="6"/>
      <c r="P725" s="6"/>
      <c r="Q725" s="6"/>
      <c r="R725" s="6"/>
    </row>
    <row r="726" spans="6:18">
      <c r="F726" s="5">
        <f t="shared" si="70"/>
        <v>1.3369536439733965E-11</v>
      </c>
      <c r="G726" s="4">
        <f t="shared" si="67"/>
        <v>2.3192597300077295E-2</v>
      </c>
      <c r="H726" s="3">
        <f t="shared" si="68"/>
        <v>1734734588.938283</v>
      </c>
      <c r="I726">
        <f t="shared" si="69"/>
        <v>40233000.74376072</v>
      </c>
      <c r="J726" s="6"/>
      <c r="K726" s="6"/>
      <c r="L726" s="6"/>
      <c r="M726" s="6"/>
      <c r="N726" s="6"/>
      <c r="O726" s="6"/>
      <c r="P726" s="6"/>
      <c r="Q726" s="6"/>
      <c r="R726" s="6"/>
    </row>
    <row r="727" spans="6:18">
      <c r="F727" s="5">
        <f t="shared" si="70"/>
        <v>1.2840102796720499E-11</v>
      </c>
      <c r="G727" s="4">
        <f t="shared" si="67"/>
        <v>2.2728745354075749E-2</v>
      </c>
      <c r="H727" s="3">
        <f t="shared" si="68"/>
        <v>1770137335.6513093</v>
      </c>
      <c r="I727">
        <f t="shared" si="69"/>
        <v>40233000.74376072</v>
      </c>
      <c r="J727" s="6"/>
      <c r="K727" s="6"/>
      <c r="L727" s="6"/>
      <c r="M727" s="6"/>
      <c r="N727" s="6"/>
      <c r="O727" s="6"/>
      <c r="P727" s="6"/>
      <c r="Q727" s="6"/>
      <c r="R727" s="6"/>
    </row>
    <row r="728" spans="6:18">
      <c r="F728" s="5">
        <f t="shared" si="70"/>
        <v>1.2331634725970366E-11</v>
      </c>
      <c r="G728" s="4">
        <f t="shared" si="67"/>
        <v>2.2274170446994233E-2</v>
      </c>
      <c r="H728" s="3">
        <f t="shared" si="68"/>
        <v>1806262587.3992953</v>
      </c>
      <c r="I728">
        <f t="shared" si="69"/>
        <v>40233000.74376072</v>
      </c>
      <c r="J728" s="6"/>
      <c r="K728" s="6"/>
      <c r="L728" s="6"/>
      <c r="M728" s="6"/>
      <c r="N728" s="6"/>
      <c r="O728" s="6"/>
      <c r="P728" s="6"/>
      <c r="Q728" s="6"/>
      <c r="R728" s="6"/>
    </row>
    <row r="729" spans="6:18">
      <c r="F729" s="5">
        <f t="shared" si="70"/>
        <v>1.1843301990821939E-11</v>
      </c>
      <c r="G729" s="4">
        <f t="shared" si="67"/>
        <v>2.1828687038054347E-2</v>
      </c>
      <c r="H729" s="3">
        <f t="shared" si="68"/>
        <v>1843125089.1829543</v>
      </c>
      <c r="I729">
        <f t="shared" si="69"/>
        <v>40233000.74376072</v>
      </c>
      <c r="J729" s="6"/>
      <c r="K729" s="6"/>
      <c r="L729" s="6"/>
      <c r="M729" s="6"/>
      <c r="N729" s="6"/>
      <c r="O729" s="6"/>
      <c r="P729" s="6"/>
      <c r="Q729" s="6"/>
      <c r="R729" s="6"/>
    </row>
    <row r="730" spans="6:18">
      <c r="F730" s="5">
        <f t="shared" si="70"/>
        <v>1.1374307231985391E-11</v>
      </c>
      <c r="G730" s="4">
        <f t="shared" si="67"/>
        <v>2.139211329729326E-2</v>
      </c>
      <c r="H730" s="3">
        <f t="shared" si="68"/>
        <v>1880739886.921382</v>
      </c>
      <c r="I730">
        <f t="shared" si="69"/>
        <v>40233000.74376072</v>
      </c>
      <c r="J730" s="6"/>
      <c r="K730" s="6"/>
      <c r="L730" s="6"/>
      <c r="M730" s="6"/>
      <c r="N730" s="6"/>
      <c r="O730" s="6"/>
      <c r="P730" s="6"/>
      <c r="Q730" s="6"/>
      <c r="R730" s="6"/>
    </row>
    <row r="731" spans="6:18">
      <c r="F731" s="5">
        <f t="shared" si="70"/>
        <v>1.0923884665598766E-11</v>
      </c>
      <c r="G731" s="4">
        <f t="shared" si="67"/>
        <v>2.0964271031347393E-2</v>
      </c>
      <c r="H731" s="3">
        <f t="shared" si="68"/>
        <v>1919122333.5932472</v>
      </c>
      <c r="I731">
        <f t="shared" si="69"/>
        <v>40233000.74376072</v>
      </c>
      <c r="J731" s="6"/>
      <c r="K731" s="6"/>
      <c r="L731" s="6"/>
      <c r="M731" s="6"/>
      <c r="N731" s="6"/>
      <c r="O731" s="6"/>
      <c r="P731" s="6"/>
      <c r="Q731" s="6"/>
      <c r="R731" s="6"/>
    </row>
    <row r="732" spans="6:18">
      <c r="F732" s="5">
        <f t="shared" si="70"/>
        <v>1.0491298832841055E-11</v>
      </c>
      <c r="G732" s="4">
        <f t="shared" si="67"/>
        <v>2.0544985610720445E-2</v>
      </c>
      <c r="H732" s="3">
        <f t="shared" si="68"/>
        <v>1958288095.5033135</v>
      </c>
      <c r="I732">
        <f t="shared" si="69"/>
        <v>40233000.74376072</v>
      </c>
      <c r="J732" s="6"/>
      <c r="K732" s="6"/>
      <c r="L732" s="6"/>
      <c r="M732" s="6"/>
      <c r="N732" s="6"/>
      <c r="O732" s="6"/>
      <c r="P732" s="6"/>
      <c r="Q732" s="6"/>
      <c r="R732" s="6"/>
    </row>
    <row r="733" spans="6:18">
      <c r="F733" s="5">
        <f t="shared" si="70"/>
        <v>1.0075843399060549E-11</v>
      </c>
      <c r="G733" s="4">
        <f t="shared" si="67"/>
        <v>2.0134085898506036E-2</v>
      </c>
      <c r="H733" s="3">
        <f t="shared" si="68"/>
        <v>1998253158.6768506</v>
      </c>
      <c r="I733">
        <f t="shared" si="69"/>
        <v>40233000.74376072</v>
      </c>
      <c r="J733" s="6"/>
      <c r="K733" s="6"/>
      <c r="L733" s="6"/>
      <c r="M733" s="6"/>
      <c r="N733" s="6"/>
      <c r="O733" s="6"/>
      <c r="P733" s="6"/>
      <c r="Q733" s="6"/>
      <c r="R733" s="6"/>
    </row>
    <row r="734" spans="6:18">
      <c r="F734" s="5">
        <f t="shared" si="70"/>
        <v>9.6768400004577497E-12</v>
      </c>
      <c r="G734" s="4">
        <f t="shared" si="67"/>
        <v>1.9731404180535914E-2</v>
      </c>
      <c r="H734" s="3">
        <f t="shared" si="68"/>
        <v>2039033835.3845415</v>
      </c>
      <c r="I734">
        <f t="shared" si="69"/>
        <v>40233000.74376072</v>
      </c>
      <c r="J734" s="6"/>
      <c r="K734" s="6"/>
      <c r="L734" s="6"/>
      <c r="M734" s="6"/>
      <c r="N734" s="6"/>
      <c r="O734" s="6"/>
      <c r="P734" s="6"/>
      <c r="Q734" s="6"/>
      <c r="R734" s="6"/>
    </row>
    <row r="735" spans="6:18">
      <c r="F735" s="5">
        <f t="shared" si="70"/>
        <v>9.2936371364396198E-12</v>
      </c>
      <c r="G735" s="4">
        <f t="shared" si="67"/>
        <v>1.9336776096925194E-2</v>
      </c>
      <c r="H735" s="3">
        <f t="shared" si="68"/>
        <v>2080646770.8005528</v>
      </c>
      <c r="I735">
        <f t="shared" si="69"/>
        <v>40233000.74376072</v>
      </c>
      <c r="J735" s="6"/>
      <c r="K735" s="6"/>
      <c r="L735" s="6"/>
      <c r="M735" s="6"/>
      <c r="N735" s="6"/>
      <c r="O735" s="6"/>
      <c r="P735" s="6"/>
      <c r="Q735" s="6"/>
      <c r="R735" s="6"/>
    </row>
    <row r="736" spans="6:18">
      <c r="F736" s="5">
        <f t="shared" si="70"/>
        <v>8.9256091058366109E-12</v>
      </c>
      <c r="G736" s="4">
        <f t="shared" si="67"/>
        <v>1.8950040574986688E-2</v>
      </c>
      <c r="H736" s="3">
        <f t="shared" si="68"/>
        <v>2123108949.7964826</v>
      </c>
      <c r="I736">
        <f t="shared" si="69"/>
        <v>40233000.74376072</v>
      </c>
      <c r="J736" s="6"/>
      <c r="K736" s="6"/>
      <c r="L736" s="6"/>
      <c r="M736" s="6"/>
      <c r="N736" s="6"/>
      <c r="O736" s="6"/>
      <c r="P736" s="6"/>
      <c r="Q736" s="6"/>
      <c r="R736" s="6"/>
    </row>
    <row r="737" spans="6:18">
      <c r="F737" s="5">
        <f t="shared" si="70"/>
        <v>8.5721549852454801E-12</v>
      </c>
      <c r="G737" s="4">
        <f t="shared" si="67"/>
        <v>1.8571039763486955E-2</v>
      </c>
      <c r="H737" s="3">
        <f t="shared" si="68"/>
        <v>2166437703.8739619</v>
      </c>
      <c r="I737">
        <f t="shared" si="69"/>
        <v>40233000.74376072</v>
      </c>
      <c r="J737" s="6"/>
      <c r="K737" s="6"/>
      <c r="L737" s="6"/>
      <c r="M737" s="6"/>
      <c r="N737" s="6"/>
      <c r="O737" s="6"/>
      <c r="P737" s="6"/>
      <c r="Q737" s="6"/>
      <c r="R737" s="6"/>
    </row>
    <row r="738" spans="6:18">
      <c r="F738" s="5">
        <f t="shared" si="70"/>
        <v>8.2326976478297593E-12</v>
      </c>
      <c r="G738" s="4">
        <f t="shared" si="67"/>
        <v>1.8199618968217215E-2</v>
      </c>
      <c r="H738" s="3">
        <f t="shared" si="68"/>
        <v>2210650718.2387366</v>
      </c>
      <c r="I738">
        <f t="shared" si="69"/>
        <v>40233000.74376072</v>
      </c>
      <c r="J738" s="6"/>
      <c r="K738" s="6"/>
      <c r="L738" s="6"/>
      <c r="M738" s="6"/>
      <c r="N738" s="6"/>
      <c r="O738" s="6"/>
      <c r="P738" s="6"/>
      <c r="Q738" s="6"/>
      <c r="R738" s="6"/>
    </row>
    <row r="739" spans="6:18">
      <c r="F739" s="5">
        <f t="shared" si="70"/>
        <v>7.9066828209756989E-12</v>
      </c>
      <c r="G739" s="4">
        <f t="shared" si="67"/>
        <v>1.783562658885287E-2</v>
      </c>
      <c r="H739" s="3">
        <f t="shared" si="68"/>
        <v>2255766039.0191193</v>
      </c>
      <c r="I739">
        <f t="shared" si="69"/>
        <v>40233000.74376072</v>
      </c>
      <c r="J739" s="6"/>
      <c r="K739" s="6"/>
      <c r="L739" s="6"/>
      <c r="M739" s="6"/>
      <c r="N739" s="6"/>
      <c r="O739" s="6"/>
      <c r="P739" s="6"/>
      <c r="Q739" s="6"/>
      <c r="R739" s="6"/>
    </row>
    <row r="740" spans="6:18">
      <c r="F740" s="5">
        <f t="shared" si="70"/>
        <v>7.5935781812650609E-12</v>
      </c>
      <c r="G740" s="4">
        <f t="shared" si="67"/>
        <v>1.7478914057075811E-2</v>
      </c>
      <c r="H740" s="3">
        <f t="shared" si="68"/>
        <v>2301802080.6317544</v>
      </c>
      <c r="I740">
        <f t="shared" si="69"/>
        <v>40233000.74376072</v>
      </c>
      <c r="J740" s="6"/>
      <c r="K740" s="6"/>
      <c r="L740" s="6"/>
      <c r="M740" s="6"/>
      <c r="N740" s="6"/>
      <c r="O740" s="6"/>
      <c r="P740" s="6"/>
      <c r="Q740" s="6"/>
      <c r="R740" s="6"/>
    </row>
    <row r="741" spans="6:18">
      <c r="F741" s="5">
        <f t="shared" si="70"/>
        <v>7.2928724852869647E-12</v>
      </c>
      <c r="G741" s="4">
        <f t="shared" si="67"/>
        <v>1.7129335775934295E-2</v>
      </c>
      <c r="H741" s="3">
        <f t="shared" si="68"/>
        <v>2348777633.2977085</v>
      </c>
      <c r="I741">
        <f t="shared" si="69"/>
        <v>40233000.74376072</v>
      </c>
      <c r="J741" s="6"/>
      <c r="K741" s="6"/>
      <c r="L741" s="6"/>
      <c r="M741" s="6"/>
      <c r="N741" s="6"/>
      <c r="O741" s="6"/>
      <c r="P741" s="6"/>
      <c r="Q741" s="6"/>
      <c r="R741" s="6"/>
    </row>
    <row r="742" spans="6:18">
      <c r="F742" s="5">
        <f t="shared" si="70"/>
        <v>7.0040747348696016E-12</v>
      </c>
      <c r="G742" s="4">
        <f t="shared" si="67"/>
        <v>1.678674906041561E-2</v>
      </c>
      <c r="H742" s="3">
        <f t="shared" si="68"/>
        <v>2396711870.7119474</v>
      </c>
      <c r="I742">
        <f t="shared" si="69"/>
        <v>40233000.74376072</v>
      </c>
      <c r="J742" s="6"/>
      <c r="K742" s="6"/>
      <c r="L742" s="6"/>
      <c r="M742" s="6"/>
      <c r="N742" s="6"/>
      <c r="O742" s="6"/>
      <c r="P742" s="6"/>
      <c r="Q742" s="6"/>
      <c r="R742" s="6"/>
    </row>
    <row r="743" spans="6:18">
      <c r="F743" s="5">
        <f t="shared" si="70"/>
        <v>6.7267133753687643E-12</v>
      </c>
      <c r="G743" s="4">
        <f t="shared" si="67"/>
        <v>1.6451014079207297E-2</v>
      </c>
      <c r="H743" s="3">
        <f t="shared" si="68"/>
        <v>2445624357.8693342</v>
      </c>
      <c r="I743">
        <f t="shared" si="69"/>
        <v>40233000.74376072</v>
      </c>
      <c r="J743" s="6"/>
      <c r="K743" s="6"/>
      <c r="L743" s="6"/>
      <c r="M743" s="6"/>
      <c r="N743" s="6"/>
      <c r="O743" s="6"/>
      <c r="P743" s="6"/>
      <c r="Q743" s="6"/>
      <c r="R743" s="6"/>
    </row>
    <row r="744" spans="6:18">
      <c r="F744" s="5">
        <f t="shared" si="70"/>
        <v>6.4603355257041603E-12</v>
      </c>
      <c r="G744" s="4">
        <f t="shared" si="67"/>
        <v>1.6121993797623149E-2</v>
      </c>
      <c r="H744" s="3">
        <f t="shared" si="68"/>
        <v>2495535059.0503411</v>
      </c>
      <c r="I744">
        <f t="shared" si="69"/>
        <v>40233000.74376072</v>
      </c>
      <c r="J744" s="6"/>
      <c r="K744" s="6"/>
      <c r="L744" s="6"/>
      <c r="M744" s="6"/>
      <c r="N744" s="6"/>
      <c r="O744" s="6"/>
      <c r="P744" s="6"/>
      <c r="Q744" s="6"/>
      <c r="R744" s="6"/>
    </row>
    <row r="745" spans="6:18">
      <c r="F745" s="5">
        <f t="shared" si="70"/>
        <v>6.2045062388862748E-12</v>
      </c>
      <c r="G745" s="4">
        <f t="shared" si="67"/>
        <v>1.5799553921670685E-2</v>
      </c>
      <c r="H745" s="3">
        <f t="shared" si="68"/>
        <v>2546464345.9697361</v>
      </c>
      <c r="I745">
        <f t="shared" si="69"/>
        <v>40233000.74376072</v>
      </c>
      <c r="J745" s="6"/>
      <c r="K745" s="6"/>
      <c r="L745" s="6"/>
      <c r="M745" s="6"/>
      <c r="N745" s="6"/>
      <c r="O745" s="6"/>
      <c r="P745" s="6"/>
      <c r="Q745" s="6"/>
      <c r="R745" s="6"/>
    </row>
    <row r="746" spans="6:18">
      <c r="F746" s="5">
        <f t="shared" si="70"/>
        <v>5.9588077918263784E-12</v>
      </c>
      <c r="G746" s="4">
        <f t="shared" si="67"/>
        <v>1.5483562843237271E-2</v>
      </c>
      <c r="H746" s="3">
        <f t="shared" si="68"/>
        <v>2598433006.0915675</v>
      </c>
      <c r="I746">
        <f t="shared" si="69"/>
        <v>40233000.74376072</v>
      </c>
      <c r="J746" s="6"/>
      <c r="K746" s="6"/>
      <c r="L746" s="6"/>
      <c r="M746" s="6"/>
      <c r="N746" s="6"/>
      <c r="O746" s="6"/>
      <c r="P746" s="6"/>
      <c r="Q746" s="6"/>
      <c r="R746" s="6"/>
    </row>
    <row r="747" spans="6:18">
      <c r="F747" s="5">
        <f t="shared" si="70"/>
        <v>5.7228390032700531E-12</v>
      </c>
      <c r="G747" s="4">
        <f t="shared" si="67"/>
        <v>1.5173891586372525E-2</v>
      </c>
      <c r="H747" s="3">
        <f t="shared" si="68"/>
        <v>2651462251.1138444</v>
      </c>
      <c r="I747">
        <f t="shared" si="69"/>
        <v>40233000.74376072</v>
      </c>
      <c r="J747" s="6"/>
      <c r="K747" s="6"/>
      <c r="L747" s="6"/>
      <c r="M747" s="6"/>
      <c r="N747" s="6"/>
      <c r="O747" s="6"/>
      <c r="P747" s="6"/>
      <c r="Q747" s="6"/>
      <c r="R747" s="6"/>
    </row>
    <row r="748" spans="6:18">
      <c r="F748" s="5">
        <f t="shared" si="70"/>
        <v>5.4962145787405595E-12</v>
      </c>
      <c r="G748" s="4">
        <f t="shared" si="67"/>
        <v>1.4870413754645075E-2</v>
      </c>
      <c r="H748" s="3">
        <f t="shared" si="68"/>
        <v>2705573725.6263719</v>
      </c>
      <c r="I748">
        <f t="shared" si="69"/>
        <v>40233000.74376072</v>
      </c>
      <c r="J748" s="6"/>
      <c r="K748" s="6"/>
      <c r="L748" s="6"/>
      <c r="M748" s="6"/>
      <c r="N748" s="6"/>
      <c r="O748" s="6"/>
      <c r="P748" s="6"/>
      <c r="Q748" s="6"/>
      <c r="R748" s="6"/>
    </row>
    <row r="749" spans="6:18">
      <c r="F749" s="5">
        <f t="shared" si="70"/>
        <v>5.2785644814224325E-12</v>
      </c>
      <c r="G749" s="4">
        <f t="shared" si="67"/>
        <v>1.4573005479552172E-2</v>
      </c>
      <c r="H749" s="3">
        <f t="shared" si="68"/>
        <v>2760789515.9452777</v>
      </c>
      <c r="I749">
        <f t="shared" si="69"/>
        <v>40233000.74376072</v>
      </c>
      <c r="J749" s="6"/>
      <c r="K749" s="6"/>
      <c r="L749" s="6"/>
      <c r="M749" s="6"/>
      <c r="N749" s="6"/>
      <c r="O749" s="6"/>
      <c r="P749" s="6"/>
      <c r="Q749" s="6"/>
      <c r="R749" s="6"/>
    </row>
    <row r="750" spans="6:18">
      <c r="F750" s="5">
        <f t="shared" si="70"/>
        <v>5.0695333279581041E-12</v>
      </c>
      <c r="G750" s="4">
        <f t="shared" si="67"/>
        <v>1.4281545369961129E-2</v>
      </c>
      <c r="H750" s="3">
        <f t="shared" si="68"/>
        <v>2817132159.1278343</v>
      </c>
      <c r="I750">
        <f t="shared" si="69"/>
        <v>40233000.74376072</v>
      </c>
      <c r="J750" s="6"/>
      <c r="K750" s="6"/>
      <c r="L750" s="6"/>
      <c r="M750" s="6"/>
      <c r="N750" s="6"/>
      <c r="O750" s="6"/>
      <c r="P750" s="6"/>
      <c r="Q750" s="6"/>
      <c r="R750" s="6"/>
    </row>
    <row r="751" spans="6:18">
      <c r="F751" s="5">
        <f t="shared" si="70"/>
        <v>4.8687798081709637E-12</v>
      </c>
      <c r="G751" s="4">
        <f t="shared" si="67"/>
        <v>1.3995914462561907E-2</v>
      </c>
      <c r="H751" s="3">
        <f t="shared" si="68"/>
        <v>2874624652.1712594</v>
      </c>
      <c r="I751">
        <f t="shared" si="69"/>
        <v>40233000.74376072</v>
      </c>
      <c r="J751" s="6"/>
      <c r="K751" s="6"/>
      <c r="L751" s="6"/>
      <c r="M751" s="6"/>
      <c r="N751" s="6"/>
      <c r="O751" s="6"/>
      <c r="P751" s="6"/>
      <c r="Q751" s="6"/>
      <c r="R751" s="6"/>
    </row>
    <row r="752" spans="6:18">
      <c r="F752" s="5">
        <f t="shared" si="70"/>
        <v>4.6759761277673931E-12</v>
      </c>
      <c r="G752" s="4">
        <f t="shared" si="67"/>
        <v>1.3715996173310669E-2</v>
      </c>
      <c r="H752" s="3">
        <f t="shared" si="68"/>
        <v>2933290461.3992443</v>
      </c>
      <c r="I752">
        <f t="shared" si="69"/>
        <v>40233000.74376072</v>
      </c>
      <c r="J752" s="6"/>
      <c r="K752" s="6"/>
      <c r="L752" s="6"/>
      <c r="M752" s="6"/>
      <c r="N752" s="6"/>
      <c r="O752" s="6"/>
      <c r="P752" s="6"/>
      <c r="Q752" s="6"/>
      <c r="R752" s="6"/>
    </row>
    <row r="753" spans="6:18">
      <c r="F753" s="5">
        <f t="shared" si="70"/>
        <v>4.4908074731078046E-12</v>
      </c>
      <c r="G753" s="4">
        <f t="shared" si="67"/>
        <v>1.3441676249844456E-2</v>
      </c>
      <c r="H753" s="3">
        <f t="shared" si="68"/>
        <v>2993153532.0400453</v>
      </c>
      <c r="I753">
        <f t="shared" si="69"/>
        <v>40233000.74376072</v>
      </c>
      <c r="J753" s="6"/>
      <c r="K753" s="6"/>
      <c r="L753" s="6"/>
      <c r="M753" s="6"/>
      <c r="N753" s="6"/>
      <c r="O753" s="6"/>
      <c r="P753" s="6"/>
      <c r="Q753" s="6"/>
      <c r="R753" s="6"/>
    </row>
    <row r="754" spans="6:18">
      <c r="F754" s="5">
        <f t="shared" si="70"/>
        <v>4.312971497172735E-12</v>
      </c>
      <c r="G754" s="4">
        <f t="shared" ref="G754:G815" si="71">G753*(1-$O$1)</f>
        <v>1.3172842724847566E-2</v>
      </c>
      <c r="H754" s="3">
        <f t="shared" ref="H754:H815" si="72">I754/G754</f>
        <v>3054238298.0000463</v>
      </c>
      <c r="I754">
        <f t="shared" ref="I754:I815" si="73">I753</f>
        <v>40233000.74376072</v>
      </c>
      <c r="J754" s="6"/>
      <c r="K754" s="6"/>
      <c r="L754" s="6"/>
      <c r="M754" s="6"/>
      <c r="N754" s="6"/>
      <c r="O754" s="6"/>
      <c r="P754" s="6"/>
      <c r="Q754" s="6"/>
      <c r="R754" s="6"/>
    </row>
    <row r="755" spans="6:18">
      <c r="F755" s="5">
        <f t="shared" si="70"/>
        <v>4.1421778258846955E-12</v>
      </c>
      <c r="G755" s="4">
        <f t="shared" si="71"/>
        <v>1.2909385870350615E-2</v>
      </c>
      <c r="H755" s="3">
        <f t="shared" si="72"/>
        <v>3116569691.8367815</v>
      </c>
      <c r="I755">
        <f t="shared" si="73"/>
        <v>40233000.74376072</v>
      </c>
      <c r="J755" s="6"/>
      <c r="K755" s="6"/>
      <c r="L755" s="6"/>
      <c r="M755" s="6"/>
      <c r="N755" s="6"/>
      <c r="O755" s="6"/>
      <c r="P755" s="6"/>
      <c r="Q755" s="6"/>
      <c r="R755" s="6"/>
    </row>
    <row r="756" spans="6:18">
      <c r="F756" s="5">
        <f t="shared" si="70"/>
        <v>3.9781475839796617E-12</v>
      </c>
      <c r="G756" s="4">
        <f t="shared" si="71"/>
        <v>1.2651198152943603E-2</v>
      </c>
      <c r="H756" s="3">
        <f t="shared" si="72"/>
        <v>3180173154.9354916</v>
      </c>
      <c r="I756">
        <f t="shared" si="73"/>
        <v>40233000.74376072</v>
      </c>
      <c r="J756" s="6"/>
      <c r="K756" s="6"/>
      <c r="L756" s="6"/>
      <c r="M756" s="6"/>
      <c r="N756" s="6"/>
      <c r="O756" s="6"/>
      <c r="P756" s="6"/>
      <c r="Q756" s="6"/>
      <c r="R756" s="6"/>
    </row>
    <row r="757" spans="6:18">
      <c r="F757" s="5">
        <f t="shared" si="70"/>
        <v>3.8206129396540671E-12</v>
      </c>
      <c r="G757" s="4">
        <f t="shared" si="71"/>
        <v>1.2398174189884731E-2</v>
      </c>
      <c r="H757" s="3">
        <f t="shared" si="72"/>
        <v>3245074647.8933587</v>
      </c>
      <c r="I757">
        <f t="shared" si="73"/>
        <v>40233000.74376072</v>
      </c>
      <c r="J757" s="6"/>
      <c r="K757" s="6"/>
      <c r="L757" s="6"/>
      <c r="M757" s="6"/>
      <c r="N757" s="6"/>
      <c r="O757" s="6"/>
      <c r="P757" s="6"/>
      <c r="Q757" s="6"/>
      <c r="R757" s="6"/>
    </row>
    <row r="758" spans="6:18">
      <c r="F758" s="5">
        <f t="shared" si="70"/>
        <v>3.6693166672437658E-12</v>
      </c>
      <c r="G758" s="4">
        <f t="shared" si="71"/>
        <v>1.2150210706087036E-2</v>
      </c>
      <c r="H758" s="3">
        <f t="shared" si="72"/>
        <v>3311300661.1156721</v>
      </c>
      <c r="I758">
        <f t="shared" si="73"/>
        <v>40233000.74376072</v>
      </c>
      <c r="J758" s="6"/>
      <c r="K758" s="6"/>
      <c r="L758" s="6"/>
      <c r="M758" s="6"/>
      <c r="N758" s="6"/>
      <c r="O758" s="6"/>
      <c r="P758" s="6"/>
      <c r="Q758" s="6"/>
      <c r="R758" s="6"/>
    </row>
    <row r="759" spans="6:18">
      <c r="F759" s="5">
        <f t="shared" si="70"/>
        <v>3.5240117272209127E-12</v>
      </c>
      <c r="G759" s="4">
        <f t="shared" si="71"/>
        <v>1.1907206491965295E-2</v>
      </c>
      <c r="H759" s="3">
        <f t="shared" si="72"/>
        <v>3378878225.6282368</v>
      </c>
      <c r="I759">
        <f t="shared" si="73"/>
        <v>40233000.74376072</v>
      </c>
      <c r="J759" s="6"/>
      <c r="K759" s="6"/>
      <c r="L759" s="6"/>
      <c r="M759" s="6"/>
      <c r="N759" s="6"/>
      <c r="O759" s="6"/>
      <c r="P759" s="6"/>
      <c r="Q759" s="6"/>
      <c r="R759" s="6"/>
    </row>
    <row r="760" spans="6:18">
      <c r="F760" s="5">
        <f t="shared" si="70"/>
        <v>3.3844608628229639E-12</v>
      </c>
      <c r="G760" s="4">
        <f t="shared" si="71"/>
        <v>1.1669062362125988E-2</v>
      </c>
      <c r="H760" s="3">
        <f t="shared" si="72"/>
        <v>3447834924.110446</v>
      </c>
      <c r="I760">
        <f t="shared" si="73"/>
        <v>40233000.74376072</v>
      </c>
      <c r="J760" s="6"/>
      <c r="K760" s="6"/>
      <c r="L760" s="6"/>
      <c r="M760" s="6"/>
      <c r="N760" s="6"/>
      <c r="O760" s="6"/>
      <c r="P760" s="6"/>
      <c r="Q760" s="6"/>
      <c r="R760" s="6"/>
    </row>
    <row r="761" spans="6:18">
      <c r="F761" s="5">
        <f t="shared" si="70"/>
        <v>3.2504362126551746E-12</v>
      </c>
      <c r="G761" s="4">
        <f t="shared" si="71"/>
        <v>1.1435681114883469E-2</v>
      </c>
      <c r="H761" s="3">
        <f t="shared" si="72"/>
        <v>3518198902.1535163</v>
      </c>
      <c r="I761">
        <f t="shared" si="73"/>
        <v>40233000.74376072</v>
      </c>
      <c r="J761" s="6"/>
      <c r="K761" s="6"/>
      <c r="L761" s="6"/>
      <c r="M761" s="6"/>
      <c r="N761" s="6"/>
      <c r="O761" s="6"/>
      <c r="P761" s="6"/>
      <c r="Q761" s="6"/>
      <c r="R761" s="6"/>
    </row>
    <row r="762" spans="6:18">
      <c r="F762" s="5">
        <f t="shared" si="70"/>
        <v>3.121718938634029E-12</v>
      </c>
      <c r="G762" s="4">
        <f t="shared" si="71"/>
        <v>1.1206967492585799E-2</v>
      </c>
      <c r="H762" s="3">
        <f t="shared" si="72"/>
        <v>3589998879.7484865</v>
      </c>
      <c r="I762">
        <f t="shared" si="73"/>
        <v>40233000.74376072</v>
      </c>
      <c r="J762" s="6"/>
      <c r="K762" s="6"/>
      <c r="L762" s="6"/>
      <c r="M762" s="6"/>
      <c r="N762" s="6"/>
      <c r="O762" s="6"/>
      <c r="P762" s="6"/>
      <c r="Q762" s="6"/>
      <c r="R762" s="6"/>
    </row>
    <row r="763" spans="6:18">
      <c r="F763" s="5">
        <f t="shared" si="70"/>
        <v>2.9980988686641209E-12</v>
      </c>
      <c r="G763" s="4">
        <f t="shared" si="71"/>
        <v>1.0982828142734082E-2</v>
      </c>
      <c r="H763" s="3">
        <f t="shared" si="72"/>
        <v>3663264163.0086598</v>
      </c>
      <c r="I763">
        <f t="shared" si="73"/>
        <v>40233000.74376072</v>
      </c>
      <c r="J763" s="6"/>
      <c r="K763" s="6"/>
      <c r="L763" s="6"/>
      <c r="M763" s="6"/>
      <c r="N763" s="6"/>
      <c r="O763" s="6"/>
      <c r="P763" s="6"/>
      <c r="Q763" s="6"/>
      <c r="R763" s="6"/>
    </row>
    <row r="764" spans="6:18">
      <c r="F764" s="5">
        <f t="shared" si="70"/>
        <v>2.8793741534650217E-12</v>
      </c>
      <c r="G764" s="4">
        <f t="shared" si="71"/>
        <v>1.07631715798794E-2</v>
      </c>
      <c r="H764" s="3">
        <f t="shared" si="72"/>
        <v>3738024656.1312857</v>
      </c>
      <c r="I764">
        <f t="shared" si="73"/>
        <v>40233000.74376072</v>
      </c>
      <c r="J764" s="6"/>
      <c r="K764" s="6"/>
      <c r="L764" s="6"/>
      <c r="M764" s="6"/>
      <c r="N764" s="6"/>
      <c r="O764" s="6"/>
      <c r="P764" s="6"/>
      <c r="Q764" s="6"/>
      <c r="R764" s="6"/>
    </row>
    <row r="765" spans="6:18">
      <c r="F765" s="5">
        <f t="shared" si="70"/>
        <v>2.765350936987807E-12</v>
      </c>
      <c r="G765" s="4">
        <f t="shared" si="71"/>
        <v>1.0547908148281812E-2</v>
      </c>
      <c r="H765" s="3">
        <f t="shared" si="72"/>
        <v>3814310873.6033525</v>
      </c>
      <c r="I765">
        <f t="shared" si="73"/>
        <v>40233000.74376072</v>
      </c>
      <c r="J765" s="6"/>
      <c r="K765" s="6"/>
      <c r="L765" s="6"/>
      <c r="M765" s="6"/>
      <c r="N765" s="6"/>
      <c r="O765" s="6"/>
      <c r="P765" s="6"/>
      <c r="Q765" s="6"/>
      <c r="R765" s="6"/>
    </row>
    <row r="766" spans="6:18">
      <c r="F766" s="5">
        <f t="shared" si="70"/>
        <v>2.6558430398830898E-12</v>
      </c>
      <c r="G766" s="4">
        <f t="shared" si="71"/>
        <v>1.0336949985316176E-2</v>
      </c>
      <c r="H766" s="3">
        <f t="shared" si="72"/>
        <v>3892153952.6564822</v>
      </c>
      <c r="I766">
        <f t="shared" si="73"/>
        <v>40233000.74376072</v>
      </c>
      <c r="J766" s="6"/>
      <c r="K766" s="6"/>
      <c r="L766" s="6"/>
      <c r="M766" s="6"/>
      <c r="N766" s="6"/>
      <c r="O766" s="6"/>
      <c r="P766" s="6"/>
      <c r="Q766" s="6"/>
      <c r="R766" s="6"/>
    </row>
    <row r="767" spans="6:18">
      <c r="F767" s="5">
        <f t="shared" si="70"/>
        <v>2.5506716555037191E-12</v>
      </c>
      <c r="G767" s="4">
        <f t="shared" si="71"/>
        <v>1.0130210985609851E-2</v>
      </c>
      <c r="H767" s="3">
        <f t="shared" si="72"/>
        <v>3971585665.9760027</v>
      </c>
      <c r="I767">
        <f t="shared" si="73"/>
        <v>40233000.74376072</v>
      </c>
      <c r="J767" s="6"/>
      <c r="K767" s="6"/>
      <c r="L767" s="6"/>
      <c r="M767" s="6"/>
      <c r="N767" s="6"/>
      <c r="O767" s="6"/>
      <c r="P767" s="6"/>
      <c r="Q767" s="6"/>
      <c r="R767" s="6"/>
    </row>
    <row r="768" spans="6:18">
      <c r="F768" s="5">
        <f t="shared" si="70"/>
        <v>2.4496650579457721E-12</v>
      </c>
      <c r="G768" s="4">
        <f t="shared" si="71"/>
        <v>9.9276067658976546E-3</v>
      </c>
      <c r="H768" s="3">
        <f t="shared" si="72"/>
        <v>4052638434.6693902</v>
      </c>
      <c r="I768">
        <f t="shared" si="73"/>
        <v>40233000.74376072</v>
      </c>
      <c r="J768" s="6"/>
      <c r="K768" s="6"/>
      <c r="L768" s="6"/>
      <c r="M768" s="6"/>
      <c r="N768" s="6"/>
      <c r="O768" s="6"/>
      <c r="P768" s="6"/>
      <c r="Q768" s="6"/>
      <c r="R768" s="6"/>
    </row>
    <row r="769" spans="6:18">
      <c r="F769" s="5">
        <f t="shared" si="70"/>
        <v>2.3526583216511197E-12</v>
      </c>
      <c r="G769" s="4">
        <f t="shared" si="71"/>
        <v>9.7290546305797022E-3</v>
      </c>
      <c r="H769" s="3">
        <f t="shared" si="72"/>
        <v>4135345341.4993777</v>
      </c>
      <c r="I769">
        <f t="shared" si="73"/>
        <v>40233000.74376072</v>
      </c>
      <c r="J769" s="6"/>
      <c r="K769" s="6"/>
      <c r="L769" s="6"/>
      <c r="M769" s="6"/>
      <c r="N769" s="6"/>
      <c r="O769" s="6"/>
      <c r="P769" s="6"/>
      <c r="Q769" s="6"/>
      <c r="R769" s="6"/>
    </row>
    <row r="770" spans="6:18">
      <c r="F770" s="5">
        <f t="shared" si="70"/>
        <v>2.2594930521137351E-12</v>
      </c>
      <c r="G770" s="4">
        <f t="shared" si="71"/>
        <v>9.5344735379681075E-3</v>
      </c>
      <c r="H770" s="3">
        <f t="shared" si="72"/>
        <v>4219740144.3871202</v>
      </c>
      <c r="I770">
        <f t="shared" si="73"/>
        <v>40233000.74376072</v>
      </c>
      <c r="J770" s="6"/>
      <c r="K770" s="6"/>
      <c r="L770" s="6"/>
      <c r="M770" s="6"/>
      <c r="N770" s="6"/>
      <c r="O770" s="6"/>
      <c r="P770" s="6"/>
      <c r="Q770" s="6"/>
      <c r="R770" s="6"/>
    </row>
    <row r="771" spans="6:18">
      <c r="F771" s="5">
        <f t="shared" si="70"/>
        <v>2.1700171272500307E-12</v>
      </c>
      <c r="G771" s="4">
        <f t="shared" si="71"/>
        <v>9.3437840672087446E-3</v>
      </c>
      <c r="H771" s="3">
        <f t="shared" si="72"/>
        <v>4305857290.1909399</v>
      </c>
      <c r="I771">
        <f t="shared" si="73"/>
        <v>40233000.74376072</v>
      </c>
      <c r="J771" s="6"/>
      <c r="K771" s="6"/>
      <c r="L771" s="6"/>
      <c r="M771" s="6"/>
      <c r="N771" s="6"/>
      <c r="O771" s="6"/>
      <c r="P771" s="6"/>
      <c r="Q771" s="6"/>
      <c r="R771" s="6"/>
    </row>
    <row r="772" spans="6:18">
      <c r="F772" s="5">
        <f t="shared" si="70"/>
        <v>2.0840844490109294E-12</v>
      </c>
      <c r="G772" s="4">
        <f t="shared" si="71"/>
        <v>9.1569083858645695E-3</v>
      </c>
      <c r="H772" s="3">
        <f t="shared" si="72"/>
        <v>4393731928.7662649</v>
      </c>
      <c r="I772">
        <f t="shared" si="73"/>
        <v>40233000.74376072</v>
      </c>
      <c r="J772" s="6"/>
      <c r="K772" s="6"/>
      <c r="L772" s="6"/>
      <c r="M772" s="6"/>
      <c r="N772" s="6"/>
      <c r="O772" s="6"/>
      <c r="P772" s="6"/>
      <c r="Q772" s="6"/>
      <c r="R772" s="6"/>
    </row>
    <row r="773" spans="6:18">
      <c r="F773" s="5">
        <f t="shared" si="70"/>
        <v>2.0015547048300966E-12</v>
      </c>
      <c r="G773" s="4">
        <f t="shared" si="71"/>
        <v>8.9737702181472787E-3</v>
      </c>
      <c r="H773" s="3">
        <f t="shared" si="72"/>
        <v>4483399927.3125153</v>
      </c>
      <c r="I773">
        <f t="shared" si="73"/>
        <v>40233000.74376072</v>
      </c>
      <c r="J773" s="6"/>
      <c r="K773" s="6"/>
      <c r="L773" s="6"/>
      <c r="M773" s="6"/>
      <c r="N773" s="6"/>
      <c r="O773" s="6"/>
      <c r="P773" s="6"/>
      <c r="Q773" s="6"/>
      <c r="R773" s="6"/>
    </row>
    <row r="774" spans="6:18">
      <c r="F774" s="5">
        <f t="shared" si="70"/>
        <v>1.9222931385188249E-12</v>
      </c>
      <c r="G774" s="4">
        <f t="shared" si="71"/>
        <v>8.7942948137843327E-3</v>
      </c>
      <c r="H774" s="3">
        <f t="shared" si="72"/>
        <v>4574897885.0127707</v>
      </c>
      <c r="I774">
        <f t="shared" si="73"/>
        <v>40233000.74376072</v>
      </c>
      <c r="J774" s="6"/>
      <c r="K774" s="6"/>
      <c r="L774" s="6"/>
      <c r="M774" s="6"/>
      <c r="N774" s="6"/>
      <c r="O774" s="6"/>
      <c r="P774" s="6"/>
      <c r="Q774" s="6"/>
      <c r="R774" s="6"/>
    </row>
    <row r="775" spans="6:18">
      <c r="F775" s="5">
        <f t="shared" si="70"/>
        <v>1.8461703302334794E-12</v>
      </c>
      <c r="G775" s="4">
        <f t="shared" si="71"/>
        <v>8.6184089175086465E-3</v>
      </c>
      <c r="H775" s="3">
        <f t="shared" si="72"/>
        <v>4668263147.9722147</v>
      </c>
      <c r="I775">
        <f t="shared" si="73"/>
        <v>40233000.74376072</v>
      </c>
      <c r="J775" s="6"/>
      <c r="K775" s="6"/>
      <c r="L775" s="6"/>
      <c r="M775" s="6"/>
      <c r="N775" s="6"/>
      <c r="O775" s="6"/>
      <c r="P775" s="6"/>
      <c r="Q775" s="6"/>
      <c r="R775" s="6"/>
    </row>
    <row r="776" spans="6:18">
      <c r="F776" s="5">
        <f t="shared" si="70"/>
        <v>1.7730619851562341E-12</v>
      </c>
      <c r="G776" s="4">
        <f t="shared" si="71"/>
        <v>8.4460407391584742E-3</v>
      </c>
      <c r="H776" s="3">
        <f t="shared" si="72"/>
        <v>4763533824.4614429</v>
      </c>
      <c r="I776">
        <f t="shared" si="73"/>
        <v>40233000.74376072</v>
      </c>
      <c r="J776" s="6"/>
      <c r="K776" s="6"/>
      <c r="L776" s="6"/>
      <c r="M776" s="6"/>
      <c r="N776" s="6"/>
      <c r="O776" s="6"/>
      <c r="P776" s="6"/>
      <c r="Q776" s="6"/>
      <c r="R776" s="6"/>
    </row>
    <row r="777" spans="6:18">
      <c r="F777" s="5">
        <f t="shared" ref="F777:F815" si="74">G777/H777</f>
        <v>1.7028487305440472E-12</v>
      </c>
      <c r="G777" s="4">
        <f t="shared" si="71"/>
        <v>8.2771199243753049E-3</v>
      </c>
      <c r="H777" s="3">
        <f t="shared" si="72"/>
        <v>4860748800.4708605</v>
      </c>
      <c r="I777">
        <f t="shared" si="73"/>
        <v>40233000.74376072</v>
      </c>
      <c r="J777" s="6"/>
      <c r="K777" s="6"/>
      <c r="L777" s="6"/>
      <c r="M777" s="6"/>
      <c r="N777" s="6"/>
      <c r="O777" s="6"/>
      <c r="P777" s="6"/>
      <c r="Q777" s="6"/>
      <c r="R777" s="6"/>
    </row>
    <row r="778" spans="6:18">
      <c r="F778" s="5">
        <f t="shared" si="74"/>
        <v>1.635415920814503E-12</v>
      </c>
      <c r="G778" s="4">
        <f t="shared" si="71"/>
        <v>8.1115775258877986E-3</v>
      </c>
      <c r="H778" s="3">
        <f t="shared" si="72"/>
        <v>4959947755.58251</v>
      </c>
      <c r="I778">
        <f t="shared" si="73"/>
        <v>40233000.74376072</v>
      </c>
      <c r="J778" s="6"/>
      <c r="K778" s="6"/>
      <c r="L778" s="6"/>
      <c r="M778" s="6"/>
      <c r="N778" s="6"/>
      <c r="O778" s="6"/>
      <c r="P778" s="6"/>
      <c r="Q778" s="6"/>
      <c r="R778" s="6"/>
    </row>
    <row r="779" spans="6:18">
      <c r="F779" s="5">
        <f t="shared" si="74"/>
        <v>1.5706534503502481E-12</v>
      </c>
      <c r="G779" s="4">
        <f t="shared" si="71"/>
        <v>7.9493459753700417E-3</v>
      </c>
      <c r="H779" s="3">
        <f t="shared" si="72"/>
        <v>5061171179.1658278</v>
      </c>
      <c r="I779">
        <f t="shared" si="73"/>
        <v>40233000.74376072</v>
      </c>
      <c r="J779" s="6"/>
      <c r="K779" s="6"/>
      <c r="L779" s="6"/>
      <c r="M779" s="6"/>
      <c r="N779" s="6"/>
      <c r="O779" s="6"/>
      <c r="P779" s="6"/>
      <c r="Q779" s="6"/>
      <c r="R779" s="6"/>
    </row>
    <row r="780" spans="6:18">
      <c r="F780" s="5">
        <f t="shared" si="74"/>
        <v>1.5084555737163783E-12</v>
      </c>
      <c r="G780" s="4">
        <f t="shared" si="71"/>
        <v>7.7903590558626411E-3</v>
      </c>
      <c r="H780" s="3">
        <f t="shared" si="72"/>
        <v>5164460386.9039059</v>
      </c>
      <c r="I780">
        <f t="shared" si="73"/>
        <v>40233000.74376072</v>
      </c>
      <c r="J780" s="6"/>
      <c r="K780" s="6"/>
      <c r="L780" s="6"/>
      <c r="M780" s="6"/>
      <c r="N780" s="6"/>
      <c r="O780" s="6"/>
      <c r="P780" s="6"/>
      <c r="Q780" s="6"/>
      <c r="R780" s="6"/>
    </row>
    <row r="781" spans="6:18">
      <c r="F781" s="5">
        <f t="shared" si="74"/>
        <v>1.44872073299721E-12</v>
      </c>
      <c r="G781" s="4">
        <f t="shared" si="71"/>
        <v>7.6345518747453879E-3</v>
      </c>
      <c r="H781" s="3">
        <f t="shared" si="72"/>
        <v>5269857537.6570463</v>
      </c>
      <c r="I781">
        <f t="shared" si="73"/>
        <v>40233000.74376072</v>
      </c>
      <c r="J781" s="6"/>
      <c r="K781" s="6"/>
      <c r="L781" s="6"/>
      <c r="M781" s="6"/>
      <c r="N781" s="6"/>
      <c r="O781" s="6"/>
      <c r="P781" s="6"/>
      <c r="Q781" s="6"/>
      <c r="R781" s="6"/>
    </row>
    <row r="782" spans="6:18">
      <c r="F782" s="5">
        <f t="shared" si="74"/>
        <v>1.3913513919705202E-12</v>
      </c>
      <c r="G782" s="4">
        <f t="shared" si="71"/>
        <v>7.4818608372504798E-3</v>
      </c>
      <c r="H782" s="3">
        <f t="shared" si="72"/>
        <v>5377405650.6704559</v>
      </c>
      <c r="I782">
        <f t="shared" si="73"/>
        <v>40233000.74376072</v>
      </c>
      <c r="J782" s="6"/>
      <c r="K782" s="6"/>
      <c r="L782" s="6"/>
      <c r="M782" s="6"/>
      <c r="N782" s="6"/>
      <c r="O782" s="6"/>
      <c r="P782" s="6"/>
      <c r="Q782" s="6"/>
      <c r="R782" s="6"/>
    </row>
    <row r="783" spans="6:18">
      <c r="F783" s="5">
        <f t="shared" si="74"/>
        <v>1.3362538768484877E-12</v>
      </c>
      <c r="G783" s="4">
        <f t="shared" si="71"/>
        <v>7.3322236205054705E-3</v>
      </c>
      <c r="H783" s="3">
        <f t="shared" si="72"/>
        <v>5487148623.1331186</v>
      </c>
      <c r="I783">
        <f t="shared" si="73"/>
        <v>40233000.74376072</v>
      </c>
      <c r="J783" s="6"/>
      <c r="K783" s="6"/>
      <c r="L783" s="6"/>
      <c r="M783" s="6"/>
      <c r="N783" s="6"/>
      <c r="O783" s="6"/>
      <c r="P783" s="6"/>
      <c r="Q783" s="6"/>
      <c r="R783" s="6"/>
    </row>
    <row r="784" spans="6:18">
      <c r="F784" s="5">
        <f t="shared" si="74"/>
        <v>1.2833382233252873E-12</v>
      </c>
      <c r="G784" s="4">
        <f t="shared" si="71"/>
        <v>7.1855791480953607E-3</v>
      </c>
      <c r="H784" s="3">
        <f t="shared" si="72"/>
        <v>5599131248.0950193</v>
      </c>
      <c r="I784">
        <f t="shared" si="73"/>
        <v>40233000.74376072</v>
      </c>
      <c r="J784" s="6"/>
      <c r="K784" s="6"/>
      <c r="L784" s="6"/>
      <c r="M784" s="6"/>
      <c r="N784" s="6"/>
      <c r="O784" s="6"/>
      <c r="P784" s="6"/>
      <c r="Q784" s="6"/>
      <c r="R784" s="6"/>
    </row>
    <row r="785" spans="6:18">
      <c r="F785" s="5">
        <f t="shared" si="74"/>
        <v>1.2325180296816061E-12</v>
      </c>
      <c r="G785" s="4">
        <f t="shared" si="71"/>
        <v>7.0418675651334533E-3</v>
      </c>
      <c r="H785" s="3">
        <f t="shared" si="72"/>
        <v>5713399232.7500191</v>
      </c>
      <c r="I785">
        <f t="shared" si="73"/>
        <v>40233000.74376072</v>
      </c>
      <c r="J785" s="6"/>
      <c r="K785" s="6"/>
      <c r="L785" s="6"/>
      <c r="M785" s="6"/>
      <c r="N785" s="6"/>
      <c r="O785" s="6"/>
      <c r="P785" s="6"/>
      <c r="Q785" s="6"/>
      <c r="R785" s="6"/>
    </row>
    <row r="786" spans="6:18">
      <c r="F786" s="5">
        <f t="shared" si="74"/>
        <v>1.1837103157062146E-12</v>
      </c>
      <c r="G786" s="4">
        <f t="shared" si="71"/>
        <v>6.9010302138307845E-3</v>
      </c>
      <c r="H786" s="3">
        <f t="shared" si="72"/>
        <v>5829999217.091856</v>
      </c>
      <c r="I786">
        <f t="shared" si="73"/>
        <v>40233000.74376072</v>
      </c>
      <c r="J786" s="6"/>
      <c r="K786" s="6"/>
      <c r="L786" s="6"/>
      <c r="M786" s="6"/>
      <c r="N786" s="6"/>
      <c r="O786" s="6"/>
      <c r="P786" s="6"/>
      <c r="Q786" s="6"/>
      <c r="R786" s="6"/>
    </row>
    <row r="787" spans="6:18">
      <c r="F787" s="5">
        <f t="shared" si="74"/>
        <v>1.1368353872042482E-12</v>
      </c>
      <c r="G787" s="4">
        <f t="shared" si="71"/>
        <v>6.7630096095541688E-3</v>
      </c>
      <c r="H787" s="3">
        <f t="shared" si="72"/>
        <v>5948978792.9508743</v>
      </c>
      <c r="I787">
        <f t="shared" si="73"/>
        <v>40233000.74376072</v>
      </c>
      <c r="J787" s="6"/>
      <c r="K787" s="6"/>
      <c r="L787" s="6"/>
      <c r="M787" s="6"/>
      <c r="N787" s="6"/>
      <c r="O787" s="6"/>
      <c r="P787" s="6"/>
      <c r="Q787" s="6"/>
      <c r="R787" s="6"/>
    </row>
    <row r="788" spans="6:18">
      <c r="F788" s="5">
        <f t="shared" si="74"/>
        <v>1.0918167058709602E-12</v>
      </c>
      <c r="G788" s="4">
        <f t="shared" si="71"/>
        <v>6.6277494173630856E-3</v>
      </c>
      <c r="H788" s="3">
        <f t="shared" si="72"/>
        <v>6070386523.4192591</v>
      </c>
      <c r="I788">
        <f t="shared" si="73"/>
        <v>40233000.74376072</v>
      </c>
      <c r="J788" s="6"/>
      <c r="K788" s="6"/>
      <c r="L788" s="6"/>
      <c r="M788" s="6"/>
      <c r="N788" s="6"/>
      <c r="O788" s="6"/>
      <c r="P788" s="6"/>
      <c r="Q788" s="6"/>
      <c r="R788" s="6"/>
    </row>
    <row r="789" spans="6:18">
      <c r="F789" s="5">
        <f t="shared" si="74"/>
        <v>1.0485807643184701E-12</v>
      </c>
      <c r="G789" s="4">
        <f t="shared" si="71"/>
        <v>6.4951944290158239E-3</v>
      </c>
      <c r="H789" s="3">
        <f t="shared" si="72"/>
        <v>6194271962.6727133</v>
      </c>
      <c r="I789">
        <f t="shared" si="73"/>
        <v>40233000.74376072</v>
      </c>
      <c r="J789" s="6"/>
      <c r="K789" s="6"/>
      <c r="L789" s="6"/>
      <c r="M789" s="6"/>
      <c r="N789" s="6"/>
      <c r="O789" s="6"/>
      <c r="P789" s="6"/>
      <c r="Q789" s="6"/>
      <c r="R789" s="6"/>
    </row>
    <row r="790" spans="6:18">
      <c r="F790" s="5">
        <f t="shared" si="74"/>
        <v>1.0070569660514586E-12</v>
      </c>
      <c r="G790" s="4">
        <f t="shared" si="71"/>
        <v>6.3652905404355071E-3</v>
      </c>
      <c r="H790" s="3">
        <f t="shared" si="72"/>
        <v>6320685676.1966467</v>
      </c>
      <c r="I790">
        <f t="shared" si="73"/>
        <v>40233000.74376072</v>
      </c>
      <c r="J790" s="6"/>
      <c r="K790" s="6"/>
      <c r="L790" s="6"/>
      <c r="M790" s="6"/>
      <c r="N790" s="6"/>
      <c r="O790" s="6"/>
      <c r="P790" s="6"/>
      <c r="Q790" s="6"/>
      <c r="R790" s="6"/>
    </row>
    <row r="791" spans="6:18">
      <c r="F791" s="5">
        <f t="shared" si="74"/>
        <v>9.6717751019582085E-13</v>
      </c>
      <c r="G791" s="4">
        <f t="shared" si="71"/>
        <v>6.2379847296267967E-3</v>
      </c>
      <c r="H791" s="3">
        <f t="shared" si="72"/>
        <v>6449679261.4251499</v>
      </c>
      <c r="I791">
        <f t="shared" si="73"/>
        <v>40233000.74376072</v>
      </c>
      <c r="J791" s="6"/>
      <c r="K791" s="6"/>
      <c r="L791" s="6"/>
      <c r="M791" s="6"/>
      <c r="N791" s="6"/>
      <c r="O791" s="6"/>
      <c r="P791" s="6"/>
      <c r="Q791" s="6"/>
      <c r="R791" s="6"/>
    </row>
    <row r="792" spans="6:18">
      <c r="F792" s="5">
        <f t="shared" si="74"/>
        <v>9.2887728079206629E-13</v>
      </c>
      <c r="G792" s="4">
        <f t="shared" si="71"/>
        <v>6.113225035034261E-3</v>
      </c>
      <c r="H792" s="3">
        <f t="shared" si="72"/>
        <v>6581305368.8011732</v>
      </c>
      <c r="I792">
        <f t="shared" si="73"/>
        <v>40233000.74376072</v>
      </c>
      <c r="J792" s="6"/>
      <c r="K792" s="6"/>
      <c r="L792" s="6"/>
      <c r="M792" s="6"/>
      <c r="N792" s="6"/>
      <c r="O792" s="6"/>
      <c r="P792" s="6"/>
      <c r="Q792" s="6"/>
      <c r="R792" s="6"/>
    </row>
    <row r="793" spans="6:18">
      <c r="F793" s="5">
        <f t="shared" si="74"/>
        <v>8.9209374047270045E-13</v>
      </c>
      <c r="G793" s="4">
        <f t="shared" si="71"/>
        <v>5.9909605343335757E-3</v>
      </c>
      <c r="H793" s="3">
        <f t="shared" si="72"/>
        <v>6715617723.2665033</v>
      </c>
      <c r="I793">
        <f t="shared" si="73"/>
        <v>40233000.74376072</v>
      </c>
      <c r="J793" s="6"/>
      <c r="K793" s="6"/>
      <c r="L793" s="6"/>
      <c r="M793" s="6"/>
      <c r="N793" s="6"/>
      <c r="O793" s="6"/>
      <c r="P793" s="6"/>
      <c r="Q793" s="6"/>
      <c r="R793" s="6"/>
    </row>
    <row r="794" spans="6:18">
      <c r="F794" s="5">
        <f t="shared" si="74"/>
        <v>8.567668283499816E-13</v>
      </c>
      <c r="G794" s="4">
        <f t="shared" si="71"/>
        <v>5.8711413236469043E-3</v>
      </c>
      <c r="H794" s="3">
        <f t="shared" si="72"/>
        <v>6852671146.1903095</v>
      </c>
      <c r="I794">
        <f t="shared" si="73"/>
        <v>40233000.74376072</v>
      </c>
      <c r="J794" s="6"/>
      <c r="K794" s="6"/>
      <c r="L794" s="6"/>
      <c r="M794" s="6"/>
      <c r="N794" s="6"/>
      <c r="O794" s="6"/>
      <c r="P794" s="6"/>
      <c r="Q794" s="6"/>
      <c r="R794" s="6"/>
    </row>
    <row r="795" spans="6:18">
      <c r="F795" s="5">
        <f t="shared" si="74"/>
        <v>8.2283886194732229E-13</v>
      </c>
      <c r="G795" s="4">
        <f t="shared" si="71"/>
        <v>5.7537184971739657E-3</v>
      </c>
      <c r="H795" s="3">
        <f t="shared" si="72"/>
        <v>6992521577.7452135</v>
      </c>
      <c r="I795">
        <f t="shared" si="73"/>
        <v>40233000.74376072</v>
      </c>
      <c r="J795" s="6"/>
      <c r="K795" s="6"/>
      <c r="L795" s="6"/>
      <c r="M795" s="6"/>
      <c r="N795" s="6"/>
      <c r="O795" s="6"/>
      <c r="P795" s="6"/>
      <c r="Q795" s="6"/>
      <c r="R795" s="6"/>
    </row>
    <row r="796" spans="6:18">
      <c r="F796" s="5">
        <f t="shared" si="74"/>
        <v>7.9025444301420823E-13</v>
      </c>
      <c r="G796" s="4">
        <f t="shared" si="71"/>
        <v>5.6386441272304865E-3</v>
      </c>
      <c r="H796" s="3">
        <f t="shared" si="72"/>
        <v>7135226099.7400141</v>
      </c>
      <c r="I796">
        <f t="shared" si="73"/>
        <v>40233000.74376072</v>
      </c>
      <c r="J796" s="6"/>
      <c r="K796" s="6"/>
      <c r="L796" s="6"/>
      <c r="M796" s="6"/>
      <c r="N796" s="6"/>
      <c r="O796" s="6"/>
      <c r="P796" s="6"/>
      <c r="Q796" s="6"/>
      <c r="R796" s="6"/>
    </row>
    <row r="797" spans="6:18">
      <c r="F797" s="5">
        <f t="shared" si="74"/>
        <v>7.5896036707084561E-13</v>
      </c>
      <c r="G797" s="4">
        <f t="shared" si="71"/>
        <v>5.5258712446858765E-3</v>
      </c>
      <c r="H797" s="3">
        <f t="shared" si="72"/>
        <v>7280842958.9183817</v>
      </c>
      <c r="I797">
        <f t="shared" si="73"/>
        <v>40233000.74376072</v>
      </c>
      <c r="J797" s="6"/>
      <c r="K797" s="6"/>
      <c r="L797" s="6"/>
      <c r="M797" s="6"/>
      <c r="N797" s="6"/>
      <c r="O797" s="6"/>
      <c r="P797" s="6"/>
      <c r="Q797" s="6"/>
      <c r="R797" s="6"/>
    </row>
    <row r="798" spans="6:18">
      <c r="F798" s="5">
        <f t="shared" si="74"/>
        <v>7.2890553653484009E-13</v>
      </c>
      <c r="G798" s="4">
        <f t="shared" si="71"/>
        <v>5.415353819792159E-3</v>
      </c>
      <c r="H798" s="3">
        <f t="shared" si="72"/>
        <v>7429431590.7330427</v>
      </c>
      <c r="I798">
        <f t="shared" si="73"/>
        <v>40233000.74376072</v>
      </c>
      <c r="J798" s="6"/>
      <c r="K798" s="6"/>
      <c r="L798" s="6"/>
      <c r="M798" s="6"/>
      <c r="N798" s="6"/>
      <c r="O798" s="6"/>
      <c r="P798" s="6"/>
      <c r="Q798" s="6"/>
      <c r="R798" s="6"/>
    </row>
    <row r="799" spans="6:18">
      <c r="F799" s="5">
        <f t="shared" si="74"/>
        <v>7.0004087728806045E-13</v>
      </c>
      <c r="G799" s="4">
        <f t="shared" si="71"/>
        <v>5.307046743396316E-3</v>
      </c>
      <c r="H799" s="3">
        <f t="shared" si="72"/>
        <v>7581052643.6051455</v>
      </c>
      <c r="I799">
        <f t="shared" si="73"/>
        <v>40233000.74376072</v>
      </c>
      <c r="J799" s="6"/>
      <c r="K799" s="6"/>
      <c r="L799" s="6"/>
      <c r="M799" s="6"/>
      <c r="N799" s="6"/>
      <c r="O799" s="6"/>
      <c r="P799" s="6"/>
      <c r="Q799" s="6"/>
      <c r="R799" s="6"/>
    </row>
    <row r="800" spans="6:18">
      <c r="F800" s="5">
        <f t="shared" si="74"/>
        <v>6.7231925854745334E-13</v>
      </c>
      <c r="G800" s="4">
        <f t="shared" si="71"/>
        <v>5.2009058085283897E-3</v>
      </c>
      <c r="H800" s="3">
        <f t="shared" si="72"/>
        <v>7735768003.6787195</v>
      </c>
      <c r="I800">
        <f t="shared" si="73"/>
        <v>40233000.74376072</v>
      </c>
      <c r="J800" s="6"/>
      <c r="K800" s="6"/>
      <c r="L800" s="6"/>
      <c r="M800" s="6"/>
      <c r="N800" s="6"/>
      <c r="O800" s="6"/>
      <c r="P800" s="6"/>
      <c r="Q800" s="6"/>
      <c r="R800" s="6"/>
    </row>
    <row r="801" spans="6:18">
      <c r="F801" s="5">
        <f t="shared" si="74"/>
        <v>6.4569541590897402E-13</v>
      </c>
      <c r="G801" s="4">
        <f t="shared" si="71"/>
        <v>5.0968876923578217E-3</v>
      </c>
      <c r="H801" s="3">
        <f t="shared" si="72"/>
        <v>7893640820.080327</v>
      </c>
      <c r="I801">
        <f t="shared" si="73"/>
        <v>40233000.74376072</v>
      </c>
      <c r="J801" s="6"/>
      <c r="K801" s="6"/>
      <c r="L801" s="6"/>
      <c r="M801" s="6"/>
      <c r="N801" s="6"/>
      <c r="O801" s="6"/>
      <c r="P801" s="6"/>
      <c r="Q801" s="6"/>
      <c r="R801" s="6"/>
    </row>
    <row r="802" spans="6:18">
      <c r="F802" s="5">
        <f t="shared" si="74"/>
        <v>6.2012587743897874E-13</v>
      </c>
      <c r="G802" s="4">
        <f t="shared" si="71"/>
        <v>4.9949499385106653E-3</v>
      </c>
      <c r="H802" s="3">
        <f t="shared" si="72"/>
        <v>8054735530.694211</v>
      </c>
      <c r="I802">
        <f t="shared" si="73"/>
        <v>40233000.74376072</v>
      </c>
      <c r="J802" s="6"/>
      <c r="K802" s="6"/>
      <c r="L802" s="6"/>
      <c r="M802" s="6"/>
      <c r="N802" s="6"/>
      <c r="O802" s="6"/>
      <c r="P802" s="6"/>
      <c r="Q802" s="6"/>
      <c r="R802" s="6"/>
    </row>
    <row r="803" spans="6:18">
      <c r="F803" s="5">
        <f t="shared" si="74"/>
        <v>5.9556889269239508E-13</v>
      </c>
      <c r="G803" s="4">
        <f t="shared" si="71"/>
        <v>4.8950509397404519E-3</v>
      </c>
      <c r="H803" s="3">
        <f t="shared" si="72"/>
        <v>8219117888.4634809</v>
      </c>
      <c r="I803">
        <f t="shared" si="73"/>
        <v>40233000.74376072</v>
      </c>
      <c r="J803" s="6"/>
      <c r="K803" s="6"/>
      <c r="L803" s="6"/>
      <c r="M803" s="6"/>
      <c r="N803" s="6"/>
      <c r="O803" s="6"/>
      <c r="P803" s="6"/>
      <c r="Q803" s="6"/>
      <c r="R803" s="6"/>
    </row>
    <row r="804" spans="6:18">
      <c r="F804" s="5">
        <f t="shared" si="74"/>
        <v>5.7198436454177614E-13</v>
      </c>
      <c r="G804" s="4">
        <f t="shared" si="71"/>
        <v>4.7971499209456423E-3</v>
      </c>
      <c r="H804" s="3">
        <f t="shared" si="72"/>
        <v>8386854988.2280426</v>
      </c>
      <c r="I804">
        <f t="shared" si="73"/>
        <v>40233000.74376072</v>
      </c>
      <c r="J804" s="6"/>
      <c r="K804" s="6"/>
      <c r="L804" s="6"/>
      <c r="M804" s="6"/>
      <c r="N804" s="6"/>
      <c r="O804" s="6"/>
      <c r="P804" s="6"/>
      <c r="Q804" s="6"/>
      <c r="R804" s="6"/>
    </row>
    <row r="805" spans="6:18">
      <c r="F805" s="5">
        <f t="shared" si="74"/>
        <v>5.4933378370592186E-13</v>
      </c>
      <c r="G805" s="4">
        <f t="shared" si="71"/>
        <v>4.7012069225267298E-3</v>
      </c>
      <c r="H805" s="3">
        <f t="shared" si="72"/>
        <v>8558015294.1102467</v>
      </c>
      <c r="I805">
        <f t="shared" si="73"/>
        <v>40233000.74376072</v>
      </c>
      <c r="J805" s="6"/>
      <c r="K805" s="6"/>
      <c r="L805" s="6"/>
      <c r="M805" s="6"/>
      <c r="N805" s="6"/>
      <c r="O805" s="6"/>
      <c r="P805" s="6"/>
      <c r="Q805" s="6"/>
      <c r="R805" s="6"/>
    </row>
    <row r="806" spans="6:18">
      <c r="F806" s="5">
        <f t="shared" si="74"/>
        <v>5.2758016587116727E-13</v>
      </c>
      <c r="G806" s="4">
        <f t="shared" si="71"/>
        <v>4.6071827840761951E-3</v>
      </c>
      <c r="H806" s="3">
        <f t="shared" si="72"/>
        <v>8732668667.4594364</v>
      </c>
      <c r="I806">
        <f t="shared" si="73"/>
        <v>40233000.74376072</v>
      </c>
      <c r="J806" s="6"/>
      <c r="K806" s="6"/>
      <c r="L806" s="6"/>
      <c r="M806" s="6"/>
      <c r="N806" s="6"/>
      <c r="O806" s="6"/>
      <c r="P806" s="6"/>
      <c r="Q806" s="6"/>
      <c r="R806" s="6"/>
    </row>
    <row r="807" spans="6:18">
      <c r="F807" s="5">
        <f t="shared" si="74"/>
        <v>5.0668799130266912E-13</v>
      </c>
      <c r="G807" s="4">
        <f t="shared" si="71"/>
        <v>4.515039128394671E-3</v>
      </c>
      <c r="H807" s="3">
        <f t="shared" si="72"/>
        <v>8910886395.3667717</v>
      </c>
      <c r="I807">
        <f t="shared" si="73"/>
        <v>40233000.74376072</v>
      </c>
      <c r="J807" s="6"/>
      <c r="K807" s="6"/>
      <c r="L807" s="6"/>
      <c r="M807" s="6"/>
      <c r="N807" s="6"/>
      <c r="O807" s="6"/>
      <c r="P807" s="6"/>
      <c r="Q807" s="6"/>
      <c r="R807" s="6"/>
    </row>
    <row r="808" spans="6:18">
      <c r="F808" s="5">
        <f t="shared" si="74"/>
        <v>4.8662314684708326E-13</v>
      </c>
      <c r="G808" s="4">
        <f t="shared" si="71"/>
        <v>4.424738345826777E-3</v>
      </c>
      <c r="H808" s="3">
        <f t="shared" si="72"/>
        <v>9092741219.7620125</v>
      </c>
      <c r="I808">
        <f t="shared" si="73"/>
        <v>40233000.74376072</v>
      </c>
      <c r="J808" s="6"/>
      <c r="K808" s="6"/>
      <c r="L808" s="6"/>
      <c r="M808" s="6"/>
      <c r="N808" s="6"/>
      <c r="O808" s="6"/>
      <c r="P808" s="6"/>
      <c r="Q808" s="6"/>
      <c r="R808" s="6"/>
    </row>
    <row r="809" spans="6:18">
      <c r="F809" s="5">
        <f t="shared" si="74"/>
        <v>4.6735287023193886E-13</v>
      </c>
      <c r="G809" s="4">
        <f t="shared" si="71"/>
        <v>4.3362435789102418E-3</v>
      </c>
      <c r="H809" s="3">
        <f t="shared" si="72"/>
        <v>9278307367.1040936</v>
      </c>
      <c r="I809">
        <f t="shared" si="73"/>
        <v>40233000.74376072</v>
      </c>
      <c r="J809" s="6"/>
      <c r="K809" s="6"/>
      <c r="L809" s="6"/>
      <c r="M809" s="6"/>
      <c r="N809" s="6"/>
      <c r="O809" s="6"/>
      <c r="P809" s="6"/>
      <c r="Q809" s="6"/>
      <c r="R809" s="6"/>
    </row>
    <row r="810" spans="6:18">
      <c r="F810" s="5">
        <f t="shared" si="74"/>
        <v>4.4884569657075393E-13</v>
      </c>
      <c r="G810" s="4">
        <f t="shared" si="71"/>
        <v>4.2495187073320366E-3</v>
      </c>
      <c r="H810" s="3">
        <f t="shared" si="72"/>
        <v>9467660578.6776485</v>
      </c>
      <c r="I810">
        <f t="shared" si="73"/>
        <v>40233000.74376072</v>
      </c>
      <c r="J810" s="6"/>
      <c r="K810" s="6"/>
      <c r="L810" s="6"/>
      <c r="M810" s="6"/>
      <c r="N810" s="6"/>
      <c r="O810" s="6"/>
      <c r="P810" s="6"/>
      <c r="Q810" s="6"/>
      <c r="R810" s="6"/>
    </row>
    <row r="811" spans="6:18">
      <c r="F811" s="5">
        <f t="shared" si="74"/>
        <v>4.3107140698655209E-13</v>
      </c>
      <c r="G811" s="4">
        <f t="shared" si="71"/>
        <v>4.1645283331853957E-3</v>
      </c>
      <c r="H811" s="3">
        <f t="shared" si="72"/>
        <v>9660878141.5078049</v>
      </c>
      <c r="I811">
        <f t="shared" si="73"/>
        <v>40233000.74376072</v>
      </c>
      <c r="J811" s="6"/>
      <c r="K811" s="6"/>
      <c r="L811" s="6"/>
      <c r="M811" s="6"/>
      <c r="R811" s="6"/>
    </row>
    <row r="812" spans="6:18">
      <c r="F812" s="5">
        <f t="shared" si="74"/>
        <v>4.1400097926988467E-13</v>
      </c>
      <c r="G812" s="4">
        <f t="shared" si="71"/>
        <v>4.0812377665216878E-3</v>
      </c>
      <c r="H812" s="3">
        <f t="shared" si="72"/>
        <v>9858038919.9059219</v>
      </c>
      <c r="I812">
        <f t="shared" si="73"/>
        <v>40233000.74376072</v>
      </c>
      <c r="J812" s="6"/>
      <c r="K812" s="6"/>
      <c r="L812" s="6"/>
      <c r="M812" s="6"/>
      <c r="R812" s="6"/>
    </row>
    <row r="813" spans="6:18">
      <c r="F813" s="5">
        <f t="shared" si="74"/>
        <v>3.9760654049079715E-13</v>
      </c>
      <c r="G813" s="4">
        <f t="shared" si="71"/>
        <v>3.9996130111912536E-3</v>
      </c>
      <c r="H813" s="3">
        <f t="shared" si="72"/>
        <v>10059223387.659105</v>
      </c>
      <c r="I813">
        <f t="shared" si="73"/>
        <v>40233000.74376072</v>
      </c>
      <c r="J813" s="6"/>
      <c r="K813" s="6"/>
      <c r="L813" s="6"/>
      <c r="M813" s="6"/>
      <c r="R813" s="6"/>
    </row>
    <row r="814" spans="6:18">
      <c r="F814" s="5">
        <f t="shared" si="74"/>
        <v>3.8186132148736153E-13</v>
      </c>
      <c r="G814" s="4">
        <f t="shared" si="71"/>
        <v>3.9196207509674284E-3</v>
      </c>
      <c r="H814" s="3">
        <f t="shared" si="72"/>
        <v>10264513660.876638</v>
      </c>
      <c r="I814">
        <f t="shared" si="73"/>
        <v>40233000.74376072</v>
      </c>
      <c r="J814" s="6"/>
      <c r="K814" s="6"/>
      <c r="L814" s="6"/>
      <c r="M814" s="6"/>
      <c r="R814" s="6"/>
    </row>
    <row r="815" spans="6:18">
      <c r="F815" s="5">
        <f t="shared" si="74"/>
        <v>3.6673961315646196E-13</v>
      </c>
      <c r="G815" s="4">
        <f t="shared" si="71"/>
        <v>3.8412283359480796E-3</v>
      </c>
      <c r="H815" s="3">
        <f t="shared" si="72"/>
        <v>10473993531.506775</v>
      </c>
      <c r="I815">
        <f t="shared" si="73"/>
        <v>40233000.74376072</v>
      </c>
      <c r="J815" s="6"/>
      <c r="K815" s="6"/>
      <c r="L815" s="6"/>
      <c r="M815" s="6"/>
      <c r="R815" s="6"/>
    </row>
  </sheetData>
  <mergeCells count="3">
    <mergeCell ref="N6:Q6"/>
    <mergeCell ref="S6:U6"/>
    <mergeCell ref="V6:X6"/>
  </mergeCells>
  <conditionalFormatting sqref="V8:X100">
    <cfRule type="cellIs" dxfId="45" priority="31" operator="lessThan">
      <formula>0</formula>
    </cfRule>
  </conditionalFormatting>
  <conditionalFormatting sqref="Y8:Y100">
    <cfRule type="cellIs" dxfId="44" priority="1" operator="lessThan">
      <formula>0</formula>
    </cfRule>
  </conditionalFormatting>
  <pageMargins left="0.7" right="0.7" top="0.75" bottom="0.75" header="0.3" footer="0.3"/>
  <pageSetup paperSize="9" orientation="portrait" r:id="rId1"/>
  <ignoredErrors>
    <ignoredError sqref="H48 O48" 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10B762F-8AC8-4FE0-A7EA-E15CDB20BB5F}">
          <x14:formula1>
            <xm:f>PoolData!$A$12:$A$100</xm:f>
          </x14:formula1>
          <xm:sqref>D1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EAC4B-FA82-490A-832D-C08AE784707D}">
  <sheetPr codeName="Sheet6">
    <tabColor theme="9" tint="0.39997558519241921"/>
  </sheetPr>
  <dimension ref="A1:BD815"/>
  <sheetViews>
    <sheetView zoomScale="55" zoomScaleNormal="55" workbookViewId="0">
      <pane ySplit="7" topLeftCell="A8" activePane="bottomLeft" state="frozen"/>
      <selection activeCell="F16" sqref="F16"/>
      <selection pane="bottomLeft" activeCell="A18" sqref="A18"/>
    </sheetView>
  </sheetViews>
  <sheetFormatPr defaultRowHeight="15"/>
  <cols>
    <col min="1" max="3" width="1.42578125" customWidth="1"/>
    <col min="4" max="4" width="13.85546875" bestFit="1" customWidth="1"/>
    <col min="5" max="5" width="1.42578125" customWidth="1"/>
    <col min="6" max="6" width="11" hidden="1" customWidth="1"/>
    <col min="7" max="7" width="23.7109375" hidden="1" customWidth="1"/>
    <col min="8" max="8" width="16.7109375" style="3" hidden="1" customWidth="1"/>
    <col min="9" max="9" width="24.28515625" hidden="1" customWidth="1"/>
    <col min="10" max="10" width="36.28515625" bestFit="1" customWidth="1"/>
    <col min="11" max="11" width="11" bestFit="1" customWidth="1"/>
    <col min="12" max="12" width="27.42578125" bestFit="1" customWidth="1"/>
    <col min="13" max="13" width="1.42578125" customWidth="1"/>
    <col min="14" max="14" width="63.5703125" bestFit="1" customWidth="1"/>
    <col min="15" max="15" width="9.7109375" bestFit="1" customWidth="1"/>
    <col min="16" max="16" width="11.5703125" bestFit="1" customWidth="1"/>
    <col min="17" max="17" width="22.42578125" bestFit="1" customWidth="1"/>
    <col min="18" max="18" width="9.7109375" bestFit="1" customWidth="1"/>
    <col min="19" max="19" width="1.42578125" customWidth="1"/>
    <col min="20" max="22" width="9.7109375" bestFit="1" customWidth="1"/>
    <col min="23" max="23" width="12.85546875" bestFit="1" customWidth="1"/>
    <col min="24" max="24" width="16" bestFit="1" customWidth="1"/>
    <col min="25" max="25" width="14.7109375" bestFit="1" customWidth="1"/>
  </cols>
  <sheetData>
    <row r="1" spans="1:56" ht="18.75">
      <c r="D1" s="96"/>
      <c r="E1" s="25"/>
      <c r="J1" s="10" t="str">
        <f>"ENTRY POOL SIZE "&amp;D3</f>
        <v>ENTRY POOL SIZE FSN</v>
      </c>
      <c r="K1" s="28">
        <f>VLOOKUP($D$3&amp;"-"&amp;$D$4,PoolData!$A$10:$N$1048576,MATCH("Coin 1 Pool Size",PoolData!$A$10:$N$10,0),0)</f>
        <v>762532.23912699998</v>
      </c>
      <c r="N1" s="8" t="s">
        <v>2</v>
      </c>
      <c r="O1" s="26">
        <v>2.5000000000000001E-2</v>
      </c>
      <c r="P1" s="6"/>
      <c r="Q1" s="6"/>
      <c r="R1" s="6"/>
      <c r="S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</row>
    <row r="2" spans="1:56">
      <c r="D2" t="s">
        <v>101</v>
      </c>
      <c r="J2" s="10" t="str">
        <f>"ENTRY POOL SIZE "&amp;D4</f>
        <v>ENTRY POOL SIZE aUSDT</v>
      </c>
      <c r="K2" s="28">
        <f>VLOOKUP($D$3&amp;"-"&amp;$D$4,PoolData!$A$10:$N$1048576,MATCH("Coin 2 Pool Size",PoolData!$A$10:$N$10,0),0)</f>
        <v>290730.30418500002</v>
      </c>
      <c r="L2" s="17" t="str">
        <f>D4&amp;"  required to pool"</f>
        <v>aUSDT  required to pool</v>
      </c>
      <c r="P2" s="6"/>
      <c r="Q2" s="6"/>
      <c r="R2" s="6"/>
      <c r="S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</row>
    <row r="3" spans="1:56">
      <c r="D3" s="65" t="s">
        <v>13</v>
      </c>
      <c r="J3" s="27" t="s">
        <v>5</v>
      </c>
      <c r="K3" s="28">
        <f>VLOOKUP($D$3&amp;"-"&amp;$D$4,'Your Pooling'!$A:$B,2,0)</f>
        <v>1000</v>
      </c>
      <c r="L3" s="18">
        <f>K3/(K1/K2)</f>
        <v>381.26952444377736</v>
      </c>
      <c r="P3" s="6"/>
      <c r="Q3" s="6"/>
      <c r="R3" s="6"/>
      <c r="S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</row>
    <row r="4" spans="1:56" ht="21">
      <c r="D4" s="65" t="s">
        <v>81</v>
      </c>
      <c r="J4" s="40" t="s">
        <v>107</v>
      </c>
      <c r="K4" s="58">
        <f>K3/(K1)</f>
        <v>1.3114199619217014E-3</v>
      </c>
      <c r="N4" s="34" t="str">
        <f>"Starting Balance is "&amp;ROUND(K3,3)&amp;" "&amp;$D$3&amp;" and "&amp;ROUND(L3,1)&amp;" "&amp;$D$4&amp;" - equivalent of "&amp;ROUND(2*K3,0)&amp;" FSN or "&amp;ROUND(2*L3,1)&amp;" "&amp;$D$4</f>
        <v>Starting Balance is 1000 FSN and 381.3 aUSDT - equivalent of 2000 FSN or 762.5 aUSDT</v>
      </c>
      <c r="P4" s="6"/>
      <c r="Q4" s="6"/>
      <c r="R4" s="6"/>
      <c r="S4" s="6"/>
      <c r="U4" s="6"/>
      <c r="V4" s="6"/>
      <c r="W4" s="6"/>
      <c r="X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</row>
    <row r="5" spans="1:56">
      <c r="D5" s="64"/>
      <c r="H5"/>
      <c r="N5" s="12" t="s">
        <v>7</v>
      </c>
      <c r="P5" s="6"/>
      <c r="R5" s="6"/>
      <c r="S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</row>
    <row r="6" spans="1:56">
      <c r="H6"/>
      <c r="N6" s="149" t="s">
        <v>0</v>
      </c>
      <c r="O6" s="149"/>
      <c r="P6" s="149"/>
      <c r="Q6" s="149"/>
      <c r="R6" s="149"/>
      <c r="S6" s="6"/>
      <c r="T6" s="149" t="s">
        <v>10</v>
      </c>
      <c r="U6" s="149"/>
      <c r="V6" s="149"/>
      <c r="W6" s="150" t="s">
        <v>12</v>
      </c>
      <c r="X6" s="150"/>
      <c r="Y6" s="150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</row>
    <row r="7" spans="1:56">
      <c r="F7" s="15" t="s">
        <v>9</v>
      </c>
      <c r="G7" s="15" t="s">
        <v>3</v>
      </c>
      <c r="H7" s="16" t="s">
        <v>8</v>
      </c>
      <c r="I7" s="15" t="s">
        <v>1</v>
      </c>
      <c r="N7" s="14" t="str">
        <f>$D$3&amp;" Price"</f>
        <v>FSN Price</v>
      </c>
      <c r="O7" s="13" t="str">
        <f>"#"&amp;$D$3</f>
        <v>#FSN</v>
      </c>
      <c r="P7" s="13" t="str">
        <f>"#"&amp;$D$4</f>
        <v>#aUSDT</v>
      </c>
      <c r="Q7" s="14" t="str">
        <f>"Equivalent "&amp;$D$3</f>
        <v>Equivalent FSN</v>
      </c>
      <c r="R7" s="14" t="str">
        <f>"Equivalent USDT Pooling"&amp;ROUND(K3,0)&amp;" "&amp;$D$3&amp;" &amp; "&amp;ROUND(L3,0)&amp;" "&amp;$D$4</f>
        <v>Equivalent USDT Pooling1000 FSN &amp; 381 aUSDT</v>
      </c>
      <c r="S7" s="6"/>
      <c r="T7" s="13" t="str">
        <f>"HODL "&amp;ROUND(K3*2,0)&amp;" "&amp;$D$3</f>
        <v>HODL 2000 FSN</v>
      </c>
      <c r="U7" s="13" t="str">
        <f>"HODL "&amp;ROUND(L3*2,0)&amp;" "&amp;$D$4</f>
        <v>HODL 763 aUSDT</v>
      </c>
      <c r="V7" s="13" t="str">
        <f>"HODL "&amp;ROUND(K3,0)&amp;" "&amp;$D$3&amp;"&amp; "&amp;ROUND(L3,0)&amp;" "&amp;$D$4</f>
        <v>HODL 1000 FSN&amp; 381 aUSDT</v>
      </c>
      <c r="W7" s="13" t="str">
        <f>"HODL"&amp;$D$3</f>
        <v>HODLFSN</v>
      </c>
      <c r="X7" s="13" t="str">
        <f>"HODL "&amp;$D$4</f>
        <v>HODL aUSDT</v>
      </c>
      <c r="Y7" s="13" t="s">
        <v>11</v>
      </c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</row>
    <row r="8" spans="1:56">
      <c r="A8" s="33"/>
      <c r="B8" s="33"/>
      <c r="C8" s="33"/>
      <c r="D8" s="33"/>
      <c r="E8" s="33"/>
      <c r="F8" s="5">
        <f>H8/G8</f>
        <v>2.8897670635472448</v>
      </c>
      <c r="G8" s="4">
        <f t="shared" ref="G8:G47" si="0">G9*(1-$O$1)</f>
        <v>276976.44571126881</v>
      </c>
      <c r="H8" s="3">
        <f t="shared" ref="H8:H47" si="1">I8/G8</f>
        <v>800397.41019480617</v>
      </c>
      <c r="I8">
        <f t="shared" ref="I8:I40" si="2">I9</f>
        <v>221691229832.26187</v>
      </c>
      <c r="J8" s="33"/>
      <c r="K8" s="33"/>
      <c r="L8" s="33"/>
      <c r="M8" s="33"/>
      <c r="N8" s="30">
        <f t="shared" ref="N8:N39" si="3">F8</f>
        <v>2.8897670635472448</v>
      </c>
      <c r="O8" s="8">
        <f t="shared" ref="O8:O47" si="4">$O$48/$G$48*G8</f>
        <v>363.23243988788033</v>
      </c>
      <c r="P8" s="8">
        <f t="shared" ref="P8:P39" si="5">O8*F8</f>
        <v>1049.6571411999012</v>
      </c>
      <c r="Q8" s="10">
        <f>O8+P8/N8</f>
        <v>726.46487977576066</v>
      </c>
      <c r="R8" s="35">
        <f>P8+O8*N8</f>
        <v>2099.3142823998023</v>
      </c>
      <c r="S8" s="6"/>
      <c r="T8" s="38">
        <f t="shared" ref="T8:T39" si="6">$Q$48*N8</f>
        <v>5779.5341270944891</v>
      </c>
      <c r="U8" s="38">
        <f>$P$48*2</f>
        <v>762.53904888755471</v>
      </c>
      <c r="V8" s="38">
        <f t="shared" ref="V8:V39" si="7">$O$48*N8+$P$48</f>
        <v>3271.0365879910219</v>
      </c>
      <c r="W8" s="1">
        <f t="shared" ref="W8:W39" si="8">T8/$R8-1</f>
        <v>1.7530580702226701</v>
      </c>
      <c r="X8" s="1">
        <f t="shared" ref="X8:X39" si="9">U8/$R8-1</f>
        <v>-0.63676756011211966</v>
      </c>
      <c r="Y8" s="1">
        <f t="shared" ref="Y8:Y39" si="10">V8/$R8-1</f>
        <v>0.55814525505527501</v>
      </c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</row>
    <row r="9" spans="1:56">
      <c r="A9" s="33"/>
      <c r="B9" s="33"/>
      <c r="C9" s="33"/>
      <c r="D9" s="33"/>
      <c r="E9" s="33"/>
      <c r="F9" s="5">
        <f t="shared" ref="F9:F72" si="11">H9/G9</f>
        <v>2.7470848147845994</v>
      </c>
      <c r="G9" s="4">
        <f>G10*(1-$O$1)</f>
        <v>284078.40585771162</v>
      </c>
      <c r="H9" s="3">
        <f t="shared" si="1"/>
        <v>780387.47493993596</v>
      </c>
      <c r="I9">
        <f t="shared" si="2"/>
        <v>221691229832.26187</v>
      </c>
      <c r="J9" s="33"/>
      <c r="K9" s="33"/>
      <c r="L9" s="33"/>
      <c r="M9" s="33"/>
      <c r="N9" s="30">
        <f t="shared" si="3"/>
        <v>2.7470848147845994</v>
      </c>
      <c r="O9" s="8">
        <f t="shared" si="4"/>
        <v>372.54609219269781</v>
      </c>
      <c r="P9" s="8">
        <f t="shared" si="5"/>
        <v>1023.4157126699035</v>
      </c>
      <c r="Q9" s="10">
        <f t="shared" ref="Q9:Q71" si="12">O9+P9/N9</f>
        <v>745.09218438539563</v>
      </c>
      <c r="R9" s="35">
        <f t="shared" ref="R9:R71" si="13">P9+O9*N9</f>
        <v>2046.8314253398071</v>
      </c>
      <c r="S9" s="6"/>
      <c r="T9" s="38">
        <f t="shared" si="6"/>
        <v>5494.1696295691991</v>
      </c>
      <c r="U9" s="38">
        <f t="shared" ref="U9:U100" si="14">$P$48*2</f>
        <v>762.53904888755471</v>
      </c>
      <c r="V9" s="38">
        <f t="shared" si="7"/>
        <v>3128.3543392283768</v>
      </c>
      <c r="W9" s="1">
        <f t="shared" si="8"/>
        <v>1.6842316184671038</v>
      </c>
      <c r="X9" s="1">
        <f t="shared" si="9"/>
        <v>-0.62745390780730226</v>
      </c>
      <c r="Y9" s="1">
        <f t="shared" si="10"/>
        <v>0.52838885532990076</v>
      </c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</row>
    <row r="10" spans="1:56">
      <c r="A10" s="33"/>
      <c r="B10" s="33"/>
      <c r="C10" s="33"/>
      <c r="D10" s="33"/>
      <c r="E10" s="33"/>
      <c r="F10" s="5">
        <f t="shared" si="11"/>
        <v>2.6114475020546091</v>
      </c>
      <c r="G10" s="4">
        <f t="shared" si="0"/>
        <v>291362.46754637093</v>
      </c>
      <c r="H10" s="3">
        <f t="shared" si="1"/>
        <v>760877.78806643747</v>
      </c>
      <c r="I10">
        <f t="shared" si="2"/>
        <v>221691229832.26187</v>
      </c>
      <c r="J10" s="33"/>
      <c r="K10" s="6"/>
      <c r="L10" s="6"/>
      <c r="M10" s="6"/>
      <c r="N10" s="30">
        <f t="shared" si="3"/>
        <v>2.6114475020546091</v>
      </c>
      <c r="O10" s="8">
        <f t="shared" si="4"/>
        <v>382.09855609507474</v>
      </c>
      <c r="P10" s="8">
        <f t="shared" si="5"/>
        <v>997.83031985315586</v>
      </c>
      <c r="Q10" s="10">
        <f t="shared" si="12"/>
        <v>764.19711219014948</v>
      </c>
      <c r="R10" s="35">
        <f t="shared" si="13"/>
        <v>1995.6606397063117</v>
      </c>
      <c r="S10" s="6"/>
      <c r="T10" s="38">
        <f t="shared" si="6"/>
        <v>5222.8950041092185</v>
      </c>
      <c r="U10" s="38">
        <f t="shared" si="14"/>
        <v>762.53904888755471</v>
      </c>
      <c r="V10" s="38">
        <f t="shared" si="7"/>
        <v>2992.7170264983865</v>
      </c>
      <c r="W10" s="1">
        <f t="shared" si="8"/>
        <v>1.6171258280054257</v>
      </c>
      <c r="X10" s="1">
        <f t="shared" si="9"/>
        <v>-0.6179014439049253</v>
      </c>
      <c r="Y10" s="1">
        <f t="shared" si="10"/>
        <v>0.49961219205025009</v>
      </c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</row>
    <row r="11" spans="1:56">
      <c r="D11" s="33"/>
      <c r="E11" s="33"/>
      <c r="F11" s="5">
        <f t="shared" si="11"/>
        <v>2.4825072816406624</v>
      </c>
      <c r="G11" s="4">
        <f t="shared" si="0"/>
        <v>298833.30004755995</v>
      </c>
      <c r="H11" s="3">
        <f t="shared" si="1"/>
        <v>741855.84336477646</v>
      </c>
      <c r="I11">
        <f t="shared" si="2"/>
        <v>221691229832.26187</v>
      </c>
      <c r="J11" s="6"/>
      <c r="K11" s="6"/>
      <c r="L11" s="6"/>
      <c r="M11" s="6"/>
      <c r="N11" s="30">
        <f t="shared" si="3"/>
        <v>2.4825072816406624</v>
      </c>
      <c r="O11" s="8">
        <f t="shared" si="4"/>
        <v>391.89595496930747</v>
      </c>
      <c r="P11" s="8">
        <f t="shared" si="5"/>
        <v>972.88456185682696</v>
      </c>
      <c r="Q11" s="10">
        <f t="shared" si="12"/>
        <v>783.79190993861494</v>
      </c>
      <c r="R11" s="35">
        <f t="shared" si="13"/>
        <v>1945.7691237136539</v>
      </c>
      <c r="S11" s="6"/>
      <c r="T11" s="38">
        <f t="shared" si="6"/>
        <v>4965.0145632813246</v>
      </c>
      <c r="U11" s="38">
        <f t="shared" si="14"/>
        <v>762.53904888755471</v>
      </c>
      <c r="V11" s="38">
        <f t="shared" si="7"/>
        <v>2863.7768060844396</v>
      </c>
      <c r="W11" s="1">
        <f t="shared" si="8"/>
        <v>1.5516976823052895</v>
      </c>
      <c r="X11" s="1">
        <f t="shared" si="9"/>
        <v>-0.60810404503069271</v>
      </c>
      <c r="Y11" s="1">
        <f t="shared" si="10"/>
        <v>0.47179681863729828</v>
      </c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</row>
    <row r="12" spans="1:56">
      <c r="D12" s="33"/>
      <c r="E12" s="33"/>
      <c r="F12" s="5">
        <f t="shared" si="11"/>
        <v>2.3599334846096545</v>
      </c>
      <c r="G12" s="4">
        <f t="shared" si="0"/>
        <v>306495.69235647173</v>
      </c>
      <c r="H12" s="3">
        <f t="shared" si="1"/>
        <v>723309.44728065701</v>
      </c>
      <c r="I12">
        <f t="shared" si="2"/>
        <v>221691229832.26187</v>
      </c>
      <c r="J12" s="6"/>
      <c r="K12" s="6"/>
      <c r="L12" s="6"/>
      <c r="M12" s="6"/>
      <c r="N12" s="30">
        <f t="shared" si="3"/>
        <v>2.3599334846096545</v>
      </c>
      <c r="O12" s="8">
        <f t="shared" si="4"/>
        <v>401.94456919928967</v>
      </c>
      <c r="P12" s="8">
        <f t="shared" si="5"/>
        <v>948.56244781040607</v>
      </c>
      <c r="Q12" s="10">
        <f t="shared" si="12"/>
        <v>803.88913839857935</v>
      </c>
      <c r="R12" s="35">
        <f t="shared" si="13"/>
        <v>1897.1248956208121</v>
      </c>
      <c r="S12" s="6"/>
      <c r="T12" s="38">
        <f t="shared" si="6"/>
        <v>4719.8669692193089</v>
      </c>
      <c r="U12" s="38">
        <f t="shared" si="14"/>
        <v>762.53904888755471</v>
      </c>
      <c r="V12" s="38">
        <f t="shared" si="7"/>
        <v>2741.2030090534317</v>
      </c>
      <c r="W12" s="1">
        <f t="shared" si="8"/>
        <v>1.4879052402476574</v>
      </c>
      <c r="X12" s="1">
        <f t="shared" si="9"/>
        <v>-0.59805543080071033</v>
      </c>
      <c r="Y12" s="1">
        <f t="shared" si="10"/>
        <v>0.44492490472347357</v>
      </c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</row>
    <row r="13" spans="1:56">
      <c r="D13" s="33"/>
      <c r="E13" s="33"/>
      <c r="F13" s="5">
        <f t="shared" si="11"/>
        <v>2.2434117688070532</v>
      </c>
      <c r="G13" s="4">
        <f t="shared" si="0"/>
        <v>314354.55626304791</v>
      </c>
      <c r="H13" s="3">
        <f t="shared" si="1"/>
        <v>705226.71109864069</v>
      </c>
      <c r="I13">
        <f t="shared" si="2"/>
        <v>221691229832.26187</v>
      </c>
      <c r="J13" s="6"/>
      <c r="K13" s="6"/>
      <c r="L13" s="6"/>
      <c r="M13" s="6"/>
      <c r="N13" s="30">
        <f t="shared" si="3"/>
        <v>2.2434117688070532</v>
      </c>
      <c r="O13" s="8">
        <f t="shared" si="4"/>
        <v>412.25084020439965</v>
      </c>
      <c r="P13" s="8">
        <f t="shared" si="5"/>
        <v>924.84838661514607</v>
      </c>
      <c r="Q13" s="10">
        <f t="shared" si="12"/>
        <v>824.5016804087993</v>
      </c>
      <c r="R13" s="35">
        <f t="shared" si="13"/>
        <v>1849.6967732302921</v>
      </c>
      <c r="S13" s="6"/>
      <c r="T13" s="38">
        <f t="shared" si="6"/>
        <v>4486.8235376141065</v>
      </c>
      <c r="U13" s="38">
        <f t="shared" si="14"/>
        <v>762.53904888755471</v>
      </c>
      <c r="V13" s="38">
        <f t="shared" si="7"/>
        <v>2624.6812932508305</v>
      </c>
      <c r="W13" s="1">
        <f t="shared" si="8"/>
        <v>1.4257076092414662</v>
      </c>
      <c r="X13" s="1">
        <f t="shared" si="9"/>
        <v>-0.58774915979560038</v>
      </c>
      <c r="Y13" s="1">
        <f t="shared" si="10"/>
        <v>0.41897922472293292</v>
      </c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</row>
    <row r="14" spans="1:56">
      <c r="F14" s="5">
        <f t="shared" si="11"/>
        <v>2.1326433127222053</v>
      </c>
      <c r="G14" s="4">
        <f t="shared" si="0"/>
        <v>322414.92950056196</v>
      </c>
      <c r="H14" s="3">
        <f t="shared" si="1"/>
        <v>687596.04332117469</v>
      </c>
      <c r="I14">
        <f t="shared" si="2"/>
        <v>221691229832.26187</v>
      </c>
      <c r="J14" s="6"/>
      <c r="K14" s="6"/>
      <c r="L14" s="6"/>
      <c r="M14" s="6"/>
      <c r="N14" s="30">
        <f t="shared" si="3"/>
        <v>2.1326433127222053</v>
      </c>
      <c r="O14" s="8">
        <f t="shared" si="4"/>
        <v>422.821374568615</v>
      </c>
      <c r="P14" s="8">
        <f t="shared" si="5"/>
        <v>901.72717694976745</v>
      </c>
      <c r="Q14" s="10">
        <f t="shared" si="12"/>
        <v>845.64274913723</v>
      </c>
      <c r="R14" s="35">
        <f t="shared" si="13"/>
        <v>1803.4543538995349</v>
      </c>
      <c r="S14" s="6"/>
      <c r="T14" s="38">
        <f t="shared" si="6"/>
        <v>4265.2866254444107</v>
      </c>
      <c r="U14" s="38">
        <f t="shared" si="14"/>
        <v>762.53904888755471</v>
      </c>
      <c r="V14" s="38">
        <f t="shared" si="7"/>
        <v>2513.9128371659826</v>
      </c>
      <c r="W14" s="1">
        <f t="shared" si="8"/>
        <v>1.3650649190104298</v>
      </c>
      <c r="X14" s="1">
        <f t="shared" si="9"/>
        <v>-0.5771786254313851</v>
      </c>
      <c r="Y14" s="1">
        <f t="shared" si="10"/>
        <v>0.39394314678952247</v>
      </c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</row>
    <row r="15" spans="1:56">
      <c r="F15" s="5">
        <f t="shared" si="11"/>
        <v>2.0273440491565458</v>
      </c>
      <c r="G15" s="4">
        <f t="shared" si="0"/>
        <v>330681.97897493537</v>
      </c>
      <c r="H15" s="3">
        <f t="shared" si="1"/>
        <v>670406.14223814523</v>
      </c>
      <c r="I15">
        <f t="shared" si="2"/>
        <v>221691229832.26187</v>
      </c>
      <c r="J15" s="6"/>
      <c r="K15" s="6"/>
      <c r="L15" s="6"/>
      <c r="M15" s="6"/>
      <c r="N15" s="30">
        <f t="shared" si="3"/>
        <v>2.0273440491565458</v>
      </c>
      <c r="O15" s="8">
        <f t="shared" si="4"/>
        <v>433.66294827550263</v>
      </c>
      <c r="P15" s="8">
        <f t="shared" si="5"/>
        <v>879.18399752602318</v>
      </c>
      <c r="Q15" s="10">
        <f t="shared" si="12"/>
        <v>867.32589655100526</v>
      </c>
      <c r="R15" s="35">
        <f t="shared" si="13"/>
        <v>1758.3679950520464</v>
      </c>
      <c r="S15" s="6"/>
      <c r="T15" s="38">
        <f t="shared" si="6"/>
        <v>4054.6880983130914</v>
      </c>
      <c r="U15" s="38">
        <f t="shared" si="14"/>
        <v>762.53904888755471</v>
      </c>
      <c r="V15" s="38">
        <f t="shared" si="7"/>
        <v>2408.613573600323</v>
      </c>
      <c r="W15" s="1">
        <f t="shared" si="8"/>
        <v>1.3059382960351686</v>
      </c>
      <c r="X15" s="1">
        <f t="shared" si="9"/>
        <v>-0.56633705172449744</v>
      </c>
      <c r="Y15" s="1">
        <f t="shared" si="10"/>
        <v>0.3698006221553356</v>
      </c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</row>
    <row r="16" spans="1:56">
      <c r="F16" s="5">
        <f t="shared" si="11"/>
        <v>1.9272439367294414</v>
      </c>
      <c r="G16" s="4">
        <f t="shared" si="0"/>
        <v>339161.00407685677</v>
      </c>
      <c r="H16" s="3">
        <f t="shared" si="1"/>
        <v>653645.98868219159</v>
      </c>
      <c r="I16">
        <f t="shared" si="2"/>
        <v>221691229832.26187</v>
      </c>
      <c r="J16" s="6"/>
      <c r="K16" s="6"/>
      <c r="L16" s="6"/>
      <c r="M16" s="6"/>
      <c r="N16" s="30">
        <f t="shared" si="3"/>
        <v>1.9272439367294414</v>
      </c>
      <c r="O16" s="8">
        <f t="shared" si="4"/>
        <v>444.78251105179754</v>
      </c>
      <c r="P16" s="8">
        <f t="shared" si="5"/>
        <v>857.20439758787256</v>
      </c>
      <c r="Q16" s="10">
        <f t="shared" si="12"/>
        <v>889.56502210359508</v>
      </c>
      <c r="R16" s="35">
        <f t="shared" si="13"/>
        <v>1714.4087951757451</v>
      </c>
      <c r="S16" s="6"/>
      <c r="T16" s="38">
        <f t="shared" si="6"/>
        <v>3854.4878734588829</v>
      </c>
      <c r="U16" s="38">
        <f t="shared" si="14"/>
        <v>762.53904888755471</v>
      </c>
      <c r="V16" s="38">
        <f t="shared" si="7"/>
        <v>2308.5134611732187</v>
      </c>
      <c r="W16" s="1">
        <f t="shared" si="8"/>
        <v>1.2482898386342898</v>
      </c>
      <c r="X16" s="1">
        <f t="shared" si="9"/>
        <v>-0.55521748894820244</v>
      </c>
      <c r="Y16" s="1">
        <f t="shared" si="10"/>
        <v>0.34653617484304355</v>
      </c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</row>
    <row r="17" spans="6:56">
      <c r="F17" s="5">
        <f t="shared" si="11"/>
        <v>1.8320862673534251</v>
      </c>
      <c r="G17" s="4">
        <f t="shared" si="0"/>
        <v>347857.44007882749</v>
      </c>
      <c r="H17" s="3">
        <f t="shared" si="1"/>
        <v>637304.83896513679</v>
      </c>
      <c r="I17">
        <f t="shared" si="2"/>
        <v>221691229832.26187</v>
      </c>
      <c r="K17" s="6"/>
      <c r="L17" s="6"/>
      <c r="M17" s="6"/>
      <c r="N17" s="30">
        <f t="shared" si="3"/>
        <v>1.8320862673534251</v>
      </c>
      <c r="O17" s="8">
        <f t="shared" si="4"/>
        <v>456.18719082235651</v>
      </c>
      <c r="P17" s="8">
        <f t="shared" si="5"/>
        <v>835.7742876481758</v>
      </c>
      <c r="Q17" s="10">
        <f t="shared" si="12"/>
        <v>912.37438164471303</v>
      </c>
      <c r="R17" s="35">
        <f t="shared" si="13"/>
        <v>1671.5485752963516</v>
      </c>
      <c r="S17" s="6"/>
      <c r="T17" s="38">
        <f t="shared" si="6"/>
        <v>3664.17253470685</v>
      </c>
      <c r="U17" s="38">
        <f t="shared" si="14"/>
        <v>762.53904888755471</v>
      </c>
      <c r="V17" s="38">
        <f t="shared" si="7"/>
        <v>2213.3557917972025</v>
      </c>
      <c r="W17" s="1">
        <f t="shared" si="8"/>
        <v>1.1920825926684318</v>
      </c>
      <c r="X17" s="1">
        <f t="shared" si="9"/>
        <v>-0.54381280917764363</v>
      </c>
      <c r="Y17" s="1">
        <f t="shared" si="10"/>
        <v>0.32413489174539434</v>
      </c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</row>
    <row r="18" spans="6:56">
      <c r="F18" s="5">
        <f t="shared" si="11"/>
        <v>1.7416270079028493</v>
      </c>
      <c r="G18" s="4">
        <f t="shared" si="0"/>
        <v>356776.86161931028</v>
      </c>
      <c r="H18" s="3">
        <f t="shared" si="1"/>
        <v>621372.21799100831</v>
      </c>
      <c r="I18">
        <f t="shared" si="2"/>
        <v>221691229832.26187</v>
      </c>
      <c r="J18" s="6"/>
      <c r="K18" s="6"/>
      <c r="L18" s="6"/>
      <c r="M18" s="6"/>
      <c r="N18" s="30">
        <f t="shared" si="3"/>
        <v>1.7416270079028493</v>
      </c>
      <c r="O18" s="8">
        <f t="shared" si="4"/>
        <v>467.88429827934004</v>
      </c>
      <c r="P18" s="8">
        <f t="shared" si="5"/>
        <v>814.87993045697124</v>
      </c>
      <c r="Q18" s="10">
        <f t="shared" si="12"/>
        <v>935.76859655868009</v>
      </c>
      <c r="R18" s="35">
        <f t="shared" si="13"/>
        <v>1629.7598609139425</v>
      </c>
      <c r="S18" s="6"/>
      <c r="T18" s="38">
        <f t="shared" si="6"/>
        <v>3483.2540158056986</v>
      </c>
      <c r="U18" s="38">
        <f t="shared" si="14"/>
        <v>762.53904888755471</v>
      </c>
      <c r="V18" s="38">
        <f t="shared" si="7"/>
        <v>2122.8965323466268</v>
      </c>
      <c r="W18" s="1">
        <f t="shared" si="8"/>
        <v>1.1372805278517211</v>
      </c>
      <c r="X18" s="1">
        <f t="shared" si="9"/>
        <v>-0.53211570172066003</v>
      </c>
      <c r="Y18" s="1">
        <f t="shared" si="10"/>
        <v>0.30258241306553058</v>
      </c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</row>
    <row r="19" spans="6:56">
      <c r="F19" s="5">
        <f t="shared" si="11"/>
        <v>1.6556341743876457</v>
      </c>
      <c r="G19" s="4">
        <f t="shared" si="0"/>
        <v>365924.9862762157</v>
      </c>
      <c r="H19" s="3">
        <f>I19/G19</f>
        <v>605837.912541233</v>
      </c>
      <c r="I19">
        <f t="shared" si="2"/>
        <v>221691229832.26187</v>
      </c>
      <c r="J19" s="6"/>
      <c r="K19" s="6"/>
      <c r="L19" s="6"/>
      <c r="M19" s="6"/>
      <c r="N19" s="30">
        <f t="shared" si="3"/>
        <v>1.6556341743876457</v>
      </c>
      <c r="O19" s="8">
        <f t="shared" si="4"/>
        <v>479.88133156855389</v>
      </c>
      <c r="P19" s="8">
        <f t="shared" si="5"/>
        <v>794.5079321955468</v>
      </c>
      <c r="Q19" s="10">
        <f t="shared" si="12"/>
        <v>959.76266313710778</v>
      </c>
      <c r="R19" s="35">
        <f t="shared" si="13"/>
        <v>1589.0158643910936</v>
      </c>
      <c r="S19" s="6"/>
      <c r="T19" s="38">
        <f t="shared" si="6"/>
        <v>3311.2683487752915</v>
      </c>
      <c r="U19" s="38">
        <f t="shared" si="14"/>
        <v>762.53904888755471</v>
      </c>
      <c r="V19" s="38">
        <f t="shared" si="7"/>
        <v>2036.9036988314231</v>
      </c>
      <c r="W19" s="1">
        <f t="shared" si="8"/>
        <v>1.0838485146554282</v>
      </c>
      <c r="X19" s="1">
        <f t="shared" si="9"/>
        <v>-0.52011866843144605</v>
      </c>
      <c r="Y19" s="1">
        <f t="shared" si="10"/>
        <v>0.28186492311199096</v>
      </c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</row>
    <row r="20" spans="6:56">
      <c r="F20" s="5">
        <f t="shared" si="11"/>
        <v>1.5738872370272559</v>
      </c>
      <c r="G20" s="4">
        <f t="shared" si="0"/>
        <v>375307.6782320161</v>
      </c>
      <c r="H20" s="3">
        <f t="shared" si="1"/>
        <v>590691.9647277022</v>
      </c>
      <c r="I20">
        <f>I21</f>
        <v>221691229832.26187</v>
      </c>
      <c r="J20" s="6"/>
      <c r="K20" s="6"/>
      <c r="L20" s="6"/>
      <c r="M20" s="6"/>
      <c r="N20" s="30">
        <f t="shared" si="3"/>
        <v>1.5738872370272559</v>
      </c>
      <c r="O20" s="8">
        <f t="shared" si="4"/>
        <v>492.18598109595274</v>
      </c>
      <c r="P20" s="8">
        <f t="shared" si="5"/>
        <v>774.64523389065823</v>
      </c>
      <c r="Q20" s="10">
        <f t="shared" si="12"/>
        <v>984.37196219190548</v>
      </c>
      <c r="R20" s="35">
        <f t="shared" si="13"/>
        <v>1549.2904677813165</v>
      </c>
      <c r="S20" s="6"/>
      <c r="T20" s="38">
        <f t="shared" si="6"/>
        <v>3147.7744740545118</v>
      </c>
      <c r="U20" s="38">
        <f t="shared" si="14"/>
        <v>762.53904888755471</v>
      </c>
      <c r="V20" s="38">
        <f t="shared" si="7"/>
        <v>1955.1567614710332</v>
      </c>
      <c r="W20" s="1">
        <f t="shared" si="8"/>
        <v>1.0317523017890422</v>
      </c>
      <c r="X20" s="1">
        <f t="shared" si="9"/>
        <v>-0.50781401890404732</v>
      </c>
      <c r="Y20" s="1">
        <f t="shared" si="10"/>
        <v>0.26196914144249739</v>
      </c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</row>
    <row r="21" spans="6:56">
      <c r="F21" s="5">
        <f t="shared" si="11"/>
        <v>1.4961765546990351</v>
      </c>
      <c r="G21" s="4">
        <f t="shared" si="0"/>
        <v>384930.95203283703</v>
      </c>
      <c r="H21" s="3">
        <f t="shared" si="1"/>
        <v>575924.66560950968</v>
      </c>
      <c r="I21">
        <f t="shared" si="2"/>
        <v>221691229832.26187</v>
      </c>
      <c r="J21" s="6"/>
      <c r="K21" s="6"/>
      <c r="L21" s="6"/>
      <c r="M21" s="6"/>
      <c r="N21" s="30">
        <f t="shared" si="3"/>
        <v>1.4961765546990351</v>
      </c>
      <c r="O21" s="8">
        <f t="shared" si="4"/>
        <v>504.80613445738743</v>
      </c>
      <c r="P21" s="8">
        <f t="shared" si="5"/>
        <v>755.27910304339184</v>
      </c>
      <c r="Q21" s="10">
        <f t="shared" si="12"/>
        <v>1009.6122689147749</v>
      </c>
      <c r="R21" s="35">
        <f t="shared" si="13"/>
        <v>1510.5582060867837</v>
      </c>
      <c r="S21" s="6"/>
      <c r="T21" s="38">
        <f t="shared" si="6"/>
        <v>2992.35310939807</v>
      </c>
      <c r="U21" s="38">
        <f t="shared" si="14"/>
        <v>762.53904888755471</v>
      </c>
      <c r="V21" s="38">
        <f t="shared" si="7"/>
        <v>1877.4460791428123</v>
      </c>
      <c r="W21" s="1">
        <f t="shared" si="8"/>
        <v>0.98095849424431592</v>
      </c>
      <c r="X21" s="1">
        <f t="shared" si="9"/>
        <v>-0.49519386554261269</v>
      </c>
      <c r="Y21" s="1">
        <f t="shared" si="10"/>
        <v>0.24288231435085161</v>
      </c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</row>
    <row r="22" spans="6:56">
      <c r="F22" s="5">
        <f t="shared" si="11"/>
        <v>1.4223028373107702</v>
      </c>
      <c r="G22" s="4">
        <f t="shared" si="0"/>
        <v>394800.97644393542</v>
      </c>
      <c r="H22" s="3">
        <f t="shared" si="1"/>
        <v>561526.54896927194</v>
      </c>
      <c r="I22">
        <f t="shared" si="2"/>
        <v>221691229832.26187</v>
      </c>
      <c r="J22" s="6"/>
      <c r="K22" s="6"/>
      <c r="L22" s="6"/>
      <c r="M22" s="6"/>
      <c r="N22" s="30">
        <f t="shared" si="3"/>
        <v>1.4223028373107702</v>
      </c>
      <c r="O22" s="8">
        <f t="shared" si="4"/>
        <v>517.74988149475632</v>
      </c>
      <c r="P22" s="8">
        <f t="shared" si="5"/>
        <v>736.39712546730698</v>
      </c>
      <c r="Q22" s="10">
        <f t="shared" si="12"/>
        <v>1035.4997629895126</v>
      </c>
      <c r="R22" s="35">
        <f t="shared" si="13"/>
        <v>1472.794250934614</v>
      </c>
      <c r="S22" s="6"/>
      <c r="T22" s="38">
        <f t="shared" si="6"/>
        <v>2844.6056746215404</v>
      </c>
      <c r="U22" s="38">
        <f t="shared" si="14"/>
        <v>762.53904888755471</v>
      </c>
      <c r="V22" s="38">
        <f t="shared" si="7"/>
        <v>1803.5723617545475</v>
      </c>
      <c r="W22" s="1">
        <f t="shared" si="8"/>
        <v>0.93143453188820824</v>
      </c>
      <c r="X22" s="1">
        <f t="shared" si="9"/>
        <v>-0.48225011850524369</v>
      </c>
      <c r="Y22" s="1">
        <f t="shared" si="10"/>
        <v>0.22459220669148228</v>
      </c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</row>
    <row r="23" spans="6:56">
      <c r="F23" s="5">
        <f t="shared" si="11"/>
        <v>1.3520766347185507</v>
      </c>
      <c r="G23" s="4">
        <f t="shared" si="0"/>
        <v>404924.07840403635</v>
      </c>
      <c r="H23" s="3">
        <f t="shared" si="1"/>
        <v>547488.38524504006</v>
      </c>
      <c r="I23">
        <f t="shared" si="2"/>
        <v>221691229832.26187</v>
      </c>
      <c r="J23" s="6"/>
      <c r="K23" s="6"/>
      <c r="L23" s="6"/>
      <c r="M23" s="6"/>
      <c r="N23" s="30">
        <f t="shared" si="3"/>
        <v>1.3520766347185507</v>
      </c>
      <c r="O23" s="8">
        <f t="shared" si="4"/>
        <v>531.02551948180144</v>
      </c>
      <c r="P23" s="8">
        <f t="shared" si="5"/>
        <v>717.98719733062421</v>
      </c>
      <c r="Q23" s="10">
        <f t="shared" si="12"/>
        <v>1062.0510389636029</v>
      </c>
      <c r="R23" s="35">
        <f t="shared" si="13"/>
        <v>1435.9743946612484</v>
      </c>
      <c r="S23" s="6"/>
      <c r="T23" s="38">
        <f t="shared" si="6"/>
        <v>2704.1532694371012</v>
      </c>
      <c r="U23" s="38">
        <f t="shared" si="14"/>
        <v>762.53904888755471</v>
      </c>
      <c r="V23" s="38">
        <f t="shared" si="7"/>
        <v>1733.3461591623279</v>
      </c>
      <c r="W23" s="1">
        <f t="shared" si="8"/>
        <v>0.88314866859100283</v>
      </c>
      <c r="X23" s="1">
        <f t="shared" si="9"/>
        <v>-0.46897448051819868</v>
      </c>
      <c r="Y23" s="1">
        <f t="shared" si="10"/>
        <v>0.20708709403640202</v>
      </c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</row>
    <row r="24" spans="6:56">
      <c r="F24" s="5">
        <f t="shared" si="11"/>
        <v>1.2853178508793222</v>
      </c>
      <c r="G24" s="4">
        <f t="shared" si="0"/>
        <v>415306.74708106293</v>
      </c>
      <c r="H24" s="3">
        <f t="shared" si="1"/>
        <v>533801.17561391403</v>
      </c>
      <c r="I24">
        <f t="shared" si="2"/>
        <v>221691229832.26187</v>
      </c>
      <c r="J24" s="6"/>
      <c r="K24" s="6"/>
      <c r="L24" s="6"/>
      <c r="M24" s="6"/>
      <c r="N24" s="30">
        <f t="shared" si="3"/>
        <v>1.2853178508793222</v>
      </c>
      <c r="O24" s="8">
        <f t="shared" si="4"/>
        <v>544.64155844287325</v>
      </c>
      <c r="P24" s="8">
        <f t="shared" si="5"/>
        <v>700.03751739735856</v>
      </c>
      <c r="Q24" s="10">
        <f t="shared" si="12"/>
        <v>1089.2831168857465</v>
      </c>
      <c r="R24" s="35">
        <f t="shared" si="13"/>
        <v>1400.0750347947171</v>
      </c>
      <c r="S24" s="6"/>
      <c r="T24" s="38">
        <f t="shared" si="6"/>
        <v>2570.6357017586442</v>
      </c>
      <c r="U24" s="38">
        <f t="shared" si="14"/>
        <v>762.53904888755471</v>
      </c>
      <c r="V24" s="38">
        <f t="shared" si="7"/>
        <v>1666.5873753230994</v>
      </c>
      <c r="W24" s="1">
        <f t="shared" si="8"/>
        <v>0.83606995187622779</v>
      </c>
      <c r="X24" s="1">
        <f t="shared" si="9"/>
        <v>-0.45535844155712679</v>
      </c>
      <c r="Y24" s="1">
        <f t="shared" si="10"/>
        <v>0.1903557551595505</v>
      </c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</row>
    <row r="25" spans="6:56">
      <c r="F25" s="5">
        <f t="shared" si="11"/>
        <v>1.2218552819921558</v>
      </c>
      <c r="G25" s="4">
        <f t="shared" si="0"/>
        <v>425955.63803185942</v>
      </c>
      <c r="H25" s="3">
        <f t="shared" si="1"/>
        <v>520456.1462235662</v>
      </c>
      <c r="I25">
        <f t="shared" si="2"/>
        <v>221691229832.26187</v>
      </c>
      <c r="J25" s="6"/>
      <c r="K25" s="6"/>
      <c r="L25" s="6"/>
      <c r="M25" s="6"/>
      <c r="N25" s="30">
        <f t="shared" si="3"/>
        <v>1.2218552819921558</v>
      </c>
      <c r="O25" s="8">
        <f t="shared" si="4"/>
        <v>558.60672660807506</v>
      </c>
      <c r="P25" s="8">
        <f t="shared" si="5"/>
        <v>682.53657946242458</v>
      </c>
      <c r="Q25" s="10">
        <f t="shared" si="12"/>
        <v>1117.2134532161501</v>
      </c>
      <c r="R25" s="35">
        <f t="shared" si="13"/>
        <v>1365.0731589248492</v>
      </c>
      <c r="S25" s="6"/>
      <c r="T25" s="38">
        <f t="shared" si="6"/>
        <v>2443.7105639843116</v>
      </c>
      <c r="U25" s="38">
        <f t="shared" si="14"/>
        <v>762.53904888755471</v>
      </c>
      <c r="V25" s="38">
        <f t="shared" si="7"/>
        <v>1603.1248064359331</v>
      </c>
      <c r="W25" s="1">
        <f t="shared" si="8"/>
        <v>0.79016820307932245</v>
      </c>
      <c r="X25" s="1">
        <f t="shared" si="9"/>
        <v>-0.44139327339192491</v>
      </c>
      <c r="Y25" s="1">
        <f t="shared" si="10"/>
        <v>0.17438746484369871</v>
      </c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</row>
    <row r="26" spans="6:56">
      <c r="F26" s="5">
        <f t="shared" si="11"/>
        <v>1.1615261774437931</v>
      </c>
      <c r="G26" s="4">
        <f t="shared" si="0"/>
        <v>436877.57746857376</v>
      </c>
      <c r="H26" s="3">
        <f t="shared" si="1"/>
        <v>507444.74256797705</v>
      </c>
      <c r="I26">
        <f t="shared" si="2"/>
        <v>221691229832.26187</v>
      </c>
      <c r="J26" s="6"/>
      <c r="K26" s="6"/>
      <c r="L26" s="6"/>
      <c r="M26" s="6"/>
      <c r="N26" s="30">
        <f t="shared" si="3"/>
        <v>1.1615261774437931</v>
      </c>
      <c r="O26" s="8">
        <f t="shared" si="4"/>
        <v>572.92997600828221</v>
      </c>
      <c r="P26" s="8">
        <f t="shared" si="5"/>
        <v>665.47316497586405</v>
      </c>
      <c r="Q26" s="10">
        <f t="shared" si="12"/>
        <v>1145.8599520165644</v>
      </c>
      <c r="R26" s="35">
        <f t="shared" si="13"/>
        <v>1330.9463299517281</v>
      </c>
      <c r="S26" s="6"/>
      <c r="T26" s="38">
        <f t="shared" si="6"/>
        <v>2323.0523548875863</v>
      </c>
      <c r="U26" s="38">
        <f t="shared" si="14"/>
        <v>762.53904888755471</v>
      </c>
      <c r="V26" s="38">
        <f t="shared" si="7"/>
        <v>1542.7957018875704</v>
      </c>
      <c r="W26" s="1">
        <f t="shared" si="8"/>
        <v>0.74541399800233932</v>
      </c>
      <c r="X26" s="1">
        <f t="shared" si="9"/>
        <v>-0.4270700239917179</v>
      </c>
      <c r="Y26" s="1">
        <f t="shared" si="10"/>
        <v>0.15917198700531054</v>
      </c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</row>
    <row r="27" spans="6:56">
      <c r="F27" s="5">
        <f t="shared" si="11"/>
        <v>1.1041758224325058</v>
      </c>
      <c r="G27" s="4">
        <f t="shared" si="0"/>
        <v>448079.56663443462</v>
      </c>
      <c r="H27" s="3">
        <f t="shared" si="1"/>
        <v>494758.62400377763</v>
      </c>
      <c r="I27">
        <f t="shared" si="2"/>
        <v>221691229832.26187</v>
      </c>
      <c r="J27" s="6"/>
      <c r="K27" s="6"/>
      <c r="L27" s="6"/>
      <c r="M27" s="6"/>
      <c r="N27" s="30">
        <f t="shared" si="3"/>
        <v>1.1041758224325058</v>
      </c>
      <c r="O27" s="8">
        <f t="shared" si="4"/>
        <v>587.62048821362271</v>
      </c>
      <c r="P27" s="8">
        <f t="shared" si="5"/>
        <v>648.83633585146742</v>
      </c>
      <c r="Q27" s="10">
        <f t="shared" si="12"/>
        <v>1175.2409764272454</v>
      </c>
      <c r="R27" s="35">
        <f t="shared" si="13"/>
        <v>1297.6726717029348</v>
      </c>
      <c r="S27" s="6"/>
      <c r="T27" s="38">
        <f t="shared" si="6"/>
        <v>2208.3516448650116</v>
      </c>
      <c r="U27" s="38">
        <f t="shared" si="14"/>
        <v>762.53904888755471</v>
      </c>
      <c r="V27" s="38">
        <f t="shared" si="7"/>
        <v>1485.4453468762831</v>
      </c>
      <c r="W27" s="1">
        <f t="shared" si="8"/>
        <v>0.70177864805228074</v>
      </c>
      <c r="X27" s="1">
        <f t="shared" si="9"/>
        <v>-0.41237951178637733</v>
      </c>
      <c r="Y27" s="1">
        <f t="shared" si="10"/>
        <v>0.14469956813295171</v>
      </c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</row>
    <row r="28" spans="6:56">
      <c r="F28" s="5">
        <f t="shared" si="11"/>
        <v>1.0496571411999007</v>
      </c>
      <c r="G28" s="4">
        <f t="shared" si="0"/>
        <v>459568.78629172785</v>
      </c>
      <c r="H28" s="3">
        <f t="shared" si="1"/>
        <v>482389.65840368316</v>
      </c>
      <c r="I28">
        <f t="shared" si="2"/>
        <v>221691229832.26187</v>
      </c>
      <c r="J28" s="6"/>
      <c r="K28" s="6"/>
      <c r="L28" s="6"/>
      <c r="M28" s="6"/>
      <c r="N28" s="30">
        <f t="shared" si="3"/>
        <v>1.0496571411999007</v>
      </c>
      <c r="O28" s="8">
        <f t="shared" si="4"/>
        <v>602.68768021910034</v>
      </c>
      <c r="P28" s="8">
        <f t="shared" si="5"/>
        <v>632.61542745518079</v>
      </c>
      <c r="Q28" s="10">
        <f t="shared" si="12"/>
        <v>1205.3753604382007</v>
      </c>
      <c r="R28" s="35">
        <f t="shared" si="13"/>
        <v>1265.2308549103616</v>
      </c>
      <c r="S28" s="6"/>
      <c r="T28" s="38">
        <f t="shared" si="6"/>
        <v>2099.3142823998014</v>
      </c>
      <c r="U28" s="38">
        <f t="shared" si="14"/>
        <v>762.53904888755471</v>
      </c>
      <c r="V28" s="38">
        <f t="shared" si="7"/>
        <v>1430.926665643678</v>
      </c>
      <c r="W28" s="1">
        <f t="shared" si="8"/>
        <v>0.65923418185097349</v>
      </c>
      <c r="X28" s="1">
        <f t="shared" si="9"/>
        <v>-0.39731231978089987</v>
      </c>
      <c r="Y28" s="1">
        <f t="shared" si="10"/>
        <v>0.13096093103503681</v>
      </c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</row>
    <row r="29" spans="6:56">
      <c r="F29" s="5">
        <f t="shared" si="11"/>
        <v>0.9978303198531554</v>
      </c>
      <c r="G29" s="4">
        <f t="shared" si="0"/>
        <v>471352.60132484912</v>
      </c>
      <c r="H29" s="3">
        <f t="shared" si="1"/>
        <v>470329.91694359103</v>
      </c>
      <c r="I29">
        <f t="shared" si="2"/>
        <v>221691229832.26187</v>
      </c>
      <c r="J29" s="6"/>
      <c r="K29" s="6"/>
      <c r="L29" s="6"/>
      <c r="M29" s="6"/>
      <c r="N29" s="30">
        <f t="shared" si="3"/>
        <v>0.9978303198531554</v>
      </c>
      <c r="O29" s="8">
        <f t="shared" si="4"/>
        <v>618.14121048112861</v>
      </c>
      <c r="P29" s="8">
        <f t="shared" si="5"/>
        <v>616.80004176880118</v>
      </c>
      <c r="Q29" s="10">
        <f t="shared" si="12"/>
        <v>1236.2824209622572</v>
      </c>
      <c r="R29" s="35">
        <f t="shared" si="13"/>
        <v>1233.6000835376024</v>
      </c>
      <c r="S29" s="6"/>
      <c r="T29" s="38">
        <f t="shared" si="6"/>
        <v>1995.6606397063108</v>
      </c>
      <c r="U29" s="38">
        <f t="shared" si="14"/>
        <v>762.53904888755471</v>
      </c>
      <c r="V29" s="38">
        <f t="shared" si="7"/>
        <v>1379.0998442969328</v>
      </c>
      <c r="W29" s="1">
        <f t="shared" si="8"/>
        <v>0.6177533273046989</v>
      </c>
      <c r="X29" s="1">
        <f t="shared" si="9"/>
        <v>-0.38185878951887153</v>
      </c>
      <c r="Y29" s="1">
        <f t="shared" si="10"/>
        <v>0.11794726889291374</v>
      </c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</row>
    <row r="30" spans="6:56">
      <c r="F30" s="5">
        <f t="shared" si="11"/>
        <v>0.94856244781040577</v>
      </c>
      <c r="G30" s="4">
        <f t="shared" si="0"/>
        <v>483438.56546138373</v>
      </c>
      <c r="H30" s="3">
        <f t="shared" si="1"/>
        <v>458571.66902000125</v>
      </c>
      <c r="I30">
        <f t="shared" si="2"/>
        <v>221691229832.26187</v>
      </c>
      <c r="J30" s="6"/>
      <c r="K30" s="6"/>
      <c r="L30" s="6"/>
      <c r="M30" s="6"/>
      <c r="N30" s="30">
        <f t="shared" si="3"/>
        <v>0.94856244781040577</v>
      </c>
      <c r="O30" s="8">
        <f t="shared" si="4"/>
        <v>633.99098510884983</v>
      </c>
      <c r="P30" s="8">
        <f t="shared" si="5"/>
        <v>601.38004072458114</v>
      </c>
      <c r="Q30" s="10">
        <f t="shared" si="12"/>
        <v>1267.9819702176997</v>
      </c>
      <c r="R30" s="35">
        <f t="shared" si="13"/>
        <v>1202.7600814491623</v>
      </c>
      <c r="S30" s="6"/>
      <c r="T30" s="38">
        <f t="shared" si="6"/>
        <v>1897.1248956208115</v>
      </c>
      <c r="U30" s="38">
        <f t="shared" si="14"/>
        <v>762.53904888755471</v>
      </c>
      <c r="V30" s="38">
        <f t="shared" si="7"/>
        <v>1329.831972254183</v>
      </c>
      <c r="W30" s="1">
        <f t="shared" si="8"/>
        <v>0.57730949412208132</v>
      </c>
      <c r="X30" s="1">
        <f t="shared" si="9"/>
        <v>-0.36600901489115023</v>
      </c>
      <c r="Y30" s="1">
        <f t="shared" si="10"/>
        <v>0.10565023961546549</v>
      </c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</row>
    <row r="31" spans="6:56">
      <c r="F31" s="5">
        <f t="shared" si="11"/>
        <v>0.90172717694976701</v>
      </c>
      <c r="G31" s="4">
        <f t="shared" si="0"/>
        <v>495834.42611423973</v>
      </c>
      <c r="H31" s="3">
        <f t="shared" si="1"/>
        <v>447107.37729450123</v>
      </c>
      <c r="I31">
        <f t="shared" si="2"/>
        <v>221691229832.26187</v>
      </c>
      <c r="J31" s="6"/>
      <c r="K31" s="6"/>
      <c r="L31" s="6"/>
      <c r="M31" s="6"/>
      <c r="N31" s="30">
        <f t="shared" si="3"/>
        <v>0.90172717694976701</v>
      </c>
      <c r="O31" s="8">
        <f t="shared" si="4"/>
        <v>650.24716421420499</v>
      </c>
      <c r="P31" s="8">
        <f t="shared" si="5"/>
        <v>586.34553970646664</v>
      </c>
      <c r="Q31" s="10">
        <f t="shared" si="12"/>
        <v>1300.49432842841</v>
      </c>
      <c r="R31" s="35">
        <f t="shared" si="13"/>
        <v>1172.6910794129333</v>
      </c>
      <c r="S31" s="6"/>
      <c r="T31" s="38">
        <f t="shared" si="6"/>
        <v>1803.454353899534</v>
      </c>
      <c r="U31" s="38">
        <f t="shared" si="14"/>
        <v>762.53904888755471</v>
      </c>
      <c r="V31" s="38">
        <f t="shared" si="7"/>
        <v>1282.9967013935443</v>
      </c>
      <c r="W31" s="1">
        <f t="shared" si="8"/>
        <v>0.53787675676902924</v>
      </c>
      <c r="X31" s="1">
        <f t="shared" si="9"/>
        <v>-0.34975283578579519</v>
      </c>
      <c r="Y31" s="1">
        <f t="shared" si="10"/>
        <v>9.406196049161708E-2</v>
      </c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</row>
    <row r="32" spans="6:56">
      <c r="F32" s="5">
        <f t="shared" si="11"/>
        <v>0.85720439758787226</v>
      </c>
      <c r="G32" s="4">
        <f t="shared" si="0"/>
        <v>508548.12934793817</v>
      </c>
      <c r="H32" s="3">
        <f t="shared" si="1"/>
        <v>435929.69286213868</v>
      </c>
      <c r="I32">
        <f t="shared" si="2"/>
        <v>221691229832.26187</v>
      </c>
      <c r="J32" s="6"/>
      <c r="K32" s="6"/>
      <c r="L32" s="6"/>
      <c r="M32" s="6"/>
      <c r="N32" s="30">
        <f t="shared" si="3"/>
        <v>0.85720439758787226</v>
      </c>
      <c r="O32" s="8">
        <f t="shared" si="4"/>
        <v>666.92016842482553</v>
      </c>
      <c r="P32" s="8">
        <f t="shared" si="5"/>
        <v>571.68690121380484</v>
      </c>
      <c r="Q32" s="10">
        <f t="shared" si="12"/>
        <v>1333.8403368496511</v>
      </c>
      <c r="R32" s="35">
        <f t="shared" si="13"/>
        <v>1143.3738024276097</v>
      </c>
      <c r="S32" s="6"/>
      <c r="T32" s="38">
        <f t="shared" si="6"/>
        <v>1714.4087951757444</v>
      </c>
      <c r="U32" s="38">
        <f t="shared" si="14"/>
        <v>762.53904888755471</v>
      </c>
      <c r="V32" s="38">
        <f t="shared" si="7"/>
        <v>1238.4739220316496</v>
      </c>
      <c r="W32" s="1">
        <f t="shared" si="8"/>
        <v>0.49942983784980388</v>
      </c>
      <c r="X32" s="1">
        <f t="shared" si="9"/>
        <v>-0.3330798315751744</v>
      </c>
      <c r="Y32" s="1">
        <f t="shared" si="10"/>
        <v>8.3175003137314851E-2</v>
      </c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</row>
    <row r="33" spans="4:56">
      <c r="F33" s="5">
        <f t="shared" si="11"/>
        <v>0.81487993045697105</v>
      </c>
      <c r="G33" s="4">
        <f t="shared" si="0"/>
        <v>521587.82497224427</v>
      </c>
      <c r="H33" s="3">
        <f t="shared" si="1"/>
        <v>425031.45054058521</v>
      </c>
      <c r="I33">
        <f t="shared" si="2"/>
        <v>221691229832.26187</v>
      </c>
      <c r="J33" s="6"/>
      <c r="K33" s="6"/>
      <c r="L33" s="6"/>
      <c r="M33" s="6"/>
      <c r="N33" s="30">
        <f t="shared" si="3"/>
        <v>0.81487993045697105</v>
      </c>
      <c r="O33" s="8">
        <f t="shared" si="4"/>
        <v>684.02068556392362</v>
      </c>
      <c r="P33" s="8">
        <f t="shared" si="5"/>
        <v>557.39472868345979</v>
      </c>
      <c r="Q33" s="10">
        <f t="shared" si="12"/>
        <v>1368.0413711278475</v>
      </c>
      <c r="R33" s="35">
        <f t="shared" si="13"/>
        <v>1114.7894573669196</v>
      </c>
      <c r="S33" s="6"/>
      <c r="T33" s="38">
        <f t="shared" si="6"/>
        <v>1629.759860913942</v>
      </c>
      <c r="U33" s="38">
        <f t="shared" si="14"/>
        <v>762.53904888755471</v>
      </c>
      <c r="V33" s="38">
        <f t="shared" si="7"/>
        <v>1196.1494549007484</v>
      </c>
      <c r="W33" s="1">
        <f t="shared" si="8"/>
        <v>0.46194409190355845</v>
      </c>
      <c r="X33" s="1">
        <f t="shared" si="9"/>
        <v>-0.31597931443607641</v>
      </c>
      <c r="Y33" s="1">
        <f t="shared" si="10"/>
        <v>7.2982388733741077E-2</v>
      </c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</row>
    <row r="34" spans="4:56">
      <c r="F34" s="5">
        <f t="shared" si="11"/>
        <v>0.7746452338906582</v>
      </c>
      <c r="G34" s="4">
        <f t="shared" si="0"/>
        <v>534961.87176640437</v>
      </c>
      <c r="H34" s="3">
        <f t="shared" si="1"/>
        <v>414405.66427707061</v>
      </c>
      <c r="I34">
        <f t="shared" si="2"/>
        <v>221691229832.26187</v>
      </c>
      <c r="J34" s="6"/>
      <c r="K34" s="6"/>
      <c r="L34" s="6"/>
      <c r="M34" s="6"/>
      <c r="N34" s="30">
        <f t="shared" si="3"/>
        <v>0.7746452338906582</v>
      </c>
      <c r="O34" s="8">
        <f t="shared" si="4"/>
        <v>701.5596775014601</v>
      </c>
      <c r="P34" s="8">
        <f t="shared" si="5"/>
        <v>543.45986046637324</v>
      </c>
      <c r="Q34" s="10">
        <f t="shared" si="12"/>
        <v>1403.1193550029202</v>
      </c>
      <c r="R34" s="35">
        <f t="shared" si="13"/>
        <v>1086.9197209327465</v>
      </c>
      <c r="S34" s="6"/>
      <c r="T34" s="38">
        <f t="shared" si="6"/>
        <v>1549.2904677813165</v>
      </c>
      <c r="U34" s="38">
        <f t="shared" si="14"/>
        <v>762.53904888755471</v>
      </c>
      <c r="V34" s="38">
        <f t="shared" si="7"/>
        <v>1155.9147583344356</v>
      </c>
      <c r="W34" s="1">
        <f t="shared" si="8"/>
        <v>0.42539548960596996</v>
      </c>
      <c r="X34" s="1">
        <f t="shared" si="9"/>
        <v>-0.2984403224985398</v>
      </c>
      <c r="Y34" s="1">
        <f t="shared" si="10"/>
        <v>6.3477583553715133E-2</v>
      </c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</row>
    <row r="35" spans="4:56">
      <c r="F35" s="5">
        <f t="shared" si="11"/>
        <v>0.73639712546730685</v>
      </c>
      <c r="G35" s="4">
        <f t="shared" si="0"/>
        <v>548678.84283733787</v>
      </c>
      <c r="H35" s="3">
        <f t="shared" si="1"/>
        <v>404045.52267014381</v>
      </c>
      <c r="I35">
        <f t="shared" si="2"/>
        <v>221691229832.26187</v>
      </c>
      <c r="J35" s="6"/>
      <c r="K35" s="6"/>
      <c r="L35" s="6"/>
      <c r="M35" s="6"/>
      <c r="N35" s="30">
        <f t="shared" si="3"/>
        <v>0.73639712546730685</v>
      </c>
      <c r="O35" s="8">
        <f t="shared" si="4"/>
        <v>719.54838718098483</v>
      </c>
      <c r="P35" s="8">
        <f t="shared" si="5"/>
        <v>529.87336395471402</v>
      </c>
      <c r="Q35" s="10">
        <f t="shared" si="12"/>
        <v>1439.0967743619699</v>
      </c>
      <c r="R35" s="35">
        <f t="shared" si="13"/>
        <v>1059.746727909428</v>
      </c>
      <c r="S35" s="6"/>
      <c r="T35" s="38">
        <f t="shared" si="6"/>
        <v>1472.7942509346137</v>
      </c>
      <c r="U35" s="38">
        <f t="shared" si="14"/>
        <v>762.53904888755471</v>
      </c>
      <c r="V35" s="38">
        <f t="shared" si="7"/>
        <v>1117.6666499110843</v>
      </c>
      <c r="W35" s="1">
        <f t="shared" si="8"/>
        <v>0.38976060236582022</v>
      </c>
      <c r="X35" s="1">
        <f t="shared" si="9"/>
        <v>-0.28045161281901532</v>
      </c>
      <c r="Y35" s="1">
        <f t="shared" si="10"/>
        <v>5.4654494773402451E-2</v>
      </c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</row>
    <row r="36" spans="4:56">
      <c r="F36" s="5">
        <f t="shared" si="11"/>
        <v>0.70003751739735864</v>
      </c>
      <c r="G36" s="4">
        <f t="shared" si="0"/>
        <v>562747.5311152183</v>
      </c>
      <c r="H36" s="3">
        <f t="shared" si="1"/>
        <v>393944.38460339024</v>
      </c>
      <c r="I36">
        <f t="shared" si="2"/>
        <v>221691229832.26187</v>
      </c>
      <c r="J36" s="6"/>
      <c r="K36" s="6"/>
      <c r="L36" s="6"/>
      <c r="M36" s="6"/>
      <c r="N36" s="30">
        <f t="shared" si="3"/>
        <v>0.70003751739735864</v>
      </c>
      <c r="O36" s="8">
        <f t="shared" si="4"/>
        <v>737.99834582665108</v>
      </c>
      <c r="P36" s="8">
        <f t="shared" si="5"/>
        <v>516.62652985584612</v>
      </c>
      <c r="Q36" s="10">
        <f t="shared" si="12"/>
        <v>1475.9966916533022</v>
      </c>
      <c r="R36" s="35">
        <f t="shared" si="13"/>
        <v>1033.2530597116922</v>
      </c>
      <c r="S36" s="6"/>
      <c r="T36" s="38">
        <f t="shared" si="6"/>
        <v>1400.0750347947173</v>
      </c>
      <c r="U36" s="38">
        <f t="shared" si="14"/>
        <v>762.53904888755471</v>
      </c>
      <c r="V36" s="38">
        <f t="shared" si="7"/>
        <v>1081.307041841136</v>
      </c>
      <c r="W36" s="1">
        <f t="shared" si="8"/>
        <v>0.35501658730667507</v>
      </c>
      <c r="X36" s="1">
        <f t="shared" si="9"/>
        <v>-0.26200165417334897</v>
      </c>
      <c r="Y36" s="1">
        <f t="shared" si="10"/>
        <v>4.6507466566662936E-2</v>
      </c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</row>
    <row r="37" spans="4:56">
      <c r="F37" s="5">
        <f t="shared" si="11"/>
        <v>0.66547316497586395</v>
      </c>
      <c r="G37" s="4">
        <f t="shared" si="0"/>
        <v>577176.95498996752</v>
      </c>
      <c r="H37" s="3">
        <f t="shared" si="1"/>
        <v>384095.77498830546</v>
      </c>
      <c r="I37">
        <f t="shared" si="2"/>
        <v>221691229832.26187</v>
      </c>
      <c r="J37" s="6"/>
      <c r="K37" s="6"/>
      <c r="L37" s="6"/>
      <c r="M37" s="6"/>
      <c r="N37" s="30">
        <f t="shared" si="3"/>
        <v>0.66547316497586395</v>
      </c>
      <c r="O37" s="8">
        <f t="shared" si="4"/>
        <v>756.92138033502681</v>
      </c>
      <c r="P37" s="8">
        <f t="shared" si="5"/>
        <v>503.71086660944997</v>
      </c>
      <c r="Q37" s="10">
        <f t="shared" si="12"/>
        <v>1513.8427606700536</v>
      </c>
      <c r="R37" s="35">
        <f t="shared" si="13"/>
        <v>1007.4217332188999</v>
      </c>
      <c r="S37" s="6"/>
      <c r="T37" s="38">
        <f t="shared" si="6"/>
        <v>1330.9463299517279</v>
      </c>
      <c r="U37" s="38">
        <f t="shared" si="14"/>
        <v>762.53904888755471</v>
      </c>
      <c r="V37" s="38">
        <f t="shared" si="7"/>
        <v>1046.7426894196412</v>
      </c>
      <c r="W37" s="1">
        <f t="shared" si="8"/>
        <v>0.32114117262400788</v>
      </c>
      <c r="X37" s="1">
        <f t="shared" si="9"/>
        <v>-0.24307861966497335</v>
      </c>
      <c r="Y37" s="1">
        <f t="shared" si="10"/>
        <v>3.9031276479517096E-2</v>
      </c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</row>
    <row r="38" spans="4:56">
      <c r="F38" s="5">
        <f t="shared" si="11"/>
        <v>0.63261542745518085</v>
      </c>
      <c r="G38" s="4">
        <f t="shared" si="0"/>
        <v>591976.36409227434</v>
      </c>
      <c r="H38" s="3">
        <f t="shared" si="1"/>
        <v>374493.38061359787</v>
      </c>
      <c r="I38">
        <f t="shared" si="2"/>
        <v>221691229832.26187</v>
      </c>
      <c r="J38" s="6"/>
      <c r="K38" s="6"/>
      <c r="L38" s="6"/>
      <c r="M38" s="6"/>
      <c r="N38" s="30">
        <f t="shared" si="3"/>
        <v>0.63261542745518085</v>
      </c>
      <c r="O38" s="8">
        <f t="shared" si="4"/>
        <v>776.32962085643771</v>
      </c>
      <c r="P38" s="8">
        <f t="shared" si="5"/>
        <v>491.11809494421385</v>
      </c>
      <c r="Q38" s="10">
        <f t="shared" si="12"/>
        <v>1552.6592417128754</v>
      </c>
      <c r="R38" s="35">
        <f t="shared" si="13"/>
        <v>982.2361898884277</v>
      </c>
      <c r="S38" s="6"/>
      <c r="T38" s="38">
        <f t="shared" si="6"/>
        <v>1265.2308549103616</v>
      </c>
      <c r="U38" s="38">
        <f t="shared" si="14"/>
        <v>762.53904888755471</v>
      </c>
      <c r="V38" s="38">
        <f t="shared" si="7"/>
        <v>1013.8849518989582</v>
      </c>
      <c r="W38" s="1">
        <f t="shared" si="8"/>
        <v>0.28811264330840758</v>
      </c>
      <c r="X38" s="1">
        <f t="shared" si="9"/>
        <v>-0.22367037914356258</v>
      </c>
      <c r="Y38" s="1">
        <f t="shared" si="10"/>
        <v>3.222113208242261E-2</v>
      </c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</row>
    <row r="39" spans="4:56">
      <c r="F39" s="5">
        <f t="shared" si="11"/>
        <v>0.60138004072458118</v>
      </c>
      <c r="G39" s="4">
        <f t="shared" si="0"/>
        <v>607155.24522284546</v>
      </c>
      <c r="H39" s="3">
        <f t="shared" si="1"/>
        <v>365131.04609825788</v>
      </c>
      <c r="I39">
        <f t="shared" si="2"/>
        <v>221691229832.26187</v>
      </c>
      <c r="J39" s="6"/>
      <c r="K39" s="6"/>
      <c r="L39" s="6"/>
      <c r="M39" s="6"/>
      <c r="N39" s="30">
        <f t="shared" si="3"/>
        <v>0.60138004072458118</v>
      </c>
      <c r="O39" s="8">
        <f t="shared" si="4"/>
        <v>796.23550857070529</v>
      </c>
      <c r="P39" s="8">
        <f t="shared" si="5"/>
        <v>478.84014257060835</v>
      </c>
      <c r="Q39" s="10">
        <f t="shared" si="12"/>
        <v>1592.4710171414106</v>
      </c>
      <c r="R39" s="35">
        <f t="shared" si="13"/>
        <v>957.6802851412167</v>
      </c>
      <c r="S39" s="6"/>
      <c r="T39" s="38">
        <f t="shared" si="6"/>
        <v>1202.7600814491623</v>
      </c>
      <c r="U39" s="38">
        <f t="shared" si="14"/>
        <v>762.53904888755471</v>
      </c>
      <c r="V39" s="38">
        <f t="shared" si="7"/>
        <v>982.64956516835855</v>
      </c>
      <c r="W39" s="1">
        <f t="shared" si="8"/>
        <v>0.25590982722569766</v>
      </c>
      <c r="X39" s="1">
        <f t="shared" si="9"/>
        <v>-0.20376449142929476</v>
      </c>
      <c r="Y39" s="1">
        <f t="shared" si="10"/>
        <v>2.6072667898201507E-2</v>
      </c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</row>
    <row r="40" spans="4:56">
      <c r="F40" s="5">
        <f t="shared" si="11"/>
        <v>0.57168690121380505</v>
      </c>
      <c r="G40" s="4">
        <f t="shared" si="0"/>
        <v>622723.32843368768</v>
      </c>
      <c r="H40" s="3">
        <f t="shared" si="1"/>
        <v>356002.76994580147</v>
      </c>
      <c r="I40">
        <f t="shared" si="2"/>
        <v>221691229832.26187</v>
      </c>
      <c r="J40" s="6"/>
      <c r="K40" s="6"/>
      <c r="L40" s="6"/>
      <c r="M40" s="6"/>
      <c r="N40" s="30">
        <f t="shared" ref="N40:N71" si="15">F40</f>
        <v>0.57168690121380505</v>
      </c>
      <c r="O40" s="8">
        <f t="shared" si="4"/>
        <v>816.65180366226184</v>
      </c>
      <c r="P40" s="8">
        <f t="shared" ref="P40:P71" si="16">O40*F40</f>
        <v>466.86913900634323</v>
      </c>
      <c r="Q40" s="10">
        <f t="shared" si="12"/>
        <v>1633.3036073245237</v>
      </c>
      <c r="R40" s="35">
        <f t="shared" si="13"/>
        <v>933.73827801268646</v>
      </c>
      <c r="S40" s="6"/>
      <c r="T40" s="38">
        <f t="shared" ref="T40:T71" si="17">$Q$48*N40</f>
        <v>1143.3738024276101</v>
      </c>
      <c r="U40" s="38">
        <f t="shared" si="14"/>
        <v>762.53904888755471</v>
      </c>
      <c r="V40" s="38">
        <f t="shared" ref="V40:V71" si="18">$O$48*N40+$P$48</f>
        <v>952.95642565758249</v>
      </c>
      <c r="W40" s="1">
        <f t="shared" ref="W40:W71" si="19">T40/$R40-1</f>
        <v>0.2245120815450552</v>
      </c>
      <c r="X40" s="1">
        <f t="shared" ref="X40:X71" si="20">U40/$R40-1</f>
        <v>-0.18334819633773836</v>
      </c>
      <c r="Y40" s="1">
        <f t="shared" ref="Y40:Y71" si="21">V40/$R40-1</f>
        <v>2.0581942603658421E-2</v>
      </c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</row>
    <row r="41" spans="4:56">
      <c r="F41" s="5">
        <f t="shared" si="11"/>
        <v>0.54345986046637329</v>
      </c>
      <c r="G41" s="4">
        <f t="shared" si="0"/>
        <v>638690.59326532076</v>
      </c>
      <c r="H41" s="3">
        <f t="shared" si="1"/>
        <v>347102.70069715637</v>
      </c>
      <c r="I41">
        <f>I42</f>
        <v>221691229832.26187</v>
      </c>
      <c r="J41" s="6"/>
      <c r="K41" s="6"/>
      <c r="L41" s="6"/>
      <c r="M41" s="6"/>
      <c r="N41" s="30">
        <f t="shared" si="15"/>
        <v>0.54345986046637329</v>
      </c>
      <c r="O41" s="8">
        <f t="shared" si="4"/>
        <v>837.59159349975585</v>
      </c>
      <c r="P41" s="8">
        <f t="shared" si="16"/>
        <v>455.19741053118457</v>
      </c>
      <c r="Q41" s="10">
        <f t="shared" si="12"/>
        <v>1675.1831869995117</v>
      </c>
      <c r="R41" s="35">
        <f t="shared" si="13"/>
        <v>910.39482106236915</v>
      </c>
      <c r="S41" s="6"/>
      <c r="T41" s="38">
        <f t="shared" si="17"/>
        <v>1086.9197209327465</v>
      </c>
      <c r="U41" s="38">
        <f t="shared" si="14"/>
        <v>762.53904888755471</v>
      </c>
      <c r="V41" s="38">
        <f t="shared" si="18"/>
        <v>924.72938491015066</v>
      </c>
      <c r="W41" s="1">
        <f t="shared" si="19"/>
        <v>0.19389927950642849</v>
      </c>
      <c r="X41" s="1">
        <f t="shared" si="20"/>
        <v>-0.16240840650024435</v>
      </c>
      <c r="Y41" s="1">
        <f t="shared" si="21"/>
        <v>1.5745436503092236E-2</v>
      </c>
      <c r="Z41" s="6"/>
      <c r="AA41" s="2"/>
      <c r="AB41" s="2"/>
      <c r="AC41" s="2"/>
    </row>
    <row r="42" spans="4:56">
      <c r="F42" s="5">
        <f t="shared" si="11"/>
        <v>0.51662652985584612</v>
      </c>
      <c r="G42" s="4">
        <f t="shared" si="0"/>
        <v>655067.2751439187</v>
      </c>
      <c r="H42" s="3">
        <f t="shared" si="1"/>
        <v>338425.13317972748</v>
      </c>
      <c r="I42">
        <f t="shared" ref="I42:I46" si="22">I43</f>
        <v>221691229832.26187</v>
      </c>
      <c r="J42" s="6"/>
      <c r="K42" s="6"/>
      <c r="L42" s="6"/>
      <c r="M42" s="6"/>
      <c r="N42" s="30">
        <f t="shared" si="15"/>
        <v>0.51662652985584612</v>
      </c>
      <c r="O42" s="8">
        <f t="shared" si="4"/>
        <v>859.06830102539061</v>
      </c>
      <c r="P42" s="8">
        <f t="shared" si="16"/>
        <v>443.81747526790497</v>
      </c>
      <c r="Q42" s="10">
        <f t="shared" si="12"/>
        <v>1718.1366020507812</v>
      </c>
      <c r="R42" s="35">
        <f t="shared" si="13"/>
        <v>887.63495053580993</v>
      </c>
      <c r="S42" s="6"/>
      <c r="T42" s="38">
        <f t="shared" si="17"/>
        <v>1033.2530597116922</v>
      </c>
      <c r="U42" s="38">
        <f t="shared" si="14"/>
        <v>762.53904888755471</v>
      </c>
      <c r="V42" s="38">
        <f t="shared" si="18"/>
        <v>897.89605429962353</v>
      </c>
      <c r="W42" s="1">
        <f t="shared" si="19"/>
        <v>0.16405179751876786</v>
      </c>
      <c r="X42" s="1">
        <f t="shared" si="20"/>
        <v>-0.14093169897460955</v>
      </c>
      <c r="Y42" s="1">
        <f t="shared" si="21"/>
        <v>1.156004927207932E-2</v>
      </c>
      <c r="Z42" s="6"/>
      <c r="AA42" s="2"/>
      <c r="AB42" s="2"/>
      <c r="AC42" s="2"/>
    </row>
    <row r="43" spans="4:56">
      <c r="F43" s="5">
        <f t="shared" si="11"/>
        <v>0.49111809494421377</v>
      </c>
      <c r="G43" s="4">
        <f t="shared" si="0"/>
        <v>671863.87194248068</v>
      </c>
      <c r="H43" s="3">
        <f t="shared" si="1"/>
        <v>329964.50485023431</v>
      </c>
      <c r="I43">
        <f t="shared" si="22"/>
        <v>221691229832.26187</v>
      </c>
      <c r="J43" s="6"/>
      <c r="K43" s="6"/>
      <c r="L43" s="6"/>
      <c r="M43" s="6"/>
      <c r="N43" s="30">
        <f t="shared" si="15"/>
        <v>0.49111809494421377</v>
      </c>
      <c r="O43" s="8">
        <f t="shared" si="4"/>
        <v>881.09569335937488</v>
      </c>
      <c r="P43" s="8">
        <f t="shared" si="16"/>
        <v>432.72203838620732</v>
      </c>
      <c r="Q43" s="10">
        <f t="shared" si="12"/>
        <v>1762.1913867187498</v>
      </c>
      <c r="R43" s="35">
        <f t="shared" si="13"/>
        <v>865.44407677241463</v>
      </c>
      <c r="S43" s="6"/>
      <c r="T43" s="38">
        <f t="shared" si="17"/>
        <v>982.23618988842759</v>
      </c>
      <c r="U43" s="38">
        <f t="shared" si="14"/>
        <v>762.53904888755471</v>
      </c>
      <c r="V43" s="38">
        <f t="shared" si="18"/>
        <v>872.38761938799121</v>
      </c>
      <c r="W43" s="1">
        <f t="shared" si="19"/>
        <v>0.1349505025807991</v>
      </c>
      <c r="X43" s="1">
        <f t="shared" si="20"/>
        <v>-0.11890430664062512</v>
      </c>
      <c r="Y43" s="1">
        <f t="shared" si="21"/>
        <v>8.0230979700870453E-3</v>
      </c>
      <c r="Z43" s="6"/>
      <c r="AA43" s="2"/>
      <c r="AB43" s="2"/>
      <c r="AC43" s="2"/>
    </row>
    <row r="44" spans="4:56">
      <c r="F44" s="5">
        <f t="shared" si="11"/>
        <v>0.46686913900634319</v>
      </c>
      <c r="G44" s="4">
        <f t="shared" si="0"/>
        <v>689091.15071023663</v>
      </c>
      <c r="H44" s="3">
        <f t="shared" si="1"/>
        <v>321715.39222897845</v>
      </c>
      <c r="I44">
        <f t="shared" si="22"/>
        <v>221691229832.26187</v>
      </c>
      <c r="J44" s="6"/>
      <c r="K44" s="6"/>
      <c r="L44" s="6"/>
      <c r="M44" s="6"/>
      <c r="N44" s="30">
        <f t="shared" si="15"/>
        <v>0.46686913900634319</v>
      </c>
      <c r="O44" s="8">
        <f t="shared" si="4"/>
        <v>903.68789062499991</v>
      </c>
      <c r="P44" s="8">
        <f t="shared" si="16"/>
        <v>421.90398742655213</v>
      </c>
      <c r="Q44" s="10">
        <f t="shared" si="12"/>
        <v>1807.3757812499998</v>
      </c>
      <c r="R44" s="35">
        <f t="shared" si="13"/>
        <v>843.80797485310427</v>
      </c>
      <c r="S44" s="6"/>
      <c r="T44" s="38">
        <f t="shared" si="17"/>
        <v>933.73827801268635</v>
      </c>
      <c r="U44" s="38">
        <f t="shared" si="14"/>
        <v>762.53904888755471</v>
      </c>
      <c r="V44" s="38">
        <f t="shared" si="18"/>
        <v>848.13866345012048</v>
      </c>
      <c r="W44" s="1">
        <f t="shared" si="19"/>
        <v>0.10657674001627893</v>
      </c>
      <c r="X44" s="1">
        <f t="shared" si="20"/>
        <v>-9.6312109375000121E-2</v>
      </c>
      <c r="Y44" s="1">
        <f t="shared" si="21"/>
        <v>5.1323153206392913E-3</v>
      </c>
      <c r="Z44" s="6"/>
      <c r="AA44" s="2"/>
      <c r="AB44" s="2"/>
      <c r="AC44" s="2"/>
    </row>
    <row r="45" spans="4:56">
      <c r="F45" s="5">
        <f t="shared" si="11"/>
        <v>0.44381747526790494</v>
      </c>
      <c r="G45" s="4">
        <f t="shared" si="0"/>
        <v>706760.15457460168</v>
      </c>
      <c r="H45" s="3">
        <f t="shared" si="1"/>
        <v>313672.50742325396</v>
      </c>
      <c r="I45">
        <f t="shared" si="22"/>
        <v>221691229832.26187</v>
      </c>
      <c r="J45" s="6"/>
      <c r="K45" s="6"/>
      <c r="L45" s="6"/>
      <c r="M45" s="6"/>
      <c r="N45" s="30">
        <f t="shared" si="15"/>
        <v>0.44381747526790494</v>
      </c>
      <c r="O45" s="8">
        <f t="shared" si="4"/>
        <v>926.859375</v>
      </c>
      <c r="P45" s="8">
        <f t="shared" si="16"/>
        <v>411.35638774088835</v>
      </c>
      <c r="Q45" s="10">
        <f t="shared" si="12"/>
        <v>1853.71875</v>
      </c>
      <c r="R45" s="35">
        <f t="shared" si="13"/>
        <v>822.7127754817767</v>
      </c>
      <c r="S45" s="9"/>
      <c r="T45" s="38">
        <f t="shared" si="17"/>
        <v>887.63495053580982</v>
      </c>
      <c r="U45" s="38">
        <f t="shared" si="14"/>
        <v>762.53904888755471</v>
      </c>
      <c r="V45" s="38">
        <f t="shared" si="18"/>
        <v>825.08699971168221</v>
      </c>
      <c r="W45" s="1">
        <f t="shared" si="19"/>
        <v>7.8912321515871575E-2</v>
      </c>
      <c r="X45" s="1">
        <f t="shared" si="20"/>
        <v>-7.3140625000000181E-2</v>
      </c>
      <c r="Y45" s="1">
        <f t="shared" si="21"/>
        <v>2.885848257935697E-3</v>
      </c>
      <c r="Z45" s="6"/>
      <c r="AA45" s="2"/>
      <c r="AB45" s="2"/>
      <c r="AC45" s="2"/>
    </row>
    <row r="46" spans="4:56">
      <c r="F46" s="5">
        <f t="shared" si="11"/>
        <v>0.42190398742655216</v>
      </c>
      <c r="G46" s="4">
        <f t="shared" si="0"/>
        <v>724882.2098201043</v>
      </c>
      <c r="H46" s="3">
        <f t="shared" si="1"/>
        <v>305830.69473767263</v>
      </c>
      <c r="I46">
        <f t="shared" si="22"/>
        <v>221691229832.26187</v>
      </c>
      <c r="J46" s="6"/>
      <c r="K46" s="6"/>
      <c r="L46" s="6"/>
      <c r="M46" s="6"/>
      <c r="N46" s="30">
        <f t="shared" si="15"/>
        <v>0.42190398742655216</v>
      </c>
      <c r="O46" s="8">
        <f t="shared" si="4"/>
        <v>950.625</v>
      </c>
      <c r="P46" s="8">
        <f t="shared" si="16"/>
        <v>401.07247804736613</v>
      </c>
      <c r="Q46" s="10">
        <f t="shared" si="12"/>
        <v>1901.25</v>
      </c>
      <c r="R46" s="35">
        <f t="shared" si="13"/>
        <v>802.14495609473227</v>
      </c>
      <c r="S46" s="9"/>
      <c r="T46" s="38">
        <f t="shared" si="17"/>
        <v>843.80797485310427</v>
      </c>
      <c r="U46" s="38">
        <f t="shared" si="14"/>
        <v>762.53904888755471</v>
      </c>
      <c r="V46" s="38">
        <f t="shared" si="18"/>
        <v>803.17351187032955</v>
      </c>
      <c r="W46" s="1">
        <f t="shared" si="19"/>
        <v>5.1939513477974986E-2</v>
      </c>
      <c r="X46" s="1">
        <f t="shared" si="20"/>
        <v>-4.9375000000000169E-2</v>
      </c>
      <c r="Y46" s="1">
        <f t="shared" si="21"/>
        <v>1.2822567389874084E-3</v>
      </c>
      <c r="Z46" s="6"/>
      <c r="AA46" s="2"/>
      <c r="AB46" s="2"/>
      <c r="AC46" s="2"/>
    </row>
    <row r="47" spans="4:56">
      <c r="F47" s="5">
        <f t="shared" si="11"/>
        <v>0.40107247804736607</v>
      </c>
      <c r="G47" s="4">
        <f t="shared" si="0"/>
        <v>743468.93314882496</v>
      </c>
      <c r="H47" s="3">
        <f t="shared" si="1"/>
        <v>298184.92736923078</v>
      </c>
      <c r="I47">
        <f>I48</f>
        <v>221691229832.26187</v>
      </c>
      <c r="J47" s="6"/>
      <c r="K47" s="6"/>
      <c r="L47" s="6"/>
      <c r="M47" s="6"/>
      <c r="N47" s="30">
        <f t="shared" si="15"/>
        <v>0.40107247804736607</v>
      </c>
      <c r="O47" s="8">
        <f t="shared" si="4"/>
        <v>975</v>
      </c>
      <c r="P47" s="8">
        <f t="shared" si="16"/>
        <v>391.04566609618189</v>
      </c>
      <c r="Q47" s="10">
        <f t="shared" si="12"/>
        <v>1950</v>
      </c>
      <c r="R47" s="35">
        <f t="shared" si="13"/>
        <v>782.09133219236378</v>
      </c>
      <c r="S47" s="9"/>
      <c r="T47" s="38">
        <f t="shared" si="17"/>
        <v>802.14495609473215</v>
      </c>
      <c r="U47" s="38">
        <f t="shared" si="14"/>
        <v>762.53904888755471</v>
      </c>
      <c r="V47" s="38">
        <f t="shared" si="18"/>
        <v>782.34200249114338</v>
      </c>
      <c r="W47" s="1">
        <f t="shared" si="19"/>
        <v>2.5641025641025772E-2</v>
      </c>
      <c r="X47" s="1">
        <f t="shared" si="20"/>
        <v>-2.4999999999999911E-2</v>
      </c>
      <c r="Y47" s="1">
        <f t="shared" si="21"/>
        <v>3.2051282051281937E-4</v>
      </c>
      <c r="Z47" s="6"/>
      <c r="AA47" s="2"/>
      <c r="AB47" s="2"/>
      <c r="AC47" s="2"/>
    </row>
    <row r="48" spans="4:56" ht="18.75">
      <c r="D48" s="24" t="s">
        <v>4</v>
      </c>
      <c r="E48" s="24"/>
      <c r="F48" s="5">
        <f t="shared" si="11"/>
        <v>0.38126952444377737</v>
      </c>
      <c r="G48" s="19">
        <f>K1</f>
        <v>762532.23912699998</v>
      </c>
      <c r="H48" s="20">
        <f>K2</f>
        <v>290730.30418500002</v>
      </c>
      <c r="I48" s="21">
        <f>G48*H48</f>
        <v>221691229832.26187</v>
      </c>
      <c r="J48" s="22"/>
      <c r="K48" s="22"/>
      <c r="L48" s="22"/>
      <c r="M48" s="21"/>
      <c r="N48" s="31">
        <f>F48</f>
        <v>0.38126952444377737</v>
      </c>
      <c r="O48" s="11">
        <f>K3</f>
        <v>1000</v>
      </c>
      <c r="P48" s="11">
        <f t="shared" si="16"/>
        <v>381.26952444377736</v>
      </c>
      <c r="Q48" s="11">
        <f t="shared" si="12"/>
        <v>2000</v>
      </c>
      <c r="R48" s="36">
        <f t="shared" si="13"/>
        <v>762.53904888755471</v>
      </c>
      <c r="S48" s="23"/>
      <c r="T48" s="36">
        <f t="shared" si="17"/>
        <v>762.53904888755471</v>
      </c>
      <c r="U48" s="36">
        <f t="shared" si="14"/>
        <v>762.53904888755471</v>
      </c>
      <c r="V48" s="36">
        <f t="shared" si="18"/>
        <v>762.53904888755471</v>
      </c>
      <c r="W48" s="39">
        <f t="shared" si="19"/>
        <v>0</v>
      </c>
      <c r="X48" s="39">
        <f t="shared" si="20"/>
        <v>0</v>
      </c>
      <c r="Y48" s="39">
        <f t="shared" si="21"/>
        <v>0</v>
      </c>
      <c r="Z48" s="6"/>
      <c r="AA48" s="2"/>
      <c r="AB48" s="2"/>
      <c r="AC48" s="2"/>
    </row>
    <row r="49" spans="6:29">
      <c r="F49" s="5">
        <f t="shared" si="11"/>
        <v>0.36289782219514816</v>
      </c>
      <c r="G49" s="4">
        <f t="shared" ref="G49:G112" si="23">G48*(1+$O$1)</f>
        <v>781595.54510517488</v>
      </c>
      <c r="H49" s="3">
        <f>I49/G49</f>
        <v>283639.32115609763</v>
      </c>
      <c r="I49">
        <f>I48</f>
        <v>221691229832.26187</v>
      </c>
      <c r="J49" s="6"/>
      <c r="K49" s="6"/>
      <c r="L49" s="6"/>
      <c r="M49" s="6"/>
      <c r="N49" s="30">
        <f t="shared" si="15"/>
        <v>0.36289782219514816</v>
      </c>
      <c r="O49" s="8">
        <f t="shared" ref="O49:O80" si="24">$O$48/$G$48*G49</f>
        <v>1025</v>
      </c>
      <c r="P49" s="8">
        <f t="shared" si="16"/>
        <v>371.97026775002684</v>
      </c>
      <c r="Q49" s="10">
        <f t="shared" si="12"/>
        <v>2050</v>
      </c>
      <c r="R49" s="35">
        <f t="shared" si="13"/>
        <v>743.94053550005367</v>
      </c>
      <c r="S49" s="9"/>
      <c r="T49" s="38">
        <f t="shared" si="17"/>
        <v>725.79564439029627</v>
      </c>
      <c r="U49" s="38">
        <f t="shared" si="14"/>
        <v>762.53904888755471</v>
      </c>
      <c r="V49" s="38">
        <f t="shared" si="18"/>
        <v>744.16734663892544</v>
      </c>
      <c r="W49" s="1">
        <f t="shared" si="19"/>
        <v>-2.4390243902439046E-2</v>
      </c>
      <c r="X49" s="1">
        <f t="shared" si="20"/>
        <v>2.4999999999999689E-2</v>
      </c>
      <c r="Y49" s="1">
        <f t="shared" si="21"/>
        <v>3.0487804878021052E-4</v>
      </c>
      <c r="Z49" s="6"/>
      <c r="AA49" s="2"/>
      <c r="AB49" s="2"/>
      <c r="AC49" s="2"/>
    </row>
    <row r="50" spans="6:29">
      <c r="F50" s="5">
        <f t="shared" si="11"/>
        <v>0.34541137151233614</v>
      </c>
      <c r="G50" s="4">
        <f t="shared" si="23"/>
        <v>801135.43373280414</v>
      </c>
      <c r="H50" s="3">
        <f t="shared" ref="H50:H113" si="25">I50/G50</f>
        <v>276721.28893277817</v>
      </c>
      <c r="I50">
        <f t="shared" ref="I50:I113" si="26">I49</f>
        <v>221691229832.26187</v>
      </c>
      <c r="J50" s="6"/>
      <c r="K50" s="6"/>
      <c r="L50" s="6"/>
      <c r="M50" s="6"/>
      <c r="N50" s="30">
        <f t="shared" si="15"/>
        <v>0.34541137151233614</v>
      </c>
      <c r="O50" s="8">
        <f t="shared" si="24"/>
        <v>1050.6249999999998</v>
      </c>
      <c r="P50" s="8">
        <f t="shared" si="16"/>
        <v>362.89782219514808</v>
      </c>
      <c r="Q50" s="10">
        <f t="shared" si="12"/>
        <v>2101.2499999999995</v>
      </c>
      <c r="R50" s="35">
        <f t="shared" si="13"/>
        <v>725.79564439029616</v>
      </c>
      <c r="S50" s="9"/>
      <c r="T50" s="38">
        <f t="shared" si="17"/>
        <v>690.82274302467226</v>
      </c>
      <c r="U50" s="38">
        <f t="shared" si="14"/>
        <v>762.53904888755471</v>
      </c>
      <c r="V50" s="38">
        <f t="shared" si="18"/>
        <v>726.68089595611355</v>
      </c>
      <c r="W50" s="1">
        <f t="shared" si="19"/>
        <v>-4.8185603807257449E-2</v>
      </c>
      <c r="X50" s="1">
        <f t="shared" si="20"/>
        <v>5.0624999999999698E-2</v>
      </c>
      <c r="Y50" s="1">
        <f t="shared" si="21"/>
        <v>1.2196980963712356E-3</v>
      </c>
      <c r="Z50" s="6"/>
      <c r="AA50" s="2"/>
      <c r="AB50" s="2"/>
      <c r="AC50" s="2"/>
    </row>
    <row r="51" spans="6:29">
      <c r="F51" s="5">
        <f t="shared" si="11"/>
        <v>0.32876751601412135</v>
      </c>
      <c r="G51" s="4">
        <f t="shared" si="23"/>
        <v>821163.8195761242</v>
      </c>
      <c r="H51" s="3">
        <f t="shared" si="25"/>
        <v>269971.98920271045</v>
      </c>
      <c r="I51">
        <f t="shared" si="26"/>
        <v>221691229832.26187</v>
      </c>
      <c r="J51" s="6"/>
      <c r="K51" s="6"/>
      <c r="L51" s="6"/>
      <c r="M51" s="6"/>
      <c r="N51" s="30">
        <f t="shared" si="15"/>
        <v>0.32876751601412135</v>
      </c>
      <c r="O51" s="8">
        <f t="shared" si="24"/>
        <v>1076.8906249999998</v>
      </c>
      <c r="P51" s="8">
        <f t="shared" si="16"/>
        <v>354.04665580014455</v>
      </c>
      <c r="Q51" s="10">
        <f t="shared" si="12"/>
        <v>2153.7812499999995</v>
      </c>
      <c r="R51" s="35">
        <f t="shared" si="13"/>
        <v>708.0933116002891</v>
      </c>
      <c r="S51" s="9"/>
      <c r="T51" s="38">
        <f t="shared" si="17"/>
        <v>657.53503202824265</v>
      </c>
      <c r="U51" s="38">
        <f t="shared" si="14"/>
        <v>762.53904888755471</v>
      </c>
      <c r="V51" s="38">
        <f t="shared" si="18"/>
        <v>710.03704045789868</v>
      </c>
      <c r="W51" s="1">
        <f t="shared" si="19"/>
        <v>-7.1400589080251153E-2</v>
      </c>
      <c r="X51" s="1">
        <f t="shared" si="20"/>
        <v>7.6890624999999435E-2</v>
      </c>
      <c r="Y51" s="1">
        <f t="shared" si="21"/>
        <v>2.7450179598742519E-3</v>
      </c>
      <c r="Z51" s="6"/>
      <c r="AA51" s="2"/>
      <c r="AB51" s="2"/>
      <c r="AC51" s="2"/>
    </row>
    <row r="52" spans="6:29">
      <c r="F52" s="5">
        <f t="shared" si="11"/>
        <v>0.31292565474276879</v>
      </c>
      <c r="G52" s="4">
        <f t="shared" si="23"/>
        <v>841692.9150655272</v>
      </c>
      <c r="H52" s="3">
        <f t="shared" si="25"/>
        <v>263387.30653922976</v>
      </c>
      <c r="I52">
        <f t="shared" si="26"/>
        <v>221691229832.26187</v>
      </c>
      <c r="J52" s="6"/>
      <c r="K52" s="6"/>
      <c r="L52" s="6"/>
      <c r="M52" s="6"/>
      <c r="N52" s="30">
        <f t="shared" si="15"/>
        <v>0.31292565474276879</v>
      </c>
      <c r="O52" s="8">
        <f t="shared" si="24"/>
        <v>1103.8128906249995</v>
      </c>
      <c r="P52" s="8">
        <f t="shared" si="16"/>
        <v>345.41137151233619</v>
      </c>
      <c r="Q52" s="10">
        <f t="shared" si="12"/>
        <v>2207.6257812499989</v>
      </c>
      <c r="R52" s="35">
        <f t="shared" si="13"/>
        <v>690.82274302467238</v>
      </c>
      <c r="S52" s="9"/>
      <c r="T52" s="38">
        <f t="shared" si="17"/>
        <v>625.85130948553763</v>
      </c>
      <c r="U52" s="38">
        <f t="shared" si="14"/>
        <v>762.53904888755471</v>
      </c>
      <c r="V52" s="38">
        <f t="shared" si="18"/>
        <v>694.19517918654617</v>
      </c>
      <c r="W52" s="1">
        <f t="shared" si="19"/>
        <v>-9.4049355200244711E-2</v>
      </c>
      <c r="X52" s="1">
        <f t="shared" si="20"/>
        <v>0.10381289062499932</v>
      </c>
      <c r="Y52" s="1">
        <f t="shared" si="21"/>
        <v>4.8817677123773606E-3</v>
      </c>
      <c r="Z52" s="6"/>
      <c r="AA52" s="2"/>
      <c r="AB52" s="2"/>
      <c r="AC52" s="2"/>
    </row>
    <row r="53" spans="6:29">
      <c r="F53" s="5">
        <f t="shared" si="11"/>
        <v>0.297847143122207</v>
      </c>
      <c r="G53" s="4">
        <f t="shared" si="23"/>
        <v>862735.23794216535</v>
      </c>
      <c r="H53" s="3">
        <f t="shared" si="25"/>
        <v>256963.22589193145</v>
      </c>
      <c r="I53">
        <f t="shared" si="26"/>
        <v>221691229832.26187</v>
      </c>
      <c r="J53" s="6"/>
      <c r="K53" s="6"/>
      <c r="L53" s="6"/>
      <c r="M53" s="6"/>
      <c r="N53" s="30">
        <f t="shared" si="15"/>
        <v>0.297847143122207</v>
      </c>
      <c r="O53" s="8">
        <f t="shared" si="24"/>
        <v>1131.4082128906246</v>
      </c>
      <c r="P53" s="8">
        <f t="shared" si="16"/>
        <v>336.98670391447428</v>
      </c>
      <c r="Q53" s="10">
        <f t="shared" si="12"/>
        <v>2262.8164257812491</v>
      </c>
      <c r="R53" s="35">
        <f t="shared" si="13"/>
        <v>673.97340782894855</v>
      </c>
      <c r="S53" s="9"/>
      <c r="T53" s="38">
        <f t="shared" si="17"/>
        <v>595.694286244414</v>
      </c>
      <c r="U53" s="38">
        <f t="shared" si="14"/>
        <v>762.53904888755471</v>
      </c>
      <c r="V53" s="38">
        <f t="shared" si="18"/>
        <v>679.11666756598436</v>
      </c>
      <c r="W53" s="1">
        <f t="shared" si="19"/>
        <v>-0.11614571239048266</v>
      </c>
      <c r="X53" s="1">
        <f t="shared" si="20"/>
        <v>0.13140821289062443</v>
      </c>
      <c r="Y53" s="1">
        <f t="shared" si="21"/>
        <v>7.6312502500708312E-3</v>
      </c>
      <c r="Z53" s="6"/>
      <c r="AA53" s="2"/>
      <c r="AB53" s="2"/>
      <c r="AC53" s="2"/>
    </row>
    <row r="54" spans="6:29">
      <c r="F54" s="5">
        <f t="shared" si="11"/>
        <v>0.28349519868859691</v>
      </c>
      <c r="G54" s="4">
        <f t="shared" si="23"/>
        <v>884303.61889071937</v>
      </c>
      <c r="H54" s="3">
        <f t="shared" si="25"/>
        <v>250695.83013846976</v>
      </c>
      <c r="I54">
        <f t="shared" si="26"/>
        <v>221691229832.26187</v>
      </c>
      <c r="J54" s="6"/>
      <c r="K54" s="6"/>
      <c r="L54" s="6"/>
      <c r="M54" s="6"/>
      <c r="N54" s="30">
        <f t="shared" si="15"/>
        <v>0.28349519868859691</v>
      </c>
      <c r="O54" s="8">
        <f t="shared" si="24"/>
        <v>1159.69341821289</v>
      </c>
      <c r="P54" s="8">
        <f t="shared" si="16"/>
        <v>328.76751601412138</v>
      </c>
      <c r="Q54" s="10">
        <f t="shared" si="12"/>
        <v>2319.3868364257801</v>
      </c>
      <c r="R54" s="35">
        <f t="shared" si="13"/>
        <v>657.53503202824277</v>
      </c>
      <c r="S54" s="9"/>
      <c r="T54" s="38">
        <f t="shared" si="17"/>
        <v>566.99039737719386</v>
      </c>
      <c r="U54" s="38">
        <f t="shared" si="14"/>
        <v>762.53904888755471</v>
      </c>
      <c r="V54" s="38">
        <f t="shared" si="18"/>
        <v>664.76472313237423</v>
      </c>
      <c r="W54" s="1">
        <f t="shared" si="19"/>
        <v>-0.13770313403949519</v>
      </c>
      <c r="X54" s="1">
        <f t="shared" si="20"/>
        <v>0.15969341821288952</v>
      </c>
      <c r="Y54" s="1">
        <f t="shared" si="21"/>
        <v>1.0995142086697163E-2</v>
      </c>
      <c r="Z54" s="6"/>
      <c r="AA54" s="2"/>
      <c r="AB54" s="2"/>
      <c r="AC54" s="2"/>
    </row>
    <row r="55" spans="6:29">
      <c r="F55" s="5">
        <f t="shared" si="11"/>
        <v>0.26983481136332843</v>
      </c>
      <c r="G55" s="4">
        <f t="shared" si="23"/>
        <v>906411.20936298731</v>
      </c>
      <c r="H55" s="3">
        <f t="shared" si="25"/>
        <v>244581.29769606807</v>
      </c>
      <c r="I55">
        <f t="shared" si="26"/>
        <v>221691229832.26187</v>
      </c>
      <c r="J55" s="6"/>
      <c r="K55" s="6"/>
      <c r="L55" s="6"/>
      <c r="M55" s="6"/>
      <c r="N55" s="30">
        <f t="shared" si="15"/>
        <v>0.26983481136332843</v>
      </c>
      <c r="O55" s="8">
        <f t="shared" si="24"/>
        <v>1188.6857536682121</v>
      </c>
      <c r="P55" s="8">
        <f t="shared" si="16"/>
        <v>320.74879611133792</v>
      </c>
      <c r="Q55" s="10">
        <f t="shared" si="12"/>
        <v>2377.3715073364242</v>
      </c>
      <c r="R55" s="35">
        <f t="shared" si="13"/>
        <v>641.49759222267585</v>
      </c>
      <c r="S55" s="9"/>
      <c r="T55" s="38">
        <f t="shared" si="17"/>
        <v>539.66962272665683</v>
      </c>
      <c r="U55" s="38">
        <f t="shared" si="14"/>
        <v>762.53904888755471</v>
      </c>
      <c r="V55" s="38">
        <f t="shared" si="18"/>
        <v>651.10433580710583</v>
      </c>
      <c r="W55" s="1">
        <f t="shared" si="19"/>
        <v>-0.15873476491658078</v>
      </c>
      <c r="X55" s="1">
        <f t="shared" si="20"/>
        <v>0.18868575366821183</v>
      </c>
      <c r="Y55" s="1">
        <f t="shared" si="21"/>
        <v>1.4975494375815579E-2</v>
      </c>
      <c r="Z55" s="6"/>
      <c r="AA55" s="2"/>
      <c r="AB55" s="2"/>
      <c r="AC55" s="2"/>
    </row>
    <row r="56" spans="6:29">
      <c r="F56" s="5">
        <f t="shared" si="11"/>
        <v>0.25683265804956906</v>
      </c>
      <c r="G56" s="4">
        <f t="shared" si="23"/>
        <v>929071.48959706188</v>
      </c>
      <c r="H56" s="3">
        <f t="shared" si="25"/>
        <v>238615.90019128594</v>
      </c>
      <c r="I56">
        <f t="shared" si="26"/>
        <v>221691229832.26187</v>
      </c>
      <c r="J56" s="6"/>
      <c r="K56" s="6"/>
      <c r="L56" s="6"/>
      <c r="M56" s="6"/>
      <c r="N56" s="30">
        <f t="shared" si="15"/>
        <v>0.25683265804956906</v>
      </c>
      <c r="O56" s="8">
        <f t="shared" si="24"/>
        <v>1218.4028975099172</v>
      </c>
      <c r="P56" s="8">
        <f t="shared" si="16"/>
        <v>312.9256547427687</v>
      </c>
      <c r="Q56" s="10">
        <f t="shared" si="12"/>
        <v>2436.8057950198345</v>
      </c>
      <c r="R56" s="35">
        <f t="shared" si="13"/>
        <v>625.8513094855374</v>
      </c>
      <c r="S56" s="9"/>
      <c r="T56" s="38">
        <f t="shared" si="17"/>
        <v>513.66531609913818</v>
      </c>
      <c r="U56" s="38">
        <f t="shared" si="14"/>
        <v>762.53904888755471</v>
      </c>
      <c r="V56" s="38">
        <f t="shared" si="18"/>
        <v>638.10218249334639</v>
      </c>
      <c r="W56" s="1">
        <f t="shared" si="19"/>
        <v>-0.17925342918690768</v>
      </c>
      <c r="X56" s="1">
        <f t="shared" si="20"/>
        <v>0.21840289750991726</v>
      </c>
      <c r="Y56" s="1">
        <f t="shared" si="21"/>
        <v>1.9574734161504681E-2</v>
      </c>
      <c r="Z56" s="6"/>
      <c r="AA56" s="2"/>
      <c r="AB56" s="2"/>
      <c r="AC56" s="2"/>
    </row>
    <row r="57" spans="6:29">
      <c r="F57" s="5">
        <f t="shared" si="11"/>
        <v>0.24445702134402766</v>
      </c>
      <c r="G57" s="4">
        <f t="shared" si="23"/>
        <v>952298.2768369884</v>
      </c>
      <c r="H57" s="3">
        <f t="shared" si="25"/>
        <v>232796.00018662043</v>
      </c>
      <c r="I57">
        <f t="shared" si="26"/>
        <v>221691229832.26187</v>
      </c>
      <c r="J57" s="6"/>
      <c r="K57" s="6"/>
      <c r="L57" s="6"/>
      <c r="M57" s="6"/>
      <c r="N57" s="30">
        <f t="shared" si="15"/>
        <v>0.24445702134402766</v>
      </c>
      <c r="O57" s="8">
        <f t="shared" si="24"/>
        <v>1248.8629699476653</v>
      </c>
      <c r="P57" s="8">
        <f t="shared" si="16"/>
        <v>305.2933217002622</v>
      </c>
      <c r="Q57" s="10">
        <f t="shared" si="12"/>
        <v>2497.7259398953306</v>
      </c>
      <c r="R57" s="35">
        <f t="shared" si="13"/>
        <v>610.58664340052439</v>
      </c>
      <c r="S57" s="9"/>
      <c r="T57" s="38">
        <f t="shared" si="17"/>
        <v>488.9140426880553</v>
      </c>
      <c r="U57" s="38">
        <f t="shared" si="14"/>
        <v>762.53904888755471</v>
      </c>
      <c r="V57" s="38">
        <f t="shared" si="18"/>
        <v>625.72654578780498</v>
      </c>
      <c r="W57" s="1">
        <f t="shared" si="19"/>
        <v>-0.1992716382311297</v>
      </c>
      <c r="X57" s="1">
        <f t="shared" si="20"/>
        <v>0.24886296994766499</v>
      </c>
      <c r="Y57" s="1">
        <f t="shared" si="21"/>
        <v>2.4795665858267535E-2</v>
      </c>
      <c r="Z57" s="6"/>
      <c r="AA57" s="2"/>
      <c r="AB57" s="2"/>
      <c r="AC57" s="2"/>
    </row>
    <row r="58" spans="6:29">
      <c r="F58" s="5">
        <f t="shared" si="11"/>
        <v>0.23267771216564209</v>
      </c>
      <c r="G58" s="4">
        <f t="shared" si="23"/>
        <v>976105.733757913</v>
      </c>
      <c r="H58" s="3">
        <f t="shared" si="25"/>
        <v>227118.04896255655</v>
      </c>
      <c r="I58">
        <f t="shared" si="26"/>
        <v>221691229832.26187</v>
      </c>
      <c r="J58" s="6"/>
      <c r="K58" s="6"/>
      <c r="L58" s="6"/>
      <c r="M58" s="6"/>
      <c r="N58" s="30">
        <f t="shared" si="15"/>
        <v>0.23267771216564209</v>
      </c>
      <c r="O58" s="8">
        <f t="shared" si="24"/>
        <v>1280.0845441963568</v>
      </c>
      <c r="P58" s="8">
        <f t="shared" si="16"/>
        <v>297.84714312220706</v>
      </c>
      <c r="Q58" s="10">
        <f t="shared" si="12"/>
        <v>2560.1690883927135</v>
      </c>
      <c r="R58" s="35">
        <f t="shared" si="13"/>
        <v>595.69428624441412</v>
      </c>
      <c r="S58" s="9"/>
      <c r="T58" s="38">
        <f t="shared" si="17"/>
        <v>465.35542433128421</v>
      </c>
      <c r="U58" s="38">
        <f t="shared" si="14"/>
        <v>762.53904888755471</v>
      </c>
      <c r="V58" s="38">
        <f t="shared" si="18"/>
        <v>613.94723660941941</v>
      </c>
      <c r="W58" s="1">
        <f t="shared" si="19"/>
        <v>-0.2188015982742727</v>
      </c>
      <c r="X58" s="1">
        <f t="shared" si="20"/>
        <v>0.28008454419635642</v>
      </c>
      <c r="Y58" s="1">
        <f t="shared" si="21"/>
        <v>3.0641472961041805E-2</v>
      </c>
      <c r="Z58" s="6"/>
      <c r="AA58" s="2"/>
      <c r="AB58" s="2"/>
      <c r="AC58" s="2"/>
    </row>
    <row r="59" spans="6:29">
      <c r="F59" s="5">
        <f t="shared" si="11"/>
        <v>0.22146599611244938</v>
      </c>
      <c r="G59" s="4">
        <f t="shared" si="23"/>
        <v>1000508.3771018607</v>
      </c>
      <c r="H59" s="3">
        <f t="shared" si="25"/>
        <v>221578.58435371373</v>
      </c>
      <c r="I59">
        <f t="shared" si="26"/>
        <v>221691229832.26187</v>
      </c>
      <c r="J59" s="6"/>
      <c r="K59" s="6"/>
      <c r="L59" s="6"/>
      <c r="M59" s="6"/>
      <c r="N59" s="30">
        <f t="shared" si="15"/>
        <v>0.22146599611244938</v>
      </c>
      <c r="O59" s="8">
        <f t="shared" si="24"/>
        <v>1312.0866578012656</v>
      </c>
      <c r="P59" s="8">
        <f t="shared" si="16"/>
        <v>290.5825786558118</v>
      </c>
      <c r="Q59" s="10">
        <f t="shared" si="12"/>
        <v>2624.1733156025311</v>
      </c>
      <c r="R59" s="35">
        <f t="shared" si="13"/>
        <v>581.1651573116236</v>
      </c>
      <c r="S59" s="9"/>
      <c r="T59" s="38">
        <f t="shared" si="17"/>
        <v>442.93199222489875</v>
      </c>
      <c r="U59" s="38">
        <f t="shared" si="14"/>
        <v>762.53904888755471</v>
      </c>
      <c r="V59" s="38">
        <f t="shared" si="18"/>
        <v>602.73552055622667</v>
      </c>
      <c r="W59" s="1">
        <f t="shared" si="19"/>
        <v>-0.23785521782855878</v>
      </c>
      <c r="X59" s="1">
        <f t="shared" si="20"/>
        <v>0.3120866578012651</v>
      </c>
      <c r="Y59" s="1">
        <f t="shared" si="21"/>
        <v>3.7115719986352991E-2</v>
      </c>
      <c r="Z59" s="6"/>
      <c r="AA59" s="2"/>
      <c r="AB59" s="2"/>
      <c r="AC59" s="2"/>
    </row>
    <row r="60" spans="6:29">
      <c r="F60" s="5">
        <f t="shared" si="11"/>
        <v>0.21079452336699528</v>
      </c>
      <c r="G60" s="4">
        <f t="shared" si="23"/>
        <v>1025521.0865294072</v>
      </c>
      <c r="H60" s="3">
        <f t="shared" si="25"/>
        <v>216174.2286377695</v>
      </c>
      <c r="I60">
        <f t="shared" si="26"/>
        <v>221691229832.26187</v>
      </c>
      <c r="J60" s="6"/>
      <c r="K60" s="6"/>
      <c r="L60" s="6"/>
      <c r="M60" s="6"/>
      <c r="N60" s="30">
        <f t="shared" si="15"/>
        <v>0.21079452336699528</v>
      </c>
      <c r="O60" s="8">
        <f t="shared" si="24"/>
        <v>1344.888824246297</v>
      </c>
      <c r="P60" s="8">
        <f t="shared" si="16"/>
        <v>283.49519868859687</v>
      </c>
      <c r="Q60" s="10">
        <f t="shared" si="12"/>
        <v>2689.7776484925939</v>
      </c>
      <c r="R60" s="35">
        <f t="shared" si="13"/>
        <v>566.99039737719374</v>
      </c>
      <c r="S60" s="9"/>
      <c r="T60" s="38">
        <f t="shared" si="17"/>
        <v>421.58904673399059</v>
      </c>
      <c r="U60" s="38">
        <f t="shared" si="14"/>
        <v>762.53904888755471</v>
      </c>
      <c r="V60" s="38">
        <f t="shared" si="18"/>
        <v>592.06404781077265</v>
      </c>
      <c r="W60" s="1">
        <f t="shared" si="19"/>
        <v>-0.25644411495469133</v>
      </c>
      <c r="X60" s="1">
        <f t="shared" si="20"/>
        <v>0.34488882424629685</v>
      </c>
      <c r="Y60" s="1">
        <f t="shared" si="21"/>
        <v>4.4222354645802708E-2</v>
      </c>
      <c r="Z60" s="6"/>
      <c r="AA60" s="2"/>
      <c r="AB60" s="2"/>
      <c r="AC60" s="2"/>
    </row>
    <row r="61" spans="6:29">
      <c r="F61" s="5">
        <f t="shared" si="11"/>
        <v>0.2006372619792936</v>
      </c>
      <c r="G61" s="4">
        <f t="shared" si="23"/>
        <v>1051159.1136926422</v>
      </c>
      <c r="H61" s="3">
        <f t="shared" si="25"/>
        <v>210901.68647587273</v>
      </c>
      <c r="I61">
        <f t="shared" si="26"/>
        <v>221691229832.26187</v>
      </c>
      <c r="J61" s="6"/>
      <c r="K61" s="6"/>
      <c r="L61" s="6"/>
      <c r="M61" s="6"/>
      <c r="N61" s="30">
        <f t="shared" si="15"/>
        <v>0.2006372619792936</v>
      </c>
      <c r="O61" s="8">
        <f t="shared" si="24"/>
        <v>1378.5110448524542</v>
      </c>
      <c r="P61" s="8">
        <f t="shared" si="16"/>
        <v>276.58068164741161</v>
      </c>
      <c r="Q61" s="10">
        <f t="shared" si="12"/>
        <v>2757.0220897049085</v>
      </c>
      <c r="R61" s="35">
        <f t="shared" si="13"/>
        <v>553.16136329482322</v>
      </c>
      <c r="S61" s="9"/>
      <c r="T61" s="38">
        <f t="shared" si="17"/>
        <v>401.27452395858722</v>
      </c>
      <c r="U61" s="38">
        <f t="shared" si="14"/>
        <v>762.53904888755471</v>
      </c>
      <c r="V61" s="38">
        <f t="shared" si="18"/>
        <v>581.90678642307103</v>
      </c>
      <c r="W61" s="1">
        <f t="shared" si="19"/>
        <v>-0.27457962434604011</v>
      </c>
      <c r="X61" s="1">
        <f t="shared" si="20"/>
        <v>0.37851104485245401</v>
      </c>
      <c r="Y61" s="1">
        <f t="shared" si="21"/>
        <v>5.1965710253207176E-2</v>
      </c>
      <c r="Z61" s="6"/>
      <c r="AA61" s="2"/>
      <c r="AB61" s="2"/>
      <c r="AC61" s="2"/>
    </row>
    <row r="62" spans="6:29">
      <c r="F62" s="5">
        <f t="shared" si="11"/>
        <v>0.19096943436458641</v>
      </c>
      <c r="G62" s="4">
        <f t="shared" si="23"/>
        <v>1077438.0915349582</v>
      </c>
      <c r="H62" s="3">
        <f t="shared" si="25"/>
        <v>205757.74290329046</v>
      </c>
      <c r="I62">
        <f t="shared" si="26"/>
        <v>221691229832.26187</v>
      </c>
      <c r="J62" s="6"/>
      <c r="K62" s="6"/>
      <c r="L62" s="6"/>
      <c r="M62" s="6"/>
      <c r="N62" s="30">
        <f t="shared" si="15"/>
        <v>0.19096943436458641</v>
      </c>
      <c r="O62" s="8">
        <f t="shared" si="24"/>
        <v>1412.9738209737657</v>
      </c>
      <c r="P62" s="8">
        <f t="shared" si="16"/>
        <v>269.83481136332841</v>
      </c>
      <c r="Q62" s="10">
        <f t="shared" si="12"/>
        <v>2825.9476419475313</v>
      </c>
      <c r="R62" s="35">
        <f t="shared" si="13"/>
        <v>539.66962272665683</v>
      </c>
      <c r="S62" s="9"/>
      <c r="T62" s="38">
        <f t="shared" si="17"/>
        <v>381.93886872917284</v>
      </c>
      <c r="U62" s="38">
        <f t="shared" si="14"/>
        <v>762.53904888755471</v>
      </c>
      <c r="V62" s="38">
        <f t="shared" si="18"/>
        <v>572.2389588083638</v>
      </c>
      <c r="W62" s="1">
        <f t="shared" si="19"/>
        <v>-0.29227280424003921</v>
      </c>
      <c r="X62" s="1">
        <f t="shared" si="20"/>
        <v>0.41297382097376545</v>
      </c>
      <c r="Y62" s="1">
        <f t="shared" si="21"/>
        <v>6.0350508366863176E-2</v>
      </c>
      <c r="Z62" s="6"/>
      <c r="AA62" s="2"/>
      <c r="AB62" s="2"/>
      <c r="AC62" s="2"/>
    </row>
    <row r="63" spans="6:29">
      <c r="F63" s="5">
        <f t="shared" si="11"/>
        <v>0.18176745686099843</v>
      </c>
      <c r="G63" s="4">
        <f t="shared" si="23"/>
        <v>1104374.0438233321</v>
      </c>
      <c r="H63" s="3">
        <f t="shared" si="25"/>
        <v>200739.2613690639</v>
      </c>
      <c r="I63">
        <f t="shared" si="26"/>
        <v>221691229832.26187</v>
      </c>
      <c r="J63" s="6"/>
      <c r="K63" s="6"/>
      <c r="L63" s="6"/>
      <c r="M63" s="6"/>
      <c r="N63" s="30">
        <f t="shared" si="15"/>
        <v>0.18176745686099843</v>
      </c>
      <c r="O63" s="8">
        <f t="shared" si="24"/>
        <v>1448.2981664981096</v>
      </c>
      <c r="P63" s="8">
        <f t="shared" si="16"/>
        <v>263.25347450080824</v>
      </c>
      <c r="Q63" s="10">
        <f t="shared" si="12"/>
        <v>2896.5963329962187</v>
      </c>
      <c r="R63" s="35">
        <f t="shared" si="13"/>
        <v>526.50694900161648</v>
      </c>
      <c r="S63" s="9"/>
      <c r="T63" s="38">
        <f t="shared" si="17"/>
        <v>363.53491372199687</v>
      </c>
      <c r="U63" s="38">
        <f t="shared" si="14"/>
        <v>762.53904888755471</v>
      </c>
      <c r="V63" s="38">
        <f t="shared" si="18"/>
        <v>563.03698130477574</v>
      </c>
      <c r="W63" s="1">
        <f t="shared" si="19"/>
        <v>-0.30953444316101375</v>
      </c>
      <c r="X63" s="1">
        <f t="shared" si="20"/>
        <v>0.44829816649810939</v>
      </c>
      <c r="Y63" s="1">
        <f t="shared" si="21"/>
        <v>6.9381861668547762E-2</v>
      </c>
      <c r="Z63" s="6"/>
      <c r="AA63" s="2"/>
      <c r="AB63" s="2"/>
      <c r="AC63" s="2"/>
    </row>
    <row r="64" spans="6:29">
      <c r="F64" s="5">
        <f t="shared" si="11"/>
        <v>0.17300888219964158</v>
      </c>
      <c r="G64" s="4">
        <f t="shared" si="23"/>
        <v>1131983.3949189153</v>
      </c>
      <c r="H64" s="3">
        <f t="shared" si="25"/>
        <v>195843.18182347697</v>
      </c>
      <c r="I64">
        <f t="shared" si="26"/>
        <v>221691229832.26187</v>
      </c>
      <c r="J64" s="6"/>
      <c r="K64" s="6"/>
      <c r="L64" s="6"/>
      <c r="M64" s="6"/>
      <c r="N64" s="30">
        <f t="shared" si="15"/>
        <v>0.17300888219964158</v>
      </c>
      <c r="O64" s="8">
        <f t="shared" si="24"/>
        <v>1484.5056206605623</v>
      </c>
      <c r="P64" s="8">
        <f t="shared" si="16"/>
        <v>256.83265804956903</v>
      </c>
      <c r="Q64" s="10">
        <f t="shared" si="12"/>
        <v>2969.0112413211245</v>
      </c>
      <c r="R64" s="35">
        <f t="shared" si="13"/>
        <v>513.66531609913807</v>
      </c>
      <c r="S64" s="9"/>
      <c r="T64" s="38">
        <f t="shared" si="17"/>
        <v>346.01776439928318</v>
      </c>
      <c r="U64" s="38">
        <f t="shared" si="14"/>
        <v>762.53904888755471</v>
      </c>
      <c r="V64" s="38">
        <f t="shared" si="18"/>
        <v>554.27840664341898</v>
      </c>
      <c r="W64" s="1">
        <f t="shared" si="19"/>
        <v>-0.32637506649854997</v>
      </c>
      <c r="X64" s="1">
        <f t="shared" si="20"/>
        <v>0.48450562066056202</v>
      </c>
      <c r="Y64" s="1">
        <f t="shared" si="21"/>
        <v>7.906527708100608E-2</v>
      </c>
      <c r="Z64" s="6"/>
      <c r="AA64" s="2"/>
      <c r="AB64" s="2"/>
      <c r="AC64" s="2"/>
    </row>
    <row r="65" spans="6:29">
      <c r="F65" s="5">
        <f t="shared" si="11"/>
        <v>0.1646723447468332</v>
      </c>
      <c r="G65" s="4">
        <f t="shared" si="23"/>
        <v>1160282.979791888</v>
      </c>
      <c r="H65" s="3">
        <f t="shared" si="25"/>
        <v>191066.51885217268</v>
      </c>
      <c r="I65">
        <f t="shared" si="26"/>
        <v>221691229832.26187</v>
      </c>
      <c r="J65" s="6"/>
      <c r="K65" s="6"/>
      <c r="L65" s="6"/>
      <c r="M65" s="6"/>
      <c r="N65" s="30">
        <f t="shared" si="15"/>
        <v>0.1646723447468332</v>
      </c>
      <c r="O65" s="8">
        <f t="shared" si="24"/>
        <v>1521.6182611770762</v>
      </c>
      <c r="P65" s="8">
        <f t="shared" si="16"/>
        <v>250.56844687762839</v>
      </c>
      <c r="Q65" s="10">
        <f t="shared" si="12"/>
        <v>3043.2365223541524</v>
      </c>
      <c r="R65" s="35">
        <f t="shared" si="13"/>
        <v>501.13689375525678</v>
      </c>
      <c r="S65" s="9"/>
      <c r="T65" s="38">
        <f t="shared" si="17"/>
        <v>329.34468949366641</v>
      </c>
      <c r="U65" s="38">
        <f t="shared" si="14"/>
        <v>762.53904888755471</v>
      </c>
      <c r="V65" s="38">
        <f t="shared" si="18"/>
        <v>545.94186919061053</v>
      </c>
      <c r="W65" s="1">
        <f t="shared" si="19"/>
        <v>-0.34280494292541464</v>
      </c>
      <c r="X65" s="1">
        <f t="shared" si="20"/>
        <v>0.52161826117707566</v>
      </c>
      <c r="Y65" s="1">
        <f t="shared" si="21"/>
        <v>8.9406659125830457E-2</v>
      </c>
      <c r="Z65" s="6"/>
      <c r="AA65" s="2"/>
      <c r="AB65" s="2"/>
      <c r="AC65" s="2"/>
    </row>
    <row r="66" spans="6:29">
      <c r="F66" s="5">
        <f t="shared" si="11"/>
        <v>0.1567375083848502</v>
      </c>
      <c r="G66" s="4">
        <f t="shared" si="23"/>
        <v>1189290.0542866851</v>
      </c>
      <c r="H66" s="3">
        <f t="shared" si="25"/>
        <v>186406.35985577825</v>
      </c>
      <c r="I66">
        <f t="shared" si="26"/>
        <v>221691229832.26187</v>
      </c>
      <c r="J66" s="6"/>
      <c r="K66" s="6"/>
      <c r="L66" s="6"/>
      <c r="M66" s="6"/>
      <c r="N66" s="30">
        <f t="shared" si="15"/>
        <v>0.1567375083848502</v>
      </c>
      <c r="O66" s="8">
        <f t="shared" si="24"/>
        <v>1559.6587177065028</v>
      </c>
      <c r="P66" s="8">
        <f t="shared" si="16"/>
        <v>244.45702134402771</v>
      </c>
      <c r="Q66" s="10">
        <f t="shared" si="12"/>
        <v>3119.3174354130056</v>
      </c>
      <c r="R66" s="35">
        <f t="shared" si="13"/>
        <v>488.91404268805542</v>
      </c>
      <c r="S66" s="9"/>
      <c r="T66" s="38">
        <f t="shared" si="17"/>
        <v>313.4750167697004</v>
      </c>
      <c r="U66" s="38">
        <f t="shared" si="14"/>
        <v>762.53904888755471</v>
      </c>
      <c r="V66" s="38">
        <f t="shared" si="18"/>
        <v>538.00703282862753</v>
      </c>
      <c r="W66" s="1">
        <f t="shared" si="19"/>
        <v>-0.35883409065894101</v>
      </c>
      <c r="X66" s="1">
        <f t="shared" si="20"/>
        <v>0.55965871770650244</v>
      </c>
      <c r="Y66" s="1">
        <f t="shared" si="21"/>
        <v>0.10041231352378066</v>
      </c>
      <c r="Z66" s="6"/>
      <c r="AA66" s="2"/>
      <c r="AB66" s="2"/>
      <c r="AC66" s="2"/>
    </row>
    <row r="67" spans="6:29">
      <c r="F67" s="5">
        <f t="shared" si="11"/>
        <v>0.14918501690408112</v>
      </c>
      <c r="G67" s="4">
        <f t="shared" si="23"/>
        <v>1219022.3056438521</v>
      </c>
      <c r="H67" s="3">
        <f t="shared" si="25"/>
        <v>181859.86327393001</v>
      </c>
      <c r="I67">
        <f t="shared" si="26"/>
        <v>221691229832.26187</v>
      </c>
      <c r="J67" s="6"/>
      <c r="K67" s="6"/>
      <c r="L67" s="6"/>
      <c r="M67" s="6"/>
      <c r="N67" s="30">
        <f t="shared" si="15"/>
        <v>0.14918501690408112</v>
      </c>
      <c r="O67" s="8">
        <f t="shared" si="24"/>
        <v>1598.6501856491652</v>
      </c>
      <c r="P67" s="8">
        <f t="shared" si="16"/>
        <v>238.49465496978314</v>
      </c>
      <c r="Q67" s="10">
        <f t="shared" si="12"/>
        <v>3197.3003712983304</v>
      </c>
      <c r="R67" s="35">
        <f t="shared" si="13"/>
        <v>476.98930993956628</v>
      </c>
      <c r="S67" s="9"/>
      <c r="T67" s="38">
        <f t="shared" si="17"/>
        <v>298.37003380816225</v>
      </c>
      <c r="U67" s="38">
        <f t="shared" si="14"/>
        <v>762.53904888755471</v>
      </c>
      <c r="V67" s="38">
        <f t="shared" si="18"/>
        <v>530.45454134785848</v>
      </c>
      <c r="W67" s="1">
        <f t="shared" si="19"/>
        <v>-0.37447228356969842</v>
      </c>
      <c r="X67" s="1">
        <f t="shared" si="20"/>
        <v>0.59865018564916483</v>
      </c>
      <c r="Y67" s="1">
        <f t="shared" si="21"/>
        <v>0.11208895103973315</v>
      </c>
      <c r="Z67" s="6"/>
      <c r="AA67" s="2"/>
      <c r="AB67" s="2"/>
      <c r="AC67" s="2"/>
    </row>
    <row r="68" spans="6:29">
      <c r="F68" s="5">
        <f t="shared" si="11"/>
        <v>0.14199644678556206</v>
      </c>
      <c r="G68" s="4">
        <f t="shared" si="23"/>
        <v>1249497.8632849483</v>
      </c>
      <c r="H68" s="3">
        <f t="shared" si="25"/>
        <v>177424.25685261466</v>
      </c>
      <c r="I68">
        <f t="shared" si="26"/>
        <v>221691229832.26187</v>
      </c>
      <c r="J68" s="6"/>
      <c r="K68" s="6"/>
      <c r="L68" s="6"/>
      <c r="M68" s="6"/>
      <c r="N68" s="30">
        <f t="shared" si="15"/>
        <v>0.14199644678556206</v>
      </c>
      <c r="O68" s="8">
        <f t="shared" si="24"/>
        <v>1638.6164402903942</v>
      </c>
      <c r="P68" s="8">
        <f t="shared" si="16"/>
        <v>232.67771216564208</v>
      </c>
      <c r="Q68" s="10">
        <f t="shared" si="12"/>
        <v>3277.2328805807883</v>
      </c>
      <c r="R68" s="35">
        <f t="shared" si="13"/>
        <v>465.35542433128415</v>
      </c>
      <c r="S68" s="9"/>
      <c r="T68" s="38">
        <f t="shared" si="17"/>
        <v>283.99289357112411</v>
      </c>
      <c r="U68" s="38">
        <f t="shared" si="14"/>
        <v>762.53904888755471</v>
      </c>
      <c r="V68" s="38">
        <f t="shared" si="18"/>
        <v>523.26597122933936</v>
      </c>
      <c r="W68" s="1">
        <f t="shared" si="19"/>
        <v>-0.38972905714116912</v>
      </c>
      <c r="X68" s="1">
        <f t="shared" si="20"/>
        <v>0.63861644029039422</v>
      </c>
      <c r="Y68" s="1">
        <f t="shared" si="21"/>
        <v>0.12444369157461233</v>
      </c>
      <c r="Z68" s="6"/>
      <c r="AA68" s="2"/>
      <c r="AB68" s="2"/>
      <c r="AC68" s="2"/>
    </row>
    <row r="69" spans="6:29">
      <c r="F69" s="5">
        <f t="shared" si="11"/>
        <v>0.13515426225871466</v>
      </c>
      <c r="G69" s="4">
        <f t="shared" si="23"/>
        <v>1280735.3098670719</v>
      </c>
      <c r="H69" s="3">
        <f t="shared" si="25"/>
        <v>173096.83595377041</v>
      </c>
      <c r="I69">
        <f t="shared" si="26"/>
        <v>221691229832.26187</v>
      </c>
      <c r="J69" s="6"/>
      <c r="K69" s="6"/>
      <c r="L69" s="6"/>
      <c r="M69" s="6"/>
      <c r="N69" s="30">
        <f t="shared" si="15"/>
        <v>0.13515426225871466</v>
      </c>
      <c r="O69" s="8">
        <f t="shared" si="24"/>
        <v>1679.5818512976539</v>
      </c>
      <c r="P69" s="8">
        <f t="shared" si="16"/>
        <v>227.00264601526061</v>
      </c>
      <c r="Q69" s="10">
        <f t="shared" si="12"/>
        <v>3359.1637025953078</v>
      </c>
      <c r="R69" s="35">
        <f t="shared" si="13"/>
        <v>454.00529203052122</v>
      </c>
      <c r="S69" s="9"/>
      <c r="T69" s="38">
        <f t="shared" si="17"/>
        <v>270.3085245174293</v>
      </c>
      <c r="U69" s="38">
        <f t="shared" si="14"/>
        <v>762.53904888755471</v>
      </c>
      <c r="V69" s="38">
        <f t="shared" si="18"/>
        <v>516.42378670249195</v>
      </c>
      <c r="W69" s="1">
        <f t="shared" si="19"/>
        <v>-0.40461371428406745</v>
      </c>
      <c r="X69" s="1">
        <f t="shared" si="20"/>
        <v>0.67958185129765369</v>
      </c>
      <c r="Y69" s="1">
        <f t="shared" si="21"/>
        <v>0.13748406850679307</v>
      </c>
      <c r="Z69" s="6"/>
      <c r="AA69" s="2"/>
      <c r="AB69" s="2"/>
      <c r="AC69" s="2"/>
    </row>
    <row r="70" spans="6:29">
      <c r="F70" s="5">
        <f t="shared" si="11"/>
        <v>0.12864177252465409</v>
      </c>
      <c r="G70" s="4">
        <f t="shared" si="23"/>
        <v>1312753.6926137486</v>
      </c>
      <c r="H70" s="3">
        <f t="shared" si="25"/>
        <v>168874.9619061175</v>
      </c>
      <c r="I70">
        <f t="shared" si="26"/>
        <v>221691229832.26187</v>
      </c>
      <c r="J70" s="6"/>
      <c r="K70" s="6"/>
      <c r="L70" s="6"/>
      <c r="M70" s="6"/>
      <c r="N70" s="30">
        <f t="shared" si="15"/>
        <v>0.12864177252465409</v>
      </c>
      <c r="O70" s="8">
        <f t="shared" si="24"/>
        <v>1721.5713975800952</v>
      </c>
      <c r="P70" s="8">
        <f t="shared" si="16"/>
        <v>221.46599611244943</v>
      </c>
      <c r="Q70" s="10">
        <f t="shared" si="12"/>
        <v>3443.1427951601904</v>
      </c>
      <c r="R70" s="35">
        <f t="shared" si="13"/>
        <v>442.93199222489886</v>
      </c>
      <c r="S70" s="9"/>
      <c r="T70" s="38">
        <f t="shared" si="17"/>
        <v>257.28354504930815</v>
      </c>
      <c r="U70" s="38">
        <f t="shared" si="14"/>
        <v>762.53904888755471</v>
      </c>
      <c r="V70" s="38">
        <f t="shared" si="18"/>
        <v>509.91129696843143</v>
      </c>
      <c r="W70" s="1">
        <f t="shared" si="19"/>
        <v>-0.41913533100884626</v>
      </c>
      <c r="X70" s="1">
        <f t="shared" si="20"/>
        <v>0.72157139758009459</v>
      </c>
      <c r="Y70" s="1">
        <f t="shared" si="21"/>
        <v>0.15121803328562411</v>
      </c>
      <c r="Z70" s="6"/>
      <c r="AA70" s="2"/>
      <c r="AB70" s="2"/>
      <c r="AC70" s="2"/>
    </row>
    <row r="71" spans="6:29">
      <c r="F71" s="5">
        <f t="shared" si="11"/>
        <v>0.12244309104071772</v>
      </c>
      <c r="G71" s="4">
        <f t="shared" si="23"/>
        <v>1345572.5349290923</v>
      </c>
      <c r="H71" s="3">
        <f t="shared" si="25"/>
        <v>164756.06039621218</v>
      </c>
      <c r="I71">
        <f t="shared" si="26"/>
        <v>221691229832.26187</v>
      </c>
      <c r="J71" s="6"/>
      <c r="K71" s="6"/>
      <c r="L71" s="6"/>
      <c r="M71" s="6"/>
      <c r="N71" s="32">
        <f t="shared" si="15"/>
        <v>0.12244309104071772</v>
      </c>
      <c r="O71" s="28">
        <f t="shared" si="24"/>
        <v>1764.6106825195975</v>
      </c>
      <c r="P71" s="28">
        <f t="shared" si="16"/>
        <v>216.06438645117012</v>
      </c>
      <c r="Q71" s="29">
        <f t="shared" si="12"/>
        <v>3529.221365039195</v>
      </c>
      <c r="R71" s="37">
        <f t="shared" si="13"/>
        <v>432.12877290234024</v>
      </c>
      <c r="S71" s="9"/>
      <c r="T71" s="38">
        <f t="shared" si="17"/>
        <v>244.88618208143544</v>
      </c>
      <c r="U71" s="38">
        <f t="shared" si="14"/>
        <v>762.53904888755471</v>
      </c>
      <c r="V71" s="38">
        <f t="shared" si="18"/>
        <v>503.71261548449507</v>
      </c>
      <c r="W71" s="1">
        <f t="shared" si="19"/>
        <v>-0.43330276195984996</v>
      </c>
      <c r="X71" s="1">
        <f t="shared" si="20"/>
        <v>0.7646106825195973</v>
      </c>
      <c r="Y71" s="1">
        <f t="shared" si="21"/>
        <v>0.16565396027987367</v>
      </c>
      <c r="Z71" s="6"/>
      <c r="AA71" s="2"/>
      <c r="AB71" s="2"/>
      <c r="AC71" s="2"/>
    </row>
    <row r="72" spans="6:29">
      <c r="F72" s="5">
        <f t="shared" si="11"/>
        <v>0.11654309676689378</v>
      </c>
      <c r="G72" s="4">
        <f t="shared" si="23"/>
        <v>1379211.8483023194</v>
      </c>
      <c r="H72" s="3">
        <f t="shared" si="25"/>
        <v>160737.61989874364</v>
      </c>
      <c r="I72">
        <f t="shared" si="26"/>
        <v>221691229832.26187</v>
      </c>
      <c r="J72" s="6"/>
      <c r="K72" s="6"/>
      <c r="L72" s="6"/>
      <c r="M72" s="6"/>
      <c r="N72" s="32">
        <f t="shared" ref="N72:N100" si="27">F72</f>
        <v>0.11654309676689378</v>
      </c>
      <c r="O72" s="28">
        <f t="shared" si="24"/>
        <v>1808.7259495825872</v>
      </c>
      <c r="P72" s="28">
        <f t="shared" ref="P72:P100" si="28">O72*F72</f>
        <v>210.79452336699529</v>
      </c>
      <c r="Q72" s="29">
        <f t="shared" ref="Q72:Q100" si="29">O72+P72/N72</f>
        <v>3617.4518991651744</v>
      </c>
      <c r="R72" s="37">
        <f t="shared" ref="R72:R100" si="30">P72+O72*N72</f>
        <v>421.58904673399059</v>
      </c>
      <c r="S72" s="9"/>
      <c r="T72" s="38">
        <f t="shared" ref="T72:T100" si="31">$Q$48*N72</f>
        <v>233.08619353378757</v>
      </c>
      <c r="U72" s="38">
        <f t="shared" si="14"/>
        <v>762.53904888755471</v>
      </c>
      <c r="V72" s="38">
        <f t="shared" ref="V72:V100" si="32">$O$48*N72+$P$48</f>
        <v>497.81262121067113</v>
      </c>
      <c r="W72" s="1">
        <f t="shared" ref="W72:W100" si="33">T72/$R72-1</f>
        <v>-0.44712464581448763</v>
      </c>
      <c r="X72" s="1">
        <f t="shared" ref="X72:X100" si="34">U72/$R72-1</f>
        <v>0.80872594958258692</v>
      </c>
      <c r="Y72" s="1">
        <f t="shared" ref="Y72:Y100" si="35">V72/$R72-1</f>
        <v>0.18080065188404948</v>
      </c>
      <c r="Z72" s="6"/>
      <c r="AA72" s="2"/>
      <c r="AB72" s="2"/>
      <c r="AC72" s="2"/>
    </row>
    <row r="73" spans="6:29">
      <c r="F73" s="5">
        <f t="shared" ref="F73:F136" si="36">H73/G73</f>
        <v>0.11092739727961336</v>
      </c>
      <c r="G73" s="4">
        <f t="shared" si="23"/>
        <v>1413692.1445098773</v>
      </c>
      <c r="H73" s="3">
        <f t="shared" si="25"/>
        <v>156817.19014511575</v>
      </c>
      <c r="I73">
        <f t="shared" si="26"/>
        <v>221691229832.26187</v>
      </c>
      <c r="J73" s="6"/>
      <c r="K73" s="6"/>
      <c r="L73" s="6"/>
      <c r="M73" s="6"/>
      <c r="N73" s="32">
        <f t="shared" si="27"/>
        <v>0.11092739727961336</v>
      </c>
      <c r="O73" s="28">
        <f t="shared" si="24"/>
        <v>1853.9440983221518</v>
      </c>
      <c r="P73" s="28">
        <f t="shared" si="28"/>
        <v>205.65319352877592</v>
      </c>
      <c r="Q73" s="29">
        <f t="shared" si="29"/>
        <v>3707.8881966443037</v>
      </c>
      <c r="R73" s="37">
        <f t="shared" si="30"/>
        <v>411.30638705755183</v>
      </c>
      <c r="S73" s="9"/>
      <c r="T73" s="38">
        <f t="shared" si="31"/>
        <v>221.85479455922672</v>
      </c>
      <c r="U73" s="38">
        <f t="shared" si="14"/>
        <v>762.53904888755471</v>
      </c>
      <c r="V73" s="38">
        <f t="shared" si="32"/>
        <v>492.19692172339069</v>
      </c>
      <c r="W73" s="1">
        <f t="shared" si="33"/>
        <v>-0.46060941055071969</v>
      </c>
      <c r="X73" s="1">
        <f t="shared" si="34"/>
        <v>0.85394409832215135</v>
      </c>
      <c r="Y73" s="1">
        <f t="shared" si="35"/>
        <v>0.19666734388571583</v>
      </c>
      <c r="Z73" s="6"/>
      <c r="AA73" s="2"/>
      <c r="AB73" s="2"/>
      <c r="AC73" s="2"/>
    </row>
    <row r="74" spans="6:29">
      <c r="F74" s="5">
        <f t="shared" si="36"/>
        <v>0.10558229366292766</v>
      </c>
      <c r="G74" s="4">
        <f t="shared" si="23"/>
        <v>1449034.4481226241</v>
      </c>
      <c r="H74" s="3">
        <f t="shared" si="25"/>
        <v>152992.38062938122</v>
      </c>
      <c r="I74">
        <f t="shared" si="26"/>
        <v>221691229832.26187</v>
      </c>
      <c r="J74" s="6"/>
      <c r="K74" s="6"/>
      <c r="L74" s="6"/>
      <c r="M74" s="6"/>
      <c r="N74" s="32">
        <f t="shared" si="27"/>
        <v>0.10558229366292766</v>
      </c>
      <c r="O74" s="28">
        <f t="shared" si="24"/>
        <v>1900.2927007802052</v>
      </c>
      <c r="P74" s="28">
        <f t="shared" si="28"/>
        <v>200.63726197929356</v>
      </c>
      <c r="Q74" s="29">
        <f t="shared" si="29"/>
        <v>3800.5854015604104</v>
      </c>
      <c r="R74" s="37">
        <f t="shared" si="30"/>
        <v>401.27452395858711</v>
      </c>
      <c r="S74" s="9"/>
      <c r="T74" s="38">
        <f t="shared" si="31"/>
        <v>211.16458732585534</v>
      </c>
      <c r="U74" s="38">
        <f t="shared" si="14"/>
        <v>762.53904888755471</v>
      </c>
      <c r="V74" s="38">
        <f t="shared" si="32"/>
        <v>486.85181810670503</v>
      </c>
      <c r="W74" s="1">
        <f t="shared" si="33"/>
        <v>-0.47376527858606787</v>
      </c>
      <c r="X74" s="1">
        <f t="shared" si="34"/>
        <v>0.90029270078020529</v>
      </c>
      <c r="Y74" s="1">
        <f t="shared" si="35"/>
        <v>0.21326371109706876</v>
      </c>
      <c r="Z74" s="6"/>
      <c r="AA74" s="2"/>
      <c r="AB74" s="2"/>
      <c r="AC74" s="2"/>
    </row>
    <row r="75" spans="6:29">
      <c r="F75" s="5">
        <f t="shared" si="36"/>
        <v>0.10049474709142436</v>
      </c>
      <c r="G75" s="4">
        <f t="shared" si="23"/>
        <v>1485260.3093256894</v>
      </c>
      <c r="H75" s="3">
        <f t="shared" si="25"/>
        <v>149260.85915061587</v>
      </c>
      <c r="I75">
        <f t="shared" si="26"/>
        <v>221691229832.26187</v>
      </c>
      <c r="J75" s="6"/>
      <c r="K75" s="6"/>
      <c r="L75" s="6"/>
      <c r="M75" s="6"/>
      <c r="N75" s="32">
        <f t="shared" si="27"/>
        <v>0.10049474709142436</v>
      </c>
      <c r="O75" s="28">
        <f t="shared" si="24"/>
        <v>1947.8000182997102</v>
      </c>
      <c r="P75" s="28">
        <f t="shared" si="28"/>
        <v>195.74367022370112</v>
      </c>
      <c r="Q75" s="29">
        <f t="shared" si="29"/>
        <v>3895.6000365994205</v>
      </c>
      <c r="R75" s="37">
        <f t="shared" si="30"/>
        <v>391.48734044740223</v>
      </c>
      <c r="S75" s="9"/>
      <c r="T75" s="38">
        <f t="shared" si="31"/>
        <v>200.98949418284872</v>
      </c>
      <c r="U75" s="38">
        <f t="shared" si="14"/>
        <v>762.53904888755471</v>
      </c>
      <c r="V75" s="38">
        <f t="shared" si="32"/>
        <v>481.76427153520171</v>
      </c>
      <c r="W75" s="1">
        <f t="shared" si="33"/>
        <v>-0.48660027179128573</v>
      </c>
      <c r="X75" s="1">
        <f t="shared" si="34"/>
        <v>0.9478000182997095</v>
      </c>
      <c r="Y75" s="1">
        <f t="shared" si="35"/>
        <v>0.23059987325421205</v>
      </c>
      <c r="Z75" s="6"/>
      <c r="AA75" s="2"/>
      <c r="AB75" s="2"/>
      <c r="AC75" s="2"/>
    </row>
    <row r="76" spans="6:29">
      <c r="F76" s="5">
        <f t="shared" si="36"/>
        <v>9.5652347023366446E-2</v>
      </c>
      <c r="G76" s="4">
        <f t="shared" si="23"/>
        <v>1522391.8170588315</v>
      </c>
      <c r="H76" s="3">
        <f t="shared" si="25"/>
        <v>145620.35039084475</v>
      </c>
      <c r="I76">
        <f t="shared" si="26"/>
        <v>221691229832.26187</v>
      </c>
      <c r="J76" s="6"/>
      <c r="K76" s="6"/>
      <c r="L76" s="6"/>
      <c r="M76" s="6"/>
      <c r="N76" s="32">
        <f t="shared" si="27"/>
        <v>9.5652347023366446E-2</v>
      </c>
      <c r="O76" s="28">
        <f t="shared" si="24"/>
        <v>1996.4950187572026</v>
      </c>
      <c r="P76" s="28">
        <f t="shared" si="28"/>
        <v>190.96943436458645</v>
      </c>
      <c r="Q76" s="29">
        <f t="shared" si="29"/>
        <v>3992.9900375144052</v>
      </c>
      <c r="R76" s="37">
        <f t="shared" si="30"/>
        <v>381.9388687291729</v>
      </c>
      <c r="S76" s="9"/>
      <c r="T76" s="38">
        <f t="shared" si="31"/>
        <v>191.30469404673289</v>
      </c>
      <c r="U76" s="38">
        <f t="shared" si="14"/>
        <v>762.53904888755471</v>
      </c>
      <c r="V76" s="38">
        <f t="shared" si="32"/>
        <v>476.92187146714377</v>
      </c>
      <c r="W76" s="1">
        <f t="shared" si="33"/>
        <v>-0.49912221638174203</v>
      </c>
      <c r="X76" s="1">
        <f t="shared" si="34"/>
        <v>0.99649501875720237</v>
      </c>
      <c r="Y76" s="1">
        <f t="shared" si="35"/>
        <v>0.24868640118773011</v>
      </c>
      <c r="Z76" s="6"/>
      <c r="AA76" s="2"/>
      <c r="AB76" s="2"/>
      <c r="AC76" s="2"/>
    </row>
    <row r="77" spans="6:29">
      <c r="F77" s="5">
        <f t="shared" si="36"/>
        <v>9.1043280926464201E-2</v>
      </c>
      <c r="G77" s="4">
        <f t="shared" si="23"/>
        <v>1560451.6124853021</v>
      </c>
      <c r="H77" s="3">
        <f t="shared" si="25"/>
        <v>142068.63452765343</v>
      </c>
      <c r="I77">
        <f t="shared" si="26"/>
        <v>221691229832.26187</v>
      </c>
      <c r="J77" s="6"/>
      <c r="K77" s="6"/>
      <c r="L77" s="6"/>
      <c r="M77" s="6"/>
      <c r="N77" s="32">
        <f t="shared" si="27"/>
        <v>9.1043280926464201E-2</v>
      </c>
      <c r="O77" s="28">
        <f t="shared" si="24"/>
        <v>2046.4073942261325</v>
      </c>
      <c r="P77" s="28">
        <f t="shared" si="28"/>
        <v>186.31164328252336</v>
      </c>
      <c r="Q77" s="29">
        <f t="shared" si="29"/>
        <v>4092.814788452265</v>
      </c>
      <c r="R77" s="37">
        <f t="shared" si="30"/>
        <v>372.62328656504673</v>
      </c>
      <c r="S77" s="9"/>
      <c r="T77" s="38">
        <f t="shared" si="31"/>
        <v>182.08656185292841</v>
      </c>
      <c r="U77" s="38">
        <f t="shared" si="14"/>
        <v>762.53904888755471</v>
      </c>
      <c r="V77" s="38">
        <f t="shared" si="32"/>
        <v>472.31280537024156</v>
      </c>
      <c r="W77" s="1">
        <f t="shared" si="33"/>
        <v>-0.51133874768950438</v>
      </c>
      <c r="X77" s="1">
        <f t="shared" si="34"/>
        <v>1.0464073942261325</v>
      </c>
      <c r="Y77" s="1">
        <f t="shared" si="35"/>
        <v>0.26753432326831406</v>
      </c>
      <c r="Z77" s="6"/>
      <c r="AA77" s="2"/>
      <c r="AB77" s="2"/>
      <c r="AC77" s="2"/>
    </row>
    <row r="78" spans="6:29">
      <c r="F78" s="5">
        <f t="shared" si="36"/>
        <v>8.6656305462428779E-2</v>
      </c>
      <c r="G78" s="4">
        <f t="shared" si="23"/>
        <v>1599462.9027974345</v>
      </c>
      <c r="H78" s="3">
        <f t="shared" si="25"/>
        <v>138603.54588063751</v>
      </c>
      <c r="I78">
        <f t="shared" si="26"/>
        <v>221691229832.26187</v>
      </c>
      <c r="J78" s="6"/>
      <c r="K78" s="6"/>
      <c r="L78" s="6"/>
      <c r="M78" s="6"/>
      <c r="N78" s="32">
        <f t="shared" si="27"/>
        <v>8.6656305462428779E-2</v>
      </c>
      <c r="O78" s="28">
        <f t="shared" si="24"/>
        <v>2097.5675790817854</v>
      </c>
      <c r="P78" s="28">
        <f t="shared" si="28"/>
        <v>181.76745686099844</v>
      </c>
      <c r="Q78" s="29">
        <f t="shared" si="29"/>
        <v>4195.1351581635708</v>
      </c>
      <c r="R78" s="37">
        <f t="shared" si="30"/>
        <v>363.53491372199687</v>
      </c>
      <c r="S78" s="9"/>
      <c r="T78" s="38">
        <f t="shared" si="31"/>
        <v>173.31261092485755</v>
      </c>
      <c r="U78" s="38">
        <f t="shared" si="14"/>
        <v>762.53904888755471</v>
      </c>
      <c r="V78" s="38">
        <f t="shared" si="32"/>
        <v>467.9258299062061</v>
      </c>
      <c r="W78" s="1">
        <f t="shared" si="33"/>
        <v>-0.5232573148190286</v>
      </c>
      <c r="X78" s="1">
        <f t="shared" si="34"/>
        <v>1.0975675790817854</v>
      </c>
      <c r="Y78" s="1">
        <f t="shared" si="35"/>
        <v>0.28715513213137833</v>
      </c>
      <c r="Z78" s="6"/>
      <c r="AA78" s="2"/>
      <c r="AB78" s="2"/>
      <c r="AC78" s="2"/>
    </row>
    <row r="79" spans="6:29">
      <c r="F79" s="5">
        <f t="shared" si="36"/>
        <v>8.24807190600155E-2</v>
      </c>
      <c r="G79" s="4">
        <f t="shared" si="23"/>
        <v>1639449.4753673703</v>
      </c>
      <c r="H79" s="3">
        <f t="shared" si="25"/>
        <v>135222.97159086587</v>
      </c>
      <c r="I79">
        <f t="shared" si="26"/>
        <v>221691229832.26187</v>
      </c>
      <c r="J79" s="6"/>
      <c r="K79" s="6"/>
      <c r="L79" s="6"/>
      <c r="M79" s="6"/>
      <c r="N79" s="32">
        <f t="shared" si="27"/>
        <v>8.24807190600155E-2</v>
      </c>
      <c r="O79" s="28">
        <f t="shared" si="24"/>
        <v>2150.0067685588301</v>
      </c>
      <c r="P79" s="28">
        <f t="shared" si="28"/>
        <v>177.33410425463262</v>
      </c>
      <c r="Q79" s="29">
        <f t="shared" si="29"/>
        <v>4300.0135371176602</v>
      </c>
      <c r="R79" s="37">
        <f t="shared" si="30"/>
        <v>354.66820850926524</v>
      </c>
      <c r="S79" s="9"/>
      <c r="T79" s="38">
        <f t="shared" si="31"/>
        <v>164.961438120031</v>
      </c>
      <c r="U79" s="38">
        <f t="shared" si="14"/>
        <v>762.53904888755471</v>
      </c>
      <c r="V79" s="38">
        <f t="shared" si="32"/>
        <v>463.75024350379283</v>
      </c>
      <c r="W79" s="1">
        <f t="shared" si="33"/>
        <v>-0.53488518518929618</v>
      </c>
      <c r="X79" s="1">
        <f t="shared" si="34"/>
        <v>1.1500067685588302</v>
      </c>
      <c r="Y79" s="1">
        <f t="shared" si="35"/>
        <v>0.30756079168476691</v>
      </c>
      <c r="Z79" s="6"/>
      <c r="AA79" s="2"/>
      <c r="AB79" s="2"/>
      <c r="AC79" s="2"/>
    </row>
    <row r="80" spans="6:29">
      <c r="F80" s="5">
        <f t="shared" si="36"/>
        <v>7.8506335809651884E-2</v>
      </c>
      <c r="G80" s="4">
        <f t="shared" si="23"/>
        <v>1680435.7122515545</v>
      </c>
      <c r="H80" s="3">
        <f t="shared" si="25"/>
        <v>131924.85033255207</v>
      </c>
      <c r="I80">
        <f t="shared" si="26"/>
        <v>221691229832.26187</v>
      </c>
      <c r="J80" s="6"/>
      <c r="K80" s="6"/>
      <c r="L80" s="6"/>
      <c r="M80" s="6"/>
      <c r="N80" s="32">
        <f t="shared" si="27"/>
        <v>7.8506335809651884E-2</v>
      </c>
      <c r="O80" s="28">
        <f t="shared" si="24"/>
        <v>2203.7569377728009</v>
      </c>
      <c r="P80" s="28">
        <f t="shared" si="28"/>
        <v>173.00888219964162</v>
      </c>
      <c r="Q80" s="29">
        <f t="shared" si="29"/>
        <v>4407.5138755456019</v>
      </c>
      <c r="R80" s="37">
        <f t="shared" si="30"/>
        <v>346.01776439928324</v>
      </c>
      <c r="S80" s="9"/>
      <c r="T80" s="38">
        <f t="shared" si="31"/>
        <v>157.01267161930377</v>
      </c>
      <c r="U80" s="38">
        <f t="shared" si="14"/>
        <v>762.53904888755471</v>
      </c>
      <c r="V80" s="38">
        <f t="shared" si="32"/>
        <v>459.77586025342924</v>
      </c>
      <c r="W80" s="1">
        <f t="shared" si="33"/>
        <v>-0.54622944896516701</v>
      </c>
      <c r="X80" s="1">
        <f t="shared" si="34"/>
        <v>1.2037569377728001</v>
      </c>
      <c r="Y80" s="1">
        <f t="shared" si="35"/>
        <v>0.32876374440381673</v>
      </c>
      <c r="Z80" s="6"/>
      <c r="AA80" s="2"/>
      <c r="AB80" s="2"/>
      <c r="AC80" s="2"/>
    </row>
    <row r="81" spans="6:29">
      <c r="F81" s="5">
        <f t="shared" si="36"/>
        <v>7.472346061596849E-2</v>
      </c>
      <c r="G81" s="4">
        <f t="shared" si="23"/>
        <v>1722446.6050578433</v>
      </c>
      <c r="H81" s="3">
        <f t="shared" si="25"/>
        <v>128707.17105614838</v>
      </c>
      <c r="I81">
        <f t="shared" si="26"/>
        <v>221691229832.26187</v>
      </c>
      <c r="J81" s="6"/>
      <c r="K81" s="6"/>
      <c r="L81" s="6"/>
      <c r="M81" s="6"/>
      <c r="N81" s="32">
        <f t="shared" si="27"/>
        <v>7.472346061596849E-2</v>
      </c>
      <c r="O81" s="28">
        <f t="shared" ref="O81:O100" si="37">$O$48/$G$48*G81</f>
        <v>2258.8508612171208</v>
      </c>
      <c r="P81" s="28">
        <f t="shared" si="28"/>
        <v>168.78915336550403</v>
      </c>
      <c r="Q81" s="29">
        <f t="shared" si="29"/>
        <v>4517.7017224342417</v>
      </c>
      <c r="R81" s="37">
        <f t="shared" si="30"/>
        <v>337.57830673100807</v>
      </c>
      <c r="S81" s="9"/>
      <c r="T81" s="38">
        <f t="shared" si="31"/>
        <v>149.44692123193698</v>
      </c>
      <c r="U81" s="38">
        <f t="shared" si="14"/>
        <v>762.53904888755471</v>
      </c>
      <c r="V81" s="38">
        <f t="shared" si="32"/>
        <v>455.99298505974582</v>
      </c>
      <c r="W81" s="1">
        <f t="shared" si="33"/>
        <v>-0.55729702338065068</v>
      </c>
      <c r="X81" s="1">
        <f t="shared" si="34"/>
        <v>1.2588508612171201</v>
      </c>
      <c r="Y81" s="1">
        <f t="shared" si="35"/>
        <v>0.35077691891823459</v>
      </c>
      <c r="Z81" s="6"/>
      <c r="AA81" s="2"/>
      <c r="AB81" s="2"/>
      <c r="AC81" s="2"/>
    </row>
    <row r="82" spans="6:29">
      <c r="F82" s="5">
        <f t="shared" si="36"/>
        <v>7.112286554762022E-2</v>
      </c>
      <c r="G82" s="4">
        <f t="shared" si="23"/>
        <v>1765507.7701842892</v>
      </c>
      <c r="H82" s="3">
        <f t="shared" si="25"/>
        <v>125567.97176209599</v>
      </c>
      <c r="I82">
        <f t="shared" si="26"/>
        <v>221691229832.26187</v>
      </c>
      <c r="J82" s="6"/>
      <c r="K82" s="6"/>
      <c r="L82" s="6"/>
      <c r="M82" s="6"/>
      <c r="N82" s="32">
        <f t="shared" si="27"/>
        <v>7.112286554762022E-2</v>
      </c>
      <c r="O82" s="28">
        <f t="shared" si="37"/>
        <v>2315.3221327475485</v>
      </c>
      <c r="P82" s="28">
        <f t="shared" si="28"/>
        <v>164.67234474683318</v>
      </c>
      <c r="Q82" s="29">
        <f t="shared" si="29"/>
        <v>4630.644265495097</v>
      </c>
      <c r="R82" s="37">
        <f t="shared" si="30"/>
        <v>329.34468949366635</v>
      </c>
      <c r="S82" s="9"/>
      <c r="T82" s="38">
        <f t="shared" si="31"/>
        <v>142.24573109524044</v>
      </c>
      <c r="U82" s="38">
        <f t="shared" si="14"/>
        <v>762.53904888755471</v>
      </c>
      <c r="V82" s="38">
        <f t="shared" si="32"/>
        <v>452.39238999139758</v>
      </c>
      <c r="W82" s="1">
        <f t="shared" si="33"/>
        <v>-0.56809465695673234</v>
      </c>
      <c r="X82" s="1">
        <f t="shared" si="34"/>
        <v>1.3153221327475486</v>
      </c>
      <c r="Y82" s="1">
        <f t="shared" si="35"/>
        <v>0.37361373789540808</v>
      </c>
      <c r="Z82" s="6"/>
      <c r="AA82" s="2"/>
      <c r="AB82" s="2"/>
      <c r="AC82" s="2"/>
    </row>
    <row r="83" spans="6:29">
      <c r="F83" s="5">
        <f t="shared" si="36"/>
        <v>6.7695767326705764E-2</v>
      </c>
      <c r="G83" s="4">
        <f t="shared" si="23"/>
        <v>1809645.4644388962</v>
      </c>
      <c r="H83" s="3">
        <f t="shared" si="25"/>
        <v>122505.3383044839</v>
      </c>
      <c r="I83">
        <f t="shared" si="26"/>
        <v>221691229832.26187</v>
      </c>
      <c r="J83" s="6"/>
      <c r="K83" s="6"/>
      <c r="L83" s="6"/>
      <c r="M83" s="6"/>
      <c r="N83" s="32">
        <f t="shared" si="27"/>
        <v>6.7695767326705764E-2</v>
      </c>
      <c r="O83" s="28">
        <f t="shared" si="37"/>
        <v>2373.2051860662368</v>
      </c>
      <c r="P83" s="28">
        <f t="shared" si="28"/>
        <v>160.65594609447143</v>
      </c>
      <c r="Q83" s="29">
        <f t="shared" si="29"/>
        <v>4746.4103721324736</v>
      </c>
      <c r="R83" s="37">
        <f t="shared" si="30"/>
        <v>321.31189218894286</v>
      </c>
      <c r="S83" s="9"/>
      <c r="T83" s="38">
        <f t="shared" si="31"/>
        <v>135.39153465341153</v>
      </c>
      <c r="U83" s="38">
        <f t="shared" si="14"/>
        <v>762.53904888755471</v>
      </c>
      <c r="V83" s="38">
        <f t="shared" si="32"/>
        <v>448.96529177048313</v>
      </c>
      <c r="W83" s="1">
        <f t="shared" si="33"/>
        <v>-0.57862893361632417</v>
      </c>
      <c r="X83" s="1">
        <f t="shared" si="34"/>
        <v>1.3732051860662366</v>
      </c>
      <c r="Y83" s="1">
        <f t="shared" si="35"/>
        <v>0.39728812622495635</v>
      </c>
      <c r="Z83" s="6"/>
      <c r="AA83" s="2"/>
      <c r="AB83" s="2"/>
      <c r="AC83" s="2"/>
    </row>
    <row r="84" spans="6:29">
      <c r="F84" s="5">
        <f t="shared" si="36"/>
        <v>6.4433805902872843E-2</v>
      </c>
      <c r="G84" s="4">
        <f t="shared" si="23"/>
        <v>1854886.6010498684</v>
      </c>
      <c r="H84" s="3">
        <f t="shared" si="25"/>
        <v>119517.40322388675</v>
      </c>
      <c r="I84">
        <f t="shared" si="26"/>
        <v>221691229832.26187</v>
      </c>
      <c r="J84" s="6"/>
      <c r="K84" s="6"/>
      <c r="L84" s="6"/>
      <c r="M84" s="6"/>
      <c r="N84" s="32">
        <f t="shared" si="27"/>
        <v>6.4433805902872843E-2</v>
      </c>
      <c r="O84" s="28">
        <f t="shared" si="37"/>
        <v>2432.5353157178924</v>
      </c>
      <c r="P84" s="28">
        <f t="shared" si="28"/>
        <v>156.7375083848502</v>
      </c>
      <c r="Q84" s="29">
        <f t="shared" si="29"/>
        <v>4865.0706314357849</v>
      </c>
      <c r="R84" s="37">
        <f t="shared" si="30"/>
        <v>313.4750167697004</v>
      </c>
      <c r="S84" s="9"/>
      <c r="T84" s="38">
        <f t="shared" si="31"/>
        <v>128.8676118057457</v>
      </c>
      <c r="U84" s="38">
        <f t="shared" si="14"/>
        <v>762.53904888755471</v>
      </c>
      <c r="V84" s="38">
        <f t="shared" si="32"/>
        <v>445.7033303466502</v>
      </c>
      <c r="W84" s="1">
        <f t="shared" si="33"/>
        <v>-0.58890627669885287</v>
      </c>
      <c r="X84" s="1">
        <f t="shared" si="34"/>
        <v>1.4325353157178924</v>
      </c>
      <c r="Y84" s="1">
        <f t="shared" si="35"/>
        <v>0.42181451950951976</v>
      </c>
      <c r="Z84" s="6"/>
      <c r="AA84" s="2"/>
      <c r="AB84" s="2"/>
      <c r="AC84" s="2"/>
    </row>
    <row r="85" spans="6:29">
      <c r="F85" s="5">
        <f t="shared" si="36"/>
        <v>6.1329024059843286E-2</v>
      </c>
      <c r="G85" s="4">
        <f t="shared" si="23"/>
        <v>1901258.766076115</v>
      </c>
      <c r="H85" s="3">
        <f t="shared" si="25"/>
        <v>116602.34460867001</v>
      </c>
      <c r="I85">
        <f t="shared" si="26"/>
        <v>221691229832.26187</v>
      </c>
      <c r="J85" s="6"/>
      <c r="K85" s="6"/>
      <c r="L85" s="6"/>
      <c r="M85" s="6"/>
      <c r="N85" s="32">
        <f t="shared" si="27"/>
        <v>6.1329024059843286E-2</v>
      </c>
      <c r="O85" s="28">
        <f t="shared" si="37"/>
        <v>2493.3486986108396</v>
      </c>
      <c r="P85" s="28">
        <f t="shared" si="28"/>
        <v>152.91464232668312</v>
      </c>
      <c r="Q85" s="29">
        <f t="shared" si="29"/>
        <v>4986.6973972216792</v>
      </c>
      <c r="R85" s="37">
        <f t="shared" si="30"/>
        <v>305.82928465336624</v>
      </c>
      <c r="S85" s="9"/>
      <c r="T85" s="38">
        <f t="shared" si="31"/>
        <v>122.65804811968657</v>
      </c>
      <c r="U85" s="38">
        <f t="shared" si="14"/>
        <v>762.53904888755471</v>
      </c>
      <c r="V85" s="38">
        <f t="shared" si="32"/>
        <v>442.59854850362063</v>
      </c>
      <c r="W85" s="1">
        <f t="shared" si="33"/>
        <v>-0.5989329528769296</v>
      </c>
      <c r="X85" s="1">
        <f t="shared" si="34"/>
        <v>1.4933486986108395</v>
      </c>
      <c r="Y85" s="1">
        <f t="shared" si="35"/>
        <v>0.44720787286695485</v>
      </c>
      <c r="Z85" s="6"/>
      <c r="AA85" s="2"/>
      <c r="AB85" s="2"/>
      <c r="AC85" s="2"/>
    </row>
    <row r="86" spans="6:29">
      <c r="F86" s="5">
        <f t="shared" si="36"/>
        <v>5.8373848004609916E-2</v>
      </c>
      <c r="G86" s="4">
        <f t="shared" si="23"/>
        <v>1948790.2352280177</v>
      </c>
      <c r="H86" s="3">
        <f t="shared" si="25"/>
        <v>113758.38498406831</v>
      </c>
      <c r="I86">
        <f t="shared" si="26"/>
        <v>221691229832.26187</v>
      </c>
      <c r="J86" s="6"/>
      <c r="K86" s="6"/>
      <c r="L86" s="6"/>
      <c r="M86" s="6"/>
      <c r="N86" s="32">
        <f t="shared" si="27"/>
        <v>5.8373848004609916E-2</v>
      </c>
      <c r="O86" s="28">
        <f t="shared" si="37"/>
        <v>2555.6824160761107</v>
      </c>
      <c r="P86" s="28">
        <f t="shared" si="28"/>
        <v>149.18501690408112</v>
      </c>
      <c r="Q86" s="29">
        <f t="shared" si="29"/>
        <v>5111.3648321522214</v>
      </c>
      <c r="R86" s="37">
        <f t="shared" si="30"/>
        <v>298.37003380816225</v>
      </c>
      <c r="S86" s="9"/>
      <c r="T86" s="38">
        <f t="shared" si="31"/>
        <v>116.74769600921984</v>
      </c>
      <c r="U86" s="38">
        <f t="shared" si="14"/>
        <v>762.53904888755471</v>
      </c>
      <c r="V86" s="38">
        <f t="shared" si="32"/>
        <v>439.64337244838725</v>
      </c>
      <c r="W86" s="1">
        <f t="shared" si="33"/>
        <v>-0.60871507597749219</v>
      </c>
      <c r="X86" s="1">
        <f t="shared" si="34"/>
        <v>1.55568241607611</v>
      </c>
      <c r="Y86" s="1">
        <f t="shared" si="35"/>
        <v>0.4734836700493088</v>
      </c>
      <c r="Z86" s="6"/>
      <c r="AA86" s="2"/>
      <c r="AB86" s="2"/>
      <c r="AC86" s="2"/>
    </row>
    <row r="87" spans="6:29">
      <c r="F87" s="5">
        <f t="shared" si="36"/>
        <v>5.5561068891954724E-2</v>
      </c>
      <c r="G87" s="4">
        <f t="shared" si="23"/>
        <v>1997509.9911087179</v>
      </c>
      <c r="H87" s="3">
        <f t="shared" si="25"/>
        <v>110983.79022835934</v>
      </c>
      <c r="I87">
        <f t="shared" si="26"/>
        <v>221691229832.26187</v>
      </c>
      <c r="J87" s="6"/>
      <c r="K87" s="6"/>
      <c r="L87" s="6"/>
      <c r="M87" s="6"/>
      <c r="N87" s="32">
        <f t="shared" si="27"/>
        <v>5.5561068891954724E-2</v>
      </c>
      <c r="O87" s="28">
        <f t="shared" si="37"/>
        <v>2619.5744764780129</v>
      </c>
      <c r="P87" s="28">
        <f t="shared" si="28"/>
        <v>145.5463579552011</v>
      </c>
      <c r="Q87" s="29">
        <f t="shared" si="29"/>
        <v>5239.1489529560258</v>
      </c>
      <c r="R87" s="37">
        <f t="shared" si="30"/>
        <v>291.09271591040221</v>
      </c>
      <c r="S87" s="9"/>
      <c r="T87" s="38">
        <f t="shared" si="31"/>
        <v>111.12213778390945</v>
      </c>
      <c r="U87" s="38">
        <f t="shared" si="14"/>
        <v>762.53904888755471</v>
      </c>
      <c r="V87" s="38">
        <f t="shared" si="32"/>
        <v>436.83059333573209</v>
      </c>
      <c r="W87" s="1">
        <f t="shared" si="33"/>
        <v>-0.61825861070974852</v>
      </c>
      <c r="X87" s="1">
        <f t="shared" si="34"/>
        <v>1.6195744764780127</v>
      </c>
      <c r="Y87" s="1">
        <f t="shared" si="35"/>
        <v>0.50065793288413207</v>
      </c>
      <c r="Z87" s="6"/>
      <c r="AA87" s="2"/>
      <c r="AB87" s="2"/>
      <c r="AC87" s="2"/>
    </row>
    <row r="88" spans="6:29">
      <c r="F88" s="5">
        <f t="shared" si="36"/>
        <v>5.2883825239219258E-2</v>
      </c>
      <c r="G88" s="4">
        <f t="shared" si="23"/>
        <v>2047447.7408864356</v>
      </c>
      <c r="H88" s="3">
        <f t="shared" si="25"/>
        <v>108276.86851547254</v>
      </c>
      <c r="I88">
        <f t="shared" si="26"/>
        <v>221691229832.26187</v>
      </c>
      <c r="J88" s="6"/>
      <c r="K88" s="6"/>
      <c r="L88" s="6"/>
      <c r="M88" s="6"/>
      <c r="N88" s="32">
        <f t="shared" si="27"/>
        <v>5.2883825239219258E-2</v>
      </c>
      <c r="O88" s="28">
        <f t="shared" si="37"/>
        <v>2685.0638383899632</v>
      </c>
      <c r="P88" s="28">
        <f t="shared" si="28"/>
        <v>141.99644678556209</v>
      </c>
      <c r="Q88" s="29">
        <f t="shared" si="29"/>
        <v>5370.1276767799263</v>
      </c>
      <c r="R88" s="37">
        <f t="shared" si="30"/>
        <v>283.99289357112417</v>
      </c>
      <c r="S88" s="9"/>
      <c r="T88" s="38">
        <f t="shared" si="31"/>
        <v>105.76765047843851</v>
      </c>
      <c r="U88" s="38">
        <f t="shared" si="14"/>
        <v>762.53904888755471</v>
      </c>
      <c r="V88" s="38">
        <f t="shared" si="32"/>
        <v>434.15334968299663</v>
      </c>
      <c r="W88" s="1">
        <f t="shared" si="33"/>
        <v>-0.62756937630219367</v>
      </c>
      <c r="X88" s="1">
        <f t="shared" si="34"/>
        <v>1.6850638383899623</v>
      </c>
      <c r="Y88" s="1">
        <f t="shared" si="35"/>
        <v>0.52874723104388432</v>
      </c>
      <c r="Z88" s="6"/>
      <c r="AA88" s="2"/>
      <c r="AB88" s="2"/>
      <c r="AC88" s="2"/>
    </row>
    <row r="89" spans="6:29">
      <c r="F89" s="5">
        <f t="shared" si="36"/>
        <v>5.0335586188430002E-2</v>
      </c>
      <c r="G89" s="4">
        <f t="shared" si="23"/>
        <v>2098633.9344085963</v>
      </c>
      <c r="H89" s="3">
        <f t="shared" si="25"/>
        <v>105635.96928338785</v>
      </c>
      <c r="I89">
        <f t="shared" si="26"/>
        <v>221691229832.26187</v>
      </c>
      <c r="J89" s="6"/>
      <c r="K89" s="6"/>
      <c r="L89" s="6"/>
      <c r="M89" s="6"/>
      <c r="N89" s="32">
        <f t="shared" si="27"/>
        <v>5.0335586188430002E-2</v>
      </c>
      <c r="O89" s="28">
        <f t="shared" si="37"/>
        <v>2752.1904343497117</v>
      </c>
      <c r="P89" s="28">
        <f t="shared" si="28"/>
        <v>138.53311881518252</v>
      </c>
      <c r="Q89" s="29">
        <f t="shared" si="29"/>
        <v>5504.3808686994234</v>
      </c>
      <c r="R89" s="37">
        <f t="shared" si="30"/>
        <v>277.06623763036504</v>
      </c>
      <c r="S89" s="9"/>
      <c r="T89" s="38">
        <f t="shared" si="31"/>
        <v>100.67117237686</v>
      </c>
      <c r="U89" s="38">
        <f t="shared" si="14"/>
        <v>762.53904888755471</v>
      </c>
      <c r="V89" s="38">
        <f t="shared" si="32"/>
        <v>431.60511063220736</v>
      </c>
      <c r="W89" s="1">
        <f t="shared" si="33"/>
        <v>-0.63665305005092054</v>
      </c>
      <c r="X89" s="1">
        <f t="shared" si="34"/>
        <v>1.7521904343497114</v>
      </c>
      <c r="Y89" s="1">
        <f t="shared" si="35"/>
        <v>0.5577686921493954</v>
      </c>
      <c r="Z89" s="6"/>
      <c r="AA89" s="2"/>
      <c r="AB89" s="2"/>
      <c r="AC89" s="2"/>
    </row>
    <row r="90" spans="6:29">
      <c r="F90" s="5">
        <f t="shared" si="36"/>
        <v>4.7910135574948248E-2</v>
      </c>
      <c r="G90" s="4">
        <f t="shared" si="23"/>
        <v>2151099.7827688111</v>
      </c>
      <c r="H90" s="3">
        <f t="shared" si="25"/>
        <v>103059.48222769547</v>
      </c>
      <c r="I90">
        <f t="shared" si="26"/>
        <v>221691229832.26187</v>
      </c>
      <c r="J90" s="6"/>
      <c r="K90" s="6"/>
      <c r="L90" s="6"/>
      <c r="M90" s="6"/>
      <c r="N90" s="32">
        <f t="shared" si="27"/>
        <v>4.7910135574948248E-2</v>
      </c>
      <c r="O90" s="28">
        <f t="shared" si="37"/>
        <v>2820.9951952084543</v>
      </c>
      <c r="P90" s="28">
        <f t="shared" si="28"/>
        <v>135.15426225871465</v>
      </c>
      <c r="Q90" s="29">
        <f t="shared" si="29"/>
        <v>5641.9903904169087</v>
      </c>
      <c r="R90" s="37">
        <f t="shared" si="30"/>
        <v>270.3085245174293</v>
      </c>
      <c r="S90" s="9"/>
      <c r="T90" s="38">
        <f t="shared" si="31"/>
        <v>95.820271149896499</v>
      </c>
      <c r="U90" s="38">
        <f t="shared" si="14"/>
        <v>762.53904888755471</v>
      </c>
      <c r="V90" s="38">
        <f t="shared" si="32"/>
        <v>429.1796600187256</v>
      </c>
      <c r="W90" s="1">
        <f t="shared" si="33"/>
        <v>-0.64551517078138587</v>
      </c>
      <c r="X90" s="1">
        <f t="shared" si="34"/>
        <v>1.8209951952084542</v>
      </c>
      <c r="Y90" s="1">
        <f t="shared" si="35"/>
        <v>0.58774001221353411</v>
      </c>
      <c r="Z90" s="6"/>
      <c r="AA90" s="2"/>
      <c r="AB90" s="2"/>
      <c r="AC90" s="2"/>
    </row>
    <row r="91" spans="6:29">
      <c r="F91" s="5">
        <f t="shared" si="36"/>
        <v>4.5601556763781803E-2</v>
      </c>
      <c r="G91" s="4">
        <f t="shared" si="23"/>
        <v>2204877.2773380312</v>
      </c>
      <c r="H91" s="3">
        <f t="shared" si="25"/>
        <v>100545.83631970291</v>
      </c>
      <c r="I91">
        <f t="shared" si="26"/>
        <v>221691229832.26187</v>
      </c>
      <c r="J91" s="6"/>
      <c r="K91" s="6"/>
      <c r="L91" s="6"/>
      <c r="M91" s="6"/>
      <c r="N91" s="32">
        <f t="shared" si="27"/>
        <v>4.5601556763781803E-2</v>
      </c>
      <c r="O91" s="28">
        <f t="shared" si="37"/>
        <v>2891.5200750886656</v>
      </c>
      <c r="P91" s="28">
        <f t="shared" si="28"/>
        <v>131.8578168377704</v>
      </c>
      <c r="Q91" s="29">
        <f t="shared" si="29"/>
        <v>5783.0401501773313</v>
      </c>
      <c r="R91" s="37">
        <f t="shared" si="30"/>
        <v>263.7156336755408</v>
      </c>
      <c r="S91" s="9"/>
      <c r="T91" s="38">
        <f t="shared" si="31"/>
        <v>91.203113527563602</v>
      </c>
      <c r="U91" s="38">
        <f t="shared" si="14"/>
        <v>762.53904888755471</v>
      </c>
      <c r="V91" s="38">
        <f t="shared" si="32"/>
        <v>426.87108120755914</v>
      </c>
      <c r="W91" s="1">
        <f t="shared" si="33"/>
        <v>-0.65416114222574229</v>
      </c>
      <c r="X91" s="1">
        <f t="shared" si="34"/>
        <v>1.8915200750886654</v>
      </c>
      <c r="Y91" s="1">
        <f t="shared" si="35"/>
        <v>0.61867946643146143</v>
      </c>
      <c r="Z91" s="6"/>
      <c r="AA91" s="2"/>
      <c r="AB91" s="2"/>
      <c r="AC91" s="2"/>
    </row>
    <row r="92" spans="6:29">
      <c r="F92" s="5">
        <f t="shared" si="36"/>
        <v>4.3404218216568057E-2</v>
      </c>
      <c r="G92" s="4">
        <f t="shared" si="23"/>
        <v>2259999.2092714817</v>
      </c>
      <c r="H92" s="3">
        <f t="shared" si="25"/>
        <v>98093.49884849065</v>
      </c>
      <c r="I92">
        <f t="shared" si="26"/>
        <v>221691229832.26187</v>
      </c>
      <c r="J92" s="6"/>
      <c r="K92" s="6"/>
      <c r="L92" s="6"/>
      <c r="M92" s="6"/>
      <c r="N92" s="32">
        <f t="shared" si="27"/>
        <v>4.3404218216568057E-2</v>
      </c>
      <c r="O92" s="28">
        <f t="shared" si="37"/>
        <v>2963.8080769658818</v>
      </c>
      <c r="P92" s="28">
        <f t="shared" si="28"/>
        <v>128.64177252465407</v>
      </c>
      <c r="Q92" s="29">
        <f t="shared" si="29"/>
        <v>5927.6161539317636</v>
      </c>
      <c r="R92" s="37">
        <f t="shared" si="30"/>
        <v>257.28354504930815</v>
      </c>
      <c r="S92" s="9"/>
      <c r="T92" s="38">
        <f t="shared" si="31"/>
        <v>86.808436433136109</v>
      </c>
      <c r="U92" s="38">
        <f t="shared" si="14"/>
        <v>762.53904888755471</v>
      </c>
      <c r="V92" s="38">
        <f t="shared" si="32"/>
        <v>424.6737426603454</v>
      </c>
      <c r="W92" s="1">
        <f t="shared" si="33"/>
        <v>-0.66259623631779729</v>
      </c>
      <c r="X92" s="1">
        <f t="shared" si="34"/>
        <v>1.9638080769658814</v>
      </c>
      <c r="Y92" s="1">
        <f t="shared" si="35"/>
        <v>0.65060592032404196</v>
      </c>
      <c r="Z92" s="6"/>
      <c r="AA92" s="2"/>
      <c r="AB92" s="2"/>
      <c r="AC92" s="2"/>
    </row>
    <row r="93" spans="6:29">
      <c r="F93" s="5">
        <f t="shared" si="36"/>
        <v>4.1312759754020767E-2</v>
      </c>
      <c r="G93" s="4">
        <f t="shared" si="23"/>
        <v>2316499.1895032683</v>
      </c>
      <c r="H93" s="3">
        <f t="shared" si="25"/>
        <v>95700.974486332358</v>
      </c>
      <c r="I93">
        <f t="shared" si="26"/>
        <v>221691229832.26187</v>
      </c>
      <c r="J93" s="6"/>
      <c r="K93" s="6"/>
      <c r="L93" s="6"/>
      <c r="M93" s="6"/>
      <c r="N93" s="32">
        <f t="shared" si="27"/>
        <v>4.1312759754020767E-2</v>
      </c>
      <c r="O93" s="28">
        <f t="shared" si="37"/>
        <v>3037.9032788900286</v>
      </c>
      <c r="P93" s="28">
        <f t="shared" si="28"/>
        <v>125.5041683167357</v>
      </c>
      <c r="Q93" s="29">
        <f t="shared" si="29"/>
        <v>6075.8065577800571</v>
      </c>
      <c r="R93" s="37">
        <f t="shared" si="30"/>
        <v>251.0083366334714</v>
      </c>
      <c r="S93" s="9"/>
      <c r="T93" s="38">
        <f t="shared" si="31"/>
        <v>82.625519508041535</v>
      </c>
      <c r="U93" s="38">
        <f t="shared" si="14"/>
        <v>762.53904888755471</v>
      </c>
      <c r="V93" s="38">
        <f t="shared" si="32"/>
        <v>422.58228419779812</v>
      </c>
      <c r="W93" s="1">
        <f t="shared" si="33"/>
        <v>-0.67082559640760708</v>
      </c>
      <c r="X93" s="1">
        <f t="shared" si="34"/>
        <v>2.037903278890028</v>
      </c>
      <c r="Y93" s="1">
        <f t="shared" si="35"/>
        <v>0.68353884124121045</v>
      </c>
      <c r="Z93" s="6"/>
      <c r="AA93" s="2"/>
      <c r="AB93" s="2"/>
      <c r="AC93" s="2"/>
    </row>
    <row r="94" spans="6:29">
      <c r="F94" s="5">
        <f t="shared" si="36"/>
        <v>3.9322079480329113E-2</v>
      </c>
      <c r="G94" s="4">
        <f t="shared" si="23"/>
        <v>2374411.66924085</v>
      </c>
      <c r="H94" s="3">
        <f t="shared" si="25"/>
        <v>93366.804376909626</v>
      </c>
      <c r="I94">
        <f t="shared" si="26"/>
        <v>221691229832.26187</v>
      </c>
      <c r="J94" s="6"/>
      <c r="K94" s="6"/>
      <c r="L94" s="6"/>
      <c r="M94" s="6"/>
      <c r="N94" s="32">
        <f t="shared" si="27"/>
        <v>3.9322079480329113E-2</v>
      </c>
      <c r="O94" s="28">
        <f t="shared" si="37"/>
        <v>3113.8508608622792</v>
      </c>
      <c r="P94" s="28">
        <f t="shared" si="28"/>
        <v>122.44309104071777</v>
      </c>
      <c r="Q94" s="29">
        <f t="shared" si="29"/>
        <v>6227.7017217245584</v>
      </c>
      <c r="R94" s="37">
        <f t="shared" si="30"/>
        <v>244.88618208143555</v>
      </c>
      <c r="S94" s="9"/>
      <c r="T94" s="38">
        <f t="shared" si="31"/>
        <v>78.644158960658231</v>
      </c>
      <c r="U94" s="38">
        <f t="shared" si="14"/>
        <v>762.53904888755471</v>
      </c>
      <c r="V94" s="38">
        <f t="shared" si="32"/>
        <v>420.59160392410649</v>
      </c>
      <c r="W94" s="1">
        <f t="shared" si="33"/>
        <v>-0.6788542403976654</v>
      </c>
      <c r="X94" s="1">
        <f t="shared" si="34"/>
        <v>2.1138508608622781</v>
      </c>
      <c r="Y94" s="1">
        <f t="shared" si="35"/>
        <v>0.71749831023230648</v>
      </c>
      <c r="Z94" s="6"/>
      <c r="AA94" s="2"/>
      <c r="AB94" s="2"/>
      <c r="AC94" s="2"/>
    </row>
    <row r="95" spans="6:29">
      <c r="F95" s="5">
        <f t="shared" si="36"/>
        <v>3.7427321337612486E-2</v>
      </c>
      <c r="G95" s="4">
        <f t="shared" si="23"/>
        <v>2433771.9609718709</v>
      </c>
      <c r="H95" s="3">
        <f t="shared" si="25"/>
        <v>91089.565245765494</v>
      </c>
      <c r="I95">
        <f t="shared" si="26"/>
        <v>221691229832.26187</v>
      </c>
      <c r="J95" s="6"/>
      <c r="K95" s="6"/>
      <c r="L95" s="6"/>
      <c r="M95" s="6"/>
      <c r="N95" s="32">
        <f t="shared" si="27"/>
        <v>3.7427321337612486E-2</v>
      </c>
      <c r="O95" s="28">
        <f t="shared" si="37"/>
        <v>3191.6971323838357</v>
      </c>
      <c r="P95" s="28">
        <f t="shared" si="28"/>
        <v>119.45667418606611</v>
      </c>
      <c r="Q95" s="29">
        <f t="shared" si="29"/>
        <v>6383.3942647676713</v>
      </c>
      <c r="R95" s="37">
        <f t="shared" si="30"/>
        <v>238.91334837213222</v>
      </c>
      <c r="S95" s="9"/>
      <c r="T95" s="38">
        <f t="shared" si="31"/>
        <v>74.854642675224966</v>
      </c>
      <c r="U95" s="38">
        <f t="shared" si="14"/>
        <v>762.53904888755471</v>
      </c>
      <c r="V95" s="38">
        <f t="shared" si="32"/>
        <v>418.69684578138981</v>
      </c>
      <c r="W95" s="1">
        <f t="shared" si="33"/>
        <v>-0.68668706380260036</v>
      </c>
      <c r="X95" s="1">
        <f t="shared" si="34"/>
        <v>2.1916971323838355</v>
      </c>
      <c r="Y95" s="1">
        <f t="shared" si="35"/>
        <v>0.75250503429061744</v>
      </c>
      <c r="Z95" s="6"/>
      <c r="AA95" s="2"/>
      <c r="AB95" s="2"/>
      <c r="AC95" s="2"/>
    </row>
    <row r="96" spans="6:29">
      <c r="F96" s="5">
        <f t="shared" si="36"/>
        <v>3.5623863260071387E-2</v>
      </c>
      <c r="G96" s="4">
        <f t="shared" si="23"/>
        <v>2494616.2599961674</v>
      </c>
      <c r="H96" s="3">
        <f t="shared" si="25"/>
        <v>88867.868532454158</v>
      </c>
      <c r="I96">
        <f t="shared" si="26"/>
        <v>221691229832.26187</v>
      </c>
      <c r="J96" s="6"/>
      <c r="K96" s="6"/>
      <c r="L96" s="6"/>
      <c r="M96" s="6"/>
      <c r="N96" s="32">
        <f t="shared" si="27"/>
        <v>3.5623863260071387E-2</v>
      </c>
      <c r="O96" s="28">
        <f t="shared" si="37"/>
        <v>3271.489560693431</v>
      </c>
      <c r="P96" s="28">
        <f t="shared" si="28"/>
        <v>116.5430967668938</v>
      </c>
      <c r="Q96" s="29">
        <f t="shared" si="29"/>
        <v>6542.9791213868621</v>
      </c>
      <c r="R96" s="37">
        <f t="shared" si="30"/>
        <v>233.08619353378759</v>
      </c>
      <c r="S96" s="9"/>
      <c r="T96" s="38">
        <f t="shared" si="31"/>
        <v>71.247726520142777</v>
      </c>
      <c r="U96" s="38">
        <f t="shared" si="14"/>
        <v>762.53904888755471</v>
      </c>
      <c r="V96" s="38">
        <f t="shared" si="32"/>
        <v>416.89338770384876</v>
      </c>
      <c r="W96" s="1">
        <f t="shared" si="33"/>
        <v>-0.69432884273424422</v>
      </c>
      <c r="X96" s="1">
        <f t="shared" si="34"/>
        <v>2.2714895606934307</v>
      </c>
      <c r="Y96" s="1">
        <f t="shared" si="35"/>
        <v>0.78858035897959322</v>
      </c>
      <c r="Z96" s="6"/>
      <c r="AA96" s="2"/>
      <c r="AB96" s="2"/>
      <c r="AC96" s="2"/>
    </row>
    <row r="97" spans="6:29">
      <c r="F97" s="5">
        <f t="shared" si="36"/>
        <v>3.3907305898937666E-2</v>
      </c>
      <c r="G97" s="4">
        <f t="shared" si="23"/>
        <v>2556981.6664960715</v>
      </c>
      <c r="H97" s="3">
        <f t="shared" si="25"/>
        <v>86700.359543857718</v>
      </c>
      <c r="I97">
        <f t="shared" si="26"/>
        <v>221691229832.26187</v>
      </c>
      <c r="J97" s="6"/>
      <c r="K97" s="6"/>
      <c r="L97" s="6"/>
      <c r="M97" s="6"/>
      <c r="N97" s="32">
        <f t="shared" si="27"/>
        <v>3.3907305898937666E-2</v>
      </c>
      <c r="O97" s="28">
        <f t="shared" si="37"/>
        <v>3353.2767997107667</v>
      </c>
      <c r="P97" s="28">
        <f t="shared" si="28"/>
        <v>113.7005822116037</v>
      </c>
      <c r="Q97" s="29">
        <f t="shared" si="29"/>
        <v>6706.5535994215334</v>
      </c>
      <c r="R97" s="37">
        <f t="shared" si="30"/>
        <v>227.4011644232074</v>
      </c>
      <c r="S97" s="9"/>
      <c r="T97" s="38">
        <f t="shared" si="31"/>
        <v>67.81461179787533</v>
      </c>
      <c r="U97" s="38">
        <f t="shared" si="14"/>
        <v>762.53904888755471</v>
      </c>
      <c r="V97" s="38">
        <f t="shared" si="32"/>
        <v>415.17683034271499</v>
      </c>
      <c r="W97" s="1">
        <f t="shared" si="33"/>
        <v>-0.7017842368138969</v>
      </c>
      <c r="X97" s="1">
        <f t="shared" si="34"/>
        <v>2.3532767997107662</v>
      </c>
      <c r="Y97" s="1">
        <f t="shared" si="35"/>
        <v>0.82574628144843465</v>
      </c>
      <c r="Z97" s="6"/>
      <c r="AA97" s="2"/>
      <c r="AB97" s="2"/>
      <c r="AC97" s="2"/>
    </row>
    <row r="98" spans="6:29">
      <c r="F98" s="5">
        <f t="shared" si="36"/>
        <v>3.227346189071998E-2</v>
      </c>
      <c r="G98" s="4">
        <f t="shared" si="23"/>
        <v>2620906.208158473</v>
      </c>
      <c r="H98" s="3">
        <f t="shared" si="25"/>
        <v>84585.716628153881</v>
      </c>
      <c r="I98">
        <f t="shared" si="26"/>
        <v>221691229832.26187</v>
      </c>
      <c r="J98" s="6"/>
      <c r="K98" s="6"/>
      <c r="L98" s="6"/>
      <c r="M98" s="6"/>
      <c r="N98" s="32">
        <f t="shared" si="27"/>
        <v>3.227346189071998E-2</v>
      </c>
      <c r="O98" s="28">
        <f t="shared" si="37"/>
        <v>3437.1087197035358</v>
      </c>
      <c r="P98" s="28">
        <f t="shared" si="28"/>
        <v>110.9273972796134</v>
      </c>
      <c r="Q98" s="29">
        <f t="shared" si="29"/>
        <v>6874.2174394070717</v>
      </c>
      <c r="R98" s="37">
        <f t="shared" si="30"/>
        <v>221.8547945592268</v>
      </c>
      <c r="S98" s="9"/>
      <c r="T98" s="38">
        <f t="shared" si="31"/>
        <v>64.546923781439958</v>
      </c>
      <c r="U98" s="38">
        <f t="shared" si="14"/>
        <v>762.53904888755471</v>
      </c>
      <c r="V98" s="38">
        <f t="shared" si="32"/>
        <v>413.54298633449736</v>
      </c>
      <c r="W98" s="1">
        <f t="shared" si="33"/>
        <v>-0.7090577920135579</v>
      </c>
      <c r="X98" s="1">
        <f t="shared" si="34"/>
        <v>2.4371087197035344</v>
      </c>
      <c r="Y98" s="1">
        <f t="shared" si="35"/>
        <v>0.86402546384498846</v>
      </c>
      <c r="Z98" s="6"/>
      <c r="AA98" s="2"/>
      <c r="AB98" s="2"/>
      <c r="AC98" s="2"/>
    </row>
    <row r="99" spans="6:29">
      <c r="F99" s="5">
        <f t="shared" si="36"/>
        <v>3.0718345642565117E-2</v>
      </c>
      <c r="G99" s="4">
        <f t="shared" si="23"/>
        <v>2686428.8633624348</v>
      </c>
      <c r="H99" s="3">
        <f t="shared" si="25"/>
        <v>82522.650368930612</v>
      </c>
      <c r="I99">
        <f t="shared" si="26"/>
        <v>221691229832.26187</v>
      </c>
      <c r="J99" s="6"/>
      <c r="K99" s="6"/>
      <c r="L99" s="6"/>
      <c r="M99" s="6"/>
      <c r="N99" s="32">
        <f t="shared" si="27"/>
        <v>3.0718345642565117E-2</v>
      </c>
      <c r="O99" s="28">
        <f t="shared" si="37"/>
        <v>3523.0364376961238</v>
      </c>
      <c r="P99" s="28">
        <f t="shared" si="28"/>
        <v>108.22185100450086</v>
      </c>
      <c r="Q99" s="29">
        <f t="shared" si="29"/>
        <v>7046.0728753922476</v>
      </c>
      <c r="R99" s="37">
        <f t="shared" si="30"/>
        <v>216.44370200900173</v>
      </c>
      <c r="S99" s="9"/>
      <c r="T99" s="38">
        <f t="shared" si="31"/>
        <v>61.43669128513023</v>
      </c>
      <c r="U99" s="38">
        <f t="shared" si="14"/>
        <v>762.53904888755471</v>
      </c>
      <c r="V99" s="38">
        <f t="shared" si="32"/>
        <v>411.98787008634247</v>
      </c>
      <c r="W99" s="1">
        <f t="shared" si="33"/>
        <v>-0.71615394342786132</v>
      </c>
      <c r="X99" s="1">
        <f t="shared" si="34"/>
        <v>2.5230364376961236</v>
      </c>
      <c r="Y99" s="1">
        <f t="shared" si="35"/>
        <v>0.9034412471341311</v>
      </c>
      <c r="Z99" s="6"/>
      <c r="AA99" s="2"/>
      <c r="AB99" s="2"/>
      <c r="AC99" s="2"/>
    </row>
    <row r="100" spans="6:29">
      <c r="F100" s="5">
        <f t="shared" si="36"/>
        <v>2.9238163609818079E-2</v>
      </c>
      <c r="G100" s="4">
        <f t="shared" si="23"/>
        <v>2753589.5849464955</v>
      </c>
      <c r="H100" s="3">
        <f t="shared" si="25"/>
        <v>80509.902798956697</v>
      </c>
      <c r="I100">
        <f t="shared" si="26"/>
        <v>221691229832.26187</v>
      </c>
      <c r="J100" s="6"/>
      <c r="K100" s="6"/>
      <c r="L100" s="6"/>
      <c r="M100" s="6"/>
      <c r="N100" s="32">
        <f t="shared" si="27"/>
        <v>2.9238163609818079E-2</v>
      </c>
      <c r="O100" s="28">
        <f t="shared" si="37"/>
        <v>3611.1123486385268</v>
      </c>
      <c r="P100" s="28">
        <f t="shared" si="28"/>
        <v>105.58229366292767</v>
      </c>
      <c r="Q100" s="29">
        <f t="shared" si="29"/>
        <v>7222.2246972770536</v>
      </c>
      <c r="R100" s="37">
        <f t="shared" si="30"/>
        <v>211.16458732585534</v>
      </c>
      <c r="S100" s="9"/>
      <c r="T100" s="38">
        <f t="shared" si="31"/>
        <v>58.476327219636161</v>
      </c>
      <c r="U100" s="38">
        <f t="shared" si="14"/>
        <v>762.53904888755471</v>
      </c>
      <c r="V100" s="38">
        <f t="shared" si="32"/>
        <v>410.50768805359542</v>
      </c>
      <c r="W100" s="1">
        <f t="shared" si="33"/>
        <v>-0.72307701797840118</v>
      </c>
      <c r="X100" s="1">
        <f t="shared" si="34"/>
        <v>2.6111123486385268</v>
      </c>
      <c r="Y100" s="1">
        <f t="shared" si="35"/>
        <v>0.94401766533006248</v>
      </c>
      <c r="Z100" s="6"/>
      <c r="AA100" s="2"/>
      <c r="AB100" s="2"/>
      <c r="AC100" s="2"/>
    </row>
    <row r="101" spans="6:29">
      <c r="F101" s="5">
        <f t="shared" si="36"/>
        <v>2.7829305042063619E-2</v>
      </c>
      <c r="G101" s="4">
        <f t="shared" si="23"/>
        <v>2822429.3245701576</v>
      </c>
      <c r="H101" s="3">
        <f t="shared" si="25"/>
        <v>78546.246633128496</v>
      </c>
      <c r="I101">
        <f t="shared" si="26"/>
        <v>221691229832.26187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Y101" s="7"/>
      <c r="AA101" s="2"/>
      <c r="AB101" s="2"/>
      <c r="AC101" s="2"/>
    </row>
    <row r="102" spans="6:29">
      <c r="F102" s="5">
        <f t="shared" si="36"/>
        <v>2.6488333175075426E-2</v>
      </c>
      <c r="G102" s="4">
        <f t="shared" si="23"/>
        <v>2892990.0576844113</v>
      </c>
      <c r="H102" s="3">
        <f t="shared" si="25"/>
        <v>76630.484520125363</v>
      </c>
      <c r="I102">
        <f t="shared" si="26"/>
        <v>221691229832.26187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Y102" s="7"/>
      <c r="AA102" s="2"/>
      <c r="AB102" s="2"/>
      <c r="AC102" s="2"/>
    </row>
    <row r="103" spans="6:29">
      <c r="F103" s="5">
        <f t="shared" si="36"/>
        <v>2.5211976847186606E-2</v>
      </c>
      <c r="G103" s="4">
        <f t="shared" si="23"/>
        <v>2965314.8091265215</v>
      </c>
      <c r="H103" s="3">
        <f t="shared" si="25"/>
        <v>74761.448312317429</v>
      </c>
      <c r="I103">
        <f t="shared" si="26"/>
        <v>221691229832.26187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Y103" s="7"/>
      <c r="AA103" s="2"/>
      <c r="AB103" s="2"/>
      <c r="AC103" s="2"/>
    </row>
    <row r="104" spans="6:29">
      <c r="F104" s="5">
        <f t="shared" si="36"/>
        <v>2.3997122519630321E-2</v>
      </c>
      <c r="G104" s="4">
        <f t="shared" si="23"/>
        <v>3039447.6793546844</v>
      </c>
      <c r="H104" s="3">
        <f t="shared" si="25"/>
        <v>72937.99835348042</v>
      </c>
      <c r="I104">
        <f t="shared" si="26"/>
        <v>221691229832.26187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Y104" s="7"/>
      <c r="AA104" s="2"/>
      <c r="AB104" s="2"/>
      <c r="AC104" s="2"/>
    </row>
    <row r="105" spans="6:29">
      <c r="F105" s="5">
        <f t="shared" si="36"/>
        <v>2.2840806681385196E-2</v>
      </c>
      <c r="G105" s="4">
        <f t="shared" si="23"/>
        <v>3115433.8713385514</v>
      </c>
      <c r="H105" s="3">
        <f t="shared" si="25"/>
        <v>71159.022783883338</v>
      </c>
      <c r="I105">
        <f t="shared" si="26"/>
        <v>221691229832.26187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Y105" s="7"/>
      <c r="AA105" s="2"/>
      <c r="AB105" s="2"/>
      <c r="AC105" s="2"/>
    </row>
    <row r="106" spans="6:29">
      <c r="F106" s="5">
        <f t="shared" si="36"/>
        <v>2.1740208619997817E-2</v>
      </c>
      <c r="G106" s="4">
        <f t="shared" si="23"/>
        <v>3193319.7181220148</v>
      </c>
      <c r="H106" s="3">
        <f t="shared" si="25"/>
        <v>69423.436862325223</v>
      </c>
      <c r="I106">
        <f t="shared" si="26"/>
        <v>221691229832.26187</v>
      </c>
      <c r="J106" s="6"/>
      <c r="K106" s="6"/>
      <c r="L106" s="6"/>
      <c r="M106" s="6"/>
      <c r="N106" s="6"/>
      <c r="O106" s="6"/>
      <c r="P106" s="6"/>
      <c r="Q106" s="6"/>
      <c r="R106" s="6"/>
      <c r="S106" s="6"/>
      <c r="Y106" s="7"/>
      <c r="AA106" s="2"/>
      <c r="AB106" s="2"/>
      <c r="AC106" s="2"/>
    </row>
    <row r="107" spans="6:29">
      <c r="F107" s="5">
        <f t="shared" si="36"/>
        <v>2.0692643540747482E-2</v>
      </c>
      <c r="G107" s="4">
        <f t="shared" si="23"/>
        <v>3273152.7110750647</v>
      </c>
      <c r="H107" s="3">
        <f t="shared" si="25"/>
        <v>67730.182304707545</v>
      </c>
      <c r="I107">
        <f t="shared" si="26"/>
        <v>221691229832.26187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Y107" s="7"/>
      <c r="AA107" s="2"/>
      <c r="AB107" s="2"/>
      <c r="AC107" s="2"/>
    </row>
    <row r="108" spans="6:29">
      <c r="F108" s="5">
        <f t="shared" si="36"/>
        <v>1.9695556017368217E-2</v>
      </c>
      <c r="G108" s="4">
        <f t="shared" si="23"/>
        <v>3354981.5288519412</v>
      </c>
      <c r="H108" s="3">
        <f t="shared" si="25"/>
        <v>66078.22663873907</v>
      </c>
      <c r="I108">
        <f t="shared" si="26"/>
        <v>221691229832.26187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Y108" s="7"/>
      <c r="AA108" s="2"/>
      <c r="AB108" s="2"/>
      <c r="AC108" s="2"/>
    </row>
    <row r="109" spans="6:29">
      <c r="F109" s="5">
        <f t="shared" si="36"/>
        <v>1.8746513758351666E-2</v>
      </c>
      <c r="G109" s="4">
        <f t="shared" si="23"/>
        <v>3438856.0670732395</v>
      </c>
      <c r="H109" s="3">
        <f t="shared" si="25"/>
        <v>64466.562574379583</v>
      </c>
      <c r="I109">
        <f t="shared" si="26"/>
        <v>221691229832.26187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Y109" s="7"/>
      <c r="AA109" s="2"/>
      <c r="AB109" s="2"/>
      <c r="AC109" s="2"/>
    </row>
    <row r="110" spans="6:29">
      <c r="F110" s="5">
        <f t="shared" si="36"/>
        <v>1.784320167362443E-2</v>
      </c>
      <c r="G110" s="4">
        <f t="shared" si="23"/>
        <v>3524827.4687500703</v>
      </c>
      <c r="H110" s="3">
        <f t="shared" si="25"/>
        <v>62894.207389638621</v>
      </c>
      <c r="I110">
        <f t="shared" si="26"/>
        <v>221691229832.26187</v>
      </c>
      <c r="J110" s="6"/>
      <c r="K110" s="6"/>
      <c r="L110" s="6"/>
      <c r="M110" s="6"/>
      <c r="N110" s="6"/>
      <c r="O110" s="6"/>
      <c r="P110" s="6"/>
      <c r="Q110" s="6"/>
      <c r="R110" s="6"/>
      <c r="S110" s="6"/>
      <c r="Y110" s="7"/>
      <c r="AA110" s="2"/>
      <c r="AB110" s="2"/>
      <c r="AC110" s="2"/>
    </row>
    <row r="111" spans="6:29">
      <c r="F111" s="5">
        <f t="shared" si="36"/>
        <v>1.698341622712617E-2</v>
      </c>
      <c r="G111" s="4">
        <f t="shared" si="23"/>
        <v>3612948.155468822</v>
      </c>
      <c r="H111" s="3">
        <f t="shared" si="25"/>
        <v>61360.202331354754</v>
      </c>
      <c r="I111">
        <f t="shared" si="26"/>
        <v>221691229832.26187</v>
      </c>
      <c r="J111" s="6"/>
      <c r="K111" s="6"/>
      <c r="L111" s="6"/>
      <c r="M111" s="6"/>
      <c r="N111" s="6"/>
      <c r="O111" s="6"/>
      <c r="P111" s="6"/>
      <c r="Q111" s="6"/>
      <c r="R111" s="6"/>
      <c r="S111" s="6"/>
      <c r="Y111" s="7"/>
      <c r="AA111" s="2"/>
      <c r="AB111" s="2"/>
      <c r="AC111" s="2"/>
    </row>
    <row r="112" spans="6:29">
      <c r="F112" s="5">
        <f t="shared" si="36"/>
        <v>1.616506006151212E-2</v>
      </c>
      <c r="G112" s="4">
        <f t="shared" si="23"/>
        <v>3703271.8593555423</v>
      </c>
      <c r="H112" s="3">
        <f t="shared" si="25"/>
        <v>59863.612030590011</v>
      </c>
      <c r="I112">
        <f t="shared" si="26"/>
        <v>221691229832.26187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Y112" s="7"/>
      <c r="AA112" s="2"/>
      <c r="AB112" s="2"/>
      <c r="AC112" s="2"/>
    </row>
    <row r="113" spans="6:29">
      <c r="F113" s="5">
        <f t="shared" si="36"/>
        <v>1.5386136881867575E-2</v>
      </c>
      <c r="G113" s="4">
        <f t="shared" ref="G113:G176" si="38">G112*(1+$O$1)</f>
        <v>3795853.6558394306</v>
      </c>
      <c r="H113" s="3">
        <f t="shared" si="25"/>
        <v>58403.523932282937</v>
      </c>
      <c r="I113">
        <f t="shared" si="26"/>
        <v>221691229832.26187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Y113" s="7"/>
      <c r="AA113" s="2"/>
      <c r="AB113" s="2"/>
      <c r="AC113" s="2"/>
    </row>
    <row r="114" spans="6:29">
      <c r="F114" s="5">
        <f t="shared" si="36"/>
        <v>1.4644746585953676E-2</v>
      </c>
      <c r="G114" s="4">
        <f t="shared" si="38"/>
        <v>3890749.997235416</v>
      </c>
      <c r="H114" s="3">
        <f t="shared" ref="H114:H177" si="39">I114/G114</f>
        <v>56979.047738812631</v>
      </c>
      <c r="I114">
        <f t="shared" ref="I114:I177" si="40">I113</f>
        <v>221691229832.26187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Y114" s="7"/>
      <c r="AA114" s="2"/>
      <c r="AB114" s="2"/>
      <c r="AC114" s="2"/>
    </row>
    <row r="115" spans="6:29">
      <c r="F115" s="5">
        <f t="shared" si="36"/>
        <v>1.3939080629105226E-2</v>
      </c>
      <c r="G115" s="4">
        <f t="shared" si="38"/>
        <v>3988018.7471663011</v>
      </c>
      <c r="H115" s="3">
        <f t="shared" si="39"/>
        <v>55589.314867134279</v>
      </c>
      <c r="I115">
        <f t="shared" si="40"/>
        <v>221691229832.26187</v>
      </c>
      <c r="J115" s="6"/>
      <c r="K115" s="6"/>
      <c r="L115" s="6"/>
      <c r="M115" s="6"/>
      <c r="N115" s="6"/>
      <c r="O115" s="6"/>
      <c r="P115" s="6"/>
      <c r="Q115" s="6"/>
      <c r="R115" s="6"/>
      <c r="S115" s="6"/>
      <c r="Y115" s="7"/>
      <c r="AA115" s="2"/>
      <c r="AB115" s="2"/>
      <c r="AC115" s="2"/>
    </row>
    <row r="116" spans="6:29">
      <c r="F116" s="5">
        <f t="shared" si="36"/>
        <v>1.3267417612473745E-2</v>
      </c>
      <c r="G116" s="4">
        <f t="shared" si="38"/>
        <v>4087719.2158454582</v>
      </c>
      <c r="H116" s="3">
        <f t="shared" si="39"/>
        <v>54233.477919155397</v>
      </c>
      <c r="I116">
        <f t="shared" si="40"/>
        <v>221691229832.26187</v>
      </c>
      <c r="J116" s="6"/>
      <c r="K116" s="6"/>
      <c r="L116" s="6"/>
      <c r="M116" s="6"/>
      <c r="N116" s="6"/>
      <c r="O116" s="6"/>
      <c r="P116" s="6"/>
      <c r="Q116" s="6"/>
      <c r="R116" s="6"/>
      <c r="S116" s="6"/>
      <c r="Y116" s="7"/>
      <c r="AA116" s="2"/>
      <c r="AB116" s="2"/>
      <c r="AC116" s="2"/>
    </row>
    <row r="117" spans="6:29">
      <c r="F117" s="5">
        <f t="shared" si="36"/>
        <v>1.2628119083853655E-2</v>
      </c>
      <c r="G117" s="4">
        <f t="shared" si="38"/>
        <v>4189912.1962415944</v>
      </c>
      <c r="H117" s="3">
        <f t="shared" si="39"/>
        <v>52910.710165029661</v>
      </c>
      <c r="I117">
        <f t="shared" si="40"/>
        <v>221691229832.26187</v>
      </c>
      <c r="J117" s="6"/>
      <c r="K117" s="6"/>
      <c r="L117" s="6"/>
      <c r="M117" s="6"/>
      <c r="N117" s="6"/>
      <c r="O117" s="6"/>
      <c r="P117" s="6"/>
      <c r="Q117" s="6"/>
      <c r="R117" s="6"/>
      <c r="S117" s="6"/>
      <c r="Y117" s="7"/>
      <c r="AA117" s="2"/>
      <c r="AB117" s="2"/>
      <c r="AC117" s="2"/>
    </row>
    <row r="118" spans="6:29">
      <c r="F118" s="5">
        <f t="shared" si="36"/>
        <v>1.2019625540848218E-2</v>
      </c>
      <c r="G118" s="4">
        <f t="shared" si="38"/>
        <v>4294660.0011476334</v>
      </c>
      <c r="H118" s="3">
        <f t="shared" si="39"/>
        <v>51620.205039053333</v>
      </c>
      <c r="I118">
        <f t="shared" si="40"/>
        <v>221691229832.26187</v>
      </c>
      <c r="J118" s="6"/>
      <c r="K118" s="6"/>
      <c r="L118" s="6"/>
      <c r="M118" s="6"/>
      <c r="N118" s="6"/>
      <c r="O118" s="6"/>
      <c r="P118" s="6"/>
      <c r="Q118" s="6"/>
      <c r="R118" s="6"/>
      <c r="S118" s="6"/>
      <c r="Y118" s="7"/>
      <c r="AA118" s="2"/>
      <c r="AB118" s="2"/>
      <c r="AC118" s="2"/>
    </row>
    <row r="119" spans="6:29">
      <c r="F119" s="5">
        <f t="shared" si="36"/>
        <v>1.1440452626625316E-2</v>
      </c>
      <c r="G119" s="4">
        <f t="shared" si="38"/>
        <v>4402026.5011763237</v>
      </c>
      <c r="H119" s="3">
        <f t="shared" si="39"/>
        <v>50361.175647856922</v>
      </c>
      <c r="I119">
        <f t="shared" si="40"/>
        <v>221691229832.26187</v>
      </c>
      <c r="J119" s="6"/>
      <c r="K119" s="6"/>
      <c r="L119" s="6"/>
      <c r="M119" s="6"/>
      <c r="N119" s="6"/>
      <c r="O119" s="6"/>
      <c r="P119" s="6"/>
      <c r="Q119" s="6"/>
      <c r="R119" s="6"/>
      <c r="S119" s="6"/>
      <c r="Y119" s="7"/>
      <c r="AA119" s="2"/>
      <c r="AB119" s="2"/>
      <c r="AC119" s="2"/>
    </row>
    <row r="120" spans="6:29">
      <c r="F120" s="5">
        <f t="shared" si="36"/>
        <v>1.088918750898305E-2</v>
      </c>
      <c r="G120" s="4">
        <f t="shared" si="38"/>
        <v>4512077.1637057317</v>
      </c>
      <c r="H120" s="3">
        <f t="shared" si="39"/>
        <v>49132.85429059212</v>
      </c>
      <c r="I120">
        <f t="shared" si="40"/>
        <v>221691229832.26187</v>
      </c>
      <c r="J120" s="6"/>
      <c r="K120" s="6"/>
      <c r="L120" s="6"/>
      <c r="M120" s="6"/>
      <c r="N120" s="6"/>
      <c r="O120" s="6"/>
      <c r="P120" s="6"/>
      <c r="Q120" s="6"/>
      <c r="R120" s="6"/>
      <c r="S120" s="6"/>
      <c r="Y120" s="7"/>
      <c r="AA120" s="2"/>
      <c r="AB120" s="2"/>
      <c r="AC120" s="2"/>
    </row>
    <row r="121" spans="6:29">
      <c r="F121" s="5">
        <f t="shared" si="36"/>
        <v>1.0364485433892255E-2</v>
      </c>
      <c r="G121" s="4">
        <f t="shared" si="38"/>
        <v>4624879.0927983746</v>
      </c>
      <c r="H121" s="3">
        <f t="shared" si="39"/>
        <v>47934.491990821582</v>
      </c>
      <c r="I121">
        <f t="shared" si="40"/>
        <v>221691229832.26187</v>
      </c>
      <c r="J121" s="6"/>
      <c r="K121" s="6"/>
      <c r="L121" s="6"/>
      <c r="M121" s="6"/>
      <c r="N121" s="6"/>
      <c r="O121" s="6"/>
      <c r="P121" s="6"/>
      <c r="Q121" s="6"/>
      <c r="R121" s="6"/>
      <c r="S121" s="6"/>
      <c r="Y121" s="7"/>
      <c r="AA121" s="2"/>
      <c r="AB121" s="2"/>
      <c r="AC121" s="2"/>
    </row>
    <row r="122" spans="6:29">
      <c r="F122" s="5">
        <f t="shared" si="36"/>
        <v>9.8650664451086344E-3</v>
      </c>
      <c r="G122" s="4">
        <f t="shared" si="38"/>
        <v>4740501.0701183332</v>
      </c>
      <c r="H122" s="3">
        <f t="shared" si="39"/>
        <v>46765.358039825944</v>
      </c>
      <c r="I122">
        <f t="shared" si="40"/>
        <v>221691229832.26187</v>
      </c>
      <c r="J122" s="6"/>
      <c r="K122" s="6"/>
      <c r="L122" s="6"/>
      <c r="M122" s="6"/>
      <c r="N122" s="6"/>
      <c r="O122" s="6"/>
      <c r="P122" s="6"/>
      <c r="Q122" s="6"/>
      <c r="R122" s="6"/>
      <c r="S122" s="6"/>
      <c r="Y122" s="7"/>
      <c r="AA122" s="2"/>
      <c r="AB122" s="2"/>
      <c r="AC122" s="2"/>
    </row>
    <row r="123" spans="6:29">
      <c r="F123" s="5">
        <f t="shared" si="36"/>
        <v>9.389712261852359E-3</v>
      </c>
      <c r="G123" s="4">
        <f t="shared" si="38"/>
        <v>4859013.5968712913</v>
      </c>
      <c r="H123" s="3">
        <f t="shared" si="39"/>
        <v>45624.739551049701</v>
      </c>
      <c r="I123">
        <f t="shared" si="40"/>
        <v>221691229832.26187</v>
      </c>
      <c r="J123" s="6"/>
      <c r="K123" s="6"/>
      <c r="L123" s="6"/>
      <c r="M123" s="6"/>
      <c r="N123" s="6"/>
      <c r="O123" s="6"/>
      <c r="P123" s="6"/>
      <c r="Q123" s="6"/>
      <c r="R123" s="6"/>
      <c r="S123" s="6"/>
      <c r="Y123" s="7"/>
      <c r="AA123" s="2"/>
      <c r="AB123" s="2"/>
      <c r="AC123" s="2"/>
    </row>
    <row r="124" spans="6:29">
      <c r="F124" s="5">
        <f t="shared" si="36"/>
        <v>8.9372633069385952E-3</v>
      </c>
      <c r="G124" s="4">
        <f t="shared" si="38"/>
        <v>4980488.9367930731</v>
      </c>
      <c r="H124" s="3">
        <f t="shared" si="39"/>
        <v>44511.941025414344</v>
      </c>
      <c r="I124">
        <f t="shared" si="40"/>
        <v>221691229832.26187</v>
      </c>
      <c r="J124" s="6"/>
      <c r="K124" s="6"/>
      <c r="L124" s="6"/>
      <c r="M124" s="6"/>
      <c r="N124" s="6"/>
      <c r="O124" s="6"/>
      <c r="P124" s="6"/>
      <c r="Q124" s="6"/>
      <c r="R124" s="6"/>
      <c r="S124" s="6"/>
      <c r="Y124" s="7"/>
      <c r="AA124" s="2"/>
      <c r="AB124" s="2"/>
      <c r="AC124" s="2"/>
    </row>
    <row r="125" spans="6:29">
      <c r="F125" s="5">
        <f t="shared" si="36"/>
        <v>8.5066158781093113E-3</v>
      </c>
      <c r="G125" s="4">
        <f t="shared" si="38"/>
        <v>5105001.1602128996</v>
      </c>
      <c r="H125" s="3">
        <f t="shared" si="39"/>
        <v>43426.283927233511</v>
      </c>
      <c r="I125">
        <f t="shared" si="40"/>
        <v>221691229832.26187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Y125" s="7"/>
      <c r="AA125" s="2"/>
      <c r="AB125" s="2"/>
      <c r="AC125" s="2"/>
    </row>
    <row r="126" spans="6:29">
      <c r="F126" s="5">
        <f t="shared" si="36"/>
        <v>8.0967194556662136E-3</v>
      </c>
      <c r="G126" s="4">
        <f t="shared" si="38"/>
        <v>5232626.1892182212</v>
      </c>
      <c r="H126" s="3">
        <f t="shared" si="39"/>
        <v>42367.106270471726</v>
      </c>
      <c r="I126">
        <f t="shared" si="40"/>
        <v>221691229832.26187</v>
      </c>
      <c r="J126" s="6"/>
      <c r="K126" s="6"/>
      <c r="L126" s="6"/>
      <c r="M126" s="6"/>
      <c r="N126" s="6"/>
      <c r="O126" s="6"/>
      <c r="P126" s="6"/>
      <c r="Q126" s="6"/>
      <c r="R126" s="6"/>
      <c r="S126" s="6"/>
      <c r="Y126" s="7"/>
      <c r="AA126" s="2"/>
      <c r="AB126" s="2"/>
      <c r="AC126" s="2"/>
    </row>
    <row r="127" spans="6:29">
      <c r="F127" s="5">
        <f t="shared" si="36"/>
        <v>7.7065741398369683E-3</v>
      </c>
      <c r="G127" s="4">
        <f t="shared" si="38"/>
        <v>5363441.8439486763</v>
      </c>
      <c r="H127" s="3">
        <f t="shared" si="39"/>
        <v>41333.762215094372</v>
      </c>
      <c r="I127">
        <f t="shared" si="40"/>
        <v>221691229832.26187</v>
      </c>
      <c r="J127" s="6"/>
      <c r="K127" s="6"/>
      <c r="L127" s="6"/>
      <c r="M127" s="6"/>
      <c r="N127" s="6"/>
      <c r="O127" s="6"/>
      <c r="P127" s="6"/>
      <c r="Q127" s="6"/>
      <c r="R127" s="6"/>
      <c r="S127" s="6"/>
      <c r="Y127" s="7"/>
      <c r="AA127" s="2"/>
      <c r="AB127" s="2"/>
      <c r="AC127" s="2"/>
    </row>
    <row r="128" spans="6:29">
      <c r="F128" s="5">
        <f t="shared" si="36"/>
        <v>7.3352282116235278E-3</v>
      </c>
      <c r="G128" s="4">
        <f t="shared" si="38"/>
        <v>5497527.8900473928</v>
      </c>
      <c r="H128" s="3">
        <f t="shared" si="39"/>
        <v>40325.621673262802</v>
      </c>
      <c r="I128">
        <f t="shared" si="40"/>
        <v>221691229832.26187</v>
      </c>
      <c r="J128" s="6"/>
      <c r="K128" s="6"/>
      <c r="L128" s="6"/>
      <c r="M128" s="6"/>
      <c r="N128" s="6"/>
      <c r="O128" s="6"/>
      <c r="P128" s="6"/>
      <c r="Q128" s="6"/>
      <c r="R128" s="6"/>
      <c r="S128" s="6"/>
      <c r="Y128" s="7"/>
      <c r="AA128" s="2"/>
      <c r="AB128" s="2"/>
      <c r="AC128" s="2"/>
    </row>
    <row r="129" spans="6:29">
      <c r="F129" s="5">
        <f t="shared" si="36"/>
        <v>6.9817758111824198E-3</v>
      </c>
      <c r="G129" s="4">
        <f t="shared" si="38"/>
        <v>5634966.0872985767</v>
      </c>
      <c r="H129" s="3">
        <f t="shared" si="39"/>
        <v>39342.069925134449</v>
      </c>
      <c r="I129">
        <f t="shared" si="40"/>
        <v>221691229832.26187</v>
      </c>
      <c r="J129" s="6"/>
      <c r="K129" s="6"/>
      <c r="L129" s="6"/>
      <c r="M129" s="6"/>
      <c r="N129" s="6"/>
      <c r="O129" s="6"/>
      <c r="P129" s="6"/>
      <c r="Q129" s="6"/>
      <c r="R129" s="6"/>
      <c r="S129" s="6"/>
      <c r="Y129" s="7"/>
      <c r="AA129" s="2"/>
      <c r="AB129" s="2"/>
      <c r="AC129" s="2"/>
    </row>
    <row r="130" spans="6:29">
      <c r="F130" s="5">
        <f t="shared" si="36"/>
        <v>6.6453547280736916E-3</v>
      </c>
      <c r="G130" s="4">
        <f t="shared" si="38"/>
        <v>5775840.2394810403</v>
      </c>
      <c r="H130" s="3">
        <f t="shared" si="39"/>
        <v>38382.507244033615</v>
      </c>
      <c r="I130">
        <f t="shared" si="40"/>
        <v>221691229832.26187</v>
      </c>
      <c r="J130" s="6"/>
      <c r="K130" s="6"/>
      <c r="L130" s="6"/>
      <c r="M130" s="6"/>
      <c r="N130" s="6"/>
      <c r="O130" s="6"/>
      <c r="P130" s="6"/>
      <c r="Q130" s="6"/>
      <c r="R130" s="6"/>
      <c r="S130" s="6"/>
      <c r="Y130" s="7"/>
      <c r="AA130" s="2"/>
      <c r="AB130" s="2"/>
      <c r="AC130" s="2"/>
    </row>
    <row r="131" spans="6:29">
      <c r="F131" s="5">
        <f t="shared" si="36"/>
        <v>6.325144297988047E-3</v>
      </c>
      <c r="G131" s="4">
        <f t="shared" si="38"/>
        <v>5920236.2454680661</v>
      </c>
      <c r="H131" s="3">
        <f t="shared" si="39"/>
        <v>37446.348530764502</v>
      </c>
      <c r="I131">
        <f t="shared" si="40"/>
        <v>221691229832.26187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Y131" s="7"/>
      <c r="AA131" s="2"/>
      <c r="AB131" s="2"/>
      <c r="AC131" s="2"/>
    </row>
    <row r="132" spans="6:29">
      <c r="F132" s="5">
        <f t="shared" si="36"/>
        <v>6.0203634008214619E-3</v>
      </c>
      <c r="G132" s="4">
        <f t="shared" si="38"/>
        <v>6068242.151604767</v>
      </c>
      <c r="H132" s="3">
        <f t="shared" si="39"/>
        <v>36533.022956843422</v>
      </c>
      <c r="I132">
        <f t="shared" si="40"/>
        <v>221691229832.26187</v>
      </c>
      <c r="J132" s="6"/>
      <c r="K132" s="6"/>
      <c r="L132" s="6"/>
      <c r="M132" s="6"/>
      <c r="N132" s="6"/>
      <c r="O132" s="6"/>
      <c r="P132" s="6"/>
      <c r="Q132" s="6"/>
      <c r="R132" s="6"/>
      <c r="S132" s="6"/>
      <c r="Y132" s="7"/>
      <c r="AA132" s="2"/>
      <c r="AB132" s="2"/>
      <c r="AC132" s="2"/>
    </row>
    <row r="133" spans="6:29">
      <c r="F133" s="5">
        <f t="shared" si="36"/>
        <v>5.7302685552137666E-3</v>
      </c>
      <c r="G133" s="4">
        <f t="shared" si="38"/>
        <v>6219948.2053948855</v>
      </c>
      <c r="H133" s="3">
        <f t="shared" si="39"/>
        <v>35641.97361643261</v>
      </c>
      <c r="I133">
        <f t="shared" si="40"/>
        <v>221691229832.26187</v>
      </c>
      <c r="J133" s="6"/>
      <c r="K133" s="6"/>
      <c r="L133" s="6"/>
      <c r="M133" s="6"/>
      <c r="N133" s="6"/>
      <c r="O133" s="6"/>
      <c r="P133" s="6"/>
      <c r="Q133" s="6"/>
      <c r="R133" s="6"/>
      <c r="S133" s="6"/>
      <c r="Y133" s="7"/>
      <c r="AA133" s="2"/>
      <c r="AB133" s="2"/>
      <c r="AC133" s="2"/>
    </row>
    <row r="134" spans="6:29">
      <c r="F134" s="5">
        <f t="shared" si="36"/>
        <v>5.454152104903051E-3</v>
      </c>
      <c r="G134" s="4">
        <f t="shared" si="38"/>
        <v>6375446.9105297569</v>
      </c>
      <c r="H134" s="3">
        <f t="shared" si="39"/>
        <v>34772.657186763528</v>
      </c>
      <c r="I134">
        <f t="shared" si="40"/>
        <v>221691229832.26187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Y134" s="7"/>
      <c r="AA134" s="2"/>
      <c r="AB134" s="2"/>
      <c r="AC134" s="2"/>
    </row>
    <row r="135" spans="6:29">
      <c r="F135" s="5">
        <f t="shared" si="36"/>
        <v>5.1913404924716728E-3</v>
      </c>
      <c r="G135" s="4">
        <f t="shared" si="38"/>
        <v>6534833.0832930002</v>
      </c>
      <c r="H135" s="3">
        <f t="shared" si="39"/>
        <v>33924.543596842464</v>
      </c>
      <c r="I135">
        <f t="shared" si="40"/>
        <v>221691229832.26187</v>
      </c>
      <c r="J135" s="6"/>
      <c r="K135" s="6"/>
      <c r="L135" s="6"/>
      <c r="M135" s="6"/>
      <c r="N135" s="6"/>
      <c r="O135" s="6"/>
      <c r="P135" s="6"/>
      <c r="Q135" s="6"/>
      <c r="R135" s="6"/>
      <c r="S135" s="6"/>
      <c r="Y135" s="7"/>
      <c r="AA135" s="2"/>
      <c r="AB135" s="2"/>
      <c r="AC135" s="2"/>
    </row>
    <row r="136" spans="6:29">
      <c r="F136" s="5">
        <f t="shared" si="36"/>
        <v>4.9411926162728596E-3</v>
      </c>
      <c r="G136" s="4">
        <f t="shared" si="38"/>
        <v>6698203.910375325</v>
      </c>
      <c r="H136" s="3">
        <f t="shared" si="39"/>
        <v>33097.115704236552</v>
      </c>
      <c r="I136">
        <f t="shared" si="40"/>
        <v>221691229832.26187</v>
      </c>
      <c r="J136" s="6"/>
      <c r="K136" s="6"/>
      <c r="L136" s="6"/>
      <c r="M136" s="6"/>
      <c r="N136" s="6"/>
      <c r="O136" s="6"/>
      <c r="P136" s="6"/>
      <c r="Q136" s="6"/>
      <c r="R136" s="6"/>
      <c r="S136" s="6"/>
      <c r="Y136" s="7"/>
      <c r="AA136" s="2"/>
      <c r="AB136" s="2"/>
      <c r="AC136" s="2"/>
    </row>
    <row r="137" spans="6:29">
      <c r="F137" s="5">
        <f t="shared" ref="F137:F200" si="41">H137/G137</f>
        <v>4.7030982665297906E-3</v>
      </c>
      <c r="G137" s="4">
        <f t="shared" si="38"/>
        <v>6865659.0081347078</v>
      </c>
      <c r="H137" s="3">
        <f t="shared" si="39"/>
        <v>32289.868979742983</v>
      </c>
      <c r="I137">
        <f t="shared" si="40"/>
        <v>221691229832.26187</v>
      </c>
      <c r="J137" s="6"/>
      <c r="K137" s="6"/>
      <c r="L137" s="6"/>
      <c r="M137" s="6"/>
      <c r="N137" s="6"/>
      <c r="O137" s="6"/>
      <c r="P137" s="6"/>
      <c r="Q137" s="6"/>
      <c r="R137" s="6"/>
      <c r="S137" s="6"/>
      <c r="Y137" s="7"/>
      <c r="AA137" s="2"/>
      <c r="AB137" s="2"/>
      <c r="AC137" s="2"/>
    </row>
    <row r="138" spans="6:29">
      <c r="F138" s="5">
        <f t="shared" si="41"/>
        <v>4.4764766367921868E-3</v>
      </c>
      <c r="G138" s="4">
        <f t="shared" si="38"/>
        <v>7037300.4833380748</v>
      </c>
      <c r="H138" s="3">
        <f t="shared" si="39"/>
        <v>31502.311199749252</v>
      </c>
      <c r="I138">
        <f t="shared" si="40"/>
        <v>221691229832.26187</v>
      </c>
      <c r="J138" s="6"/>
      <c r="K138" s="6"/>
      <c r="L138" s="6"/>
      <c r="M138" s="6"/>
      <c r="N138" s="6"/>
      <c r="O138" s="6"/>
      <c r="P138" s="6"/>
      <c r="Q138" s="6"/>
      <c r="R138" s="6"/>
      <c r="S138" s="6"/>
      <c r="Y138" s="7"/>
      <c r="AA138" s="2"/>
      <c r="AB138" s="2"/>
      <c r="AC138" s="2"/>
    </row>
    <row r="139" spans="6:29">
      <c r="F139" s="5">
        <f t="shared" si="41"/>
        <v>4.260774907119274E-3</v>
      </c>
      <c r="G139" s="4">
        <f t="shared" si="38"/>
        <v>7213232.995421526</v>
      </c>
      <c r="H139" s="3">
        <f t="shared" si="39"/>
        <v>30733.962146096837</v>
      </c>
      <c r="I139">
        <f t="shared" si="40"/>
        <v>221691229832.26187</v>
      </c>
      <c r="J139" s="6"/>
      <c r="K139" s="6"/>
      <c r="L139" s="6"/>
      <c r="M139" s="6"/>
      <c r="N139" s="6"/>
      <c r="O139" s="6"/>
      <c r="P139" s="6"/>
      <c r="Q139" s="6"/>
      <c r="R139" s="6"/>
      <c r="S139" s="6"/>
      <c r="Y139" s="7"/>
      <c r="AA139" s="2"/>
      <c r="AB139" s="2"/>
      <c r="AC139" s="2"/>
    </row>
    <row r="140" spans="6:29">
      <c r="F140" s="5">
        <f t="shared" si="41"/>
        <v>4.0554668955329201E-3</v>
      </c>
      <c r="G140" s="4">
        <f t="shared" si="38"/>
        <v>7393563.8203070639</v>
      </c>
      <c r="H140" s="3">
        <f t="shared" si="39"/>
        <v>29984.353313265208</v>
      </c>
      <c r="I140">
        <f t="shared" si="40"/>
        <v>221691229832.26187</v>
      </c>
      <c r="J140" s="6"/>
      <c r="K140" s="6"/>
      <c r="L140" s="6"/>
      <c r="M140" s="6"/>
      <c r="N140" s="6"/>
      <c r="O140" s="6"/>
      <c r="P140" s="6"/>
      <c r="Q140" s="6"/>
      <c r="R140" s="6"/>
      <c r="S140" s="6"/>
      <c r="Y140" s="7"/>
      <c r="AA140" s="2"/>
      <c r="AB140" s="2"/>
      <c r="AC140" s="2"/>
    </row>
    <row r="141" spans="6:29">
      <c r="F141" s="5">
        <f t="shared" si="41"/>
        <v>3.8600517744513231E-3</v>
      </c>
      <c r="G141" s="4">
        <f t="shared" si="38"/>
        <v>7578402.9158147397</v>
      </c>
      <c r="H141" s="3">
        <f t="shared" si="39"/>
        <v>29253.027622697766</v>
      </c>
      <c r="I141">
        <f t="shared" si="40"/>
        <v>221691229832.26187</v>
      </c>
      <c r="J141" s="6"/>
      <c r="K141" s="6"/>
      <c r="L141" s="6"/>
      <c r="M141" s="6"/>
      <c r="N141" s="6"/>
      <c r="O141" s="6"/>
      <c r="P141" s="6"/>
      <c r="Q141" s="6"/>
      <c r="R141" s="6"/>
      <c r="S141" s="6"/>
      <c r="Y141" s="7"/>
      <c r="AA141" s="2"/>
      <c r="AB141" s="2"/>
      <c r="AC141" s="2"/>
    </row>
    <row r="142" spans="6:29">
      <c r="F142" s="5">
        <f t="shared" si="41"/>
        <v>3.6740528489721111E-3</v>
      </c>
      <c r="G142" s="4">
        <f t="shared" si="38"/>
        <v>7767862.9887101073</v>
      </c>
      <c r="H142" s="3">
        <f t="shared" si="39"/>
        <v>28539.539144095386</v>
      </c>
      <c r="I142">
        <f t="shared" si="40"/>
        <v>221691229832.26187</v>
      </c>
      <c r="J142" s="6"/>
      <c r="K142" s="6"/>
      <c r="L142" s="6"/>
      <c r="M142" s="6"/>
      <c r="N142" s="6"/>
      <c r="O142" s="6"/>
      <c r="P142" s="6"/>
      <c r="Q142" s="6"/>
      <c r="R142" s="6"/>
      <c r="S142" s="6"/>
      <c r="Y142" s="7"/>
      <c r="AA142" s="2"/>
      <c r="AB142" s="2"/>
      <c r="AC142" s="2"/>
    </row>
    <row r="143" spans="6:29">
      <c r="F143" s="5">
        <f t="shared" si="41"/>
        <v>3.4970163940246154E-3</v>
      </c>
      <c r="G143" s="4">
        <f t="shared" si="38"/>
        <v>7962059.563427859</v>
      </c>
      <c r="H143" s="3">
        <f t="shared" si="39"/>
        <v>27843.452823507694</v>
      </c>
      <c r="I143">
        <f t="shared" si="40"/>
        <v>221691229832.26187</v>
      </c>
      <c r="J143" s="6"/>
      <c r="K143" s="6"/>
      <c r="L143" s="6"/>
      <c r="M143" s="6"/>
      <c r="N143" s="6"/>
      <c r="O143" s="6"/>
      <c r="P143" s="6"/>
      <c r="Q143" s="6"/>
      <c r="R143" s="6"/>
      <c r="S143" s="6"/>
      <c r="Y143" s="7"/>
      <c r="AA143" s="2"/>
      <c r="AB143" s="2"/>
      <c r="AC143" s="2"/>
    </row>
    <row r="144" spans="6:29">
      <c r="F144" s="5">
        <f t="shared" si="41"/>
        <v>3.3285105475546616E-3</v>
      </c>
      <c r="G144" s="4">
        <f t="shared" si="38"/>
        <v>8161111.0525135547</v>
      </c>
      <c r="H144" s="3">
        <f t="shared" si="39"/>
        <v>27164.344218056292</v>
      </c>
      <c r="I144">
        <f t="shared" si="40"/>
        <v>221691229832.26187</v>
      </c>
      <c r="J144" s="6"/>
      <c r="K144" s="6"/>
      <c r="L144" s="6"/>
      <c r="M144" s="6"/>
      <c r="N144" s="6"/>
      <c r="O144" s="6"/>
      <c r="P144" s="6"/>
      <c r="Q144" s="6"/>
      <c r="R144" s="6"/>
      <c r="S144" s="6"/>
      <c r="Y144" s="7"/>
      <c r="AA144" s="2"/>
      <c r="AB144" s="2"/>
      <c r="AC144" s="2"/>
    </row>
    <row r="145" spans="6:29">
      <c r="F145" s="5">
        <f t="shared" si="41"/>
        <v>3.1681242570419147E-3</v>
      </c>
      <c r="G145" s="4">
        <f t="shared" si="38"/>
        <v>8365138.828826393</v>
      </c>
      <c r="H145" s="3">
        <f t="shared" si="39"/>
        <v>26501.799237128089</v>
      </c>
      <c r="I145">
        <f t="shared" si="40"/>
        <v>221691229832.26187</v>
      </c>
      <c r="J145" s="6"/>
      <c r="K145" s="6"/>
      <c r="L145" s="6"/>
      <c r="M145" s="6"/>
      <c r="N145" s="6"/>
      <c r="O145" s="6"/>
      <c r="P145" s="6"/>
      <c r="Q145" s="6"/>
      <c r="R145" s="6"/>
      <c r="S145" s="6"/>
      <c r="Y145" s="7"/>
      <c r="AA145" s="2"/>
      <c r="AB145" s="2"/>
      <c r="AC145" s="2"/>
    </row>
    <row r="146" spans="6:29">
      <c r="F146" s="5">
        <f t="shared" si="41"/>
        <v>3.0154662767799315E-3</v>
      </c>
      <c r="G146" s="4">
        <f t="shared" si="38"/>
        <v>8574267.299547052</v>
      </c>
      <c r="H146" s="3">
        <f t="shared" si="39"/>
        <v>25855.413889881067</v>
      </c>
      <c r="I146">
        <f t="shared" si="40"/>
        <v>221691229832.26187</v>
      </c>
      <c r="J146" s="6"/>
      <c r="K146" s="6"/>
      <c r="L146" s="6"/>
      <c r="M146" s="6"/>
      <c r="N146" s="6"/>
      <c r="O146" s="6"/>
      <c r="P146" s="6"/>
      <c r="Q146" s="6"/>
      <c r="R146" s="6"/>
      <c r="S146" s="6"/>
      <c r="Y146" s="7"/>
      <c r="AA146" s="2"/>
      <c r="AB146" s="2"/>
      <c r="AC146" s="2"/>
    </row>
    <row r="147" spans="6:29">
      <c r="F147" s="5">
        <f t="shared" si="41"/>
        <v>2.870164213472868E-3</v>
      </c>
      <c r="G147" s="4">
        <f t="shared" si="38"/>
        <v>8788623.9820357282</v>
      </c>
      <c r="H147" s="3">
        <f t="shared" si="39"/>
        <v>25224.79403890836</v>
      </c>
      <c r="I147">
        <f t="shared" si="40"/>
        <v>221691229832.26187</v>
      </c>
      <c r="J147" s="6"/>
      <c r="K147" s="6"/>
      <c r="L147" s="6"/>
      <c r="M147" s="6"/>
      <c r="N147" s="6"/>
      <c r="O147" s="6"/>
      <c r="P147" s="6"/>
      <c r="Q147" s="6"/>
      <c r="R147" s="6"/>
      <c r="S147" s="6"/>
      <c r="Y147" s="7"/>
      <c r="AA147" s="2"/>
      <c r="AB147" s="2"/>
      <c r="AC147" s="2"/>
    </row>
    <row r="148" spans="6:29">
      <c r="F148" s="5">
        <f t="shared" si="41"/>
        <v>2.7318636178206958E-3</v>
      </c>
      <c r="G148" s="4">
        <f t="shared" si="38"/>
        <v>9008339.5815866198</v>
      </c>
      <c r="H148" s="3">
        <f t="shared" si="39"/>
        <v>24609.555159910597</v>
      </c>
      <c r="I148">
        <f t="shared" si="40"/>
        <v>221691229832.26187</v>
      </c>
      <c r="J148" s="6"/>
      <c r="K148" s="6"/>
      <c r="L148" s="6"/>
      <c r="M148" s="6"/>
      <c r="N148" s="6"/>
      <c r="O148" s="6"/>
      <c r="P148" s="6"/>
      <c r="Q148" s="6"/>
      <c r="R148" s="6"/>
      <c r="S148" s="6"/>
      <c r="Y148" s="7"/>
      <c r="AA148" s="2"/>
      <c r="AB148" s="2"/>
      <c r="AC148" s="2"/>
    </row>
    <row r="149" spans="6:29">
      <c r="F149" s="5">
        <f t="shared" si="41"/>
        <v>2.6002271198769271E-3</v>
      </c>
      <c r="G149" s="4">
        <f t="shared" si="38"/>
        <v>9233548.0711262841</v>
      </c>
      <c r="H149" s="3">
        <f t="shared" si="39"/>
        <v>24009.322107229855</v>
      </c>
      <c r="I149">
        <f t="shared" si="40"/>
        <v>221691229832.26187</v>
      </c>
      <c r="J149" s="6"/>
      <c r="K149" s="6"/>
      <c r="L149" s="6"/>
      <c r="M149" s="6"/>
      <c r="N149" s="6"/>
      <c r="O149" s="6"/>
      <c r="P149" s="6"/>
      <c r="Q149" s="6"/>
      <c r="R149" s="6"/>
      <c r="S149" s="6"/>
      <c r="Y149" s="7"/>
      <c r="AA149" s="2"/>
      <c r="AB149" s="2"/>
      <c r="AC149" s="2"/>
    </row>
    <row r="150" spans="6:29">
      <c r="F150" s="5">
        <f t="shared" si="41"/>
        <v>2.4749336060696514E-3</v>
      </c>
      <c r="G150" s="4">
        <f t="shared" si="38"/>
        <v>9464386.7729044408</v>
      </c>
      <c r="H150" s="3">
        <f t="shared" si="39"/>
        <v>23423.728885102297</v>
      </c>
      <c r="I150">
        <f t="shared" si="40"/>
        <v>221691229832.26187</v>
      </c>
      <c r="J150" s="6"/>
      <c r="K150" s="6"/>
      <c r="L150" s="6"/>
      <c r="M150" s="6"/>
      <c r="N150" s="6"/>
      <c r="O150" s="6"/>
      <c r="P150" s="6"/>
      <c r="Q150" s="6"/>
      <c r="R150" s="6"/>
      <c r="S150" s="6"/>
      <c r="Y150" s="7"/>
      <c r="AA150" s="2"/>
      <c r="AB150" s="2"/>
      <c r="AC150" s="2"/>
    </row>
    <row r="151" spans="6:29">
      <c r="F151" s="5">
        <f t="shared" si="41"/>
        <v>2.3556774358783122E-3</v>
      </c>
      <c r="G151" s="4">
        <f t="shared" si="38"/>
        <v>9700996.4422270507</v>
      </c>
      <c r="H151" s="3">
        <f t="shared" si="39"/>
        <v>22852.41842449005</v>
      </c>
      <c r="I151">
        <f t="shared" si="40"/>
        <v>221691229832.26187</v>
      </c>
      <c r="J151" s="6"/>
      <c r="K151" s="6"/>
      <c r="L151" s="6"/>
      <c r="M151" s="6"/>
      <c r="N151" s="6"/>
      <c r="O151" s="6"/>
      <c r="P151" s="6"/>
      <c r="Q151" s="6"/>
      <c r="R151" s="6"/>
      <c r="S151" s="6"/>
      <c r="Y151" s="7"/>
      <c r="AA151" s="2"/>
      <c r="AB151" s="2"/>
      <c r="AC151" s="2"/>
    </row>
    <row r="152" spans="6:29">
      <c r="F152" s="5">
        <f t="shared" si="41"/>
        <v>2.2421676962553843E-3</v>
      </c>
      <c r="G152" s="4">
        <f t="shared" si="38"/>
        <v>9943521.3532827254</v>
      </c>
      <c r="H152" s="3">
        <f t="shared" si="39"/>
        <v>22295.042365356148</v>
      </c>
      <c r="I152">
        <f t="shared" si="40"/>
        <v>221691229832.26187</v>
      </c>
      <c r="J152" s="6"/>
      <c r="K152" s="6"/>
      <c r="L152" s="6"/>
      <c r="M152" s="6"/>
      <c r="N152" s="6"/>
      <c r="O152" s="6"/>
      <c r="P152" s="6"/>
      <c r="Q152" s="6"/>
      <c r="R152" s="6"/>
      <c r="S152" s="6"/>
      <c r="Y152" s="7"/>
      <c r="AA152" s="2"/>
      <c r="AB152" s="2"/>
      <c r="AC152" s="2"/>
    </row>
    <row r="153" spans="6:29">
      <c r="F153" s="5">
        <f t="shared" si="41"/>
        <v>2.134127491974191E-3</v>
      </c>
      <c r="G153" s="4">
        <f t="shared" si="38"/>
        <v>10192109.387114793</v>
      </c>
      <c r="H153" s="3">
        <f t="shared" si="39"/>
        <v>21751.260844249904</v>
      </c>
      <c r="I153">
        <f t="shared" si="40"/>
        <v>221691229832.26187</v>
      </c>
      <c r="J153" s="6"/>
      <c r="K153" s="6"/>
      <c r="L153" s="6"/>
      <c r="M153" s="6"/>
      <c r="N153" s="6"/>
      <c r="O153" s="6"/>
      <c r="P153" s="6"/>
      <c r="Q153" s="6"/>
      <c r="R153" s="6"/>
      <c r="S153" s="6"/>
      <c r="Y153" s="7"/>
      <c r="AA153" s="2"/>
      <c r="AB153" s="2"/>
      <c r="AC153" s="2"/>
    </row>
    <row r="154" spans="6:29">
      <c r="F154" s="5">
        <f t="shared" si="41"/>
        <v>2.0312932701717465E-3</v>
      </c>
      <c r="G154" s="4">
        <f t="shared" si="38"/>
        <v>10446912.121792663</v>
      </c>
      <c r="H154" s="3">
        <f t="shared" si="39"/>
        <v>21220.742287073077</v>
      </c>
      <c r="I154">
        <f t="shared" si="40"/>
        <v>221691229832.26187</v>
      </c>
      <c r="J154" s="6"/>
      <c r="K154" s="6"/>
      <c r="L154" s="6"/>
      <c r="M154" s="6"/>
      <c r="N154" s="6"/>
      <c r="O154" s="6"/>
      <c r="P154" s="6"/>
      <c r="Q154" s="6"/>
      <c r="R154" s="6"/>
      <c r="S154" s="6"/>
      <c r="Y154" s="7"/>
      <c r="AA154" s="2"/>
      <c r="AB154" s="2"/>
      <c r="AC154" s="2"/>
    </row>
    <row r="155" spans="6:29">
      <c r="F155" s="5">
        <f t="shared" si="41"/>
        <v>1.9334141774389019E-3</v>
      </c>
      <c r="G155" s="4">
        <f t="shared" si="38"/>
        <v>10708084.924837479</v>
      </c>
      <c r="H155" s="3">
        <f t="shared" si="39"/>
        <v>20703.163206900561</v>
      </c>
      <c r="I155">
        <f t="shared" si="40"/>
        <v>221691229832.26187</v>
      </c>
      <c r="J155" s="6"/>
      <c r="K155" s="6"/>
      <c r="L155" s="6"/>
      <c r="M155" s="6"/>
      <c r="N155" s="6"/>
      <c r="O155" s="6"/>
      <c r="P155" s="6"/>
      <c r="Q155" s="6"/>
      <c r="R155" s="6"/>
      <c r="S155" s="6"/>
      <c r="Y155" s="7"/>
      <c r="AA155" s="2"/>
      <c r="AB155" s="2"/>
      <c r="AC155" s="2"/>
    </row>
    <row r="156" spans="6:29">
      <c r="F156" s="5">
        <f t="shared" si="41"/>
        <v>1.8402514478894965E-3</v>
      </c>
      <c r="G156" s="4">
        <f t="shared" si="38"/>
        <v>10975787.047958415</v>
      </c>
      <c r="H156" s="3">
        <f t="shared" si="39"/>
        <v>20198.208006732257</v>
      </c>
      <c r="I156">
        <f t="shared" si="40"/>
        <v>221691229832.26187</v>
      </c>
      <c r="J156" s="6"/>
      <c r="K156" s="6"/>
      <c r="L156" s="6"/>
      <c r="M156" s="6"/>
      <c r="N156" s="6"/>
      <c r="O156" s="6"/>
      <c r="P156" s="6"/>
      <c r="Q156" s="6"/>
      <c r="R156" s="6"/>
      <c r="S156" s="6"/>
      <c r="Y156" s="7"/>
      <c r="AA156" s="2"/>
      <c r="AB156" s="2"/>
      <c r="AC156" s="2"/>
    </row>
    <row r="157" spans="6:29">
      <c r="F157" s="5">
        <f t="shared" si="41"/>
        <v>1.7515778207157617E-3</v>
      </c>
      <c r="G157" s="4">
        <f t="shared" si="38"/>
        <v>11250181.724157374</v>
      </c>
      <c r="H157" s="3">
        <f t="shared" si="39"/>
        <v>19705.568787055865</v>
      </c>
      <c r="I157">
        <f t="shared" si="40"/>
        <v>221691229832.26187</v>
      </c>
      <c r="J157" s="6"/>
      <c r="K157" s="6"/>
      <c r="L157" s="6"/>
      <c r="M157" s="6"/>
      <c r="N157" s="6"/>
      <c r="O157" s="6"/>
      <c r="P157" s="6"/>
      <c r="Q157" s="6"/>
      <c r="R157" s="6"/>
      <c r="S157" s="6"/>
      <c r="Y157" s="7"/>
      <c r="AA157" s="2"/>
      <c r="AB157" s="2"/>
      <c r="AC157" s="2"/>
    </row>
    <row r="158" spans="6:29">
      <c r="F158" s="5">
        <f t="shared" si="41"/>
        <v>1.6671769858091726E-3</v>
      </c>
      <c r="G158" s="4">
        <f t="shared" si="38"/>
        <v>11531436.267261308</v>
      </c>
      <c r="H158" s="3">
        <f t="shared" si="39"/>
        <v>19224.945158103284</v>
      </c>
      <c r="I158">
        <f t="shared" si="40"/>
        <v>221691229832.26187</v>
      </c>
      <c r="J158" s="6"/>
      <c r="K158" s="6"/>
      <c r="L158" s="6"/>
      <c r="M158" s="6"/>
      <c r="N158" s="6"/>
      <c r="O158" s="6"/>
      <c r="P158" s="6"/>
      <c r="Q158" s="6"/>
      <c r="R158" s="6"/>
      <c r="S158" s="6"/>
      <c r="Y158" s="7"/>
      <c r="AA158" s="2"/>
      <c r="AB158" s="2"/>
      <c r="AC158" s="2"/>
    </row>
    <row r="159" spans="6:29">
      <c r="F159" s="5">
        <f t="shared" si="41"/>
        <v>1.586843056094394E-3</v>
      </c>
      <c r="G159" s="4">
        <f t="shared" si="38"/>
        <v>11819722.17394284</v>
      </c>
      <c r="H159" s="3">
        <f t="shared" si="39"/>
        <v>18756.044056686129</v>
      </c>
      <c r="I159">
        <f t="shared" si="40"/>
        <v>221691229832.26187</v>
      </c>
      <c r="J159" s="6"/>
      <c r="K159" s="6"/>
      <c r="L159" s="6"/>
      <c r="M159" s="6"/>
      <c r="N159" s="6"/>
      <c r="O159" s="6"/>
      <c r="P159" s="6"/>
      <c r="Q159" s="6"/>
      <c r="R159" s="6"/>
      <c r="S159" s="6"/>
      <c r="Y159" s="7"/>
      <c r="AA159" s="2"/>
      <c r="AB159" s="2"/>
      <c r="AC159" s="2"/>
    </row>
    <row r="160" spans="6:29">
      <c r="F160" s="5">
        <f t="shared" si="41"/>
        <v>1.5103800652891321E-3</v>
      </c>
      <c r="G160" s="4">
        <f t="shared" si="38"/>
        <v>12115215.228291409</v>
      </c>
      <c r="H160" s="3">
        <f t="shared" si="39"/>
        <v>18298.579567498666</v>
      </c>
      <c r="I160">
        <f t="shared" si="40"/>
        <v>221691229832.26187</v>
      </c>
      <c r="J160" s="6"/>
      <c r="K160" s="6"/>
      <c r="L160" s="6"/>
      <c r="M160" s="6"/>
      <c r="N160" s="6"/>
      <c r="O160" s="6"/>
      <c r="P160" s="6"/>
      <c r="Q160" s="6"/>
      <c r="R160" s="6"/>
      <c r="S160" s="6"/>
      <c r="Y160" s="7"/>
      <c r="AA160" s="2"/>
      <c r="AB160" s="2"/>
      <c r="AC160" s="2"/>
    </row>
    <row r="161" spans="6:29">
      <c r="F161" s="5">
        <f t="shared" si="41"/>
        <v>1.4376014898647305E-3</v>
      </c>
      <c r="G161" s="4">
        <f t="shared" si="38"/>
        <v>12418095.608998694</v>
      </c>
      <c r="H161" s="3">
        <f t="shared" si="39"/>
        <v>17852.272748779189</v>
      </c>
      <c r="I161">
        <f t="shared" si="40"/>
        <v>221691229832.26187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Y161" s="7"/>
      <c r="AA161" s="2"/>
      <c r="AB161" s="2"/>
      <c r="AC161" s="2"/>
    </row>
    <row r="162" spans="6:29">
      <c r="F162" s="5">
        <f t="shared" si="41"/>
        <v>1.3683297940413853E-3</v>
      </c>
      <c r="G162" s="4">
        <f t="shared" si="38"/>
        <v>12728547.999223661</v>
      </c>
      <c r="H162" s="3">
        <f t="shared" si="39"/>
        <v>17416.8514622236</v>
      </c>
      <c r="I162">
        <f t="shared" si="40"/>
        <v>221691229832.26187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Y162" s="7"/>
      <c r="AA162" s="2"/>
      <c r="AB162" s="2"/>
      <c r="AC162" s="2"/>
    </row>
    <row r="163" spans="6:29">
      <c r="F163" s="5">
        <f t="shared" si="41"/>
        <v>1.302395996708041E-3</v>
      </c>
      <c r="G163" s="4">
        <f t="shared" si="38"/>
        <v>13046761.699204251</v>
      </c>
      <c r="H163" s="3">
        <f t="shared" si="39"/>
        <v>16992.050207047414</v>
      </c>
      <c r="I163">
        <f t="shared" si="40"/>
        <v>221691229832.26187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Y163" s="7"/>
      <c r="AA163" s="2"/>
      <c r="AB163" s="2"/>
      <c r="AC163" s="2"/>
    </row>
    <row r="164" spans="6:29">
      <c r="F164" s="5">
        <f t="shared" si="41"/>
        <v>1.239639259210509E-3</v>
      </c>
      <c r="G164" s="4">
        <f t="shared" si="38"/>
        <v>13372930.741684357</v>
      </c>
      <c r="H164" s="3">
        <f t="shared" si="39"/>
        <v>16577.609958095039</v>
      </c>
      <c r="I164">
        <f t="shared" si="40"/>
        <v>221691229832.26187</v>
      </c>
      <c r="J164" s="6"/>
      <c r="K164" s="6"/>
      <c r="L164" s="6"/>
      <c r="M164" s="6"/>
      <c r="N164" s="6"/>
      <c r="O164" s="6"/>
      <c r="P164" s="6"/>
      <c r="Q164" s="6"/>
      <c r="R164" s="6"/>
      <c r="S164" s="6"/>
      <c r="Y164" s="7"/>
      <c r="AA164" s="2"/>
      <c r="AB164" s="2"/>
      <c r="AC164" s="2"/>
    </row>
    <row r="165" spans="6:29">
      <c r="F165" s="5">
        <f t="shared" si="41"/>
        <v>1.1799064930022695E-3</v>
      </c>
      <c r="G165" s="4">
        <f t="shared" si="38"/>
        <v>13707254.010226464</v>
      </c>
      <c r="H165" s="3">
        <f t="shared" si="39"/>
        <v>16173.278007897601</v>
      </c>
      <c r="I165">
        <f t="shared" si="40"/>
        <v>221691229832.26187</v>
      </c>
      <c r="J165" s="6"/>
      <c r="K165" s="6"/>
      <c r="L165" s="6"/>
      <c r="M165" s="6"/>
      <c r="N165" s="6"/>
      <c r="O165" s="6"/>
      <c r="P165" s="6"/>
      <c r="Q165" s="6"/>
      <c r="R165" s="6"/>
      <c r="S165" s="6"/>
      <c r="Y165" s="7"/>
      <c r="AA165" s="2"/>
      <c r="AB165" s="2"/>
      <c r="AC165" s="2"/>
    </row>
    <row r="166" spans="6:29">
      <c r="F166" s="5">
        <f t="shared" si="41"/>
        <v>1.1230519862008516E-3</v>
      </c>
      <c r="G166" s="4">
        <f t="shared" si="38"/>
        <v>14049935.360482125</v>
      </c>
      <c r="H166" s="3">
        <f t="shared" si="39"/>
        <v>15778.807812583027</v>
      </c>
      <c r="I166">
        <f t="shared" si="40"/>
        <v>221691229832.26187</v>
      </c>
      <c r="J166" s="6"/>
      <c r="K166" s="6"/>
      <c r="L166" s="6"/>
      <c r="M166" s="6"/>
      <c r="N166" s="6"/>
      <c r="O166" s="6"/>
      <c r="P166" s="6"/>
      <c r="Q166" s="6"/>
      <c r="R166" s="6"/>
      <c r="S166" s="6"/>
      <c r="Y166" s="7"/>
      <c r="AA166" s="2"/>
      <c r="AB166" s="2"/>
      <c r="AC166" s="2"/>
    </row>
    <row r="167" spans="6:29">
      <c r="F167" s="5">
        <f t="shared" si="41"/>
        <v>1.0689370481388235E-3</v>
      </c>
      <c r="G167" s="4">
        <f t="shared" si="38"/>
        <v>14401183.744494177</v>
      </c>
      <c r="H167" s="3">
        <f t="shared" si="39"/>
        <v>15393.958841544416</v>
      </c>
      <c r="I167">
        <f t="shared" si="40"/>
        <v>221691229832.26187</v>
      </c>
      <c r="J167" s="6"/>
      <c r="K167" s="6"/>
      <c r="L167" s="6"/>
      <c r="M167" s="6"/>
      <c r="N167" s="6"/>
      <c r="O167" s="6"/>
      <c r="P167" s="6"/>
      <c r="Q167" s="6"/>
      <c r="R167" s="6"/>
      <c r="S167" s="6"/>
      <c r="Y167" s="7"/>
      <c r="AA167" s="2"/>
      <c r="AB167" s="2"/>
      <c r="AC167" s="2"/>
    </row>
    <row r="168" spans="6:29">
      <c r="F168" s="5">
        <f t="shared" si="41"/>
        <v>1.0174296710423073E-3</v>
      </c>
      <c r="G168" s="4">
        <f t="shared" si="38"/>
        <v>14761213.33810653</v>
      </c>
      <c r="H168" s="3">
        <f t="shared" si="39"/>
        <v>15018.496430775043</v>
      </c>
      <c r="I168">
        <f t="shared" si="40"/>
        <v>221691229832.26187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Y168" s="7"/>
      <c r="AA168" s="2"/>
      <c r="AB168" s="2"/>
      <c r="AC168" s="2"/>
    </row>
    <row r="169" spans="6:29">
      <c r="F169" s="5">
        <f t="shared" si="41"/>
        <v>9.6840420801171426E-4</v>
      </c>
      <c r="G169" s="4">
        <f t="shared" si="38"/>
        <v>15130243.671559192</v>
      </c>
      <c r="H169" s="3">
        <f t="shared" si="39"/>
        <v>14652.191639780531</v>
      </c>
      <c r="I169">
        <f t="shared" si="40"/>
        <v>221691229832.26187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Y169" s="7"/>
      <c r="AA169" s="2"/>
      <c r="AB169" s="2"/>
      <c r="AC169" s="2"/>
    </row>
    <row r="170" spans="6:29">
      <c r="F170" s="5">
        <f t="shared" si="41"/>
        <v>9.2174106651918069E-4</v>
      </c>
      <c r="G170" s="4">
        <f t="shared" si="38"/>
        <v>15508499.763348171</v>
      </c>
      <c r="H170" s="3">
        <f t="shared" si="39"/>
        <v>14294.821111981006</v>
      </c>
      <c r="I170">
        <f t="shared" si="40"/>
        <v>221691229832.26187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Y170" s="7"/>
      <c r="AA170" s="2"/>
      <c r="AB170" s="2"/>
      <c r="AC170" s="2"/>
    </row>
    <row r="171" spans="6:29">
      <c r="F171" s="5">
        <f t="shared" si="41"/>
        <v>8.7732641667500862E-4</v>
      </c>
      <c r="G171" s="4">
        <f t="shared" si="38"/>
        <v>15896212.257431874</v>
      </c>
      <c r="H171" s="3">
        <f t="shared" si="39"/>
        <v>13946.166938518056</v>
      </c>
      <c r="I171">
        <f t="shared" si="40"/>
        <v>221691229832.26187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Y171" s="7"/>
      <c r="AA171" s="2"/>
      <c r="AB171" s="2"/>
      <c r="AC171" s="2"/>
    </row>
    <row r="172" spans="6:29">
      <c r="F172" s="5">
        <f t="shared" si="41"/>
        <v>8.3505191355146577E-4</v>
      </c>
      <c r="G172" s="4">
        <f t="shared" si="38"/>
        <v>16293617.56386767</v>
      </c>
      <c r="H172" s="3">
        <f t="shared" si="39"/>
        <v>13606.016525383469</v>
      </c>
      <c r="I172">
        <f t="shared" si="40"/>
        <v>221691229832.26187</v>
      </c>
      <c r="J172" s="6"/>
      <c r="K172" s="6"/>
      <c r="L172" s="6"/>
      <c r="M172" s="6"/>
      <c r="N172" s="6"/>
      <c r="O172" s="6"/>
      <c r="P172" s="6"/>
      <c r="Q172" s="6"/>
      <c r="R172" s="6"/>
      <c r="S172" s="6"/>
      <c r="Y172" s="7"/>
      <c r="AA172" s="2"/>
      <c r="AB172" s="2"/>
      <c r="AC172" s="2"/>
    </row>
    <row r="173" spans="6:29">
      <c r="F173" s="5">
        <f t="shared" si="41"/>
        <v>7.9481443288658272E-4</v>
      </c>
      <c r="G173" s="4">
        <f t="shared" si="38"/>
        <v>16700958.002964361</v>
      </c>
      <c r="H173" s="3">
        <f t="shared" si="39"/>
        <v>13274.162463788753</v>
      </c>
      <c r="I173">
        <f t="shared" si="40"/>
        <v>221691229832.26187</v>
      </c>
      <c r="J173" s="6"/>
      <c r="K173" s="6"/>
      <c r="L173" s="6"/>
      <c r="M173" s="6"/>
      <c r="N173" s="6"/>
      <c r="O173" s="6"/>
      <c r="P173" s="6"/>
      <c r="Q173" s="6"/>
      <c r="R173" s="6"/>
      <c r="S173" s="6"/>
      <c r="Y173" s="7"/>
      <c r="AA173" s="2"/>
      <c r="AB173" s="2"/>
      <c r="AC173" s="2"/>
    </row>
    <row r="174" spans="6:29">
      <c r="F174" s="5">
        <f t="shared" si="41"/>
        <v>7.5651581952321972E-4</v>
      </c>
      <c r="G174" s="4">
        <f t="shared" si="38"/>
        <v>17118481.953038469</v>
      </c>
      <c r="H174" s="3">
        <f t="shared" si="39"/>
        <v>12950.402403696344</v>
      </c>
      <c r="I174">
        <f t="shared" si="40"/>
        <v>221691229832.26187</v>
      </c>
      <c r="J174" s="6"/>
      <c r="K174" s="6"/>
      <c r="L174" s="6"/>
      <c r="M174" s="6"/>
      <c r="N174" s="6"/>
      <c r="O174" s="6"/>
      <c r="P174" s="6"/>
      <c r="Q174" s="6"/>
      <c r="R174" s="6"/>
      <c r="S174" s="6"/>
      <c r="Y174" s="7"/>
      <c r="AA174" s="2"/>
      <c r="AB174" s="2"/>
      <c r="AC174" s="2"/>
    </row>
    <row r="175" spans="6:29">
      <c r="F175" s="5">
        <f t="shared" si="41"/>
        <v>7.2006264796975114E-4</v>
      </c>
      <c r="G175" s="4">
        <f t="shared" si="38"/>
        <v>17546444.00186443</v>
      </c>
      <c r="H175" s="3">
        <f t="shared" si="39"/>
        <v>12634.538930435458</v>
      </c>
      <c r="I175">
        <f t="shared" si="40"/>
        <v>221691229832.26187</v>
      </c>
      <c r="J175" s="6"/>
      <c r="K175" s="6"/>
      <c r="L175" s="6"/>
      <c r="M175" s="6"/>
      <c r="N175" s="6"/>
      <c r="O175" s="6"/>
      <c r="P175" s="6"/>
      <c r="Q175" s="6"/>
      <c r="R175" s="6"/>
      <c r="S175" s="6"/>
      <c r="Y175" s="7"/>
      <c r="AA175" s="2"/>
      <c r="AB175" s="2"/>
      <c r="AC175" s="2"/>
    </row>
    <row r="176" spans="6:29">
      <c r="F176" s="5">
        <f t="shared" si="41"/>
        <v>6.8536599449827611E-4</v>
      </c>
      <c r="G176" s="4">
        <f t="shared" si="38"/>
        <v>17985105.101911038</v>
      </c>
      <c r="H176" s="3">
        <f t="shared" si="39"/>
        <v>12326.379444327278</v>
      </c>
      <c r="I176">
        <f t="shared" si="40"/>
        <v>221691229832.26187</v>
      </c>
      <c r="J176" s="6"/>
      <c r="K176" s="6"/>
      <c r="L176" s="6"/>
      <c r="M176" s="6"/>
      <c r="N176" s="6"/>
      <c r="O176" s="6"/>
      <c r="P176" s="6"/>
      <c r="Q176" s="6"/>
      <c r="R176" s="6"/>
      <c r="S176" s="6"/>
      <c r="Y176" s="7"/>
      <c r="AA176" s="2"/>
      <c r="AB176" s="2"/>
      <c r="AC176" s="2"/>
    </row>
    <row r="177" spans="6:29">
      <c r="F177" s="5">
        <f t="shared" si="41"/>
        <v>6.5234122022441528E-4</v>
      </c>
      <c r="G177" s="4">
        <f t="shared" ref="G177:G240" si="42">G176*(1+$O$1)</f>
        <v>18434732.729458813</v>
      </c>
      <c r="H177" s="3">
        <f t="shared" si="39"/>
        <v>12025.736043246126</v>
      </c>
      <c r="I177">
        <f t="shared" si="40"/>
        <v>221691229832.26187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Y177" s="7"/>
      <c r="AA177" s="2"/>
      <c r="AB177" s="2"/>
      <c r="AC177" s="2"/>
    </row>
    <row r="178" spans="6:29">
      <c r="F178" s="5">
        <f t="shared" si="41"/>
        <v>6.2090776463953861E-4</v>
      </c>
      <c r="G178" s="4">
        <f t="shared" si="42"/>
        <v>18895601.047695283</v>
      </c>
      <c r="H178" s="3">
        <f t="shared" ref="H178:H241" si="43">I178/G178</f>
        <v>11732.425408045001</v>
      </c>
      <c r="I178">
        <f t="shared" ref="I178:I241" si="44">I177</f>
        <v>221691229832.26187</v>
      </c>
      <c r="J178" s="6"/>
      <c r="K178" s="6"/>
      <c r="L178" s="6"/>
      <c r="M178" s="6"/>
      <c r="N178" s="6"/>
      <c r="O178" s="6"/>
      <c r="P178" s="6"/>
      <c r="Q178" s="6"/>
      <c r="R178" s="6"/>
      <c r="S178" s="6"/>
      <c r="Y178" s="7"/>
      <c r="AA178" s="2"/>
      <c r="AB178" s="2"/>
      <c r="AC178" s="2"/>
    </row>
    <row r="179" spans="6:29">
      <c r="F179" s="5">
        <f t="shared" si="41"/>
        <v>5.9098894909176782E-4</v>
      </c>
      <c r="G179" s="4">
        <f t="shared" si="42"/>
        <v>19367991.073887665</v>
      </c>
      <c r="H179" s="3">
        <f t="shared" si="43"/>
        <v>11446.268690775611</v>
      </c>
      <c r="I179">
        <f t="shared" si="44"/>
        <v>221691229832.26187</v>
      </c>
      <c r="J179" s="6"/>
      <c r="K179" s="6"/>
      <c r="L179" s="6"/>
      <c r="M179" s="6"/>
      <c r="N179" s="6"/>
      <c r="O179" s="6"/>
      <c r="P179" s="6"/>
      <c r="Q179" s="6"/>
      <c r="R179" s="6"/>
      <c r="S179" s="6"/>
      <c r="Y179" s="7"/>
      <c r="AA179" s="2"/>
      <c r="AB179" s="2"/>
      <c r="AC179" s="2"/>
    </row>
    <row r="180" spans="6:29">
      <c r="F180" s="5">
        <f t="shared" si="41"/>
        <v>5.6251178973636443E-4</v>
      </c>
      <c r="G180" s="4">
        <f t="shared" si="42"/>
        <v>19852190.850734856</v>
      </c>
      <c r="H180" s="3">
        <f t="shared" si="43"/>
        <v>11167.091405634743</v>
      </c>
      <c r="I180">
        <f t="shared" si="44"/>
        <v>221691229832.26187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Y180" s="7"/>
      <c r="AA180" s="2"/>
      <c r="AB180" s="2"/>
      <c r="AC180" s="2"/>
    </row>
    <row r="181" spans="6:29">
      <c r="F181" s="5">
        <f t="shared" si="41"/>
        <v>5.3540681949921652E-4</v>
      </c>
      <c r="G181" s="4">
        <f t="shared" si="42"/>
        <v>20348495.622003227</v>
      </c>
      <c r="H181" s="3">
        <f t="shared" si="43"/>
        <v>10894.72332257048</v>
      </c>
      <c r="I181">
        <f t="shared" si="44"/>
        <v>221691229832.26187</v>
      </c>
      <c r="J181" s="6"/>
      <c r="K181" s="6"/>
      <c r="L181" s="6"/>
      <c r="M181" s="6"/>
      <c r="N181" s="6"/>
      <c r="O181" s="6"/>
      <c r="P181" s="6"/>
      <c r="Q181" s="6"/>
      <c r="R181" s="6"/>
      <c r="S181" s="6"/>
      <c r="Y181" s="7"/>
      <c r="AA181" s="2"/>
      <c r="AB181" s="2"/>
      <c r="AC181" s="2"/>
    </row>
    <row r="182" spans="6:29">
      <c r="F182" s="5">
        <f t="shared" si="41"/>
        <v>5.096079186191234E-4</v>
      </c>
      <c r="G182" s="4">
        <f t="shared" si="42"/>
        <v>20857208.012553308</v>
      </c>
      <c r="H182" s="3">
        <f t="shared" si="43"/>
        <v>10628.998363483395</v>
      </c>
      <c r="I182">
        <f t="shared" si="44"/>
        <v>221691229832.26187</v>
      </c>
      <c r="J182" s="6"/>
      <c r="K182" s="6"/>
      <c r="L182" s="6"/>
      <c r="M182" s="6"/>
      <c r="N182" s="6"/>
      <c r="O182" s="6"/>
      <c r="P182" s="6"/>
      <c r="Q182" s="6"/>
      <c r="R182" s="6"/>
      <c r="S182" s="6"/>
      <c r="Y182" s="7"/>
      <c r="AA182" s="2"/>
      <c r="AB182" s="2"/>
      <c r="AC182" s="2"/>
    </row>
    <row r="183" spans="6:29">
      <c r="F183" s="5">
        <f t="shared" si="41"/>
        <v>4.8505215335550118E-4</v>
      </c>
      <c r="G183" s="4">
        <f t="shared" si="42"/>
        <v>21378638.212867141</v>
      </c>
      <c r="H183" s="3">
        <f t="shared" si="43"/>
        <v>10369.754500959411</v>
      </c>
      <c r="I183">
        <f t="shared" si="44"/>
        <v>221691229832.26187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Y183" s="7"/>
      <c r="AA183" s="2"/>
      <c r="AB183" s="2"/>
      <c r="AC183" s="2"/>
    </row>
    <row r="184" spans="6:29">
      <c r="F184" s="5">
        <f t="shared" si="41"/>
        <v>4.6167962246805588E-4</v>
      </c>
      <c r="G184" s="4">
        <f t="shared" si="42"/>
        <v>21913104.168188818</v>
      </c>
      <c r="H184" s="3">
        <f t="shared" si="43"/>
        <v>10116.833659472595</v>
      </c>
      <c r="I184">
        <f t="shared" si="44"/>
        <v>221691229832.26187</v>
      </c>
      <c r="J184" s="6"/>
      <c r="K184" s="6"/>
      <c r="L184" s="6"/>
      <c r="M184" s="6"/>
      <c r="N184" s="6"/>
      <c r="O184" s="6"/>
      <c r="P184" s="6"/>
      <c r="Q184" s="6"/>
      <c r="R184" s="6"/>
      <c r="S184" s="6"/>
      <c r="Y184" s="7"/>
      <c r="AA184" s="2"/>
      <c r="AB184" s="2"/>
      <c r="AC184" s="2"/>
    </row>
    <row r="185" spans="6:29">
      <c r="F185" s="5">
        <f t="shared" si="41"/>
        <v>4.3943331109392604E-4</v>
      </c>
      <c r="G185" s="4">
        <f t="shared" si="42"/>
        <v>22460931.772393536</v>
      </c>
      <c r="H185" s="3">
        <f t="shared" si="43"/>
        <v>9870.0816189976558</v>
      </c>
      <c r="I185">
        <f t="shared" si="44"/>
        <v>221691229832.26187</v>
      </c>
      <c r="J185" s="6"/>
      <c r="K185" s="6"/>
      <c r="L185" s="6"/>
      <c r="M185" s="6"/>
      <c r="N185" s="6"/>
      <c r="O185" s="6"/>
      <c r="P185" s="6"/>
      <c r="Q185" s="6"/>
      <c r="R185" s="6"/>
      <c r="S185" s="6"/>
      <c r="Y185" s="7"/>
      <c r="AA185" s="2"/>
      <c r="AB185" s="2"/>
      <c r="AC185" s="2"/>
    </row>
    <row r="186" spans="6:29">
      <c r="F186" s="5">
        <f t="shared" si="41"/>
        <v>4.1825895166584277E-4</v>
      </c>
      <c r="G186" s="4">
        <f t="shared" si="42"/>
        <v>23022455.066703372</v>
      </c>
      <c r="H186" s="3">
        <f t="shared" si="43"/>
        <v>9629.3479209733232</v>
      </c>
      <c r="I186">
        <f t="shared" si="44"/>
        <v>221691229832.26187</v>
      </c>
      <c r="J186" s="6"/>
      <c r="K186" s="6"/>
      <c r="L186" s="6"/>
      <c r="M186" s="6"/>
      <c r="N186" s="6"/>
      <c r="O186" s="6"/>
      <c r="P186" s="6"/>
      <c r="Q186" s="6"/>
      <c r="R186" s="6"/>
      <c r="S186" s="6"/>
      <c r="Y186" s="7"/>
      <c r="AA186" s="2"/>
      <c r="AB186" s="2"/>
      <c r="AC186" s="2"/>
    </row>
    <row r="187" spans="6:29">
      <c r="F187" s="5">
        <f t="shared" si="41"/>
        <v>3.9810489153203367E-4</v>
      </c>
      <c r="G187" s="4">
        <f t="shared" si="42"/>
        <v>23598016.443370953</v>
      </c>
      <c r="H187" s="3">
        <f t="shared" si="43"/>
        <v>9394.4857765593406</v>
      </c>
      <c r="I187">
        <f t="shared" si="44"/>
        <v>221691229832.26187</v>
      </c>
      <c r="J187" s="6"/>
      <c r="K187" s="6"/>
      <c r="L187" s="6"/>
      <c r="M187" s="6"/>
      <c r="N187" s="6"/>
      <c r="O187" s="6"/>
      <c r="P187" s="6"/>
      <c r="Q187" s="6"/>
      <c r="R187" s="6"/>
      <c r="S187" s="6"/>
      <c r="Y187" s="7"/>
      <c r="AA187" s="2"/>
      <c r="AB187" s="2"/>
      <c r="AC187" s="2"/>
    </row>
    <row r="188" spans="6:29">
      <c r="F188" s="5">
        <f t="shared" si="41"/>
        <v>3.7892196695493995E-4</v>
      </c>
      <c r="G188" s="4">
        <f t="shared" si="42"/>
        <v>24187966.854455225</v>
      </c>
      <c r="H188" s="3">
        <f t="shared" si="43"/>
        <v>9165.3519771310657</v>
      </c>
      <c r="I188">
        <f t="shared" si="44"/>
        <v>221691229832.26187</v>
      </c>
      <c r="J188" s="6"/>
      <c r="K188" s="6"/>
      <c r="L188" s="6"/>
      <c r="M188" s="6"/>
      <c r="N188" s="6"/>
      <c r="O188" s="6"/>
      <c r="P188" s="6"/>
      <c r="Q188" s="6"/>
      <c r="R188" s="6"/>
      <c r="S188" s="6"/>
      <c r="Y188" s="7"/>
      <c r="AA188" s="2"/>
      <c r="AB188" s="2"/>
      <c r="AC188" s="2"/>
    </row>
    <row r="189" spans="6:29">
      <c r="F189" s="5">
        <f t="shared" si="41"/>
        <v>3.6066338318138251E-4</v>
      </c>
      <c r="G189" s="4">
        <f t="shared" si="42"/>
        <v>24792666.025816604</v>
      </c>
      <c r="H189" s="3">
        <f t="shared" si="43"/>
        <v>8941.8068069571382</v>
      </c>
      <c r="I189">
        <f t="shared" si="44"/>
        <v>221691229832.26187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Y189" s="7"/>
      <c r="AA189" s="2"/>
      <c r="AB189" s="2"/>
      <c r="AC189" s="2"/>
    </row>
    <row r="190" spans="6:29">
      <c r="F190" s="5">
        <f t="shared" si="41"/>
        <v>3.4328460029161933E-4</v>
      </c>
      <c r="G190" s="4">
        <f t="shared" si="42"/>
        <v>25412482.676462017</v>
      </c>
      <c r="H190" s="3">
        <f t="shared" si="43"/>
        <v>8723.7139580069634</v>
      </c>
      <c r="I190">
        <f t="shared" si="44"/>
        <v>221691229832.26187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Y190" s="7"/>
      <c r="AA190" s="2"/>
      <c r="AB190" s="2"/>
      <c r="AC190" s="2"/>
    </row>
    <row r="191" spans="6:29">
      <c r="F191" s="5">
        <f t="shared" si="41"/>
        <v>3.267432245488346E-4</v>
      </c>
      <c r="G191" s="4">
        <f t="shared" si="42"/>
        <v>26047794.743373565</v>
      </c>
      <c r="H191" s="3">
        <f t="shared" si="43"/>
        <v>8510.9404468360626</v>
      </c>
      <c r="I191">
        <f t="shared" si="44"/>
        <v>221691229832.26187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Y191" s="7"/>
      <c r="AA191" s="2"/>
      <c r="AB191" s="2"/>
      <c r="AC191" s="2"/>
    </row>
    <row r="192" spans="6:29">
      <c r="F192" s="5">
        <f t="shared" si="41"/>
        <v>3.1099890498401865E-4</v>
      </c>
      <c r="G192" s="4">
        <f t="shared" si="42"/>
        <v>26698989.611957904</v>
      </c>
      <c r="H192" s="3">
        <f t="shared" si="43"/>
        <v>8303.3565334985979</v>
      </c>
      <c r="I192">
        <f t="shared" si="44"/>
        <v>221691229832.26187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Y192" s="7"/>
      <c r="AA192" s="2"/>
      <c r="AB192" s="2"/>
      <c r="AC192" s="2"/>
    </row>
    <row r="193" spans="6:29">
      <c r="F193" s="5">
        <f t="shared" si="41"/>
        <v>2.9601323496396791E-4</v>
      </c>
      <c r="G193" s="4">
        <f t="shared" si="42"/>
        <v>27366464.352256849</v>
      </c>
      <c r="H193" s="3">
        <f t="shared" si="43"/>
        <v>8100.835642437658</v>
      </c>
      <c r="I193">
        <f t="shared" si="44"/>
        <v>221691229832.26187</v>
      </c>
      <c r="J193" s="6"/>
      <c r="K193" s="6"/>
      <c r="L193" s="6"/>
      <c r="M193" s="6"/>
      <c r="N193" s="6"/>
      <c r="O193" s="6"/>
      <c r="P193" s="6"/>
      <c r="Q193" s="6"/>
      <c r="R193" s="6"/>
      <c r="S193" s="6"/>
      <c r="Y193" s="7"/>
      <c r="AA193" s="2"/>
      <c r="AB193" s="2"/>
      <c r="AC193" s="2"/>
    </row>
    <row r="194" spans="6:29">
      <c r="F194" s="5">
        <f t="shared" si="41"/>
        <v>2.8174965850228946E-4</v>
      </c>
      <c r="G194" s="4">
        <f t="shared" si="42"/>
        <v>28050625.96106327</v>
      </c>
      <c r="H194" s="3">
        <f t="shared" si="43"/>
        <v>7903.2542853050318</v>
      </c>
      <c r="I194">
        <f t="shared" si="44"/>
        <v>221691229832.26187</v>
      </c>
      <c r="J194" s="6"/>
      <c r="K194" s="6"/>
      <c r="L194" s="6"/>
      <c r="M194" s="6"/>
      <c r="N194" s="6"/>
      <c r="O194" s="6"/>
      <c r="P194" s="6"/>
      <c r="Q194" s="6"/>
      <c r="R194" s="6"/>
      <c r="S194" s="6"/>
      <c r="Y194" s="7"/>
      <c r="AA194" s="2"/>
      <c r="AB194" s="2"/>
      <c r="AC194" s="2"/>
    </row>
    <row r="195" spans="6:29">
      <c r="F195" s="5">
        <f t="shared" si="41"/>
        <v>2.6817338108486806E-4</v>
      </c>
      <c r="G195" s="4">
        <f t="shared" si="42"/>
        <v>28751891.61008985</v>
      </c>
      <c r="H195" s="3">
        <f t="shared" si="43"/>
        <v>7710.491985663446</v>
      </c>
      <c r="I195">
        <f t="shared" si="44"/>
        <v>221691229832.26187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Y195" s="7"/>
      <c r="AA195" s="2"/>
      <c r="AB195" s="2"/>
      <c r="AC195" s="2"/>
    </row>
    <row r="196" spans="6:29">
      <c r="F196" s="5">
        <f t="shared" si="41"/>
        <v>2.5525128479225999E-4</v>
      </c>
      <c r="G196" s="4">
        <f t="shared" si="42"/>
        <v>29470688.900342092</v>
      </c>
      <c r="H196" s="3">
        <f t="shared" si="43"/>
        <v>7522.4312055253149</v>
      </c>
      <c r="I196">
        <f t="shared" si="44"/>
        <v>221691229832.26187</v>
      </c>
      <c r="J196" s="6"/>
      <c r="K196" s="6"/>
      <c r="L196" s="6"/>
      <c r="M196" s="6"/>
      <c r="N196" s="6"/>
      <c r="O196" s="6"/>
      <c r="P196" s="6"/>
      <c r="Q196" s="6"/>
      <c r="R196" s="6"/>
      <c r="S196" s="6"/>
      <c r="Y196" s="7"/>
      <c r="AA196" s="2"/>
      <c r="AB196" s="2"/>
      <c r="AC196" s="2"/>
    </row>
    <row r="197" spans="6:29">
      <c r="F197" s="5">
        <f t="shared" si="41"/>
        <v>2.4295184751196671E-4</v>
      </c>
      <c r="G197" s="4">
        <f t="shared" si="42"/>
        <v>30207456.122850642</v>
      </c>
      <c r="H197" s="3">
        <f t="shared" si="43"/>
        <v>7338.9572736832342</v>
      </c>
      <c r="I197">
        <f t="shared" si="44"/>
        <v>221691229832.26187</v>
      </c>
      <c r="J197" s="6"/>
      <c r="K197" s="6"/>
      <c r="L197" s="6"/>
      <c r="M197" s="6"/>
      <c r="N197" s="6"/>
      <c r="O197" s="6"/>
      <c r="P197" s="6"/>
      <c r="Q197" s="6"/>
      <c r="R197" s="6"/>
      <c r="S197" s="6"/>
      <c r="Y197" s="7"/>
      <c r="AA197" s="2"/>
      <c r="AB197" s="2"/>
      <c r="AC197" s="2"/>
    </row>
    <row r="198" spans="6:29">
      <c r="F198" s="5">
        <f t="shared" si="41"/>
        <v>2.3124506604351391E-4</v>
      </c>
      <c r="G198" s="4">
        <f t="shared" si="42"/>
        <v>30962642.525921904</v>
      </c>
      <c r="H198" s="3">
        <f t="shared" si="43"/>
        <v>7159.9583157885227</v>
      </c>
      <c r="I198">
        <f t="shared" si="44"/>
        <v>221691229832.26187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Y198" s="7"/>
      <c r="AA198" s="2"/>
      <c r="AB198" s="2"/>
      <c r="AC198" s="2"/>
    </row>
    <row r="199" spans="6:29">
      <c r="F199" s="5">
        <f t="shared" si="41"/>
        <v>2.2010238290875807E-4</v>
      </c>
      <c r="G199" s="4">
        <f t="shared" si="42"/>
        <v>31736708.589069948</v>
      </c>
      <c r="H199" s="3">
        <f t="shared" si="43"/>
        <v>6985.3251861351446</v>
      </c>
      <c r="I199">
        <f t="shared" si="44"/>
        <v>221691229832.26187</v>
      </c>
      <c r="J199" s="6"/>
      <c r="K199" s="6"/>
      <c r="L199" s="6"/>
      <c r="M199" s="6"/>
      <c r="N199" s="6"/>
      <c r="O199" s="6"/>
      <c r="P199" s="6"/>
      <c r="Q199" s="6"/>
      <c r="R199" s="6"/>
      <c r="S199" s="6"/>
      <c r="Y199" s="7"/>
      <c r="AA199" s="2"/>
      <c r="AB199" s="2"/>
      <c r="AC199" s="2"/>
    </row>
    <row r="200" spans="6:29">
      <c r="F200" s="5">
        <f t="shared" si="41"/>
        <v>2.0949661668888338E-4</v>
      </c>
      <c r="G200" s="4">
        <f t="shared" si="42"/>
        <v>32530126.303796694</v>
      </c>
      <c r="H200" s="3">
        <f t="shared" si="43"/>
        <v>6814.9514011074589</v>
      </c>
      <c r="I200">
        <f t="shared" si="44"/>
        <v>221691229832.26187</v>
      </c>
      <c r="J200" s="6"/>
      <c r="K200" s="6"/>
      <c r="L200" s="6"/>
      <c r="M200" s="6"/>
      <c r="N200" s="6"/>
      <c r="O200" s="6"/>
      <c r="P200" s="6"/>
      <c r="Q200" s="6"/>
      <c r="R200" s="6"/>
      <c r="S200" s="6"/>
      <c r="Y200" s="7"/>
      <c r="AA200" s="2"/>
      <c r="AB200" s="2"/>
      <c r="AC200" s="2"/>
    </row>
    <row r="201" spans="6:29">
      <c r="F201" s="5">
        <f t="shared" ref="F201:F264" si="45">H201/G201</f>
        <v>1.9940189571815195E-4</v>
      </c>
      <c r="G201" s="4">
        <f t="shared" si="42"/>
        <v>33343379.461391609</v>
      </c>
      <c r="H201" s="3">
        <f t="shared" si="43"/>
        <v>6648.7330742511795</v>
      </c>
      <c r="I201">
        <f t="shared" si="44"/>
        <v>221691229832.26187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Y201" s="7"/>
      <c r="AA201" s="2"/>
      <c r="AB201" s="2"/>
      <c r="AC201" s="2"/>
    </row>
    <row r="202" spans="6:29">
      <c r="F202" s="5">
        <f t="shared" si="45"/>
        <v>1.8979359497266104E-4</v>
      </c>
      <c r="G202" s="4">
        <f t="shared" si="42"/>
        <v>34176963.947926395</v>
      </c>
      <c r="H202" s="3">
        <f t="shared" si="43"/>
        <v>6486.5688529279805</v>
      </c>
      <c r="I202">
        <f t="shared" si="44"/>
        <v>221691229832.26187</v>
      </c>
      <c r="J202" s="6"/>
      <c r="K202" s="6"/>
      <c r="L202" s="6"/>
      <c r="M202" s="6"/>
      <c r="N202" s="6"/>
      <c r="O202" s="6"/>
      <c r="P202" s="6"/>
      <c r="Q202" s="6"/>
      <c r="R202" s="6"/>
      <c r="S202" s="6"/>
      <c r="Y202" s="7"/>
      <c r="AA202" s="2"/>
      <c r="AB202" s="2"/>
      <c r="AC202" s="2"/>
    </row>
    <row r="203" spans="6:29">
      <c r="F203" s="5">
        <f t="shared" si="45"/>
        <v>1.8064827600015334E-4</v>
      </c>
      <c r="G203" s="4">
        <f t="shared" si="42"/>
        <v>35031388.046624549</v>
      </c>
      <c r="H203" s="3">
        <f t="shared" si="43"/>
        <v>6328.3598565151042</v>
      </c>
      <c r="I203">
        <f t="shared" si="44"/>
        <v>221691229832.26187</v>
      </c>
      <c r="J203" s="6"/>
      <c r="K203" s="6"/>
      <c r="L203" s="6"/>
      <c r="M203" s="6"/>
      <c r="N203" s="6"/>
      <c r="O203" s="6"/>
      <c r="P203" s="6"/>
      <c r="Q203" s="6"/>
      <c r="R203" s="6"/>
      <c r="S203" s="6"/>
      <c r="Y203" s="7"/>
      <c r="AA203" s="2"/>
      <c r="AB203" s="2"/>
      <c r="AC203" s="2"/>
    </row>
    <row r="204" spans="6:29">
      <c r="F204" s="5">
        <f t="shared" si="45"/>
        <v>1.7194362974434587E-4</v>
      </c>
      <c r="G204" s="4">
        <f t="shared" si="42"/>
        <v>35907172.747790158</v>
      </c>
      <c r="H204" s="3">
        <f t="shared" si="43"/>
        <v>6174.0096161122974</v>
      </c>
      <c r="I204">
        <f t="shared" si="44"/>
        <v>221691229832.26187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Y204" s="7"/>
      <c r="AA204" s="2"/>
      <c r="AB204" s="2"/>
      <c r="AC204" s="2"/>
    </row>
    <row r="205" spans="6:29">
      <c r="F205" s="5">
        <f t="shared" si="45"/>
        <v>1.6365842212430311E-4</v>
      </c>
      <c r="G205" s="4">
        <f t="shared" si="42"/>
        <v>36804852.066484906</v>
      </c>
      <c r="H205" s="3">
        <f t="shared" si="43"/>
        <v>6023.4240157193162</v>
      </c>
      <c r="I205">
        <f t="shared" si="44"/>
        <v>221691229832.26187</v>
      </c>
      <c r="J205" s="6"/>
      <c r="K205" s="6"/>
      <c r="L205" s="6"/>
      <c r="M205" s="6"/>
      <c r="N205" s="6"/>
      <c r="O205" s="6"/>
      <c r="P205" s="6"/>
      <c r="Q205" s="6"/>
      <c r="R205" s="6"/>
      <c r="S205" s="6"/>
      <c r="Y205" s="7"/>
      <c r="AA205" s="2"/>
      <c r="AB205" s="2"/>
      <c r="AC205" s="2"/>
    </row>
    <row r="206" spans="6:29">
      <c r="F206" s="5">
        <f t="shared" si="45"/>
        <v>1.5577244223610054E-4</v>
      </c>
      <c r="G206" s="4">
        <f t="shared" si="42"/>
        <v>37724973.368147023</v>
      </c>
      <c r="H206" s="3">
        <f t="shared" si="43"/>
        <v>5876.5112348481134</v>
      </c>
      <c r="I206">
        <f t="shared" si="44"/>
        <v>221691229832.26187</v>
      </c>
      <c r="J206" s="6"/>
      <c r="K206" s="6"/>
      <c r="L206" s="6"/>
      <c r="M206" s="6"/>
      <c r="N206" s="6"/>
      <c r="O206" s="6"/>
      <c r="P206" s="6"/>
      <c r="Q206" s="6"/>
      <c r="R206" s="6"/>
      <c r="S206" s="6"/>
      <c r="Y206" s="7"/>
      <c r="AA206" s="2"/>
      <c r="AB206" s="2"/>
      <c r="AC206" s="2"/>
    </row>
    <row r="207" spans="6:29">
      <c r="F207" s="5">
        <f t="shared" si="45"/>
        <v>1.4826645305042289E-4</v>
      </c>
      <c r="G207" s="4">
        <f t="shared" si="42"/>
        <v>38668097.702350698</v>
      </c>
      <c r="H207" s="3">
        <f t="shared" si="43"/>
        <v>5733.1816925347457</v>
      </c>
      <c r="I207">
        <f t="shared" si="44"/>
        <v>221691229832.26187</v>
      </c>
      <c r="J207" s="6"/>
      <c r="K207" s="6"/>
      <c r="L207" s="6"/>
      <c r="M207" s="6"/>
      <c r="N207" s="6"/>
      <c r="O207" s="6"/>
      <c r="P207" s="6"/>
      <c r="Q207" s="6"/>
      <c r="R207" s="6"/>
      <c r="S207" s="6"/>
      <c r="Y207" s="7"/>
      <c r="AA207" s="2"/>
      <c r="AB207" s="2"/>
      <c r="AC207" s="2"/>
    </row>
    <row r="208" spans="6:29">
      <c r="F208" s="5">
        <f t="shared" si="45"/>
        <v>1.4112214448582788E-4</v>
      </c>
      <c r="G208" s="4">
        <f t="shared" si="42"/>
        <v>39634800.144909464</v>
      </c>
      <c r="H208" s="3">
        <f t="shared" si="43"/>
        <v>5593.3479927168246</v>
      </c>
      <c r="I208">
        <f t="shared" si="44"/>
        <v>221691229832.26187</v>
      </c>
      <c r="J208" s="6"/>
      <c r="K208" s="6"/>
      <c r="L208" s="6"/>
      <c r="M208" s="6"/>
      <c r="N208" s="6"/>
      <c r="O208" s="6"/>
      <c r="P208" s="6"/>
      <c r="Q208" s="6"/>
      <c r="R208" s="6"/>
      <c r="S208" s="6"/>
      <c r="Y208" s="7"/>
      <c r="AA208" s="2"/>
      <c r="AB208" s="2"/>
      <c r="AC208" s="2"/>
    </row>
    <row r="209" spans="6:29">
      <c r="F209" s="5">
        <f t="shared" si="45"/>
        <v>1.3432208874320322E-4</v>
      </c>
      <c r="G209" s="4">
        <f t="shared" si="42"/>
        <v>40625670.148532197</v>
      </c>
      <c r="H209" s="3">
        <f t="shared" si="43"/>
        <v>5456.9248709432441</v>
      </c>
      <c r="I209">
        <f t="shared" si="44"/>
        <v>221691229832.26187</v>
      </c>
      <c r="J209" s="6"/>
      <c r="K209" s="6"/>
      <c r="L209" s="6"/>
      <c r="M209" s="6"/>
      <c r="N209" s="6"/>
      <c r="O209" s="6"/>
      <c r="P209" s="6"/>
      <c r="Q209" s="6"/>
      <c r="R209" s="6"/>
      <c r="S209" s="6"/>
      <c r="Y209" s="7"/>
      <c r="AA209" s="2"/>
      <c r="AB209" s="2"/>
      <c r="AC209" s="2"/>
    </row>
    <row r="210" spans="6:29">
      <c r="F210" s="5">
        <f t="shared" si="45"/>
        <v>1.2784969779245996E-4</v>
      </c>
      <c r="G210" s="4">
        <f t="shared" si="42"/>
        <v>41641311.902245499</v>
      </c>
      <c r="H210" s="3">
        <f t="shared" si="43"/>
        <v>5323.8291423836536</v>
      </c>
      <c r="I210">
        <f t="shared" si="44"/>
        <v>221691229832.26187</v>
      </c>
      <c r="J210" s="6"/>
      <c r="K210" s="6"/>
      <c r="L210" s="6"/>
      <c r="M210" s="6"/>
      <c r="N210" s="6"/>
      <c r="O210" s="6"/>
      <c r="P210" s="6"/>
      <c r="Q210" s="6"/>
      <c r="R210" s="6"/>
      <c r="S210" s="6"/>
      <c r="Y210" s="7"/>
      <c r="AA210" s="2"/>
      <c r="AB210" s="2"/>
      <c r="AC210" s="2"/>
    </row>
    <row r="211" spans="6:29">
      <c r="F211" s="5">
        <f t="shared" si="45"/>
        <v>1.2168918290775491E-4</v>
      </c>
      <c r="G211" s="4">
        <f t="shared" si="42"/>
        <v>42682344.699801631</v>
      </c>
      <c r="H211" s="3">
        <f t="shared" si="43"/>
        <v>5193.979651106004</v>
      </c>
      <c r="I211">
        <f t="shared" si="44"/>
        <v>221691229832.26187</v>
      </c>
      <c r="J211" s="6"/>
      <c r="K211" s="6"/>
      <c r="L211" s="6"/>
      <c r="M211" s="6"/>
      <c r="N211" s="6"/>
      <c r="O211" s="6"/>
      <c r="P211" s="6"/>
      <c r="Q211" s="6"/>
      <c r="R211" s="6"/>
      <c r="S211" s="6"/>
      <c r="Y211" s="7"/>
      <c r="AA211" s="2"/>
      <c r="AB211" s="2"/>
      <c r="AC211" s="2"/>
    </row>
    <row r="212" spans="6:29">
      <c r="F212" s="5">
        <f t="shared" si="45"/>
        <v>1.1582551615253294E-4</v>
      </c>
      <c r="G212" s="4">
        <f t="shared" si="42"/>
        <v>43749403.317296669</v>
      </c>
      <c r="H212" s="3">
        <f t="shared" si="43"/>
        <v>5067.2972205912238</v>
      </c>
      <c r="I212">
        <f t="shared" si="44"/>
        <v>221691229832.26187</v>
      </c>
      <c r="J212" s="6"/>
      <c r="K212" s="6"/>
      <c r="L212" s="6"/>
      <c r="M212" s="6"/>
      <c r="N212" s="6"/>
      <c r="O212" s="6"/>
      <c r="P212" s="6"/>
      <c r="Q212" s="6"/>
      <c r="R212" s="6"/>
      <c r="S212" s="6"/>
      <c r="Y212" s="7"/>
      <c r="AA212" s="2"/>
      <c r="AB212" s="2"/>
      <c r="AC212" s="2"/>
    </row>
    <row r="213" spans="6:29">
      <c r="F213" s="5">
        <f t="shared" si="45"/>
        <v>1.1024439372043589E-4</v>
      </c>
      <c r="G213" s="4">
        <f t="shared" si="42"/>
        <v>44843138.400229082</v>
      </c>
      <c r="H213" s="3">
        <f t="shared" si="43"/>
        <v>4943.7046054548528</v>
      </c>
      <c r="I213">
        <f t="shared" si="44"/>
        <v>221691229832.26187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Y213" s="7"/>
      <c r="AA213" s="2"/>
      <c r="AB213" s="2"/>
      <c r="AC213" s="2"/>
    </row>
    <row r="214" spans="6:29">
      <c r="F214" s="5">
        <f t="shared" si="45"/>
        <v>1.0493220104265169E-4</v>
      </c>
      <c r="G214" s="4">
        <f t="shared" si="42"/>
        <v>45964216.860234804</v>
      </c>
      <c r="H214" s="3">
        <f t="shared" si="43"/>
        <v>4823.1264443461987</v>
      </c>
      <c r="I214">
        <f t="shared" si="44"/>
        <v>221691229832.26187</v>
      </c>
      <c r="J214" s="6"/>
      <c r="K214" s="6"/>
      <c r="L214" s="6"/>
      <c r="M214" s="6"/>
      <c r="N214" s="6"/>
      <c r="O214" s="6"/>
      <c r="P214" s="6"/>
      <c r="Q214" s="6"/>
      <c r="R214" s="6"/>
      <c r="S214" s="6"/>
      <c r="Y214" s="7"/>
      <c r="AA214" s="2"/>
      <c r="AB214" s="2"/>
      <c r="AC214" s="2"/>
    </row>
    <row r="215" spans="6:29">
      <c r="F215" s="5">
        <f t="shared" si="45"/>
        <v>9.9875979576586975E-5</v>
      </c>
      <c r="G215" s="4">
        <f t="shared" si="42"/>
        <v>47113322.281740673</v>
      </c>
      <c r="H215" s="3">
        <f t="shared" si="43"/>
        <v>4705.4892139962913</v>
      </c>
      <c r="I215">
        <f t="shared" si="44"/>
        <v>221691229832.26187</v>
      </c>
      <c r="J215" s="6"/>
      <c r="K215" s="6"/>
      <c r="L215" s="6"/>
      <c r="M215" s="6"/>
      <c r="N215" s="6"/>
      <c r="O215" s="6"/>
      <c r="P215" s="6"/>
      <c r="Q215" s="6"/>
      <c r="R215" s="6"/>
      <c r="S215" s="6"/>
      <c r="Y215" s="7"/>
      <c r="AA215" s="2"/>
      <c r="AB215" s="2"/>
      <c r="AC215" s="2"/>
    </row>
    <row r="216" spans="6:29">
      <c r="F216" s="5">
        <f t="shared" si="45"/>
        <v>9.5063395194847802E-5</v>
      </c>
      <c r="G216" s="4">
        <f t="shared" si="42"/>
        <v>48291155.338784188</v>
      </c>
      <c r="H216" s="3">
        <f t="shared" si="43"/>
        <v>4590.7211843866253</v>
      </c>
      <c r="I216">
        <f t="shared" si="44"/>
        <v>221691229832.26187</v>
      </c>
      <c r="J216" s="6"/>
      <c r="K216" s="6"/>
      <c r="L216" s="6"/>
      <c r="M216" s="6"/>
      <c r="N216" s="6"/>
      <c r="O216" s="6"/>
      <c r="P216" s="6"/>
      <c r="Q216" s="6"/>
      <c r="R216" s="6"/>
      <c r="S216" s="6"/>
      <c r="Y216" s="7"/>
      <c r="AA216" s="2"/>
      <c r="AB216" s="2"/>
      <c r="AC216" s="2"/>
    </row>
    <row r="217" spans="6:29">
      <c r="F217" s="5">
        <f t="shared" si="45"/>
        <v>9.0482708097416116E-5</v>
      </c>
      <c r="G217" s="4">
        <f t="shared" si="42"/>
        <v>49498434.222253792</v>
      </c>
      <c r="H217" s="3">
        <f t="shared" si="43"/>
        <v>4478.7523750113423</v>
      </c>
      <c r="I217">
        <f t="shared" si="44"/>
        <v>221691229832.26187</v>
      </c>
      <c r="J217" s="6"/>
      <c r="K217" s="6"/>
      <c r="L217" s="6"/>
      <c r="M217" s="6"/>
      <c r="N217" s="6"/>
      <c r="O217" s="6"/>
      <c r="P217" s="6"/>
      <c r="Q217" s="6"/>
      <c r="R217" s="6"/>
      <c r="S217" s="6"/>
      <c r="Y217" s="7"/>
      <c r="AA217" s="2"/>
      <c r="AB217" s="2"/>
      <c r="AC217" s="2"/>
    </row>
    <row r="218" spans="6:29">
      <c r="F218" s="5">
        <f t="shared" si="45"/>
        <v>8.6122744173626299E-5</v>
      </c>
      <c r="G218" s="4">
        <f t="shared" si="42"/>
        <v>50735895.077810131</v>
      </c>
      <c r="H218" s="3">
        <f t="shared" si="43"/>
        <v>4369.5145122061876</v>
      </c>
      <c r="I218">
        <f t="shared" si="44"/>
        <v>221691229832.26187</v>
      </c>
      <c r="J218" s="6"/>
      <c r="K218" s="6"/>
      <c r="L218" s="6"/>
      <c r="M218" s="6"/>
      <c r="N218" s="6"/>
      <c r="O218" s="6"/>
      <c r="P218" s="6"/>
      <c r="Q218" s="6"/>
      <c r="R218" s="6"/>
      <c r="S218" s="6"/>
      <c r="Y218" s="7"/>
      <c r="AA218" s="2"/>
      <c r="AB218" s="2"/>
      <c r="AC218" s="2"/>
    </row>
    <row r="219" spans="6:29">
      <c r="F219" s="5">
        <f t="shared" si="45"/>
        <v>8.1972867744082163E-5</v>
      </c>
      <c r="G219" s="4">
        <f t="shared" si="42"/>
        <v>52004292.454755381</v>
      </c>
      <c r="H219" s="3">
        <f t="shared" si="43"/>
        <v>4262.9409875182328</v>
      </c>
      <c r="I219">
        <f t="shared" si="44"/>
        <v>221691229832.26187</v>
      </c>
      <c r="J219" s="6"/>
      <c r="K219" s="6"/>
      <c r="L219" s="6"/>
      <c r="M219" s="6"/>
      <c r="N219" s="6"/>
      <c r="O219" s="6"/>
      <c r="P219" s="6"/>
      <c r="Q219" s="6"/>
      <c r="R219" s="6"/>
      <c r="S219" s="6"/>
      <c r="Y219" s="7"/>
      <c r="AA219" s="2"/>
      <c r="AB219" s="2"/>
      <c r="AC219" s="2"/>
    </row>
    <row r="220" spans="6:29">
      <c r="F220" s="5">
        <f t="shared" si="45"/>
        <v>7.8022955616021108E-5</v>
      </c>
      <c r="G220" s="4">
        <f t="shared" si="42"/>
        <v>53304399.766124263</v>
      </c>
      <c r="H220" s="3">
        <f t="shared" si="43"/>
        <v>4158.966817090959</v>
      </c>
      <c r="I220">
        <f t="shared" si="44"/>
        <v>221691229832.26187</v>
      </c>
      <c r="J220" s="6"/>
      <c r="K220" s="6"/>
      <c r="L220" s="6"/>
      <c r="M220" s="6"/>
      <c r="N220" s="6"/>
      <c r="O220" s="6"/>
      <c r="P220" s="6"/>
      <c r="Q220" s="6"/>
      <c r="R220" s="6"/>
      <c r="S220" s="6"/>
      <c r="Y220" s="7"/>
      <c r="AA220" s="2"/>
      <c r="AB220" s="2"/>
      <c r="AC220" s="2"/>
    </row>
    <row r="221" spans="6:29">
      <c r="F221" s="5">
        <f t="shared" si="45"/>
        <v>7.4263372388836269E-5</v>
      </c>
      <c r="G221" s="4">
        <f t="shared" si="42"/>
        <v>54637009.760277368</v>
      </c>
      <c r="H221" s="3">
        <f t="shared" si="43"/>
        <v>4057.5286020399599</v>
      </c>
      <c r="I221">
        <f t="shared" si="44"/>
        <v>221691229832.26187</v>
      </c>
      <c r="J221" s="6"/>
      <c r="K221" s="6"/>
      <c r="L221" s="6"/>
      <c r="M221" s="6"/>
      <c r="N221" s="6"/>
      <c r="O221" s="6"/>
      <c r="P221" s="6"/>
      <c r="Q221" s="6"/>
      <c r="R221" s="6"/>
      <c r="S221" s="6"/>
      <c r="Y221" s="7"/>
      <c r="AA221" s="2"/>
      <c r="AB221" s="2"/>
      <c r="AC221" s="2"/>
    </row>
    <row r="222" spans="6:29">
      <c r="F222" s="5">
        <f t="shared" si="45"/>
        <v>7.0684946949516972E-5</v>
      </c>
      <c r="G222" s="4">
        <f t="shared" si="42"/>
        <v>56002935.0042843</v>
      </c>
      <c r="H222" s="3">
        <f t="shared" si="43"/>
        <v>3958.5644897950829</v>
      </c>
      <c r="I222">
        <f t="shared" si="44"/>
        <v>221691229832.26187</v>
      </c>
      <c r="J222" s="6"/>
      <c r="K222" s="6"/>
      <c r="L222" s="6"/>
      <c r="M222" s="6"/>
      <c r="N222" s="6"/>
      <c r="O222" s="6"/>
      <c r="P222" s="6"/>
      <c r="Q222" s="6"/>
      <c r="R222" s="6"/>
      <c r="S222" s="6"/>
      <c r="Y222" s="7"/>
      <c r="AA222" s="2"/>
      <c r="AB222" s="2"/>
      <c r="AC222" s="2"/>
    </row>
    <row r="223" spans="6:29">
      <c r="F223" s="5">
        <f t="shared" si="45"/>
        <v>6.7278950100670544E-5</v>
      </c>
      <c r="G223" s="4">
        <f t="shared" si="42"/>
        <v>57403008.379391402</v>
      </c>
      <c r="H223" s="3">
        <f t="shared" si="43"/>
        <v>3862.0141363854473</v>
      </c>
      <c r="I223">
        <f t="shared" si="44"/>
        <v>221691229832.26187</v>
      </c>
      <c r="J223" s="6"/>
      <c r="K223" s="6"/>
      <c r="L223" s="6"/>
      <c r="M223" s="6"/>
      <c r="N223" s="6"/>
      <c r="O223" s="6"/>
      <c r="P223" s="6"/>
      <c r="Q223" s="6"/>
      <c r="R223" s="6"/>
      <c r="S223" s="6"/>
      <c r="Y223" s="7"/>
      <c r="AA223" s="2"/>
      <c r="AB223" s="2"/>
      <c r="AC223" s="2"/>
    </row>
    <row r="224" spans="6:29">
      <c r="F224" s="5">
        <f t="shared" si="45"/>
        <v>6.4037073266551392E-5</v>
      </c>
      <c r="G224" s="4">
        <f t="shared" si="42"/>
        <v>58838083.58887618</v>
      </c>
      <c r="H224" s="3">
        <f t="shared" si="43"/>
        <v>3767.818669644339</v>
      </c>
      <c r="I224">
        <f t="shared" si="44"/>
        <v>221691229832.26187</v>
      </c>
      <c r="J224" s="6"/>
      <c r="K224" s="6"/>
      <c r="L224" s="6"/>
      <c r="M224" s="6"/>
      <c r="N224" s="6"/>
      <c r="O224" s="6"/>
      <c r="P224" s="6"/>
      <c r="Q224" s="6"/>
      <c r="R224" s="6"/>
      <c r="S224" s="6"/>
      <c r="Y224" s="7"/>
      <c r="AA224" s="2"/>
      <c r="AB224" s="2"/>
      <c r="AC224" s="2"/>
    </row>
    <row r="225" spans="6:29">
      <c r="F225" s="5">
        <f t="shared" si="45"/>
        <v>6.0951408225153035E-5</v>
      </c>
      <c r="G225" s="4">
        <f t="shared" si="42"/>
        <v>60309035.678598076</v>
      </c>
      <c r="H225" s="3">
        <f t="shared" si="43"/>
        <v>3675.9206533115507</v>
      </c>
      <c r="I225">
        <f t="shared" si="44"/>
        <v>221691229832.26187</v>
      </c>
      <c r="J225" s="6"/>
      <c r="K225" s="6"/>
      <c r="L225" s="6"/>
      <c r="M225" s="6"/>
      <c r="N225" s="6"/>
      <c r="O225" s="6"/>
      <c r="P225" s="6"/>
      <c r="Q225" s="6"/>
      <c r="R225" s="6"/>
      <c r="S225" s="6"/>
      <c r="Y225" s="7"/>
      <c r="AA225" s="2"/>
      <c r="AB225" s="2"/>
      <c r="AC225" s="2"/>
    </row>
    <row r="226" spans="6:29">
      <c r="F226" s="5">
        <f t="shared" si="45"/>
        <v>5.8014427816921392E-5</v>
      </c>
      <c r="G226" s="4">
        <f t="shared" si="42"/>
        <v>61816761.570563026</v>
      </c>
      <c r="H226" s="3">
        <f t="shared" si="43"/>
        <v>3586.2640520112691</v>
      </c>
      <c r="I226">
        <f t="shared" si="44"/>
        <v>221691229832.26187</v>
      </c>
      <c r="J226" s="6"/>
      <c r="K226" s="6"/>
      <c r="L226" s="6"/>
      <c r="M226" s="6"/>
      <c r="N226" s="6"/>
      <c r="O226" s="6"/>
      <c r="P226" s="6"/>
      <c r="Q226" s="6"/>
      <c r="R226" s="6"/>
      <c r="S226" s="6"/>
      <c r="Y226" s="7"/>
      <c r="AA226" s="2"/>
      <c r="AB226" s="2"/>
      <c r="AC226" s="2"/>
    </row>
    <row r="227" spans="6:29">
      <c r="F227" s="5">
        <f t="shared" si="45"/>
        <v>5.5218967583030495E-5</v>
      </c>
      <c r="G227" s="4">
        <f t="shared" si="42"/>
        <v>63362180.609827094</v>
      </c>
      <c r="H227" s="3">
        <f t="shared" si="43"/>
        <v>3498.7941970841657</v>
      </c>
      <c r="I227">
        <f t="shared" si="44"/>
        <v>221691229832.26187</v>
      </c>
      <c r="J227" s="6"/>
      <c r="K227" s="6"/>
      <c r="L227" s="6"/>
      <c r="M227" s="6"/>
      <c r="N227" s="6"/>
      <c r="O227" s="6"/>
      <c r="P227" s="6"/>
      <c r="Q227" s="6"/>
      <c r="R227" s="6"/>
      <c r="S227" s="6"/>
      <c r="Y227" s="7"/>
      <c r="AA227" s="2"/>
      <c r="AB227" s="2"/>
      <c r="AC227" s="2"/>
    </row>
    <row r="228" spans="6:29">
      <c r="F228" s="5">
        <f t="shared" si="45"/>
        <v>5.2558208288428803E-5</v>
      </c>
      <c r="G228" s="4">
        <f t="shared" si="42"/>
        <v>64946235.125072762</v>
      </c>
      <c r="H228" s="3">
        <f t="shared" si="43"/>
        <v>3413.4577532528451</v>
      </c>
      <c r="I228">
        <f t="shared" si="44"/>
        <v>221691229832.26187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Y228" s="7"/>
      <c r="AA228" s="2"/>
      <c r="AB228" s="2"/>
      <c r="AC228" s="2"/>
    </row>
    <row r="229" spans="6:29">
      <c r="F229" s="5">
        <f t="shared" si="45"/>
        <v>5.0025659287023259E-5</v>
      </c>
      <c r="G229" s="4">
        <f t="shared" si="42"/>
        <v>66569891.003199577</v>
      </c>
      <c r="H229" s="3">
        <f t="shared" si="43"/>
        <v>3330.2026861003369</v>
      </c>
      <c r="I229">
        <f t="shared" si="44"/>
        <v>221691229832.26187</v>
      </c>
      <c r="J229" s="6"/>
      <c r="K229" s="6"/>
      <c r="L229" s="6"/>
      <c r="M229" s="6"/>
      <c r="N229" s="6"/>
      <c r="O229" s="6"/>
      <c r="P229" s="6"/>
      <c r="Q229" s="6"/>
      <c r="R229" s="6"/>
      <c r="S229" s="6"/>
      <c r="Y229" s="7"/>
      <c r="AA229" s="2"/>
      <c r="AB229" s="2"/>
      <c r="AC229" s="2"/>
    </row>
    <row r="230" spans="6:29">
      <c r="F230" s="5">
        <f t="shared" si="45"/>
        <v>4.7615142688421907E-5</v>
      </c>
      <c r="G230" s="4">
        <f t="shared" si="42"/>
        <v>68234138.278279558</v>
      </c>
      <c r="H230" s="3">
        <f t="shared" si="43"/>
        <v>3248.9782303417924</v>
      </c>
      <c r="I230">
        <f t="shared" si="44"/>
        <v>221691229832.26187</v>
      </c>
      <c r="J230" s="6"/>
      <c r="K230" s="6"/>
      <c r="L230" s="6"/>
      <c r="M230" s="6"/>
      <c r="N230" s="6"/>
      <c r="O230" s="6"/>
      <c r="P230" s="6"/>
      <c r="Q230" s="6"/>
      <c r="R230" s="6"/>
      <c r="S230" s="6"/>
      <c r="Y230" s="7"/>
      <c r="AA230" s="2"/>
      <c r="AB230" s="2"/>
      <c r="AC230" s="2"/>
    </row>
    <row r="231" spans="6:29">
      <c r="F231" s="5">
        <f t="shared" si="45"/>
        <v>4.5320778287611577E-5</v>
      </c>
      <c r="G231" s="4">
        <f t="shared" si="42"/>
        <v>69939991.73523654</v>
      </c>
      <c r="H231" s="3">
        <f t="shared" si="43"/>
        <v>3169.7348588700415</v>
      </c>
      <c r="I231">
        <f t="shared" si="44"/>
        <v>221691229832.26187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Y231" s="7"/>
      <c r="AA231" s="2"/>
      <c r="AB231" s="2"/>
      <c r="AC231" s="2"/>
    </row>
    <row r="232" spans="6:29">
      <c r="F232" s="5">
        <f t="shared" si="45"/>
        <v>4.313696922080818E-5</v>
      </c>
      <c r="G232" s="4">
        <f t="shared" si="42"/>
        <v>71688491.528617442</v>
      </c>
      <c r="H232" s="3">
        <f t="shared" si="43"/>
        <v>3092.4242525561385</v>
      </c>
      <c r="I232">
        <f t="shared" si="44"/>
        <v>221691229832.26187</v>
      </c>
      <c r="J232" s="6"/>
      <c r="K232" s="6"/>
      <c r="L232" s="6"/>
      <c r="M232" s="6"/>
      <c r="N232" s="6"/>
      <c r="O232" s="6"/>
      <c r="P232" s="6"/>
      <c r="Q232" s="6"/>
      <c r="R232" s="6"/>
      <c r="S232" s="6"/>
      <c r="Y232" s="7"/>
      <c r="AA232" s="2"/>
      <c r="AB232" s="2"/>
      <c r="AC232" s="2"/>
    </row>
    <row r="233" spans="6:29">
      <c r="F233" s="5">
        <f t="shared" si="45"/>
        <v>4.1058388312488466E-5</v>
      </c>
      <c r="G233" s="4">
        <f t="shared" si="42"/>
        <v>73480703.81683287</v>
      </c>
      <c r="H233" s="3">
        <f t="shared" si="43"/>
        <v>3016.9992707864772</v>
      </c>
      <c r="I233">
        <f t="shared" si="44"/>
        <v>221691229832.26187</v>
      </c>
      <c r="J233" s="6"/>
      <c r="K233" s="6"/>
      <c r="L233" s="6"/>
      <c r="M233" s="6"/>
      <c r="N233" s="6"/>
      <c r="O233" s="6"/>
      <c r="P233" s="6"/>
      <c r="Q233" s="6"/>
      <c r="R233" s="6"/>
      <c r="S233" s="6"/>
      <c r="Y233" s="7"/>
      <c r="AA233" s="2"/>
      <c r="AB233" s="2"/>
      <c r="AC233" s="2"/>
    </row>
    <row r="234" spans="6:29">
      <c r="F234" s="5">
        <f t="shared" si="45"/>
        <v>3.907996508029836E-5</v>
      </c>
      <c r="G234" s="4">
        <f t="shared" si="42"/>
        <v>75317721.412253693</v>
      </c>
      <c r="H234" s="3">
        <f t="shared" si="43"/>
        <v>2943.4139227185142</v>
      </c>
      <c r="I234">
        <f t="shared" si="44"/>
        <v>221691229832.26187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Y234" s="7"/>
      <c r="AA234" s="2"/>
      <c r="AB234" s="2"/>
      <c r="AC234" s="2"/>
    </row>
    <row r="235" spans="6:29">
      <c r="F235" s="5">
        <f t="shared" si="45"/>
        <v>3.7196873366137651E-5</v>
      </c>
      <c r="G235" s="4">
        <f t="shared" si="42"/>
        <v>77200664.447560027</v>
      </c>
      <c r="H235" s="3">
        <f t="shared" si="43"/>
        <v>2871.6233392375752</v>
      </c>
      <c r="I235">
        <f t="shared" si="44"/>
        <v>221691229832.26187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Y235" s="7"/>
      <c r="AA235" s="2"/>
      <c r="AB235" s="2"/>
      <c r="AC235" s="2"/>
    </row>
    <row r="236" spans="6:29">
      <c r="F236" s="5">
        <f t="shared" si="45"/>
        <v>3.5404519563248214E-5</v>
      </c>
      <c r="G236" s="4">
        <f t="shared" si="42"/>
        <v>79130681.05874902</v>
      </c>
      <c r="H236" s="3">
        <f t="shared" si="43"/>
        <v>2801.5837455976343</v>
      </c>
      <c r="I236">
        <f t="shared" si="44"/>
        <v>221691229832.26187</v>
      </c>
      <c r="J236" s="6"/>
      <c r="K236" s="6"/>
      <c r="L236" s="6"/>
      <c r="M236" s="6"/>
      <c r="N236" s="6"/>
      <c r="O236" s="6"/>
      <c r="P236" s="6"/>
      <c r="Q236" s="6"/>
      <c r="R236" s="6"/>
      <c r="S236" s="6"/>
      <c r="Y236" s="7"/>
      <c r="AA236" s="2"/>
      <c r="AB236" s="2"/>
      <c r="AC236" s="2"/>
    </row>
    <row r="237" spans="6:29">
      <c r="F237" s="5">
        <f t="shared" si="45"/>
        <v>3.3698531410587235E-5</v>
      </c>
      <c r="G237" s="4">
        <f t="shared" si="42"/>
        <v>81108948.085217744</v>
      </c>
      <c r="H237" s="3">
        <f t="shared" si="43"/>
        <v>2733.2524347293997</v>
      </c>
      <c r="I237">
        <f t="shared" si="44"/>
        <v>221691229832.26187</v>
      </c>
      <c r="J237" s="6"/>
      <c r="K237" s="6"/>
      <c r="L237" s="6"/>
      <c r="M237" s="6"/>
      <c r="N237" s="6"/>
      <c r="O237" s="6"/>
      <c r="P237" s="6"/>
      <c r="Q237" s="6"/>
      <c r="R237" s="6"/>
      <c r="S237" s="6"/>
      <c r="Y237" s="7"/>
      <c r="AA237" s="2"/>
      <c r="AB237" s="2"/>
      <c r="AC237" s="2"/>
    </row>
    <row r="238" spans="6:29">
      <c r="F238" s="5">
        <f t="shared" si="45"/>
        <v>3.2074747327150255E-5</v>
      </c>
      <c r="G238" s="4">
        <f t="shared" si="42"/>
        <v>83136671.787348181</v>
      </c>
      <c r="H238" s="3">
        <f t="shared" si="43"/>
        <v>2666.5877411994143</v>
      </c>
      <c r="I238">
        <f t="shared" si="44"/>
        <v>221691229832.26187</v>
      </c>
      <c r="J238" s="6"/>
      <c r="K238" s="6"/>
      <c r="L238" s="6"/>
      <c r="M238" s="6"/>
      <c r="N238" s="6"/>
      <c r="O238" s="6"/>
      <c r="P238" s="6"/>
      <c r="Q238" s="6"/>
      <c r="R238" s="6"/>
      <c r="S238" s="6"/>
      <c r="Y238" s="7"/>
      <c r="AA238" s="2"/>
      <c r="AB238" s="2"/>
      <c r="AC238" s="2"/>
    </row>
    <row r="239" spans="6:29">
      <c r="F239" s="5">
        <f t="shared" si="45"/>
        <v>3.0529206260226311E-5</v>
      </c>
      <c r="G239" s="4">
        <f t="shared" si="42"/>
        <v>85215088.582031876</v>
      </c>
      <c r="H239" s="3">
        <f t="shared" si="43"/>
        <v>2601.5490158043071</v>
      </c>
      <c r="I239">
        <f t="shared" si="44"/>
        <v>221691229832.26187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Y239" s="7"/>
      <c r="AA239" s="2"/>
      <c r="AB239" s="2"/>
      <c r="AC239" s="2"/>
    </row>
    <row r="240" spans="6:29">
      <c r="F240" s="5">
        <f t="shared" si="45"/>
        <v>2.9058138022821002E-5</v>
      </c>
      <c r="G240" s="4">
        <f t="shared" si="42"/>
        <v>87345465.796582669</v>
      </c>
      <c r="H240" s="3">
        <f t="shared" si="43"/>
        <v>2538.0966007846901</v>
      </c>
      <c r="I240">
        <f t="shared" si="44"/>
        <v>221691229832.26187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Y240" s="7"/>
      <c r="AA240" s="2"/>
      <c r="AB240" s="2"/>
      <c r="AC240" s="2"/>
    </row>
    <row r="241" spans="6:29">
      <c r="F241" s="5">
        <f t="shared" si="45"/>
        <v>2.7657954096676748E-5</v>
      </c>
      <c r="G241" s="4">
        <f t="shared" ref="G241:G304" si="46">G240*(1+$O$1)</f>
        <v>89529102.441497222</v>
      </c>
      <c r="H241" s="3">
        <f t="shared" si="43"/>
        <v>2476.1918056436002</v>
      </c>
      <c r="I241">
        <f t="shared" si="44"/>
        <v>221691229832.26187</v>
      </c>
      <c r="J241" s="6"/>
      <c r="K241" s="6"/>
      <c r="L241" s="6"/>
      <c r="M241" s="6"/>
      <c r="N241" s="6"/>
      <c r="O241" s="6"/>
      <c r="P241" s="6"/>
      <c r="Q241" s="6"/>
      <c r="R241" s="6"/>
      <c r="S241" s="6"/>
      <c r="Y241" s="7"/>
      <c r="AA241" s="2"/>
      <c r="AB241" s="2"/>
      <c r="AC241" s="2"/>
    </row>
    <row r="242" spans="6:29">
      <c r="F242" s="5">
        <f t="shared" si="45"/>
        <v>2.632523887845497E-5</v>
      </c>
      <c r="G242" s="4">
        <f t="shared" si="46"/>
        <v>91767330.002534643</v>
      </c>
      <c r="H242" s="3">
        <f t="shared" ref="H242:H305" si="47">I242/G242</f>
        <v>2415.7968835547322</v>
      </c>
      <c r="I242">
        <f t="shared" ref="I242:I305" si="48">I241</f>
        <v>221691229832.26187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Y242" s="7"/>
      <c r="AA242" s="2"/>
      <c r="AB242" s="2"/>
      <c r="AC242" s="2"/>
    </row>
    <row r="243" spans="6:29">
      <c r="F243" s="5">
        <f t="shared" si="45"/>
        <v>2.5056741347726329E-5</v>
      </c>
      <c r="G243" s="4">
        <f t="shared" si="46"/>
        <v>94061513.252598003</v>
      </c>
      <c r="H243" s="3">
        <f t="shared" si="47"/>
        <v>2356.8750083460804</v>
      </c>
      <c r="I243">
        <f t="shared" si="48"/>
        <v>221691229832.26187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Y243" s="7"/>
      <c r="AA243" s="2"/>
      <c r="AB243" s="2"/>
      <c r="AC243" s="2"/>
    </row>
    <row r="244" spans="6:29">
      <c r="F244" s="5">
        <f t="shared" si="45"/>
        <v>2.3849367136443867E-5</v>
      </c>
      <c r="G244" s="4">
        <f t="shared" si="46"/>
        <v>96413051.083912939</v>
      </c>
      <c r="H244" s="3">
        <f t="shared" si="47"/>
        <v>2299.3902520449569</v>
      </c>
      <c r="I244">
        <f t="shared" si="48"/>
        <v>221691229832.26187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Y244" s="7"/>
      <c r="AA244" s="2"/>
      <c r="AB244" s="2"/>
      <c r="AC244" s="2"/>
    </row>
    <row r="245" spans="6:29">
      <c r="F245" s="5">
        <f t="shared" si="45"/>
        <v>2.2700170980553351E-5</v>
      </c>
      <c r="G245" s="4">
        <f t="shared" si="46"/>
        <v>98823377.36101076</v>
      </c>
      <c r="H245" s="3">
        <f t="shared" si="47"/>
        <v>2243.3075629706896</v>
      </c>
      <c r="I245">
        <f t="shared" si="48"/>
        <v>221691229832.26187</v>
      </c>
      <c r="J245" s="6"/>
      <c r="K245" s="6"/>
      <c r="L245" s="6"/>
      <c r="M245" s="6"/>
      <c r="N245" s="6"/>
      <c r="O245" s="6"/>
      <c r="P245" s="6"/>
      <c r="Q245" s="6"/>
      <c r="R245" s="6"/>
      <c r="S245" s="6"/>
      <c r="Y245" s="7"/>
      <c r="AA245" s="2"/>
      <c r="AB245" s="2"/>
      <c r="AC245" s="2"/>
    </row>
    <row r="246" spans="6:29">
      <c r="F246" s="5">
        <f t="shared" si="45"/>
        <v>2.1606349535327409E-5</v>
      </c>
      <c r="G246" s="4">
        <f t="shared" si="46"/>
        <v>101293961.79503602</v>
      </c>
      <c r="H246" s="3">
        <f t="shared" si="47"/>
        <v>2188.5927443616488</v>
      </c>
      <c r="I246">
        <f t="shared" si="48"/>
        <v>221691229832.26187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Y246" s="7"/>
      <c r="AA246" s="2"/>
      <c r="AB246" s="2"/>
      <c r="AC246" s="2"/>
    </row>
    <row r="247" spans="6:29">
      <c r="F247" s="5">
        <f t="shared" si="45"/>
        <v>2.0565234536897001E-5</v>
      </c>
      <c r="G247" s="4">
        <f t="shared" si="46"/>
        <v>103826310.83991191</v>
      </c>
      <c r="H247" s="3">
        <f t="shared" si="47"/>
        <v>2135.2124335235599</v>
      </c>
      <c r="I247">
        <f t="shared" si="48"/>
        <v>221691229832.26187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Y247" s="7"/>
      <c r="AA247" s="2"/>
      <c r="AB247" s="2"/>
      <c r="AC247" s="2"/>
    </row>
    <row r="248" spans="6:29">
      <c r="F248" s="5">
        <f t="shared" si="45"/>
        <v>1.9574286293298756E-5</v>
      </c>
      <c r="G248" s="4">
        <f t="shared" si="46"/>
        <v>106421968.6109097</v>
      </c>
      <c r="H248" s="3">
        <f t="shared" si="47"/>
        <v>2083.1340814864002</v>
      </c>
      <c r="I248">
        <f t="shared" si="48"/>
        <v>221691229832.26187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Y248" s="7"/>
      <c r="AA248" s="2"/>
      <c r="AB248" s="2"/>
      <c r="AC248" s="2"/>
    </row>
    <row r="249" spans="6:29">
      <c r="F249" s="5">
        <f t="shared" si="45"/>
        <v>1.8631087489160029E-5</v>
      </c>
      <c r="G249" s="4">
        <f t="shared" si="46"/>
        <v>109082517.82618244</v>
      </c>
      <c r="H249" s="3">
        <f t="shared" si="47"/>
        <v>2032.3259331574634</v>
      </c>
      <c r="I249">
        <f t="shared" si="48"/>
        <v>221691229832.26187</v>
      </c>
      <c r="J249" s="6"/>
      <c r="K249" s="6"/>
      <c r="L249" s="6"/>
      <c r="M249" s="6"/>
      <c r="N249" s="6"/>
      <c r="O249" s="6"/>
      <c r="P249" s="6"/>
      <c r="Q249" s="6"/>
      <c r="R249" s="6"/>
      <c r="S249" s="6"/>
      <c r="Y249" s="7"/>
      <c r="AA249" s="2"/>
      <c r="AB249" s="2"/>
      <c r="AC249" s="2"/>
    </row>
    <row r="250" spans="6:29">
      <c r="F250" s="5">
        <f t="shared" si="45"/>
        <v>1.7733337288909009E-5</v>
      </c>
      <c r="G250" s="4">
        <f t="shared" si="46"/>
        <v>111809580.771837</v>
      </c>
      <c r="H250" s="3">
        <f t="shared" si="47"/>
        <v>1982.7570079585009</v>
      </c>
      <c r="I250">
        <f t="shared" si="48"/>
        <v>221691229832.26187</v>
      </c>
      <c r="J250" s="6"/>
      <c r="K250" s="6"/>
      <c r="L250" s="6"/>
      <c r="M250" s="6"/>
      <c r="N250" s="6"/>
      <c r="O250" s="6"/>
      <c r="P250" s="6"/>
      <c r="Q250" s="6"/>
      <c r="R250" s="6"/>
      <c r="S250" s="6"/>
      <c r="Y250" s="7"/>
      <c r="AA250" s="2"/>
      <c r="AB250" s="2"/>
      <c r="AC250" s="2"/>
    </row>
    <row r="251" spans="6:29">
      <c r="F251" s="5">
        <f t="shared" si="45"/>
        <v>1.6878845724125178E-5</v>
      </c>
      <c r="G251" s="4">
        <f t="shared" si="46"/>
        <v>114604820.29113291</v>
      </c>
      <c r="H251" s="3">
        <f t="shared" si="47"/>
        <v>1934.3970809351231</v>
      </c>
      <c r="I251">
        <f t="shared" si="48"/>
        <v>221691229832.26187</v>
      </c>
      <c r="J251" s="6"/>
      <c r="K251" s="6"/>
      <c r="L251" s="6"/>
      <c r="M251" s="6"/>
      <c r="N251" s="6"/>
      <c r="O251" s="6"/>
      <c r="P251" s="6"/>
      <c r="Q251" s="6"/>
      <c r="R251" s="6"/>
      <c r="S251" s="6"/>
      <c r="Y251" s="7"/>
      <c r="AA251" s="2"/>
      <c r="AB251" s="2"/>
      <c r="AC251" s="2"/>
    </row>
    <row r="252" spans="6:29">
      <c r="F252" s="5">
        <f t="shared" si="45"/>
        <v>1.6065528351338662E-5</v>
      </c>
      <c r="G252" s="4">
        <f t="shared" si="46"/>
        <v>117469940.79841122</v>
      </c>
      <c r="H252" s="3">
        <f t="shared" si="47"/>
        <v>1887.2166643269495</v>
      </c>
      <c r="I252">
        <f t="shared" si="48"/>
        <v>221691229832.26187</v>
      </c>
      <c r="J252" s="6"/>
      <c r="K252" s="6"/>
      <c r="L252" s="6"/>
      <c r="M252" s="6"/>
      <c r="N252" s="6"/>
      <c r="O252" s="6"/>
      <c r="P252" s="6"/>
      <c r="Q252" s="6"/>
      <c r="R252" s="6"/>
      <c r="S252" s="6"/>
      <c r="Y252" s="7"/>
      <c r="AA252" s="2"/>
      <c r="AB252" s="2"/>
      <c r="AC252" s="2"/>
    </row>
    <row r="253" spans="6:29">
      <c r="F253" s="5">
        <f t="shared" si="45"/>
        <v>1.5291401167246794E-5</v>
      </c>
      <c r="G253" s="4">
        <f t="shared" si="46"/>
        <v>120406689.31837149</v>
      </c>
      <c r="H253" s="3">
        <f t="shared" si="47"/>
        <v>1841.186989587268</v>
      </c>
      <c r="I253">
        <f t="shared" si="48"/>
        <v>221691229832.26187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Y253" s="7"/>
      <c r="AA253" s="2"/>
      <c r="AB253" s="2"/>
      <c r="AC253" s="2"/>
    </row>
    <row r="254" spans="6:29">
      <c r="F254" s="5">
        <f t="shared" si="45"/>
        <v>1.455457576894401E-5</v>
      </c>
      <c r="G254" s="4">
        <f t="shared" si="46"/>
        <v>123416856.55133076</v>
      </c>
      <c r="H254" s="3">
        <f t="shared" si="47"/>
        <v>1796.2799898412375</v>
      </c>
      <c r="I254">
        <f t="shared" si="48"/>
        <v>221691229832.26187</v>
      </c>
      <c r="J254" s="6"/>
      <c r="K254" s="6"/>
      <c r="L254" s="6"/>
      <c r="M254" s="6"/>
      <c r="N254" s="6"/>
      <c r="O254" s="6"/>
      <c r="P254" s="6"/>
      <c r="Q254" s="6"/>
      <c r="R254" s="6"/>
      <c r="S254" s="6"/>
      <c r="Y254" s="7"/>
      <c r="AA254" s="2"/>
      <c r="AB254" s="2"/>
      <c r="AC254" s="2"/>
    </row>
    <row r="255" spans="6:29">
      <c r="F255" s="5">
        <f t="shared" si="45"/>
        <v>1.3853254747358966E-5</v>
      </c>
      <c r="G255" s="4">
        <f t="shared" si="46"/>
        <v>126502277.96511401</v>
      </c>
      <c r="H255" s="3">
        <f t="shared" si="47"/>
        <v>1752.4682827719391</v>
      </c>
      <c r="I255">
        <f t="shared" si="48"/>
        <v>221691229832.26187</v>
      </c>
      <c r="J255" s="6"/>
      <c r="K255" s="6"/>
      <c r="L255" s="6"/>
      <c r="M255" s="6"/>
      <c r="N255" s="6"/>
      <c r="O255" s="6"/>
      <c r="P255" s="6"/>
      <c r="Q255" s="6"/>
      <c r="R255" s="6"/>
      <c r="S255" s="6"/>
      <c r="Y255" s="7"/>
      <c r="AA255" s="2"/>
      <c r="AB255" s="2"/>
      <c r="AC255" s="2"/>
    </row>
    <row r="256" spans="6:29">
      <c r="F256" s="5">
        <f t="shared" si="45"/>
        <v>1.3185727302661718E-5</v>
      </c>
      <c r="G256" s="4">
        <f t="shared" si="46"/>
        <v>129664834.91424185</v>
      </c>
      <c r="H256" s="3">
        <f t="shared" si="47"/>
        <v>1709.7251539238432</v>
      </c>
      <c r="I256">
        <f t="shared" si="48"/>
        <v>221691229832.26187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Y256" s="7"/>
      <c r="AA256" s="2"/>
      <c r="AB256" s="2"/>
      <c r="AC256" s="2"/>
    </row>
    <row r="257" spans="6:29">
      <c r="F257" s="5">
        <f t="shared" si="45"/>
        <v>1.2550365070945123E-5</v>
      </c>
      <c r="G257" s="4">
        <f t="shared" si="46"/>
        <v>132906455.78709789</v>
      </c>
      <c r="H257" s="3">
        <f t="shared" si="47"/>
        <v>1668.0245404135057</v>
      </c>
      <c r="I257">
        <f t="shared" si="48"/>
        <v>221691229832.26187</v>
      </c>
      <c r="J257" s="6"/>
      <c r="K257" s="6"/>
      <c r="L257" s="6"/>
      <c r="M257" s="6"/>
      <c r="N257" s="6"/>
      <c r="O257" s="6"/>
      <c r="P257" s="6"/>
      <c r="Q257" s="6"/>
      <c r="R257" s="6"/>
      <c r="S257" s="6"/>
      <c r="Y257" s="7"/>
      <c r="AA257" s="2"/>
      <c r="AB257" s="2"/>
      <c r="AC257" s="2"/>
    </row>
    <row r="258" spans="6:29">
      <c r="F258" s="5">
        <f t="shared" si="45"/>
        <v>1.1945618152000119E-5</v>
      </c>
      <c r="G258" s="4">
        <f t="shared" si="46"/>
        <v>136229117.18177533</v>
      </c>
      <c r="H258" s="3">
        <f t="shared" si="47"/>
        <v>1627.3410150375666</v>
      </c>
      <c r="I258">
        <f t="shared" si="48"/>
        <v>221691229832.26187</v>
      </c>
      <c r="J258" s="6"/>
      <c r="K258" s="6"/>
      <c r="L258" s="6"/>
      <c r="M258" s="6"/>
      <c r="N258" s="6"/>
      <c r="O258" s="6"/>
      <c r="P258" s="6"/>
      <c r="Q258" s="6"/>
      <c r="R258" s="6"/>
      <c r="S258" s="6"/>
      <c r="Y258" s="7"/>
      <c r="AA258" s="2"/>
      <c r="AB258" s="2"/>
      <c r="AC258" s="2"/>
    </row>
    <row r="259" spans="6:29">
      <c r="F259" s="5">
        <f t="shared" si="45"/>
        <v>1.137001132849506E-5</v>
      </c>
      <c r="G259" s="4">
        <f t="shared" si="46"/>
        <v>139634845.11131969</v>
      </c>
      <c r="H259" s="3">
        <f t="shared" si="47"/>
        <v>1587.6497707683579</v>
      </c>
      <c r="I259">
        <f t="shared" si="48"/>
        <v>221691229832.26187</v>
      </c>
      <c r="J259" s="6"/>
      <c r="K259" s="6"/>
      <c r="L259" s="6"/>
      <c r="M259" s="6"/>
      <c r="N259" s="6"/>
      <c r="O259" s="6"/>
      <c r="P259" s="6"/>
      <c r="Q259" s="6"/>
      <c r="R259" s="6"/>
      <c r="S259" s="6"/>
      <c r="Y259" s="7"/>
      <c r="AA259" s="2"/>
      <c r="AB259" s="2"/>
      <c r="AC259" s="2"/>
    </row>
    <row r="260" spans="6:29">
      <c r="F260" s="5">
        <f t="shared" si="45"/>
        <v>1.082214046733617E-5</v>
      </c>
      <c r="G260" s="4">
        <f t="shared" si="46"/>
        <v>143125716.23910266</v>
      </c>
      <c r="H260" s="3">
        <f t="shared" si="47"/>
        <v>1548.9266056276665</v>
      </c>
      <c r="I260">
        <f t="shared" si="48"/>
        <v>221691229832.26187</v>
      </c>
      <c r="J260" s="6"/>
      <c r="K260" s="6"/>
      <c r="L260" s="6"/>
      <c r="M260" s="6"/>
      <c r="N260" s="6"/>
      <c r="O260" s="6"/>
      <c r="P260" s="6"/>
      <c r="Q260" s="6"/>
      <c r="R260" s="6"/>
      <c r="S260" s="6"/>
      <c r="Y260" s="7"/>
      <c r="AA260" s="2"/>
      <c r="AB260" s="2"/>
      <c r="AC260" s="2"/>
    </row>
    <row r="261" spans="6:29">
      <c r="F261" s="5">
        <f t="shared" si="45"/>
        <v>1.0300669094430622E-5</v>
      </c>
      <c r="G261" s="4">
        <f t="shared" si="46"/>
        <v>146703859.14508021</v>
      </c>
      <c r="H261" s="3">
        <f t="shared" si="47"/>
        <v>1511.1479079294309</v>
      </c>
      <c r="I261">
        <f t="shared" si="48"/>
        <v>221691229832.26187</v>
      </c>
      <c r="J261" s="6"/>
      <c r="K261" s="6"/>
      <c r="L261" s="6"/>
      <c r="M261" s="6"/>
      <c r="N261" s="6"/>
      <c r="O261" s="6"/>
      <c r="P261" s="6"/>
      <c r="Q261" s="6"/>
      <c r="R261" s="6"/>
      <c r="S261" s="6"/>
      <c r="Y261" s="7"/>
      <c r="AA261" s="2"/>
      <c r="AB261" s="2"/>
      <c r="AC261" s="2"/>
    </row>
    <row r="262" spans="6:29">
      <c r="F262" s="5">
        <f t="shared" si="45"/>
        <v>9.8043251344967266E-6</v>
      </c>
      <c r="G262" s="4">
        <f t="shared" si="46"/>
        <v>150371455.62370721</v>
      </c>
      <c r="H262" s="3">
        <f t="shared" si="47"/>
        <v>1474.2906418823718</v>
      </c>
      <c r="I262">
        <f t="shared" si="48"/>
        <v>221691229832.26187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Y262" s="7"/>
      <c r="AA262" s="2"/>
      <c r="AB262" s="2"/>
      <c r="AC262" s="2"/>
    </row>
    <row r="263" spans="6:29">
      <c r="F263" s="5">
        <f t="shared" si="45"/>
        <v>9.3318978079683312E-6</v>
      </c>
      <c r="G263" s="4">
        <f t="shared" si="46"/>
        <v>154130742.01429987</v>
      </c>
      <c r="H263" s="3">
        <f t="shared" si="47"/>
        <v>1438.3323335437774</v>
      </c>
      <c r="I263">
        <f t="shared" si="48"/>
        <v>221691229832.26187</v>
      </c>
      <c r="J263" s="6"/>
      <c r="K263" s="6"/>
      <c r="L263" s="6"/>
      <c r="M263" s="6"/>
      <c r="N263" s="6"/>
      <c r="O263" s="6"/>
      <c r="P263" s="6"/>
      <c r="Q263" s="6"/>
      <c r="R263" s="6"/>
      <c r="S263" s="6"/>
      <c r="Y263" s="7"/>
      <c r="AA263" s="2"/>
      <c r="AB263" s="2"/>
      <c r="AC263" s="2"/>
    </row>
    <row r="264" spans="6:29">
      <c r="F264" s="5">
        <f t="shared" si="45"/>
        <v>8.8822346774237551E-6</v>
      </c>
      <c r="G264" s="4">
        <f t="shared" si="46"/>
        <v>157984010.56465736</v>
      </c>
      <c r="H264" s="3">
        <f t="shared" si="47"/>
        <v>1403.2510571158805</v>
      </c>
      <c r="I264">
        <f t="shared" si="48"/>
        <v>221691229832.26187</v>
      </c>
      <c r="J264" s="6"/>
      <c r="K264" s="6"/>
      <c r="L264" s="6"/>
      <c r="M264" s="6"/>
      <c r="N264" s="6"/>
      <c r="O264" s="6"/>
      <c r="P264" s="6"/>
      <c r="Q264" s="6"/>
      <c r="R264" s="6"/>
      <c r="S264" s="6"/>
      <c r="Y264" s="7"/>
      <c r="AA264" s="2"/>
      <c r="AB264" s="2"/>
      <c r="AC264" s="2"/>
    </row>
    <row r="265" spans="6:29">
      <c r="F265" s="5">
        <f t="shared" ref="F265:F328" si="49">H265/G265</f>
        <v>8.4542388363343317E-6</v>
      </c>
      <c r="G265" s="4">
        <f t="shared" si="46"/>
        <v>161933610.82877377</v>
      </c>
      <c r="H265" s="3">
        <f t="shared" si="47"/>
        <v>1369.0254215764689</v>
      </c>
      <c r="I265">
        <f t="shared" si="48"/>
        <v>221691229832.26187</v>
      </c>
      <c r="J265" s="6"/>
      <c r="K265" s="6"/>
      <c r="L265" s="6"/>
      <c r="M265" s="6"/>
      <c r="N265" s="6"/>
      <c r="O265" s="6"/>
      <c r="P265" s="6"/>
      <c r="Q265" s="6"/>
      <c r="R265" s="6"/>
      <c r="S265" s="6"/>
      <c r="Y265" s="7"/>
      <c r="AA265" s="2"/>
      <c r="AB265" s="2"/>
      <c r="AC265" s="2"/>
    </row>
    <row r="266" spans="6:29">
      <c r="F266" s="5">
        <f t="shared" si="49"/>
        <v>8.0468662332747993E-6</v>
      </c>
      <c r="G266" s="4">
        <f t="shared" si="46"/>
        <v>165981951.09949309</v>
      </c>
      <c r="H266" s="3">
        <f t="shared" si="47"/>
        <v>1335.6345576355798</v>
      </c>
      <c r="I266">
        <f t="shared" si="48"/>
        <v>221691229832.26187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Y266" s="7"/>
      <c r="AA266" s="2"/>
      <c r="AB266" s="2"/>
      <c r="AC266" s="2"/>
    </row>
    <row r="267" spans="6:29">
      <c r="F267" s="5">
        <f t="shared" si="49"/>
        <v>7.6591231250682217E-6</v>
      </c>
      <c r="G267" s="4">
        <f t="shared" si="46"/>
        <v>170131499.87698039</v>
      </c>
      <c r="H267" s="3">
        <f t="shared" si="47"/>
        <v>1303.0581050103219</v>
      </c>
      <c r="I267">
        <f t="shared" si="48"/>
        <v>221691229832.26187</v>
      </c>
      <c r="J267" s="6"/>
      <c r="K267" s="6"/>
      <c r="L267" s="6"/>
      <c r="M267" s="6"/>
      <c r="N267" s="6"/>
      <c r="O267" s="6"/>
      <c r="P267" s="6"/>
      <c r="Q267" s="6"/>
      <c r="R267" s="6"/>
      <c r="S267" s="6"/>
      <c r="Y267" s="7"/>
      <c r="AA267" s="2"/>
      <c r="AB267" s="2"/>
      <c r="AC267" s="2"/>
    </row>
    <row r="268" spans="6:29">
      <c r="F268" s="5">
        <f t="shared" si="49"/>
        <v>7.290063652652681E-6</v>
      </c>
      <c r="G268" s="4">
        <f t="shared" si="46"/>
        <v>174384787.37390488</v>
      </c>
      <c r="H268" s="3">
        <f t="shared" si="47"/>
        <v>1271.2762000100702</v>
      </c>
      <c r="I268">
        <f t="shared" si="48"/>
        <v>221691229832.26187</v>
      </c>
      <c r="J268" s="6"/>
      <c r="K268" s="6"/>
      <c r="L268" s="6"/>
      <c r="M268" s="6"/>
      <c r="N268" s="6"/>
      <c r="O268" s="6"/>
      <c r="P268" s="6"/>
      <c r="Q268" s="6"/>
      <c r="R268" s="6"/>
      <c r="S268" s="6"/>
      <c r="Y268" s="7"/>
      <c r="AA268" s="2"/>
      <c r="AB268" s="2"/>
      <c r="AC268" s="2"/>
    </row>
    <row r="269" spans="6:29">
      <c r="F269" s="5">
        <f t="shared" si="49"/>
        <v>6.9387875337562725E-6</v>
      </c>
      <c r="G269" s="4">
        <f t="shared" si="46"/>
        <v>178744407.05825248</v>
      </c>
      <c r="H269" s="3">
        <f t="shared" si="47"/>
        <v>1240.269463424459</v>
      </c>
      <c r="I269">
        <f t="shared" si="48"/>
        <v>221691229832.26187</v>
      </c>
      <c r="J269" s="6"/>
      <c r="K269" s="6"/>
      <c r="L269" s="6"/>
      <c r="M269" s="6"/>
      <c r="N269" s="6"/>
      <c r="O269" s="6"/>
      <c r="P269" s="6"/>
      <c r="Q269" s="6"/>
      <c r="R269" s="6"/>
      <c r="S269" s="6"/>
      <c r="Y269" s="7"/>
      <c r="AA269" s="2"/>
      <c r="AB269" s="2"/>
      <c r="AC269" s="2"/>
    </row>
    <row r="270" spans="6:29">
      <c r="F270" s="5">
        <f t="shared" si="49"/>
        <v>6.6044378667519549E-6</v>
      </c>
      <c r="G270" s="4">
        <f t="shared" si="46"/>
        <v>183213017.23470879</v>
      </c>
      <c r="H270" s="3">
        <f t="shared" si="47"/>
        <v>1210.0189887067893</v>
      </c>
      <c r="I270">
        <f t="shared" si="48"/>
        <v>221691229832.26187</v>
      </c>
      <c r="J270" s="6"/>
      <c r="K270" s="6"/>
      <c r="L270" s="6"/>
      <c r="M270" s="6"/>
      <c r="N270" s="6"/>
      <c r="O270" s="6"/>
      <c r="P270" s="6"/>
      <c r="Q270" s="6"/>
      <c r="R270" s="6"/>
      <c r="S270" s="6"/>
      <c r="Y270" s="7"/>
    </row>
    <row r="271" spans="6:29">
      <c r="F271" s="5">
        <f t="shared" si="49"/>
        <v>6.2861990403349973E-6</v>
      </c>
      <c r="G271" s="4">
        <f t="shared" si="46"/>
        <v>187793342.66557649</v>
      </c>
      <c r="H271" s="3">
        <f t="shared" si="47"/>
        <v>1180.5063304456482</v>
      </c>
      <c r="I271">
        <f t="shared" si="48"/>
        <v>221691229832.26187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Y271" s="7"/>
    </row>
    <row r="272" spans="6:29">
      <c r="F272" s="5">
        <f t="shared" si="49"/>
        <v>5.983294743923853E-6</v>
      </c>
      <c r="G272" s="4">
        <f t="shared" si="46"/>
        <v>192488176.23221588</v>
      </c>
      <c r="H272" s="3">
        <f t="shared" si="47"/>
        <v>1151.7134931177056</v>
      </c>
      <c r="I272">
        <f t="shared" si="48"/>
        <v>221691229832.26187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Y272" s="7"/>
    </row>
    <row r="273" spans="6:25">
      <c r="F273" s="5">
        <f t="shared" si="49"/>
        <v>5.6949860739310928E-6</v>
      </c>
      <c r="G273" s="4">
        <f t="shared" si="46"/>
        <v>197300380.63802126</v>
      </c>
      <c r="H273" s="3">
        <f t="shared" si="47"/>
        <v>1123.6229201148349</v>
      </c>
      <c r="I273">
        <f t="shared" si="48"/>
        <v>221691229832.26187</v>
      </c>
      <c r="J273" s="6"/>
      <c r="K273" s="6"/>
      <c r="L273" s="6"/>
      <c r="M273" s="6"/>
      <c r="N273" s="6"/>
      <c r="O273" s="6"/>
      <c r="P273" s="6"/>
      <c r="Q273" s="6"/>
      <c r="R273" s="6"/>
      <c r="S273" s="6"/>
      <c r="Y273" s="7"/>
    </row>
    <row r="274" spans="6:25">
      <c r="F274" s="5">
        <f t="shared" si="49"/>
        <v>5.4205697312848019E-6</v>
      </c>
      <c r="G274" s="4">
        <f t="shared" si="46"/>
        <v>202232890.15397176</v>
      </c>
      <c r="H274" s="3">
        <f t="shared" si="47"/>
        <v>1096.2174830388635</v>
      </c>
      <c r="I274">
        <f t="shared" si="48"/>
        <v>221691229832.26187</v>
      </c>
      <c r="J274" s="6"/>
      <c r="K274" s="6"/>
      <c r="L274" s="6"/>
      <c r="M274" s="6"/>
      <c r="N274" s="6"/>
      <c r="O274" s="6"/>
      <c r="P274" s="6"/>
      <c r="Q274" s="6"/>
      <c r="R274" s="6"/>
      <c r="S274" s="6"/>
      <c r="Y274" s="7"/>
    </row>
    <row r="275" spans="6:25">
      <c r="F275" s="5">
        <f t="shared" si="49"/>
        <v>5.1593763058034997E-6</v>
      </c>
      <c r="G275" s="4">
        <f t="shared" si="46"/>
        <v>207288712.40782103</v>
      </c>
      <c r="H275" s="3">
        <f t="shared" si="47"/>
        <v>1069.4804712574278</v>
      </c>
      <c r="I275">
        <f t="shared" si="48"/>
        <v>221691229832.26187</v>
      </c>
      <c r="J275" s="6"/>
      <c r="K275" s="6"/>
      <c r="L275" s="6"/>
      <c r="M275" s="6"/>
      <c r="N275" s="6"/>
      <c r="O275" s="6"/>
      <c r="P275" s="6"/>
      <c r="Q275" s="6"/>
      <c r="R275" s="6"/>
      <c r="S275" s="6"/>
      <c r="Y275" s="7"/>
    </row>
    <row r="276" spans="6:25">
      <c r="F276" s="5">
        <f t="shared" si="49"/>
        <v>4.9107686432395015E-6</v>
      </c>
      <c r="G276" s="4">
        <f t="shared" si="46"/>
        <v>212470930.21801654</v>
      </c>
      <c r="H276" s="3">
        <f t="shared" si="47"/>
        <v>1043.3955817145638</v>
      </c>
      <c r="I276">
        <f t="shared" si="48"/>
        <v>221691229832.26187</v>
      </c>
      <c r="J276" s="6"/>
      <c r="K276" s="6"/>
      <c r="L276" s="6"/>
      <c r="M276" s="6"/>
      <c r="N276" s="6"/>
      <c r="O276" s="6"/>
      <c r="P276" s="6"/>
      <c r="Q276" s="6"/>
      <c r="R276" s="6"/>
      <c r="S276" s="6"/>
    </row>
    <row r="277" spans="6:25">
      <c r="F277" s="5">
        <f t="shared" si="49"/>
        <v>4.6741402910072595E-6</v>
      </c>
      <c r="G277" s="4">
        <f t="shared" si="46"/>
        <v>217782703.47346693</v>
      </c>
      <c r="H277" s="3">
        <f t="shared" si="47"/>
        <v>1017.9469089898184</v>
      </c>
      <c r="I277">
        <f t="shared" si="48"/>
        <v>221691229832.26187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</row>
    <row r="278" spans="6:25">
      <c r="F278" s="5">
        <f t="shared" si="49"/>
        <v>4.4489140188052443E-6</v>
      </c>
      <c r="G278" s="4">
        <f t="shared" si="46"/>
        <v>223227271.0603036</v>
      </c>
      <c r="H278" s="3">
        <f t="shared" si="47"/>
        <v>993.11893559982298</v>
      </c>
      <c r="I278">
        <f t="shared" si="48"/>
        <v>221691229832.26187</v>
      </c>
      <c r="J278" s="6"/>
      <c r="K278" s="6"/>
      <c r="L278" s="6"/>
      <c r="M278" s="6"/>
      <c r="N278" s="6"/>
      <c r="O278" s="6"/>
      <c r="P278" s="6"/>
      <c r="Q278" s="6"/>
      <c r="R278" s="6"/>
      <c r="S278" s="6"/>
    </row>
    <row r="279" spans="6:25">
      <c r="F279" s="5">
        <f t="shared" si="49"/>
        <v>4.2345404105225419E-6</v>
      </c>
      <c r="G279" s="4">
        <f t="shared" si="46"/>
        <v>228807952.83681116</v>
      </c>
      <c r="H279" s="3">
        <f t="shared" si="47"/>
        <v>968.89652253641282</v>
      </c>
      <c r="I279">
        <f t="shared" si="48"/>
        <v>221691229832.26187</v>
      </c>
      <c r="J279" s="6"/>
      <c r="K279" s="6"/>
      <c r="L279" s="6"/>
      <c r="M279" s="6"/>
      <c r="N279" s="6"/>
      <c r="O279" s="6"/>
      <c r="P279" s="6"/>
      <c r="Q279" s="6"/>
      <c r="R279" s="6"/>
      <c r="S279" s="6"/>
    </row>
    <row r="280" spans="6:25">
      <c r="F280" s="5">
        <f t="shared" si="49"/>
        <v>4.0304965239952815E-6</v>
      </c>
      <c r="G280" s="4">
        <f t="shared" si="46"/>
        <v>234528151.65773141</v>
      </c>
      <c r="H280" s="3">
        <f t="shared" si="47"/>
        <v>945.26490003552476</v>
      </c>
      <c r="I280">
        <f t="shared" si="48"/>
        <v>221691229832.26187</v>
      </c>
      <c r="J280" s="6"/>
      <c r="K280" s="6"/>
      <c r="L280" s="6"/>
      <c r="M280" s="6"/>
      <c r="N280" s="6"/>
      <c r="O280" s="6"/>
      <c r="P280" s="6"/>
      <c r="Q280" s="6"/>
      <c r="R280" s="6"/>
      <c r="S280" s="6"/>
    </row>
    <row r="281" spans="6:25">
      <c r="F281" s="5">
        <f t="shared" si="49"/>
        <v>3.8362846153435174E-6</v>
      </c>
      <c r="G281" s="4">
        <f t="shared" si="46"/>
        <v>240391355.44917467</v>
      </c>
      <c r="H281" s="3">
        <f t="shared" si="47"/>
        <v>922.20965857124372</v>
      </c>
      <c r="I281">
        <f t="shared" si="48"/>
        <v>221691229832.26187</v>
      </c>
      <c r="J281" s="6"/>
      <c r="K281" s="6"/>
      <c r="L281" s="6"/>
      <c r="M281" s="6"/>
      <c r="N281" s="6"/>
      <c r="O281" s="6"/>
      <c r="P281" s="6"/>
      <c r="Q281" s="6"/>
      <c r="R281" s="6"/>
      <c r="S281" s="6"/>
    </row>
    <row r="282" spans="6:25">
      <c r="F282" s="5">
        <f t="shared" si="49"/>
        <v>3.6514309247766977E-6</v>
      </c>
      <c r="G282" s="4">
        <f t="shared" si="46"/>
        <v>246401139.33540401</v>
      </c>
      <c r="H282" s="3">
        <f t="shared" si="47"/>
        <v>899.71674006950616</v>
      </c>
      <c r="I282">
        <f t="shared" si="48"/>
        <v>221691229832.26187</v>
      </c>
      <c r="J282" s="6"/>
      <c r="K282" s="6"/>
      <c r="L282" s="6"/>
      <c r="M282" s="6"/>
      <c r="N282" s="6"/>
      <c r="O282" s="6"/>
      <c r="P282" s="6"/>
      <c r="Q282" s="6"/>
      <c r="R282" s="6"/>
      <c r="S282" s="6"/>
    </row>
    <row r="283" spans="6:25">
      <c r="F283" s="5">
        <f t="shared" si="49"/>
        <v>3.4754845209058401E-6</v>
      </c>
      <c r="G283" s="4">
        <f t="shared" si="46"/>
        <v>252561167.81878909</v>
      </c>
      <c r="H283" s="3">
        <f t="shared" si="47"/>
        <v>877.77242933610364</v>
      </c>
      <c r="I283">
        <f t="shared" si="48"/>
        <v>221691229832.26187</v>
      </c>
      <c r="J283" s="6"/>
      <c r="K283" s="6"/>
      <c r="L283" s="6"/>
      <c r="M283" s="6"/>
      <c r="N283" s="6"/>
      <c r="O283" s="6"/>
      <c r="P283" s="6"/>
      <c r="Q283" s="6"/>
      <c r="R283" s="6"/>
      <c r="S283" s="6"/>
    </row>
    <row r="284" spans="6:25">
      <c r="F284" s="5">
        <f t="shared" si="49"/>
        <v>3.3080162007432149E-6</v>
      </c>
      <c r="G284" s="4">
        <f t="shared" si="46"/>
        <v>258875197.0142588</v>
      </c>
      <c r="H284" s="3">
        <f t="shared" si="47"/>
        <v>856.3633456937597</v>
      </c>
      <c r="I284">
        <f t="shared" si="48"/>
        <v>221691229832.26187</v>
      </c>
      <c r="J284" s="6"/>
      <c r="K284" s="6"/>
      <c r="L284" s="6"/>
      <c r="M284" s="6"/>
      <c r="N284" s="6"/>
      <c r="O284" s="6"/>
      <c r="P284" s="6"/>
      <c r="Q284" s="6"/>
      <c r="R284" s="6"/>
      <c r="S284" s="6"/>
    </row>
    <row r="285" spans="6:25">
      <c r="F285" s="5">
        <f t="shared" si="49"/>
        <v>3.1486174427062135E-6</v>
      </c>
      <c r="G285" s="4">
        <f t="shared" si="46"/>
        <v>265347076.93961525</v>
      </c>
      <c r="H285" s="3">
        <f t="shared" si="47"/>
        <v>835.47643482318028</v>
      </c>
      <c r="I285">
        <f t="shared" si="48"/>
        <v>221691229832.26187</v>
      </c>
      <c r="J285" s="6"/>
      <c r="K285" s="6"/>
      <c r="L285" s="6"/>
      <c r="M285" s="6"/>
      <c r="N285" s="6"/>
      <c r="O285" s="6"/>
      <c r="P285" s="6"/>
      <c r="Q285" s="6"/>
      <c r="R285" s="6"/>
      <c r="S285" s="6"/>
    </row>
    <row r="286" spans="6:25">
      <c r="F286" s="5">
        <f t="shared" si="49"/>
        <v>2.9968994100713522E-6</v>
      </c>
      <c r="G286" s="4">
        <f t="shared" si="46"/>
        <v>271980753.8631056</v>
      </c>
      <c r="H286" s="3">
        <f t="shared" si="47"/>
        <v>815.09896080310284</v>
      </c>
      <c r="I286">
        <f t="shared" si="48"/>
        <v>221691229832.26187</v>
      </c>
      <c r="J286" s="6"/>
      <c r="K286" s="6"/>
      <c r="L286" s="6"/>
      <c r="M286" s="6"/>
      <c r="N286" s="6"/>
      <c r="O286" s="6"/>
      <c r="P286" s="6"/>
      <c r="Q286" s="6"/>
      <c r="R286" s="6"/>
      <c r="S286" s="6"/>
    </row>
    <row r="287" spans="6:25">
      <c r="F287" s="5">
        <f t="shared" si="49"/>
        <v>2.8524920024474505E-6</v>
      </c>
      <c r="G287" s="4">
        <f t="shared" si="46"/>
        <v>278780272.70968324</v>
      </c>
      <c r="H287" s="3">
        <f t="shared" si="47"/>
        <v>795.21849834449063</v>
      </c>
      <c r="I287">
        <f t="shared" si="48"/>
        <v>221691229832.26187</v>
      </c>
      <c r="J287" s="6"/>
      <c r="K287" s="6"/>
      <c r="L287" s="6"/>
      <c r="M287" s="6"/>
      <c r="N287" s="6"/>
      <c r="O287" s="6"/>
      <c r="P287" s="6"/>
      <c r="Q287" s="6"/>
      <c r="R287" s="6"/>
      <c r="S287" s="6"/>
    </row>
    <row r="288" spans="6:25">
      <c r="F288" s="5">
        <f t="shared" si="49"/>
        <v>2.7150429529541468E-6</v>
      </c>
      <c r="G288" s="4">
        <f t="shared" si="46"/>
        <v>285749779.52742529</v>
      </c>
      <c r="H288" s="3">
        <f t="shared" si="47"/>
        <v>775.82292521413717</v>
      </c>
      <c r="I288">
        <f t="shared" si="48"/>
        <v>221691229832.26187</v>
      </c>
      <c r="J288" s="6"/>
      <c r="K288" s="6"/>
      <c r="L288" s="6"/>
      <c r="M288" s="6"/>
      <c r="N288" s="6"/>
      <c r="O288" s="6"/>
      <c r="P288" s="6"/>
      <c r="Q288" s="6"/>
      <c r="R288" s="6"/>
      <c r="S288" s="6"/>
    </row>
    <row r="289" spans="6:19">
      <c r="F289" s="5">
        <f t="shared" si="49"/>
        <v>2.5842169689034126E-6</v>
      </c>
      <c r="G289" s="4">
        <f t="shared" si="46"/>
        <v>292893524.01561087</v>
      </c>
      <c r="H289" s="3">
        <f t="shared" si="47"/>
        <v>756.90041484306084</v>
      </c>
      <c r="I289">
        <f t="shared" si="48"/>
        <v>221691229832.26187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</row>
    <row r="290" spans="6:19">
      <c r="F290" s="5">
        <f t="shared" si="49"/>
        <v>2.4596949138878413E-6</v>
      </c>
      <c r="G290" s="4">
        <f t="shared" si="46"/>
        <v>300215862.11600113</v>
      </c>
      <c r="H290" s="3">
        <f t="shared" si="47"/>
        <v>738.43942911518138</v>
      </c>
      <c r="I290">
        <f t="shared" si="48"/>
        <v>221691229832.26187</v>
      </c>
      <c r="J290" s="6"/>
      <c r="K290" s="6"/>
      <c r="L290" s="6"/>
      <c r="M290" s="6"/>
      <c r="N290" s="6"/>
      <c r="O290" s="6"/>
      <c r="P290" s="6"/>
      <c r="Q290" s="6"/>
      <c r="R290" s="6"/>
      <c r="S290" s="6"/>
    </row>
    <row r="291" spans="6:19">
      <c r="F291" s="5">
        <f t="shared" si="49"/>
        <v>2.3411730292805153E-6</v>
      </c>
      <c r="G291" s="4">
        <f t="shared" si="46"/>
        <v>307721258.66890115</v>
      </c>
      <c r="H291" s="3">
        <f t="shared" si="47"/>
        <v>720.4287113318843</v>
      </c>
      <c r="I291">
        <f t="shared" si="48"/>
        <v>221691229832.26187</v>
      </c>
      <c r="J291" s="6"/>
      <c r="K291" s="6"/>
      <c r="L291" s="6"/>
      <c r="M291" s="6"/>
      <c r="N291" s="6"/>
      <c r="O291" s="6"/>
      <c r="P291" s="6"/>
      <c r="Q291" s="6"/>
      <c r="R291" s="6"/>
      <c r="S291" s="6"/>
    </row>
    <row r="292" spans="6:19">
      <c r="F292" s="5">
        <f t="shared" si="49"/>
        <v>2.2283621932473676E-6</v>
      </c>
      <c r="G292" s="4">
        <f t="shared" si="46"/>
        <v>315414290.13562363</v>
      </c>
      <c r="H292" s="3">
        <f t="shared" si="47"/>
        <v>702.85727934817987</v>
      </c>
      <c r="I292">
        <f t="shared" si="48"/>
        <v>221691229832.26187</v>
      </c>
      <c r="J292" s="6"/>
      <c r="K292" s="6"/>
      <c r="L292" s="6"/>
      <c r="M292" s="6"/>
      <c r="N292" s="6"/>
      <c r="O292" s="6"/>
      <c r="P292" s="6"/>
      <c r="Q292" s="6"/>
      <c r="R292" s="6"/>
      <c r="S292" s="6"/>
    </row>
    <row r="293" spans="6:19">
      <c r="F293" s="5">
        <f t="shared" si="49"/>
        <v>2.120987215464479E-6</v>
      </c>
      <c r="G293" s="4">
        <f t="shared" si="46"/>
        <v>323299647.38901418</v>
      </c>
      <c r="H293" s="3">
        <f t="shared" si="47"/>
        <v>685.71441887627316</v>
      </c>
      <c r="I293">
        <f t="shared" si="48"/>
        <v>221691229832.26187</v>
      </c>
      <c r="J293" s="6"/>
      <c r="K293" s="6"/>
      <c r="L293" s="6"/>
      <c r="M293" s="6"/>
      <c r="N293" s="6"/>
      <c r="O293" s="6"/>
      <c r="P293" s="6"/>
      <c r="Q293" s="6"/>
      <c r="R293" s="6"/>
      <c r="S293" s="6"/>
    </row>
    <row r="294" spans="6:19">
      <c r="F294" s="5">
        <f t="shared" si="49"/>
        <v>2.0187861658198493E-6</v>
      </c>
      <c r="G294" s="4">
        <f t="shared" si="46"/>
        <v>331382138.57373953</v>
      </c>
      <c r="H294" s="3">
        <f t="shared" si="47"/>
        <v>668.98967695246165</v>
      </c>
      <c r="I294">
        <f t="shared" si="48"/>
        <v>221691229832.26187</v>
      </c>
      <c r="J294" s="6"/>
      <c r="K294" s="6"/>
      <c r="L294" s="6"/>
      <c r="M294" s="6"/>
      <c r="N294" s="6"/>
      <c r="O294" s="6"/>
      <c r="P294" s="6"/>
      <c r="Q294" s="6"/>
      <c r="R294" s="6"/>
      <c r="S294" s="6"/>
    </row>
    <row r="295" spans="6:19">
      <c r="F295" s="5">
        <f t="shared" si="49"/>
        <v>1.9215097354620815E-6</v>
      </c>
      <c r="G295" s="4">
        <f t="shared" si="46"/>
        <v>339666692.03808302</v>
      </c>
      <c r="H295" s="3">
        <f t="shared" si="47"/>
        <v>652.6728555633772</v>
      </c>
      <c r="I295">
        <f t="shared" si="48"/>
        <v>221691229832.26187</v>
      </c>
      <c r="J295" s="6"/>
      <c r="K295" s="6"/>
      <c r="L295" s="6"/>
      <c r="M295" s="6"/>
      <c r="N295" s="6"/>
      <c r="O295" s="6"/>
      <c r="P295" s="6"/>
      <c r="Q295" s="6"/>
      <c r="R295" s="6"/>
      <c r="S295" s="6"/>
    </row>
    <row r="296" spans="6:19">
      <c r="F296" s="5">
        <f t="shared" si="49"/>
        <v>1.8289206286373178E-6</v>
      </c>
      <c r="G296" s="4">
        <f t="shared" si="46"/>
        <v>348158359.33903503</v>
      </c>
      <c r="H296" s="3">
        <f t="shared" si="47"/>
        <v>636.75400542768512</v>
      </c>
      <c r="I296">
        <f t="shared" si="48"/>
        <v>221691229832.26187</v>
      </c>
      <c r="J296" s="6"/>
      <c r="K296" s="6"/>
      <c r="L296" s="6"/>
      <c r="M296" s="6"/>
      <c r="N296" s="6"/>
      <c r="O296" s="6"/>
      <c r="P296" s="6"/>
      <c r="Q296" s="6"/>
      <c r="R296" s="6"/>
      <c r="S296" s="6"/>
    </row>
    <row r="297" spans="6:19">
      <c r="F297" s="5">
        <f t="shared" si="49"/>
        <v>1.7407929838308796E-6</v>
      </c>
      <c r="G297" s="4">
        <f t="shared" si="46"/>
        <v>356862318.3225109</v>
      </c>
      <c r="H297" s="3">
        <f t="shared" si="47"/>
        <v>621.22341992944894</v>
      </c>
      <c r="I297">
        <f t="shared" si="48"/>
        <v>221691229832.26187</v>
      </c>
      <c r="J297" s="6"/>
      <c r="K297" s="6"/>
      <c r="L297" s="6"/>
      <c r="M297" s="6"/>
      <c r="N297" s="6"/>
      <c r="O297" s="6"/>
      <c r="P297" s="6"/>
      <c r="Q297" s="6"/>
      <c r="R297" s="6"/>
      <c r="S297" s="6"/>
    </row>
    <row r="298" spans="6:19">
      <c r="F298" s="5">
        <f t="shared" si="49"/>
        <v>1.6569118228015514E-6</v>
      </c>
      <c r="G298" s="4">
        <f t="shared" si="46"/>
        <v>365783876.28057367</v>
      </c>
      <c r="H298" s="3">
        <f t="shared" si="47"/>
        <v>606.07162919946245</v>
      </c>
      <c r="I298">
        <f t="shared" si="48"/>
        <v>221691229832.26187</v>
      </c>
      <c r="J298" s="6"/>
      <c r="K298" s="6"/>
      <c r="L298" s="6"/>
      <c r="M298" s="6"/>
      <c r="N298" s="6"/>
      <c r="O298" s="6"/>
      <c r="P298" s="6"/>
      <c r="Q298" s="6"/>
      <c r="R298" s="6"/>
      <c r="S298" s="6"/>
    </row>
    <row r="299" spans="6:19">
      <c r="F299" s="5">
        <f t="shared" si="49"/>
        <v>1.5770725261644749E-6</v>
      </c>
      <c r="G299" s="4">
        <f t="shared" si="46"/>
        <v>374928473.18758798</v>
      </c>
      <c r="H299" s="3">
        <f t="shared" si="47"/>
        <v>591.289394340939</v>
      </c>
      <c r="I299">
        <f t="shared" si="48"/>
        <v>221691229832.26187</v>
      </c>
      <c r="J299" s="6"/>
      <c r="K299" s="6"/>
      <c r="L299" s="6"/>
      <c r="M299" s="6"/>
      <c r="N299" s="6"/>
      <c r="O299" s="6"/>
      <c r="P299" s="6"/>
      <c r="Q299" s="6"/>
      <c r="R299" s="6"/>
      <c r="S299" s="6"/>
    </row>
    <row r="300" spans="6:19">
      <c r="F300" s="5">
        <f t="shared" si="49"/>
        <v>1.5010803342434029E-6</v>
      </c>
      <c r="G300" s="4">
        <f t="shared" si="46"/>
        <v>384301685.01727766</v>
      </c>
      <c r="H300" s="3">
        <f t="shared" si="47"/>
        <v>576.86770179603809</v>
      </c>
      <c r="I300">
        <f t="shared" si="48"/>
        <v>221691229832.26187</v>
      </c>
      <c r="J300" s="6"/>
      <c r="K300" s="6"/>
      <c r="L300" s="6"/>
      <c r="M300" s="6"/>
      <c r="N300" s="6"/>
      <c r="O300" s="6"/>
      <c r="P300" s="6"/>
      <c r="Q300" s="6"/>
      <c r="R300" s="6"/>
      <c r="S300" s="6"/>
    </row>
    <row r="301" spans="6:19">
      <c r="F301" s="5">
        <f t="shared" si="49"/>
        <v>1.4287498719746846E-6</v>
      </c>
      <c r="G301" s="4">
        <f t="shared" si="46"/>
        <v>393909227.14270955</v>
      </c>
      <c r="H301" s="3">
        <f t="shared" si="47"/>
        <v>562.79775784979324</v>
      </c>
      <c r="I301">
        <f t="shared" si="48"/>
        <v>221691229832.26187</v>
      </c>
      <c r="J301" s="6"/>
      <c r="K301" s="6"/>
      <c r="L301" s="6"/>
      <c r="M301" s="6"/>
      <c r="N301" s="6"/>
      <c r="O301" s="6"/>
      <c r="P301" s="6"/>
      <c r="Q301" s="6"/>
      <c r="R301" s="6"/>
      <c r="S301" s="6"/>
    </row>
    <row r="302" spans="6:19">
      <c r="F302" s="5">
        <f t="shared" si="49"/>
        <v>1.3599046967040428E-6</v>
      </c>
      <c r="G302" s="4">
        <f t="shared" si="46"/>
        <v>403756957.82127726</v>
      </c>
      <c r="H302" s="3">
        <f t="shared" si="47"/>
        <v>549.07098326809103</v>
      </c>
      <c r="I302">
        <f t="shared" si="48"/>
        <v>221691229832.26187</v>
      </c>
      <c r="J302" s="6"/>
      <c r="K302" s="6"/>
      <c r="L302" s="6"/>
      <c r="M302" s="6"/>
      <c r="N302" s="6"/>
      <c r="O302" s="6"/>
      <c r="P302" s="6"/>
      <c r="Q302" s="6"/>
      <c r="R302" s="6"/>
      <c r="S302" s="6"/>
    </row>
    <row r="303" spans="6:19">
      <c r="F303" s="5">
        <f t="shared" si="49"/>
        <v>1.2943768677730333E-6</v>
      </c>
      <c r="G303" s="4">
        <f t="shared" si="46"/>
        <v>413850881.76680917</v>
      </c>
      <c r="H303" s="3">
        <f t="shared" si="47"/>
        <v>535.67900806643036</v>
      </c>
      <c r="I303">
        <f t="shared" si="48"/>
        <v>221691229832.26187</v>
      </c>
      <c r="J303" s="6"/>
      <c r="K303" s="6"/>
      <c r="L303" s="6"/>
      <c r="M303" s="6"/>
      <c r="N303" s="6"/>
      <c r="O303" s="6"/>
      <c r="P303" s="6"/>
      <c r="Q303" s="6"/>
      <c r="R303" s="6"/>
      <c r="S303" s="6"/>
    </row>
    <row r="304" spans="6:19">
      <c r="F304" s="5">
        <f t="shared" si="49"/>
        <v>1.232006536845243E-6</v>
      </c>
      <c r="G304" s="4">
        <f t="shared" si="46"/>
        <v>424197153.81097937</v>
      </c>
      <c r="H304" s="3">
        <f t="shared" si="47"/>
        <v>522.61366640627352</v>
      </c>
      <c r="I304">
        <f t="shared" si="48"/>
        <v>221691229832.26187</v>
      </c>
      <c r="J304" s="6"/>
      <c r="K304" s="6"/>
      <c r="L304" s="6"/>
      <c r="M304" s="6"/>
      <c r="N304" s="6"/>
      <c r="O304" s="6"/>
      <c r="P304" s="6"/>
      <c r="Q304" s="6"/>
      <c r="R304" s="6"/>
      <c r="S304" s="6"/>
    </row>
    <row r="305" spans="6:19">
      <c r="F305" s="5">
        <f t="shared" si="49"/>
        <v>1.1726415579728668E-6</v>
      </c>
      <c r="G305" s="4">
        <f t="shared" ref="G305:G368" si="50">G304*(1+$O$1)</f>
        <v>434802082.65625381</v>
      </c>
      <c r="H305" s="3">
        <f t="shared" si="47"/>
        <v>509.86699161587666</v>
      </c>
      <c r="I305">
        <f t="shared" si="48"/>
        <v>221691229832.26187</v>
      </c>
      <c r="J305" s="6"/>
      <c r="K305" s="6"/>
      <c r="L305" s="6"/>
      <c r="M305" s="6"/>
      <c r="N305" s="6"/>
      <c r="O305" s="6"/>
      <c r="P305" s="6"/>
      <c r="Q305" s="6"/>
      <c r="R305" s="6"/>
      <c r="S305" s="6"/>
    </row>
    <row r="306" spans="6:19">
      <c r="F306" s="5">
        <f t="shared" si="49"/>
        <v>1.116137116452461E-6</v>
      </c>
      <c r="G306" s="4">
        <f t="shared" si="50"/>
        <v>445672134.72266012</v>
      </c>
      <c r="H306" s="3">
        <f t="shared" ref="H306:H369" si="51">I306/G306</f>
        <v>497.43121133256261</v>
      </c>
      <c r="I306">
        <f t="shared" ref="I306:I369" si="52">I305</f>
        <v>221691229832.26187</v>
      </c>
      <c r="J306" s="6"/>
      <c r="K306" s="6"/>
      <c r="L306" s="6"/>
      <c r="M306" s="6"/>
      <c r="N306" s="6"/>
      <c r="O306" s="6"/>
      <c r="P306" s="6"/>
      <c r="Q306" s="6"/>
      <c r="R306" s="6"/>
      <c r="S306" s="6"/>
    </row>
    <row r="307" spans="6:19">
      <c r="F307" s="5">
        <f t="shared" si="49"/>
        <v>1.0623553755645079E-6</v>
      </c>
      <c r="G307" s="4">
        <f t="shared" si="50"/>
        <v>456813938.09072661</v>
      </c>
      <c r="H307" s="3">
        <f t="shared" si="51"/>
        <v>485.29874276347573</v>
      </c>
      <c r="I307">
        <f t="shared" si="52"/>
        <v>221691229832.26187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</row>
    <row r="308" spans="6:19">
      <c r="F308" s="5">
        <f t="shared" si="49"/>
        <v>1.0111651403350463E-6</v>
      </c>
      <c r="G308" s="4">
        <f t="shared" si="50"/>
        <v>468234286.54299474</v>
      </c>
      <c r="H308" s="3">
        <f t="shared" si="51"/>
        <v>473.46218806192758</v>
      </c>
      <c r="I308">
        <f t="shared" si="52"/>
        <v>221691229832.26187</v>
      </c>
      <c r="J308" s="6"/>
      <c r="K308" s="6"/>
      <c r="L308" s="6"/>
      <c r="M308" s="6"/>
      <c r="N308" s="6"/>
      <c r="O308" s="6"/>
      <c r="P308" s="6"/>
      <c r="Q308" s="6"/>
      <c r="R308" s="6"/>
      <c r="S308" s="6"/>
    </row>
    <row r="309" spans="6:19">
      <c r="F309" s="5">
        <f t="shared" si="49"/>
        <v>9.6244153749915217E-7</v>
      </c>
      <c r="G309" s="4">
        <f t="shared" si="50"/>
        <v>479940143.70656955</v>
      </c>
      <c r="H309" s="3">
        <f t="shared" si="51"/>
        <v>461.91432981651479</v>
      </c>
      <c r="I309">
        <f t="shared" si="52"/>
        <v>221691229832.26187</v>
      </c>
      <c r="J309" s="6"/>
      <c r="K309" s="6"/>
      <c r="L309" s="6"/>
      <c r="M309" s="6"/>
      <c r="N309" s="6"/>
      <c r="O309" s="6"/>
      <c r="P309" s="6"/>
      <c r="Q309" s="6"/>
      <c r="R309" s="6"/>
      <c r="S309" s="6"/>
    </row>
    <row r="310" spans="6:19">
      <c r="F310" s="5">
        <f t="shared" si="49"/>
        <v>9.1606571088557032E-7</v>
      </c>
      <c r="G310" s="4">
        <f t="shared" si="50"/>
        <v>491938647.29923373</v>
      </c>
      <c r="H310" s="3">
        <f t="shared" si="51"/>
        <v>450.6481266502584</v>
      </c>
      <c r="I310">
        <f t="shared" si="52"/>
        <v>221691229832.26187</v>
      </c>
      <c r="J310" s="6"/>
      <c r="K310" s="6"/>
      <c r="L310" s="6"/>
      <c r="M310" s="6"/>
      <c r="N310" s="6"/>
      <c r="O310" s="6"/>
      <c r="P310" s="6"/>
      <c r="Q310" s="6"/>
      <c r="R310" s="6"/>
      <c r="S310" s="6"/>
    </row>
    <row r="311" spans="6:19">
      <c r="F311" s="5">
        <f t="shared" si="49"/>
        <v>8.7192453147942447E-7</v>
      </c>
      <c r="G311" s="4">
        <f t="shared" si="50"/>
        <v>504237113.48171455</v>
      </c>
      <c r="H311" s="3">
        <f t="shared" si="51"/>
        <v>439.65670892708135</v>
      </c>
      <c r="I311">
        <f t="shared" si="52"/>
        <v>221691229832.26187</v>
      </c>
      <c r="J311" s="6"/>
      <c r="K311" s="6"/>
      <c r="L311" s="6"/>
      <c r="M311" s="6"/>
      <c r="N311" s="6"/>
      <c r="O311" s="6"/>
      <c r="P311" s="6"/>
      <c r="Q311" s="6"/>
      <c r="R311" s="6"/>
      <c r="S311" s="6"/>
    </row>
    <row r="312" spans="6:19">
      <c r="F312" s="5">
        <f t="shared" si="49"/>
        <v>8.2991032145572845E-7</v>
      </c>
      <c r="G312" s="4">
        <f t="shared" si="50"/>
        <v>516843041.31875736</v>
      </c>
      <c r="H312" s="3">
        <f t="shared" si="51"/>
        <v>428.93337456300628</v>
      </c>
      <c r="I312">
        <f t="shared" si="52"/>
        <v>221691229832.26187</v>
      </c>
      <c r="J312" s="6"/>
      <c r="K312" s="6"/>
      <c r="L312" s="6"/>
      <c r="M312" s="6"/>
      <c r="N312" s="6"/>
      <c r="O312" s="6"/>
      <c r="P312" s="6"/>
      <c r="Q312" s="6"/>
      <c r="R312" s="6"/>
      <c r="S312" s="6"/>
    </row>
    <row r="313" spans="6:19">
      <c r="F313" s="5">
        <f t="shared" si="49"/>
        <v>7.8992059151050908E-7</v>
      </c>
      <c r="G313" s="4">
        <f t="shared" si="50"/>
        <v>529764117.35172623</v>
      </c>
      <c r="H313" s="3">
        <f t="shared" si="51"/>
        <v>418.47158493951832</v>
      </c>
      <c r="I313">
        <f t="shared" si="52"/>
        <v>221691229832.26187</v>
      </c>
      <c r="J313" s="6"/>
      <c r="K313" s="6"/>
      <c r="L313" s="6"/>
      <c r="M313" s="6"/>
      <c r="N313" s="6"/>
      <c r="O313" s="6"/>
      <c r="P313" s="6"/>
      <c r="Q313" s="6"/>
      <c r="R313" s="6"/>
      <c r="S313" s="6"/>
    </row>
    <row r="314" spans="6:19">
      <c r="F314" s="5">
        <f t="shared" si="49"/>
        <v>7.518577908487892E-7</v>
      </c>
      <c r="G314" s="4">
        <f t="shared" si="50"/>
        <v>543008220.28551936</v>
      </c>
      <c r="H314" s="3">
        <f t="shared" si="51"/>
        <v>408.26496091660329</v>
      </c>
      <c r="I314">
        <f t="shared" si="52"/>
        <v>221691229832.26187</v>
      </c>
      <c r="J314" s="6"/>
      <c r="K314" s="6"/>
      <c r="L314" s="6"/>
      <c r="M314" s="6"/>
      <c r="N314" s="6"/>
      <c r="O314" s="6"/>
      <c r="P314" s="6"/>
      <c r="Q314" s="6"/>
      <c r="R314" s="6"/>
      <c r="S314" s="6"/>
    </row>
    <row r="315" spans="6:19">
      <c r="F315" s="5">
        <f t="shared" si="49"/>
        <v>7.1562906921954974E-7</v>
      </c>
      <c r="G315" s="4">
        <f t="shared" si="50"/>
        <v>556583425.79265726</v>
      </c>
      <c r="H315" s="3">
        <f t="shared" si="51"/>
        <v>398.30727894302765</v>
      </c>
      <c r="I315">
        <f t="shared" si="52"/>
        <v>221691229832.26187</v>
      </c>
      <c r="J315" s="6"/>
      <c r="K315" s="6"/>
      <c r="L315" s="6"/>
      <c r="M315" s="6"/>
      <c r="N315" s="6"/>
      <c r="O315" s="6"/>
      <c r="P315" s="6"/>
      <c r="Q315" s="6"/>
      <c r="R315" s="6"/>
      <c r="S315" s="6"/>
    </row>
    <row r="316" spans="6:19">
      <c r="F316" s="5">
        <f t="shared" si="49"/>
        <v>6.8114605041718014E-7</v>
      </c>
      <c r="G316" s="4">
        <f t="shared" si="50"/>
        <v>570498011.43747365</v>
      </c>
      <c r="H316" s="3">
        <f t="shared" si="51"/>
        <v>388.59246726149041</v>
      </c>
      <c r="I316">
        <f t="shared" si="52"/>
        <v>221691229832.26187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</row>
    <row r="317" spans="6:19">
      <c r="F317" s="5">
        <f t="shared" si="49"/>
        <v>6.4832461669689957E-7</v>
      </c>
      <c r="G317" s="4">
        <f t="shared" si="50"/>
        <v>584760461.72341049</v>
      </c>
      <c r="H317" s="3">
        <f t="shared" si="51"/>
        <v>379.11460220633211</v>
      </c>
      <c r="I317">
        <f t="shared" si="52"/>
        <v>221691229832.26187</v>
      </c>
      <c r="J317" s="6"/>
      <c r="K317" s="6"/>
      <c r="L317" s="6"/>
      <c r="M317" s="6"/>
      <c r="N317" s="6"/>
      <c r="O317" s="6"/>
      <c r="P317" s="6"/>
      <c r="Q317" s="6"/>
      <c r="R317" s="6"/>
      <c r="S317" s="6"/>
    </row>
    <row r="318" spans="6:19">
      <c r="F318" s="5">
        <f t="shared" si="49"/>
        <v>6.1708470357825074E-7</v>
      </c>
      <c r="G318" s="4">
        <f t="shared" si="50"/>
        <v>599379473.2664957</v>
      </c>
      <c r="H318" s="3">
        <f t="shared" si="51"/>
        <v>369.86790459154355</v>
      </c>
      <c r="I318">
        <f t="shared" si="52"/>
        <v>221691229832.26187</v>
      </c>
      <c r="J318" s="6"/>
      <c r="K318" s="6"/>
      <c r="L318" s="6"/>
      <c r="M318" s="6"/>
      <c r="N318" s="6"/>
      <c r="O318" s="6"/>
      <c r="P318" s="6"/>
      <c r="Q318" s="6"/>
      <c r="R318" s="6"/>
      <c r="S318" s="6"/>
    </row>
    <row r="319" spans="6:19">
      <c r="F319" s="5">
        <f t="shared" si="49"/>
        <v>5.8735010453611037E-7</v>
      </c>
      <c r="G319" s="4">
        <f t="shared" si="50"/>
        <v>614363960.098158</v>
      </c>
      <c r="H319" s="3">
        <f t="shared" si="51"/>
        <v>360.84673618687185</v>
      </c>
      <c r="I319">
        <f t="shared" si="52"/>
        <v>221691229832.26187</v>
      </c>
      <c r="J319" s="6"/>
      <c r="K319" s="6"/>
      <c r="L319" s="6"/>
      <c r="M319" s="6"/>
      <c r="N319" s="6"/>
      <c r="O319" s="6"/>
      <c r="P319" s="6"/>
      <c r="Q319" s="6"/>
      <c r="R319" s="6"/>
      <c r="S319" s="6"/>
    </row>
    <row r="320" spans="6:19">
      <c r="F320" s="5">
        <f t="shared" si="49"/>
        <v>5.5904828510278204E-7</v>
      </c>
      <c r="G320" s="4">
        <f t="shared" si="50"/>
        <v>629723059.10061193</v>
      </c>
      <c r="H320" s="3">
        <f t="shared" si="51"/>
        <v>352.04559627987499</v>
      </c>
      <c r="I320">
        <f t="shared" si="52"/>
        <v>221691229832.26187</v>
      </c>
      <c r="J320" s="6"/>
      <c r="K320" s="6"/>
      <c r="L320" s="6"/>
      <c r="M320" s="6"/>
      <c r="N320" s="6"/>
      <c r="O320" s="6"/>
      <c r="P320" s="6"/>
      <c r="Q320" s="6"/>
      <c r="R320" s="6"/>
      <c r="S320" s="6"/>
    </row>
    <row r="321" spans="6:19">
      <c r="F321" s="5">
        <f t="shared" si="49"/>
        <v>5.3211020592769274E-7</v>
      </c>
      <c r="G321" s="4">
        <f t="shared" si="50"/>
        <v>645466135.57812715</v>
      </c>
      <c r="H321" s="3">
        <f t="shared" si="51"/>
        <v>343.45911832182929</v>
      </c>
      <c r="I321">
        <f t="shared" si="52"/>
        <v>221691229832.26187</v>
      </c>
      <c r="J321" s="6"/>
      <c r="K321" s="6"/>
      <c r="L321" s="6"/>
      <c r="M321" s="6"/>
      <c r="N321" s="6"/>
      <c r="O321" s="6"/>
      <c r="P321" s="6"/>
      <c r="Q321" s="6"/>
      <c r="R321" s="6"/>
      <c r="S321" s="6"/>
    </row>
    <row r="322" spans="6:19">
      <c r="F322" s="5">
        <f t="shared" si="49"/>
        <v>5.0647015436306276E-7</v>
      </c>
      <c r="G322" s="4">
        <f t="shared" si="50"/>
        <v>661602788.96758032</v>
      </c>
      <c r="H322" s="3">
        <f t="shared" si="51"/>
        <v>335.08206665544321</v>
      </c>
      <c r="I322">
        <f t="shared" si="52"/>
        <v>221691229832.26187</v>
      </c>
      <c r="J322" s="6"/>
      <c r="K322" s="6"/>
      <c r="L322" s="6"/>
      <c r="M322" s="6"/>
      <c r="N322" s="6"/>
      <c r="O322" s="6"/>
      <c r="P322" s="6"/>
      <c r="Q322" s="6"/>
      <c r="R322" s="6"/>
      <c r="S322" s="6"/>
    </row>
    <row r="323" spans="6:19">
      <c r="F323" s="5">
        <f t="shared" si="49"/>
        <v>4.8206558416472366E-7</v>
      </c>
      <c r="G323" s="4">
        <f t="shared" si="50"/>
        <v>678142858.69176972</v>
      </c>
      <c r="H323" s="3">
        <f t="shared" si="51"/>
        <v>326.90933332238365</v>
      </c>
      <c r="I323">
        <f t="shared" si="52"/>
        <v>221691229832.26187</v>
      </c>
      <c r="J323" s="6"/>
      <c r="K323" s="6"/>
      <c r="L323" s="6"/>
      <c r="M323" s="6"/>
      <c r="N323" s="6"/>
      <c r="O323" s="6"/>
      <c r="P323" s="6"/>
      <c r="Q323" s="6"/>
      <c r="R323" s="6"/>
      <c r="S323" s="6"/>
    </row>
    <row r="324" spans="6:19">
      <c r="F324" s="5">
        <f t="shared" si="49"/>
        <v>4.588369629170482E-7</v>
      </c>
      <c r="G324" s="4">
        <f t="shared" si="50"/>
        <v>695096430.15906394</v>
      </c>
      <c r="H324" s="3">
        <f t="shared" si="51"/>
        <v>318.93593494866701</v>
      </c>
      <c r="I324">
        <f t="shared" si="52"/>
        <v>221691229832.26187</v>
      </c>
      <c r="J324" s="6"/>
      <c r="K324" s="6"/>
      <c r="L324" s="6"/>
      <c r="M324" s="6"/>
      <c r="N324" s="6"/>
      <c r="O324" s="6"/>
      <c r="P324" s="6"/>
      <c r="Q324" s="6"/>
      <c r="R324" s="6"/>
      <c r="S324" s="6"/>
    </row>
    <row r="325" spans="6:19">
      <c r="F325" s="5">
        <f t="shared" si="49"/>
        <v>4.3672762680980197E-7</v>
      </c>
      <c r="G325" s="4">
        <f t="shared" si="50"/>
        <v>712473840.91304052</v>
      </c>
      <c r="H325" s="3">
        <f t="shared" si="51"/>
        <v>311.15700970601659</v>
      </c>
      <c r="I325">
        <f t="shared" si="52"/>
        <v>221691229832.26187</v>
      </c>
      <c r="J325" s="6"/>
      <c r="K325" s="6"/>
      <c r="L325" s="6"/>
      <c r="M325" s="6"/>
      <c r="N325" s="6"/>
      <c r="O325" s="6"/>
      <c r="P325" s="6"/>
      <c r="Q325" s="6"/>
      <c r="R325" s="6"/>
      <c r="S325" s="6"/>
    </row>
    <row r="326" spans="6:19">
      <c r="F326" s="5">
        <f t="shared" si="49"/>
        <v>4.1568364241266111E-7</v>
      </c>
      <c r="G326" s="4">
        <f t="shared" si="50"/>
        <v>730285686.93586648</v>
      </c>
      <c r="H326" s="3">
        <f t="shared" si="51"/>
        <v>303.5678143473333</v>
      </c>
      <c r="I326">
        <f t="shared" si="52"/>
        <v>221691229832.26187</v>
      </c>
      <c r="J326" s="6"/>
      <c r="K326" s="6"/>
      <c r="L326" s="6"/>
      <c r="M326" s="6"/>
      <c r="N326" s="6"/>
      <c r="O326" s="6"/>
      <c r="P326" s="6"/>
      <c r="Q326" s="6"/>
      <c r="R326" s="6"/>
      <c r="S326" s="6"/>
    </row>
    <row r="327" spans="6:19">
      <c r="F327" s="5">
        <f t="shared" si="49"/>
        <v>3.9565367511020689E-7</v>
      </c>
      <c r="G327" s="4">
        <f t="shared" si="50"/>
        <v>748542829.10926306</v>
      </c>
      <c r="H327" s="3">
        <f t="shared" si="51"/>
        <v>296.1637213144715</v>
      </c>
      <c r="I327">
        <f t="shared" si="52"/>
        <v>221691229832.26187</v>
      </c>
      <c r="J327" s="6"/>
      <c r="K327" s="6"/>
      <c r="L327" s="6"/>
      <c r="M327" s="6"/>
      <c r="N327" s="6"/>
      <c r="O327" s="6"/>
      <c r="P327" s="6"/>
      <c r="Q327" s="6"/>
      <c r="R327" s="6"/>
      <c r="S327" s="6"/>
    </row>
    <row r="328" spans="6:19">
      <c r="F328" s="5">
        <f t="shared" si="49"/>
        <v>3.7658886387646122E-7</v>
      </c>
      <c r="G328" s="4">
        <f t="shared" si="50"/>
        <v>767256399.83699453</v>
      </c>
      <c r="H328" s="3">
        <f t="shared" si="51"/>
        <v>288.94021591655763</v>
      </c>
      <c r="I328">
        <f t="shared" si="52"/>
        <v>221691229832.26187</v>
      </c>
      <c r="J328" s="6"/>
      <c r="K328" s="6"/>
      <c r="L328" s="6"/>
      <c r="M328" s="6"/>
      <c r="N328" s="6"/>
      <c r="O328" s="6"/>
      <c r="P328" s="6"/>
      <c r="Q328" s="6"/>
      <c r="R328" s="6"/>
      <c r="S328" s="6"/>
    </row>
    <row r="329" spans="6:19">
      <c r="F329" s="5">
        <f t="shared" ref="F329:F392" si="53">H329/G329</f>
        <v>3.5844270208348487E-7</v>
      </c>
      <c r="G329" s="4">
        <f t="shared" si="50"/>
        <v>786437809.83291936</v>
      </c>
      <c r="H329" s="3">
        <f t="shared" si="51"/>
        <v>281.89289357712943</v>
      </c>
      <c r="I329">
        <f t="shared" si="52"/>
        <v>221691229832.26187</v>
      </c>
      <c r="J329" s="6"/>
      <c r="K329" s="6"/>
      <c r="L329" s="6"/>
      <c r="M329" s="6"/>
      <c r="N329" s="6"/>
      <c r="O329" s="6"/>
      <c r="P329" s="6"/>
      <c r="Q329" s="6"/>
      <c r="R329" s="6"/>
      <c r="S329" s="6"/>
    </row>
    <row r="330" spans="6:19">
      <c r="F330" s="5">
        <f t="shared" si="53"/>
        <v>3.4117092405328721E-7</v>
      </c>
      <c r="G330" s="4">
        <f t="shared" si="50"/>
        <v>806098755.07874227</v>
      </c>
      <c r="H330" s="3">
        <f t="shared" si="51"/>
        <v>275.01745714841894</v>
      </c>
      <c r="I330">
        <f t="shared" si="52"/>
        <v>221691229832.26187</v>
      </c>
      <c r="J330" s="6"/>
      <c r="K330" s="6"/>
      <c r="L330" s="6"/>
      <c r="M330" s="6"/>
      <c r="N330" s="6"/>
      <c r="O330" s="6"/>
      <c r="P330" s="6"/>
      <c r="Q330" s="6"/>
      <c r="R330" s="6"/>
      <c r="S330" s="6"/>
    </row>
    <row r="331" spans="6:19">
      <c r="F331" s="5">
        <f t="shared" si="53"/>
        <v>3.2473139707629957E-7</v>
      </c>
      <c r="G331" s="4">
        <f t="shared" si="50"/>
        <v>826251223.95571077</v>
      </c>
      <c r="H331" s="3">
        <f t="shared" si="51"/>
        <v>268.30971429114044</v>
      </c>
      <c r="I331">
        <f t="shared" si="52"/>
        <v>221691229832.26187</v>
      </c>
      <c r="J331" s="6"/>
      <c r="K331" s="6"/>
      <c r="L331" s="6"/>
      <c r="M331" s="6"/>
      <c r="N331" s="6"/>
      <c r="O331" s="6"/>
      <c r="P331" s="6"/>
      <c r="Q331" s="6"/>
      <c r="R331" s="6"/>
      <c r="S331" s="6"/>
    </row>
    <row r="332" spans="6:19">
      <c r="F332" s="5">
        <f t="shared" si="53"/>
        <v>3.0908401863300384E-7</v>
      </c>
      <c r="G332" s="4">
        <f t="shared" si="50"/>
        <v>846907504.55460346</v>
      </c>
      <c r="H332" s="3">
        <f t="shared" si="51"/>
        <v>261.76557491818585</v>
      </c>
      <c r="I332">
        <f t="shared" si="52"/>
        <v>221691229832.26187</v>
      </c>
      <c r="J332" s="6"/>
      <c r="K332" s="6"/>
      <c r="L332" s="6"/>
      <c r="M332" s="6"/>
      <c r="N332" s="6"/>
      <c r="O332" s="6"/>
      <c r="P332" s="6"/>
      <c r="Q332" s="6"/>
      <c r="R332" s="6"/>
      <c r="S332" s="6"/>
    </row>
    <row r="333" spans="6:19">
      <c r="F333" s="5">
        <f t="shared" si="53"/>
        <v>2.9419061856799894E-7</v>
      </c>
      <c r="G333" s="4">
        <f t="shared" si="50"/>
        <v>868080192.16846848</v>
      </c>
      <c r="H333" s="3">
        <f t="shared" si="51"/>
        <v>255.38104870066914</v>
      </c>
      <c r="I333">
        <f t="shared" si="52"/>
        <v>221691229832.26187</v>
      </c>
      <c r="J333" s="6"/>
      <c r="K333" s="6"/>
      <c r="L333" s="6"/>
      <c r="M333" s="6"/>
      <c r="N333" s="6"/>
      <c r="O333" s="6"/>
      <c r="P333" s="6"/>
      <c r="Q333" s="6"/>
      <c r="R333" s="6"/>
      <c r="S333" s="6"/>
    </row>
    <row r="334" spans="6:19">
      <c r="F334" s="5">
        <f t="shared" si="53"/>
        <v>2.8001486597786936E-7</v>
      </c>
      <c r="G334" s="4">
        <f t="shared" si="50"/>
        <v>889782196.97268009</v>
      </c>
      <c r="H334" s="3">
        <f t="shared" si="51"/>
        <v>249.15224263479919</v>
      </c>
      <c r="I334">
        <f t="shared" si="52"/>
        <v>221691229832.26187</v>
      </c>
      <c r="J334" s="6"/>
      <c r="K334" s="6"/>
      <c r="L334" s="6"/>
      <c r="M334" s="6"/>
      <c r="N334" s="6"/>
      <c r="O334" s="6"/>
      <c r="P334" s="6"/>
      <c r="Q334" s="6"/>
      <c r="R334" s="6"/>
      <c r="S334" s="6"/>
    </row>
    <row r="335" spans="6:19">
      <c r="F335" s="5">
        <f t="shared" si="53"/>
        <v>2.6652218058571751E-7</v>
      </c>
      <c r="G335" s="4">
        <f t="shared" si="50"/>
        <v>912026751.89699697</v>
      </c>
      <c r="H335" s="3">
        <f t="shared" si="51"/>
        <v>243.07535866809681</v>
      </c>
      <c r="I335">
        <f t="shared" si="52"/>
        <v>221691229832.26187</v>
      </c>
      <c r="J335" s="6"/>
      <c r="K335" s="6"/>
      <c r="L335" s="6"/>
      <c r="M335" s="6"/>
      <c r="N335" s="6"/>
      <c r="O335" s="6"/>
      <c r="P335" s="6"/>
      <c r="Q335" s="6"/>
      <c r="R335" s="6"/>
      <c r="S335" s="6"/>
    </row>
    <row r="336" spans="6:19">
      <c r="F336" s="5">
        <f t="shared" si="53"/>
        <v>2.5367964838616785E-7</v>
      </c>
      <c r="G336" s="4">
        <f t="shared" si="50"/>
        <v>934827420.69442177</v>
      </c>
      <c r="H336" s="3">
        <f t="shared" si="51"/>
        <v>237.14669138350911</v>
      </c>
      <c r="I336">
        <f t="shared" si="52"/>
        <v>221691229832.26187</v>
      </c>
      <c r="J336" s="6"/>
      <c r="K336" s="6"/>
      <c r="L336" s="6"/>
      <c r="M336" s="6"/>
      <c r="N336" s="6"/>
      <c r="O336" s="6"/>
      <c r="P336" s="6"/>
      <c r="Q336" s="6"/>
      <c r="R336" s="6"/>
      <c r="S336" s="6"/>
    </row>
    <row r="337" spans="6:19">
      <c r="F337" s="5">
        <f t="shared" si="53"/>
        <v>2.4145594135506757E-7</v>
      </c>
      <c r="G337" s="4">
        <f t="shared" si="50"/>
        <v>958198106.21178222</v>
      </c>
      <c r="H337" s="3">
        <f t="shared" si="51"/>
        <v>231.36262574000889</v>
      </c>
      <c r="I337">
        <f t="shared" si="52"/>
        <v>221691229832.26187</v>
      </c>
      <c r="J337" s="6"/>
      <c r="K337" s="6"/>
      <c r="L337" s="6"/>
      <c r="M337" s="6"/>
      <c r="N337" s="6"/>
      <c r="O337" s="6"/>
      <c r="P337" s="6"/>
      <c r="Q337" s="6"/>
      <c r="R337" s="6"/>
      <c r="S337" s="6"/>
    </row>
    <row r="338" spans="6:19">
      <c r="F338" s="5">
        <f t="shared" si="53"/>
        <v>2.2982124102802393E-7</v>
      </c>
      <c r="G338" s="4">
        <f t="shared" si="50"/>
        <v>982153058.86707664</v>
      </c>
      <c r="H338" s="3">
        <f t="shared" si="51"/>
        <v>225.7196348683014</v>
      </c>
      <c r="I338">
        <f t="shared" si="52"/>
        <v>221691229832.26187</v>
      </c>
      <c r="J338" s="6"/>
      <c r="K338" s="6"/>
      <c r="L338" s="6"/>
      <c r="M338" s="6"/>
      <c r="N338" s="6"/>
      <c r="O338" s="6"/>
      <c r="P338" s="6"/>
      <c r="Q338" s="6"/>
      <c r="R338" s="6"/>
      <c r="S338" s="6"/>
    </row>
    <row r="339" spans="6:19">
      <c r="F339" s="5">
        <f t="shared" si="53"/>
        <v>2.1874716576135536E-7</v>
      </c>
      <c r="G339" s="4">
        <f t="shared" si="50"/>
        <v>1006706885.3387535</v>
      </c>
      <c r="H339" s="3">
        <f t="shared" si="51"/>
        <v>220.21427792029408</v>
      </c>
      <c r="I339">
        <f t="shared" si="52"/>
        <v>221691229832.26187</v>
      </c>
      <c r="J339" s="6"/>
      <c r="K339" s="6"/>
      <c r="L339" s="6"/>
      <c r="M339" s="6"/>
      <c r="N339" s="6"/>
      <c r="O339" s="6"/>
      <c r="P339" s="6"/>
      <c r="Q339" s="6"/>
      <c r="R339" s="6"/>
      <c r="S339" s="6"/>
    </row>
    <row r="340" spans="6:19">
      <c r="F340" s="5">
        <f t="shared" si="53"/>
        <v>2.0820670149801822E-7</v>
      </c>
      <c r="G340" s="4">
        <f t="shared" si="50"/>
        <v>1031874557.4722222</v>
      </c>
      <c r="H340" s="3">
        <f t="shared" si="51"/>
        <v>214.84319797101861</v>
      </c>
      <c r="I340">
        <f t="shared" si="52"/>
        <v>221691229832.26187</v>
      </c>
      <c r="J340" s="6"/>
      <c r="K340" s="6"/>
      <c r="L340" s="6"/>
      <c r="M340" s="6"/>
      <c r="N340" s="6"/>
      <c r="O340" s="6"/>
      <c r="P340" s="6"/>
      <c r="Q340" s="6"/>
      <c r="R340" s="6"/>
      <c r="S340" s="6"/>
    </row>
    <row r="341" spans="6:19">
      <c r="F341" s="5">
        <f t="shared" si="53"/>
        <v>1.9817413586961881E-7</v>
      </c>
      <c r="G341" s="4">
        <f t="shared" si="50"/>
        <v>1057671421.4090277</v>
      </c>
      <c r="H341" s="3">
        <f t="shared" si="51"/>
        <v>209.6031199717255</v>
      </c>
      <c r="I341">
        <f t="shared" si="52"/>
        <v>221691229832.26187</v>
      </c>
      <c r="J341" s="6"/>
      <c r="K341" s="6"/>
      <c r="L341" s="6"/>
      <c r="M341" s="6"/>
      <c r="N341" s="6"/>
      <c r="O341" s="6"/>
      <c r="P341" s="6"/>
      <c r="Q341" s="6"/>
      <c r="R341" s="6"/>
      <c r="S341" s="6"/>
    </row>
    <row r="342" spans="6:19">
      <c r="F342" s="5">
        <f t="shared" si="53"/>
        <v>1.8862499547375979E-7</v>
      </c>
      <c r="G342" s="4">
        <f t="shared" si="50"/>
        <v>1084113206.9442532</v>
      </c>
      <c r="H342" s="3">
        <f t="shared" si="51"/>
        <v>204.49084875290296</v>
      </c>
      <c r="I342">
        <f t="shared" si="52"/>
        <v>221691229832.26187</v>
      </c>
      <c r="J342" s="6"/>
      <c r="K342" s="6"/>
      <c r="L342" s="6"/>
      <c r="M342" s="6"/>
      <c r="N342" s="6"/>
      <c r="O342" s="6"/>
      <c r="P342" s="6"/>
      <c r="Q342" s="6"/>
      <c r="R342" s="6"/>
      <c r="S342" s="6"/>
    </row>
    <row r="343" spans="6:19">
      <c r="F343" s="5">
        <f t="shared" si="53"/>
        <v>1.7953598617371548E-7</v>
      </c>
      <c r="G343" s="4">
        <f t="shared" si="50"/>
        <v>1111216037.1178594</v>
      </c>
      <c r="H343" s="3">
        <f t="shared" si="51"/>
        <v>199.50326707600291</v>
      </c>
      <c r="I343">
        <f t="shared" si="52"/>
        <v>221691229832.26187</v>
      </c>
      <c r="J343" s="6"/>
      <c r="K343" s="6"/>
      <c r="L343" s="6"/>
      <c r="M343" s="6"/>
      <c r="N343" s="6"/>
      <c r="O343" s="6"/>
      <c r="P343" s="6"/>
      <c r="Q343" s="6"/>
      <c r="R343" s="6"/>
      <c r="S343" s="6"/>
    </row>
    <row r="344" spans="6:19">
      <c r="F344" s="5">
        <f t="shared" si="53"/>
        <v>1.708849362748036E-7</v>
      </c>
      <c r="G344" s="4">
        <f t="shared" si="50"/>
        <v>1138996438.0458057</v>
      </c>
      <c r="H344" s="3">
        <f t="shared" si="51"/>
        <v>194.63733373268579</v>
      </c>
      <c r="I344">
        <f t="shared" si="52"/>
        <v>221691229832.26187</v>
      </c>
      <c r="J344" s="6"/>
      <c r="K344" s="6"/>
      <c r="L344" s="6"/>
      <c r="M344" s="6"/>
      <c r="N344" s="6"/>
      <c r="O344" s="6"/>
      <c r="P344" s="6"/>
      <c r="Q344" s="6"/>
      <c r="R344" s="6"/>
      <c r="S344" s="6"/>
    </row>
    <row r="345" spans="6:19">
      <c r="F345" s="5">
        <f t="shared" si="53"/>
        <v>1.6265074243883751E-7</v>
      </c>
      <c r="G345" s="4">
        <f t="shared" si="50"/>
        <v>1167471348.9969506</v>
      </c>
      <c r="H345" s="3">
        <f t="shared" si="51"/>
        <v>189.89008169042521</v>
      </c>
      <c r="I345">
        <f t="shared" si="52"/>
        <v>221691229832.26187</v>
      </c>
      <c r="J345" s="6"/>
      <c r="K345" s="6"/>
      <c r="L345" s="6"/>
      <c r="M345" s="6"/>
      <c r="N345" s="6"/>
      <c r="O345" s="6"/>
      <c r="P345" s="6"/>
      <c r="Q345" s="6"/>
      <c r="R345" s="6"/>
      <c r="S345" s="6"/>
    </row>
    <row r="346" spans="6:19">
      <c r="F346" s="5">
        <f t="shared" si="53"/>
        <v>1.5481331820472346E-7</v>
      </c>
      <c r="G346" s="4">
        <f t="shared" si="50"/>
        <v>1196658132.7218742</v>
      </c>
      <c r="H346" s="3">
        <f t="shared" si="51"/>
        <v>185.25861628334169</v>
      </c>
      <c r="I346">
        <f t="shared" si="52"/>
        <v>221691229832.26187</v>
      </c>
      <c r="J346" s="6"/>
      <c r="K346" s="6"/>
      <c r="L346" s="6"/>
      <c r="M346" s="6"/>
      <c r="N346" s="6"/>
      <c r="O346" s="6"/>
      <c r="P346" s="6"/>
      <c r="Q346" s="6"/>
      <c r="R346" s="6"/>
      <c r="S346" s="6"/>
    </row>
    <row r="347" spans="6:19">
      <c r="F347" s="5">
        <f t="shared" si="53"/>
        <v>1.4735354498962374E-7</v>
      </c>
      <c r="G347" s="4">
        <f t="shared" si="50"/>
        <v>1226574586.039921</v>
      </c>
      <c r="H347" s="3">
        <f t="shared" si="51"/>
        <v>180.74011344716263</v>
      </c>
      <c r="I347">
        <f t="shared" si="52"/>
        <v>221691229832.26187</v>
      </c>
      <c r="J347" s="6"/>
      <c r="K347" s="6"/>
      <c r="L347" s="6"/>
      <c r="M347" s="6"/>
      <c r="N347" s="6"/>
      <c r="O347" s="6"/>
      <c r="P347" s="6"/>
      <c r="Q347" s="6"/>
      <c r="R347" s="6"/>
      <c r="S347" s="6"/>
    </row>
    <row r="348" spans="6:19">
      <c r="F348" s="5">
        <f t="shared" si="53"/>
        <v>1.4025322545115887E-7</v>
      </c>
      <c r="G348" s="4">
        <f t="shared" si="50"/>
        <v>1257238950.6909189</v>
      </c>
      <c r="H348" s="3">
        <f t="shared" si="51"/>
        <v>176.33181799723187</v>
      </c>
      <c r="I348">
        <f t="shared" si="52"/>
        <v>221691229832.26187</v>
      </c>
      <c r="J348" s="6"/>
      <c r="K348" s="6"/>
      <c r="L348" s="6"/>
      <c r="M348" s="6"/>
      <c r="N348" s="6"/>
      <c r="O348" s="6"/>
      <c r="P348" s="6"/>
      <c r="Q348" s="6"/>
      <c r="R348" s="6"/>
      <c r="S348" s="6"/>
    </row>
    <row r="349" spans="6:19">
      <c r="F349" s="5">
        <f t="shared" si="53"/>
        <v>1.3349503909687937E-7</v>
      </c>
      <c r="G349" s="4">
        <f t="shared" si="50"/>
        <v>1288669924.4581919</v>
      </c>
      <c r="H349" s="3">
        <f t="shared" si="51"/>
        <v>172.03104194851889</v>
      </c>
      <c r="I349">
        <f t="shared" si="52"/>
        <v>221691229832.26187</v>
      </c>
      <c r="J349" s="6"/>
      <c r="K349" s="6"/>
      <c r="L349" s="6"/>
      <c r="M349" s="6"/>
      <c r="N349" s="6"/>
      <c r="O349" s="6"/>
      <c r="P349" s="6"/>
      <c r="Q349" s="6"/>
      <c r="R349" s="6"/>
      <c r="S349" s="6"/>
    </row>
    <row r="350" spans="6:19">
      <c r="F350" s="5">
        <f t="shared" si="53"/>
        <v>1.2706250003272278E-7</v>
      </c>
      <c r="G350" s="4">
        <f t="shared" si="50"/>
        <v>1320886672.5696466</v>
      </c>
      <c r="H350" s="3">
        <f t="shared" si="51"/>
        <v>167.83516287660379</v>
      </c>
      <c r="I350">
        <f t="shared" si="52"/>
        <v>221691229832.26187</v>
      </c>
      <c r="J350" s="6"/>
      <c r="K350" s="6"/>
      <c r="L350" s="6"/>
      <c r="M350" s="6"/>
      <c r="N350" s="6"/>
      <c r="O350" s="6"/>
      <c r="P350" s="6"/>
      <c r="Q350" s="6"/>
      <c r="R350" s="6"/>
      <c r="S350" s="6"/>
    </row>
    <row r="351" spans="6:19">
      <c r="F351" s="5">
        <f t="shared" si="53"/>
        <v>1.2093991674738639E-7</v>
      </c>
      <c r="G351" s="4">
        <f t="shared" si="50"/>
        <v>1353908839.3838875</v>
      </c>
      <c r="H351" s="3">
        <f t="shared" si="51"/>
        <v>163.74162231863789</v>
      </c>
      <c r="I351">
        <f t="shared" si="52"/>
        <v>221691229832.26187</v>
      </c>
      <c r="J351" s="6"/>
      <c r="K351" s="6"/>
      <c r="L351" s="6"/>
      <c r="M351" s="6"/>
      <c r="N351" s="6"/>
      <c r="O351" s="6"/>
      <c r="P351" s="6"/>
      <c r="Q351" s="6"/>
      <c r="R351" s="6"/>
      <c r="S351" s="6"/>
    </row>
    <row r="352" spans="6:19">
      <c r="F352" s="5">
        <f t="shared" si="53"/>
        <v>1.1511235383451415E-7</v>
      </c>
      <c r="G352" s="4">
        <f t="shared" si="50"/>
        <v>1387756560.3684845</v>
      </c>
      <c r="H352" s="3">
        <f t="shared" si="51"/>
        <v>159.74792421330528</v>
      </c>
      <c r="I352">
        <f t="shared" si="52"/>
        <v>221691229832.26187</v>
      </c>
      <c r="J352" s="6"/>
      <c r="K352" s="6"/>
      <c r="L352" s="6"/>
      <c r="M352" s="6"/>
      <c r="N352" s="6"/>
      <c r="O352" s="6"/>
      <c r="P352" s="6"/>
      <c r="Q352" s="6"/>
      <c r="R352" s="6"/>
      <c r="S352" s="6"/>
    </row>
    <row r="353" spans="6:19">
      <c r="F353" s="5">
        <f t="shared" si="53"/>
        <v>1.0956559555932341E-7</v>
      </c>
      <c r="G353" s="4">
        <f t="shared" si="50"/>
        <v>1422450474.3776965</v>
      </c>
      <c r="H353" s="3">
        <f t="shared" si="51"/>
        <v>155.85163337883444</v>
      </c>
      <c r="I353">
        <f t="shared" si="52"/>
        <v>221691229832.26187</v>
      </c>
      <c r="J353" s="6"/>
      <c r="K353" s="6"/>
      <c r="L353" s="6"/>
      <c r="M353" s="6"/>
      <c r="N353" s="6"/>
      <c r="O353" s="6"/>
      <c r="P353" s="6"/>
      <c r="Q353" s="6"/>
      <c r="R353" s="6"/>
      <c r="S353" s="6"/>
    </row>
    <row r="354" spans="6:19">
      <c r="F354" s="5">
        <f t="shared" si="53"/>
        <v>1.0428611118079565E-7</v>
      </c>
      <c r="G354" s="4">
        <f t="shared" si="50"/>
        <v>1458011736.2371387</v>
      </c>
      <c r="H354" s="3">
        <f t="shared" si="51"/>
        <v>152.05037402813116</v>
      </c>
      <c r="I354">
        <f t="shared" si="52"/>
        <v>221691229832.26187</v>
      </c>
      <c r="J354" s="6"/>
      <c r="K354" s="6"/>
      <c r="L354" s="6"/>
      <c r="M354" s="6"/>
      <c r="N354" s="6"/>
      <c r="O354" s="6"/>
      <c r="P354" s="6"/>
      <c r="Q354" s="6"/>
      <c r="R354" s="6"/>
      <c r="S354" s="6"/>
    </row>
    <row r="355" spans="6:19">
      <c r="F355" s="5">
        <f t="shared" si="53"/>
        <v>9.9261021944838228E-8</v>
      </c>
      <c r="G355" s="4">
        <f t="shared" si="50"/>
        <v>1494462029.6430671</v>
      </c>
      <c r="H355" s="3">
        <f t="shared" si="51"/>
        <v>148.34182832012797</v>
      </c>
      <c r="I355">
        <f t="shared" si="52"/>
        <v>221691229832.26187</v>
      </c>
      <c r="J355" s="6"/>
      <c r="K355" s="6"/>
      <c r="L355" s="6"/>
      <c r="M355" s="6"/>
      <c r="N355" s="6"/>
      <c r="O355" s="6"/>
      <c r="P355" s="6"/>
      <c r="Q355" s="6"/>
      <c r="R355" s="6"/>
      <c r="S355" s="6"/>
    </row>
    <row r="356" spans="6:19">
      <c r="F356" s="5">
        <f t="shared" si="53"/>
        <v>9.4478069667900798E-8</v>
      </c>
      <c r="G356" s="4">
        <f t="shared" si="50"/>
        <v>1531823580.3841436</v>
      </c>
      <c r="H356" s="3">
        <f t="shared" si="51"/>
        <v>144.72373494646635</v>
      </c>
      <c r="I356">
        <f t="shared" si="52"/>
        <v>221691229832.26187</v>
      </c>
      <c r="J356" s="6"/>
      <c r="K356" s="6"/>
      <c r="L356" s="6"/>
      <c r="M356" s="6"/>
      <c r="N356" s="6"/>
      <c r="O356" s="6"/>
      <c r="P356" s="6"/>
      <c r="Q356" s="6"/>
      <c r="R356" s="6"/>
      <c r="S356" s="6"/>
    </row>
    <row r="357" spans="6:19">
      <c r="F357" s="5">
        <f t="shared" si="53"/>
        <v>8.9925586834408849E-8</v>
      </c>
      <c r="G357" s="4">
        <f t="shared" si="50"/>
        <v>1570119169.8937471</v>
      </c>
      <c r="H357" s="3">
        <f t="shared" si="51"/>
        <v>141.19388775265008</v>
      </c>
      <c r="I357">
        <f t="shared" si="52"/>
        <v>221691229832.26187</v>
      </c>
      <c r="J357" s="6"/>
      <c r="K357" s="6"/>
      <c r="L357" s="6"/>
      <c r="M357" s="6"/>
      <c r="N357" s="6"/>
      <c r="O357" s="6"/>
      <c r="P357" s="6"/>
      <c r="Q357" s="6"/>
      <c r="R357" s="6"/>
      <c r="S357" s="6"/>
    </row>
    <row r="358" spans="6:19">
      <c r="F358" s="5">
        <f t="shared" si="53"/>
        <v>8.5592468135070911E-8</v>
      </c>
      <c r="G358" s="4">
        <f t="shared" si="50"/>
        <v>1609372149.1410906</v>
      </c>
      <c r="H358" s="3">
        <f t="shared" si="51"/>
        <v>137.75013439282938</v>
      </c>
      <c r="I358">
        <f t="shared" si="52"/>
        <v>221691229832.26187</v>
      </c>
      <c r="J358" s="6"/>
      <c r="K358" s="6"/>
      <c r="L358" s="6"/>
      <c r="M358" s="6"/>
      <c r="N358" s="6"/>
      <c r="O358" s="6"/>
      <c r="P358" s="6"/>
      <c r="Q358" s="6"/>
      <c r="R358" s="6"/>
      <c r="S358" s="6"/>
    </row>
    <row r="359" spans="6:19">
      <c r="F359" s="5">
        <f t="shared" si="53"/>
        <v>8.1468143376629072E-8</v>
      </c>
      <c r="G359" s="4">
        <f t="shared" si="50"/>
        <v>1649606452.8696177</v>
      </c>
      <c r="H359" s="3">
        <f t="shared" si="51"/>
        <v>134.39037501739452</v>
      </c>
      <c r="I359">
        <f t="shared" si="52"/>
        <v>221691229832.26187</v>
      </c>
      <c r="J359" s="6"/>
      <c r="K359" s="6"/>
      <c r="L359" s="6"/>
      <c r="M359" s="6"/>
      <c r="N359" s="6"/>
      <c r="O359" s="6"/>
      <c r="P359" s="6"/>
      <c r="Q359" s="6"/>
      <c r="R359" s="6"/>
      <c r="S359" s="6"/>
    </row>
    <row r="360" spans="6:19">
      <c r="F360" s="5">
        <f t="shared" si="53"/>
        <v>7.7542551696969977E-8</v>
      </c>
      <c r="G360" s="4">
        <f t="shared" si="50"/>
        <v>1690846614.1913581</v>
      </c>
      <c r="H360" s="3">
        <f t="shared" si="51"/>
        <v>131.11256099258003</v>
      </c>
      <c r="I360">
        <f t="shared" si="52"/>
        <v>221691229832.26187</v>
      </c>
      <c r="J360" s="6"/>
      <c r="K360" s="6"/>
      <c r="L360" s="6"/>
      <c r="M360" s="6"/>
      <c r="N360" s="6"/>
      <c r="O360" s="6"/>
      <c r="P360" s="6"/>
      <c r="Q360" s="6"/>
      <c r="R360" s="6"/>
      <c r="S360" s="6"/>
    </row>
    <row r="361" spans="6:19">
      <c r="F361" s="5">
        <f t="shared" si="53"/>
        <v>7.3806117022696003E-8</v>
      </c>
      <c r="G361" s="4">
        <f t="shared" si="50"/>
        <v>1733117779.5461419</v>
      </c>
      <c r="H361" s="3">
        <f t="shared" si="51"/>
        <v>127.9146936512976</v>
      </c>
      <c r="I361">
        <f t="shared" si="52"/>
        <v>221691229832.26187</v>
      </c>
      <c r="J361" s="6"/>
      <c r="K361" s="6"/>
      <c r="L361" s="6"/>
      <c r="M361" s="6"/>
      <c r="N361" s="6"/>
      <c r="O361" s="6"/>
      <c r="P361" s="6"/>
      <c r="Q361" s="6"/>
      <c r="R361" s="6"/>
      <c r="S361" s="6"/>
    </row>
    <row r="362" spans="6:19">
      <c r="F362" s="5">
        <f t="shared" si="53"/>
        <v>7.0249724709288292E-8</v>
      </c>
      <c r="G362" s="4">
        <f t="shared" si="50"/>
        <v>1776445724.0347953</v>
      </c>
      <c r="H362" s="3">
        <f t="shared" si="51"/>
        <v>124.79482307443669</v>
      </c>
      <c r="I362">
        <f t="shared" si="52"/>
        <v>221691229832.26187</v>
      </c>
      <c r="J362" s="6"/>
      <c r="K362" s="6"/>
      <c r="L362" s="6"/>
      <c r="M362" s="6"/>
      <c r="N362" s="6"/>
      <c r="O362" s="6"/>
      <c r="P362" s="6"/>
      <c r="Q362" s="6"/>
      <c r="R362" s="6"/>
      <c r="S362" s="6"/>
    </row>
    <row r="363" spans="6:19">
      <c r="F363" s="5">
        <f t="shared" si="53"/>
        <v>6.6864699306877632E-8</v>
      </c>
      <c r="G363" s="4">
        <f t="shared" si="50"/>
        <v>1820856867.1356649</v>
      </c>
      <c r="H363" s="3">
        <f t="shared" si="51"/>
        <v>121.75104690188947</v>
      </c>
      <c r="I363">
        <f t="shared" si="52"/>
        <v>221691229832.26187</v>
      </c>
      <c r="J363" s="6"/>
      <c r="K363" s="6"/>
      <c r="L363" s="6"/>
      <c r="M363" s="6"/>
      <c r="N363" s="6"/>
      <c r="O363" s="6"/>
      <c r="P363" s="6"/>
      <c r="Q363" s="6"/>
      <c r="R363" s="6"/>
      <c r="S363" s="6"/>
    </row>
    <row r="364" spans="6:19">
      <c r="F364" s="5">
        <f t="shared" si="53"/>
        <v>6.3642783397385034E-8</v>
      </c>
      <c r="G364" s="4">
        <f t="shared" si="50"/>
        <v>1866378288.8140564</v>
      </c>
      <c r="H364" s="3">
        <f t="shared" si="51"/>
        <v>118.78150917257511</v>
      </c>
      <c r="I364">
        <f t="shared" si="52"/>
        <v>221691229832.26187</v>
      </c>
      <c r="J364" s="6"/>
      <c r="K364" s="6"/>
      <c r="L364" s="6"/>
      <c r="M364" s="6"/>
      <c r="N364" s="6"/>
      <c r="O364" s="6"/>
      <c r="P364" s="6"/>
      <c r="Q364" s="6"/>
      <c r="R364" s="6"/>
      <c r="S364" s="6"/>
    </row>
    <row r="365" spans="6:19">
      <c r="F365" s="5">
        <f t="shared" si="53"/>
        <v>6.0576117451407535E-8</v>
      </c>
      <c r="G365" s="4">
        <f t="shared" si="50"/>
        <v>1913037746.0344076</v>
      </c>
      <c r="H365" s="3">
        <f t="shared" si="51"/>
        <v>115.88439919275622</v>
      </c>
      <c r="I365">
        <f t="shared" si="52"/>
        <v>221691229832.26187</v>
      </c>
      <c r="J365" s="6"/>
      <c r="K365" s="6"/>
      <c r="L365" s="6"/>
      <c r="M365" s="6"/>
      <c r="N365" s="6"/>
      <c r="O365" s="6"/>
      <c r="P365" s="6"/>
      <c r="Q365" s="6"/>
      <c r="R365" s="6"/>
      <c r="S365" s="6"/>
    </row>
    <row r="366" spans="6:19">
      <c r="F366" s="5">
        <f t="shared" si="53"/>
        <v>5.7657220655712122E-8</v>
      </c>
      <c r="G366" s="4">
        <f t="shared" si="50"/>
        <v>1960863689.6852677</v>
      </c>
      <c r="H366" s="3">
        <f t="shared" si="51"/>
        <v>113.05795043195729</v>
      </c>
      <c r="I366">
        <f t="shared" si="52"/>
        <v>221691229832.26187</v>
      </c>
      <c r="J366" s="6"/>
      <c r="K366" s="6"/>
      <c r="L366" s="6"/>
      <c r="M366" s="6"/>
      <c r="N366" s="6"/>
      <c r="O366" s="6"/>
      <c r="P366" s="6"/>
      <c r="Q366" s="6"/>
      <c r="R366" s="6"/>
      <c r="S366" s="6"/>
    </row>
    <row r="367" spans="6:19">
      <c r="F367" s="5">
        <f t="shared" si="53"/>
        <v>5.4878972664568355E-8</v>
      </c>
      <c r="G367" s="4">
        <f t="shared" si="50"/>
        <v>2009885281.9273992</v>
      </c>
      <c r="H367" s="3">
        <f t="shared" si="51"/>
        <v>110.300439445812</v>
      </c>
      <c r="I367">
        <f t="shared" si="52"/>
        <v>221691229832.26187</v>
      </c>
      <c r="J367" s="6"/>
      <c r="K367" s="6"/>
      <c r="L367" s="6"/>
      <c r="M367" s="6"/>
      <c r="N367" s="6"/>
      <c r="O367" s="6"/>
      <c r="P367" s="6"/>
      <c r="Q367" s="6"/>
      <c r="R367" s="6"/>
      <c r="S367" s="6"/>
    </row>
    <row r="368" spans="6:19">
      <c r="F368" s="5">
        <f t="shared" si="53"/>
        <v>5.2234596230404153E-8</v>
      </c>
      <c r="G368" s="4">
        <f t="shared" si="50"/>
        <v>2060132413.975584</v>
      </c>
      <c r="H368" s="3">
        <f t="shared" si="51"/>
        <v>107.61018482518244</v>
      </c>
      <c r="I368">
        <f t="shared" si="52"/>
        <v>221691229832.26187</v>
      </c>
      <c r="J368" s="6"/>
      <c r="K368" s="6"/>
      <c r="L368" s="6"/>
      <c r="M368" s="6"/>
      <c r="N368" s="6"/>
      <c r="O368" s="6"/>
      <c r="P368" s="6"/>
      <c r="Q368" s="6"/>
      <c r="R368" s="6"/>
      <c r="S368" s="6"/>
    </row>
    <row r="369" spans="6:19">
      <c r="F369" s="5">
        <f t="shared" si="53"/>
        <v>4.9717640671413841E-8</v>
      </c>
      <c r="G369" s="4">
        <f t="shared" ref="G369:G432" si="54">G368*(1+$O$1)</f>
        <v>2111635724.3249733</v>
      </c>
      <c r="H369" s="3">
        <f t="shared" si="51"/>
        <v>104.98554617090971</v>
      </c>
      <c r="I369">
        <f t="shared" si="52"/>
        <v>221691229832.26187</v>
      </c>
      <c r="J369" s="6"/>
      <c r="K369" s="6"/>
      <c r="L369" s="6"/>
      <c r="M369" s="6"/>
      <c r="N369" s="6"/>
      <c r="O369" s="6"/>
      <c r="P369" s="6"/>
      <c r="Q369" s="6"/>
      <c r="R369" s="6"/>
      <c r="S369" s="6"/>
    </row>
    <row r="370" spans="6:19">
      <c r="F370" s="5">
        <f t="shared" si="53"/>
        <v>4.7321966135789507E-8</v>
      </c>
      <c r="G370" s="4">
        <f t="shared" si="54"/>
        <v>2164426617.4330974</v>
      </c>
      <c r="H370" s="3">
        <f t="shared" ref="H370:H433" si="55">I370/G370</f>
        <v>102.42492309357047</v>
      </c>
      <c r="I370">
        <f t="shared" ref="I370:I433" si="56">I369</f>
        <v>221691229832.26187</v>
      </c>
      <c r="J370" s="6"/>
      <c r="K370" s="6"/>
      <c r="L370" s="6"/>
      <c r="M370" s="6"/>
      <c r="N370" s="6"/>
      <c r="O370" s="6"/>
      <c r="P370" s="6"/>
      <c r="Q370" s="6"/>
      <c r="R370" s="6"/>
      <c r="S370" s="6"/>
    </row>
    <row r="371" spans="6:19">
      <c r="F371" s="5">
        <f t="shared" si="53"/>
        <v>4.5041728624189908E-8</v>
      </c>
      <c r="G371" s="4">
        <f t="shared" si="54"/>
        <v>2218537282.8689246</v>
      </c>
      <c r="H371" s="3">
        <f t="shared" si="55"/>
        <v>99.926754237629737</v>
      </c>
      <c r="I371">
        <f t="shared" si="56"/>
        <v>221691229832.26187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</row>
    <row r="372" spans="6:19">
      <c r="F372" s="5">
        <f t="shared" si="53"/>
        <v>4.2871365733910686E-8</v>
      </c>
      <c r="G372" s="4">
        <f t="shared" si="54"/>
        <v>2274000714.9406476</v>
      </c>
      <c r="H372" s="3">
        <f t="shared" si="55"/>
        <v>97.489516329394874</v>
      </c>
      <c r="I372">
        <f t="shared" si="56"/>
        <v>221691229832.26187</v>
      </c>
      <c r="J372" s="6"/>
      <c r="K372" s="6"/>
      <c r="L372" s="6"/>
      <c r="M372" s="6"/>
      <c r="N372" s="6"/>
      <c r="O372" s="6"/>
      <c r="P372" s="6"/>
      <c r="Q372" s="6"/>
      <c r="R372" s="6"/>
      <c r="S372" s="6"/>
    </row>
    <row r="373" spans="6:19">
      <c r="F373" s="5">
        <f t="shared" si="53"/>
        <v>4.0805583089980427E-8</v>
      </c>
      <c r="G373" s="4">
        <f t="shared" si="54"/>
        <v>2330850732.8141637</v>
      </c>
      <c r="H373" s="3">
        <f t="shared" si="55"/>
        <v>95.111723248190117</v>
      </c>
      <c r="I373">
        <f t="shared" si="56"/>
        <v>221691229832.26187</v>
      </c>
      <c r="J373" s="6"/>
      <c r="K373" s="6"/>
      <c r="L373" s="6"/>
      <c r="M373" s="6"/>
      <c r="N373" s="6"/>
      <c r="O373" s="6"/>
      <c r="P373" s="6"/>
      <c r="Q373" s="6"/>
      <c r="R373" s="6"/>
      <c r="S373" s="6"/>
    </row>
    <row r="374" spans="6:19">
      <c r="F374" s="5">
        <f t="shared" si="53"/>
        <v>3.8839341430082502E-8</v>
      </c>
      <c r="G374" s="4">
        <f t="shared" si="54"/>
        <v>2389122001.1345177</v>
      </c>
      <c r="H374" s="3">
        <f t="shared" si="55"/>
        <v>92.791925120185482</v>
      </c>
      <c r="I374">
        <f t="shared" si="56"/>
        <v>221691229832.26187</v>
      </c>
      <c r="J374" s="6"/>
      <c r="K374" s="6"/>
      <c r="L374" s="6"/>
      <c r="M374" s="6"/>
      <c r="N374" s="6"/>
      <c r="O374" s="6"/>
      <c r="P374" s="6"/>
      <c r="Q374" s="6"/>
      <c r="R374" s="6"/>
      <c r="S374" s="6"/>
    </row>
    <row r="375" spans="6:19">
      <c r="F375" s="5">
        <f t="shared" si="53"/>
        <v>3.6967844311797752E-8</v>
      </c>
      <c r="G375" s="4">
        <f t="shared" si="54"/>
        <v>2448850051.1628804</v>
      </c>
      <c r="H375" s="3">
        <f t="shared" si="55"/>
        <v>90.528707434327316</v>
      </c>
      <c r="I375">
        <f t="shared" si="56"/>
        <v>221691229832.26187</v>
      </c>
      <c r="J375" s="6"/>
      <c r="K375" s="6"/>
      <c r="L375" s="6"/>
      <c r="M375" s="6"/>
      <c r="N375" s="6"/>
      <c r="O375" s="6"/>
      <c r="P375" s="6"/>
      <c r="Q375" s="6"/>
      <c r="R375" s="6"/>
      <c r="S375" s="6"/>
    </row>
    <row r="376" spans="6:19">
      <c r="F376" s="5">
        <f t="shared" si="53"/>
        <v>3.5186526412181085E-8</v>
      </c>
      <c r="G376" s="4">
        <f t="shared" si="54"/>
        <v>2510071302.4419522</v>
      </c>
      <c r="H376" s="3">
        <f t="shared" si="55"/>
        <v>88.32069017983153</v>
      </c>
      <c r="I376">
        <f t="shared" si="56"/>
        <v>221691229832.26187</v>
      </c>
      <c r="J376" s="6"/>
      <c r="K376" s="6"/>
      <c r="L376" s="6"/>
      <c r="M376" s="6"/>
      <c r="N376" s="6"/>
      <c r="O376" s="6"/>
      <c r="P376" s="6"/>
      <c r="Q376" s="6"/>
      <c r="R376" s="6"/>
      <c r="S376" s="6"/>
    </row>
    <row r="377" spans="6:19">
      <c r="F377" s="5">
        <f t="shared" si="53"/>
        <v>3.3491042391130135E-8</v>
      </c>
      <c r="G377" s="4">
        <f t="shared" si="54"/>
        <v>2572823085.0030007</v>
      </c>
      <c r="H377" s="3">
        <f t="shared" si="55"/>
        <v>86.1665270047137</v>
      </c>
      <c r="I377">
        <f t="shared" si="56"/>
        <v>221691229832.26187</v>
      </c>
      <c r="J377" s="6"/>
      <c r="K377" s="6"/>
      <c r="L377" s="6"/>
      <c r="M377" s="6"/>
      <c r="N377" s="6"/>
      <c r="O377" s="6"/>
      <c r="P377" s="6"/>
      <c r="Q377" s="6"/>
      <c r="R377" s="6"/>
      <c r="S377" s="6"/>
    </row>
    <row r="378" spans="6:19">
      <c r="F378" s="5">
        <f t="shared" si="53"/>
        <v>3.1877256291379073E-8</v>
      </c>
      <c r="G378" s="4">
        <f t="shared" si="54"/>
        <v>2637143662.1280756</v>
      </c>
      <c r="H378" s="3">
        <f t="shared" si="55"/>
        <v>84.064904394842642</v>
      </c>
      <c r="I378">
        <f t="shared" si="56"/>
        <v>221691229832.26187</v>
      </c>
      <c r="J378" s="6"/>
      <c r="K378" s="6"/>
      <c r="L378" s="6"/>
      <c r="M378" s="6"/>
      <c r="N378" s="6"/>
      <c r="O378" s="6"/>
      <c r="P378" s="6"/>
      <c r="Q378" s="6"/>
      <c r="R378" s="6"/>
      <c r="S378" s="6"/>
    </row>
    <row r="379" spans="6:19">
      <c r="F379" s="5">
        <f t="shared" si="53"/>
        <v>3.0341231449260271E-8</v>
      </c>
      <c r="G379" s="4">
        <f t="shared" si="54"/>
        <v>2703072253.6812773</v>
      </c>
      <c r="H379" s="3">
        <f t="shared" si="55"/>
        <v>82.014540873017211</v>
      </c>
      <c r="I379">
        <f t="shared" si="56"/>
        <v>221691229832.26187</v>
      </c>
      <c r="J379" s="6"/>
      <c r="K379" s="6"/>
      <c r="L379" s="6"/>
      <c r="M379" s="6"/>
      <c r="N379" s="6"/>
      <c r="O379" s="6"/>
      <c r="P379" s="6"/>
      <c r="Q379" s="6"/>
      <c r="R379" s="6"/>
      <c r="S379" s="6"/>
    </row>
    <row r="380" spans="6:19">
      <c r="F380" s="5">
        <f t="shared" si="53"/>
        <v>2.8879220891621924E-8</v>
      </c>
      <c r="G380" s="4">
        <f t="shared" si="54"/>
        <v>2770649060.0233088</v>
      </c>
      <c r="H380" s="3">
        <f t="shared" si="55"/>
        <v>80.014186217577787</v>
      </c>
      <c r="I380">
        <f t="shared" si="56"/>
        <v>221691229832.26187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</row>
    <row r="381" spans="6:19">
      <c r="F381" s="5">
        <f t="shared" si="53"/>
        <v>2.7487658195475952E-8</v>
      </c>
      <c r="G381" s="4">
        <f t="shared" si="54"/>
        <v>2839915286.5238914</v>
      </c>
      <c r="H381" s="3">
        <f t="shared" si="55"/>
        <v>78.062620700075882</v>
      </c>
      <c r="I381">
        <f t="shared" si="56"/>
        <v>221691229832.26187</v>
      </c>
      <c r="J381" s="6"/>
      <c r="K381" s="6"/>
      <c r="L381" s="6"/>
      <c r="M381" s="6"/>
      <c r="N381" s="6"/>
      <c r="O381" s="6"/>
      <c r="P381" s="6"/>
      <c r="Q381" s="6"/>
      <c r="R381" s="6"/>
      <c r="S381" s="6"/>
    </row>
    <row r="382" spans="6:19">
      <c r="F382" s="5">
        <f t="shared" si="53"/>
        <v>2.6163148788079439E-8</v>
      </c>
      <c r="G382" s="4">
        <f t="shared" si="54"/>
        <v>2910913168.6869884</v>
      </c>
      <c r="H382" s="3">
        <f t="shared" si="55"/>
        <v>76.158654341537456</v>
      </c>
      <c r="I382">
        <f t="shared" si="56"/>
        <v>221691229832.26187</v>
      </c>
      <c r="J382" s="6"/>
      <c r="K382" s="6"/>
      <c r="L382" s="6"/>
      <c r="M382" s="6"/>
      <c r="N382" s="6"/>
      <c r="O382" s="6"/>
      <c r="P382" s="6"/>
      <c r="Q382" s="6"/>
      <c r="R382" s="6"/>
      <c r="S382" s="6"/>
    </row>
    <row r="383" spans="6:19">
      <c r="F383" s="5">
        <f t="shared" si="53"/>
        <v>2.4902461666226715E-8</v>
      </c>
      <c r="G383" s="4">
        <f t="shared" si="54"/>
        <v>2983685997.9041629</v>
      </c>
      <c r="H383" s="3">
        <f t="shared" si="55"/>
        <v>74.301126186865815</v>
      </c>
      <c r="I383">
        <f t="shared" si="56"/>
        <v>221691229832.26187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</row>
    <row r="384" spans="6:19">
      <c r="F384" s="5">
        <f t="shared" si="53"/>
        <v>2.3702521514552498E-8</v>
      </c>
      <c r="G384" s="4">
        <f t="shared" si="54"/>
        <v>3058278147.8517666</v>
      </c>
      <c r="H384" s="3">
        <f t="shared" si="55"/>
        <v>72.488903596942265</v>
      </c>
      <c r="I384">
        <f t="shared" si="56"/>
        <v>221691229832.26187</v>
      </c>
      <c r="J384" s="6"/>
      <c r="K384" s="6"/>
      <c r="L384" s="6"/>
      <c r="M384" s="6"/>
      <c r="N384" s="6"/>
      <c r="O384" s="6"/>
      <c r="P384" s="6"/>
      <c r="Q384" s="6"/>
      <c r="R384" s="6"/>
      <c r="S384" s="6"/>
    </row>
    <row r="385" spans="6:19">
      <c r="F385" s="5">
        <f t="shared" si="53"/>
        <v>2.2560401203619279E-8</v>
      </c>
      <c r="G385" s="4">
        <f t="shared" si="54"/>
        <v>3134735101.5480604</v>
      </c>
      <c r="H385" s="3">
        <f t="shared" si="55"/>
        <v>70.72088155799247</v>
      </c>
      <c r="I385">
        <f t="shared" si="56"/>
        <v>221691229832.26187</v>
      </c>
      <c r="J385" s="6"/>
      <c r="K385" s="6"/>
      <c r="L385" s="6"/>
      <c r="M385" s="6"/>
      <c r="N385" s="6"/>
      <c r="O385" s="6"/>
      <c r="P385" s="6"/>
      <c r="Q385" s="6"/>
      <c r="R385" s="6"/>
      <c r="S385" s="6"/>
    </row>
    <row r="386" spans="6:19">
      <c r="F386" s="5">
        <f t="shared" si="53"/>
        <v>2.147331464948891E-8</v>
      </c>
      <c r="G386" s="4">
        <f t="shared" si="54"/>
        <v>3213103479.0867615</v>
      </c>
      <c r="H386" s="3">
        <f t="shared" si="55"/>
        <v>68.995982007797537</v>
      </c>
      <c r="I386">
        <f t="shared" si="56"/>
        <v>221691229832.26187</v>
      </c>
      <c r="J386" s="6"/>
      <c r="K386" s="6"/>
      <c r="L386" s="6"/>
      <c r="M386" s="6"/>
      <c r="N386" s="6"/>
      <c r="O386" s="6"/>
      <c r="P386" s="6"/>
      <c r="Q386" s="6"/>
      <c r="R386" s="6"/>
      <c r="S386" s="6"/>
    </row>
    <row r="387" spans="6:19">
      <c r="F387" s="5">
        <f t="shared" si="53"/>
        <v>2.0438610017360066E-8</v>
      </c>
      <c r="G387" s="4">
        <f t="shared" si="54"/>
        <v>3293431066.06393</v>
      </c>
      <c r="H387" s="3">
        <f t="shared" si="55"/>
        <v>67.313153178339078</v>
      </c>
      <c r="I387">
        <f t="shared" si="56"/>
        <v>221691229832.26187</v>
      </c>
      <c r="J387" s="6"/>
      <c r="K387" s="6"/>
      <c r="L387" s="6"/>
      <c r="M387" s="6"/>
      <c r="N387" s="6"/>
      <c r="O387" s="6"/>
      <c r="P387" s="6"/>
      <c r="Q387" s="6"/>
      <c r="R387" s="6"/>
      <c r="S387" s="6"/>
    </row>
    <row r="388" spans="6:19">
      <c r="F388" s="5">
        <f t="shared" si="53"/>
        <v>1.9453763252692507E-8</v>
      </c>
      <c r="G388" s="4">
        <f t="shared" si="54"/>
        <v>3375766842.715528</v>
      </c>
      <c r="H388" s="3">
        <f t="shared" si="55"/>
        <v>65.671368954477146</v>
      </c>
      <c r="I388">
        <f t="shared" si="56"/>
        <v>221691229832.26187</v>
      </c>
      <c r="J388" s="6"/>
      <c r="K388" s="6"/>
      <c r="L388" s="6"/>
      <c r="M388" s="6"/>
      <c r="N388" s="6"/>
      <c r="O388" s="6"/>
      <c r="P388" s="6"/>
      <c r="Q388" s="6"/>
      <c r="R388" s="6"/>
      <c r="S388" s="6"/>
    </row>
    <row r="389" spans="6:19">
      <c r="F389" s="5">
        <f t="shared" si="53"/>
        <v>1.8516371924038083E-8</v>
      </c>
      <c r="G389" s="4">
        <f t="shared" si="54"/>
        <v>3460161013.7834158</v>
      </c>
      <c r="H389" s="3">
        <f t="shared" si="55"/>
        <v>64.069628248270391</v>
      </c>
      <c r="I389">
        <f t="shared" si="56"/>
        <v>221691229832.26187</v>
      </c>
      <c r="J389" s="6"/>
      <c r="K389" s="6"/>
      <c r="L389" s="6"/>
      <c r="M389" s="6"/>
      <c r="N389" s="6"/>
      <c r="O389" s="6"/>
      <c r="P389" s="6"/>
      <c r="Q389" s="6"/>
      <c r="R389" s="6"/>
      <c r="S389" s="6"/>
    </row>
    <row r="390" spans="6:19">
      <c r="F390" s="5">
        <f t="shared" si="53"/>
        <v>1.7624149362558564E-8</v>
      </c>
      <c r="G390" s="4">
        <f t="shared" si="54"/>
        <v>3546665039.1280007</v>
      </c>
      <c r="H390" s="3">
        <f t="shared" si="55"/>
        <v>62.506954388556494</v>
      </c>
      <c r="I390">
        <f t="shared" si="56"/>
        <v>221691229832.26187</v>
      </c>
      <c r="J390" s="6"/>
      <c r="K390" s="6"/>
      <c r="L390" s="6"/>
      <c r="M390" s="6"/>
      <c r="N390" s="6"/>
      <c r="O390" s="6"/>
      <c r="P390" s="6"/>
      <c r="Q390" s="6"/>
      <c r="R390" s="6"/>
      <c r="S390" s="6"/>
    </row>
    <row r="391" spans="6:19">
      <c r="F391" s="5">
        <f t="shared" si="53"/>
        <v>1.6774919083934391E-8</v>
      </c>
      <c r="G391" s="4">
        <f t="shared" si="54"/>
        <v>3635331665.1062002</v>
      </c>
      <c r="H391" s="3">
        <f t="shared" si="55"/>
        <v>60.982394525420979</v>
      </c>
      <c r="I391">
        <f t="shared" si="56"/>
        <v>221691229832.26187</v>
      </c>
      <c r="J391" s="6"/>
      <c r="K391" s="6"/>
      <c r="L391" s="6"/>
      <c r="M391" s="6"/>
      <c r="N391" s="6"/>
      <c r="O391" s="6"/>
      <c r="P391" s="6"/>
      <c r="Q391" s="6"/>
      <c r="R391" s="6"/>
      <c r="S391" s="6"/>
    </row>
    <row r="392" spans="6:19">
      <c r="F392" s="5">
        <f t="shared" si="53"/>
        <v>1.5966609479057126E-8</v>
      </c>
      <c r="G392" s="4">
        <f t="shared" si="54"/>
        <v>3726214956.7338548</v>
      </c>
      <c r="H392" s="3">
        <f t="shared" si="55"/>
        <v>59.495019049191207</v>
      </c>
      <c r="I392">
        <f t="shared" si="56"/>
        <v>221691229832.26187</v>
      </c>
      <c r="J392" s="6"/>
      <c r="K392" s="6"/>
      <c r="L392" s="6"/>
      <c r="M392" s="6"/>
      <c r="N392" s="6"/>
      <c r="O392" s="6"/>
      <c r="P392" s="6"/>
      <c r="Q392" s="6"/>
      <c r="R392" s="6"/>
      <c r="S392" s="6"/>
    </row>
    <row r="393" spans="6:19">
      <c r="F393" s="5">
        <f t="shared" ref="F393:F456" si="57">H393/G393</f>
        <v>1.519724876055408E-8</v>
      </c>
      <c r="G393" s="4">
        <f t="shared" si="54"/>
        <v>3819370330.6522007</v>
      </c>
      <c r="H393" s="3">
        <f t="shared" si="55"/>
        <v>58.043921023601179</v>
      </c>
      <c r="I393">
        <f t="shared" si="56"/>
        <v>221691229832.26187</v>
      </c>
      <c r="J393" s="6"/>
      <c r="K393" s="6"/>
      <c r="L393" s="6"/>
      <c r="M393" s="6"/>
      <c r="N393" s="6"/>
      <c r="O393" s="6"/>
      <c r="P393" s="6"/>
      <c r="Q393" s="6"/>
      <c r="R393" s="6"/>
      <c r="S393" s="6"/>
    </row>
    <row r="394" spans="6:19">
      <c r="F394" s="5">
        <f t="shared" si="57"/>
        <v>1.4464960152817687E-8</v>
      </c>
      <c r="G394" s="4">
        <f t="shared" si="54"/>
        <v>3914854588.9185052</v>
      </c>
      <c r="H394" s="3">
        <f t="shared" si="55"/>
        <v>56.628215632781647</v>
      </c>
      <c r="I394">
        <f t="shared" si="56"/>
        <v>221691229832.26187</v>
      </c>
      <c r="J394" s="6"/>
      <c r="K394" s="6"/>
      <c r="L394" s="6"/>
      <c r="M394" s="6"/>
      <c r="N394" s="6"/>
      <c r="O394" s="6"/>
      <c r="P394" s="6"/>
      <c r="Q394" s="6"/>
      <c r="R394" s="6"/>
      <c r="S394" s="6"/>
    </row>
    <row r="395" spans="6:19">
      <c r="F395" s="5">
        <f t="shared" si="57"/>
        <v>1.3767957313806249E-8</v>
      </c>
      <c r="G395" s="4">
        <f t="shared" si="54"/>
        <v>4012725953.6414676</v>
      </c>
      <c r="H395" s="3">
        <f t="shared" si="55"/>
        <v>55.247039641738198</v>
      </c>
      <c r="I395">
        <f t="shared" si="56"/>
        <v>221691229832.26187</v>
      </c>
      <c r="J395" s="6"/>
      <c r="K395" s="6"/>
      <c r="L395" s="6"/>
      <c r="M395" s="6"/>
      <c r="N395" s="6"/>
      <c r="O395" s="6"/>
      <c r="P395" s="6"/>
      <c r="Q395" s="6"/>
      <c r="R395" s="6"/>
      <c r="S395" s="6"/>
    </row>
    <row r="396" spans="6:19">
      <c r="F396" s="5">
        <f t="shared" si="57"/>
        <v>1.3104539977447947E-8</v>
      </c>
      <c r="G396" s="4">
        <f t="shared" si="54"/>
        <v>4113044102.4825039</v>
      </c>
      <c r="H396" s="3">
        <f t="shared" si="55"/>
        <v>53.899550869988488</v>
      </c>
      <c r="I396">
        <f t="shared" si="56"/>
        <v>221691229832.26187</v>
      </c>
      <c r="J396" s="6"/>
      <c r="K396" s="6"/>
      <c r="L396" s="6"/>
      <c r="M396" s="6"/>
      <c r="N396" s="6"/>
      <c r="O396" s="6"/>
      <c r="P396" s="6"/>
      <c r="Q396" s="6"/>
      <c r="R396" s="6"/>
      <c r="S396" s="6"/>
    </row>
    <row r="397" spans="6:19">
      <c r="F397" s="5">
        <f t="shared" si="57"/>
        <v>1.2473089806018276E-8</v>
      </c>
      <c r="G397" s="4">
        <f t="shared" si="54"/>
        <v>4215870205.0445662</v>
      </c>
      <c r="H397" s="3">
        <f t="shared" si="55"/>
        <v>52.584927678037559</v>
      </c>
      <c r="I397">
        <f t="shared" si="56"/>
        <v>221691229832.26187</v>
      </c>
      <c r="J397" s="6"/>
      <c r="K397" s="6"/>
      <c r="L397" s="6"/>
      <c r="M397" s="6"/>
      <c r="N397" s="6"/>
      <c r="O397" s="6"/>
      <c r="P397" s="6"/>
      <c r="Q397" s="6"/>
      <c r="R397" s="6"/>
      <c r="S397" s="6"/>
    </row>
    <row r="398" spans="6:19">
      <c r="F398" s="5">
        <f t="shared" si="57"/>
        <v>1.1872066442373138E-8</v>
      </c>
      <c r="G398" s="4">
        <f t="shared" si="54"/>
        <v>4321266960.17068</v>
      </c>
      <c r="H398" s="3">
        <f t="shared" si="55"/>
        <v>51.302368466378105</v>
      </c>
      <c r="I398">
        <f t="shared" si="56"/>
        <v>221691229832.26187</v>
      </c>
      <c r="J398" s="6"/>
      <c r="K398" s="6"/>
      <c r="L398" s="6"/>
      <c r="M398" s="6"/>
      <c r="N398" s="6"/>
      <c r="O398" s="6"/>
      <c r="P398" s="6"/>
      <c r="Q398" s="6"/>
      <c r="R398" s="6"/>
      <c r="S398" s="6"/>
    </row>
    <row r="399" spans="6:19">
      <c r="F399" s="5">
        <f t="shared" si="57"/>
        <v>1.1300003752407508E-8</v>
      </c>
      <c r="G399" s="4">
        <f t="shared" si="54"/>
        <v>4429298634.1749468</v>
      </c>
      <c r="H399" s="3">
        <f t="shared" si="55"/>
        <v>50.051091186710352</v>
      </c>
      <c r="I399">
        <f t="shared" si="56"/>
        <v>221691229832.26187</v>
      </c>
      <c r="J399" s="6"/>
      <c r="K399" s="6"/>
      <c r="L399" s="6"/>
      <c r="M399" s="6"/>
      <c r="N399" s="6"/>
      <c r="O399" s="6"/>
      <c r="P399" s="6"/>
      <c r="Q399" s="6"/>
      <c r="R399" s="6"/>
      <c r="S399" s="6"/>
    </row>
    <row r="400" spans="6:19">
      <c r="F400" s="5">
        <f t="shared" si="57"/>
        <v>1.075550624857348E-8</v>
      </c>
      <c r="G400" s="4">
        <f t="shared" si="54"/>
        <v>4540031100.0293198</v>
      </c>
      <c r="H400" s="3">
        <f t="shared" si="55"/>
        <v>48.830332865083278</v>
      </c>
      <c r="I400">
        <f t="shared" si="56"/>
        <v>221691229832.26187</v>
      </c>
      <c r="J400" s="6"/>
      <c r="K400" s="6"/>
      <c r="L400" s="6"/>
      <c r="M400" s="6"/>
      <c r="N400" s="6"/>
      <c r="O400" s="6"/>
      <c r="P400" s="6"/>
      <c r="Q400" s="6"/>
      <c r="R400" s="6"/>
      <c r="S400" s="6"/>
    </row>
    <row r="401" spans="6:19">
      <c r="F401" s="5">
        <f t="shared" si="57"/>
        <v>1.0237245685733237E-8</v>
      </c>
      <c r="G401" s="4">
        <f t="shared" si="54"/>
        <v>4653531877.5300522</v>
      </c>
      <c r="H401" s="3">
        <f t="shared" si="55"/>
        <v>47.639349136666617</v>
      </c>
      <c r="I401">
        <f t="shared" si="56"/>
        <v>221691229832.26187</v>
      </c>
      <c r="J401" s="6"/>
      <c r="K401" s="6"/>
      <c r="L401" s="6"/>
      <c r="M401" s="6"/>
      <c r="N401" s="6"/>
      <c r="O401" s="6"/>
      <c r="P401" s="6"/>
      <c r="Q401" s="6"/>
      <c r="R401" s="6"/>
      <c r="S401" s="6"/>
    </row>
    <row r="402" spans="6:19">
      <c r="F402" s="5">
        <f t="shared" si="57"/>
        <v>9.7439578210429413E-9</v>
      </c>
      <c r="G402" s="4">
        <f t="shared" si="54"/>
        <v>4769870174.4683027</v>
      </c>
      <c r="H402" s="3">
        <f t="shared" si="55"/>
        <v>46.477413791869878</v>
      </c>
      <c r="I402">
        <f t="shared" si="56"/>
        <v>221691229832.26187</v>
      </c>
      <c r="J402" s="6"/>
      <c r="K402" s="6"/>
      <c r="L402" s="6"/>
      <c r="M402" s="6"/>
      <c r="N402" s="6"/>
      <c r="O402" s="6"/>
      <c r="P402" s="6"/>
      <c r="Q402" s="6"/>
      <c r="R402" s="6"/>
      <c r="S402" s="6"/>
    </row>
    <row r="403" spans="6:19">
      <c r="F403" s="5">
        <f t="shared" si="57"/>
        <v>9.2744393299635393E-9</v>
      </c>
      <c r="G403" s="4">
        <f t="shared" si="54"/>
        <v>4889116928.8300095</v>
      </c>
      <c r="H403" s="3">
        <f t="shared" si="55"/>
        <v>45.343818333531594</v>
      </c>
      <c r="I403">
        <f t="shared" si="56"/>
        <v>221691229832.26187</v>
      </c>
      <c r="J403" s="6"/>
      <c r="K403" s="6"/>
      <c r="L403" s="6"/>
      <c r="M403" s="6"/>
      <c r="N403" s="6"/>
      <c r="O403" s="6"/>
      <c r="P403" s="6"/>
      <c r="Q403" s="6"/>
      <c r="R403" s="6"/>
      <c r="S403" s="6"/>
    </row>
    <row r="404" spans="6:19">
      <c r="F404" s="5">
        <f t="shared" si="57"/>
        <v>8.8275448708754705E-9</v>
      </c>
      <c r="G404" s="4">
        <f t="shared" si="54"/>
        <v>5011344852.0507593</v>
      </c>
      <c r="H404" s="3">
        <f t="shared" si="55"/>
        <v>44.237871544908877</v>
      </c>
      <c r="I404">
        <f t="shared" si="56"/>
        <v>221691229832.26187</v>
      </c>
      <c r="J404" s="6"/>
      <c r="K404" s="6"/>
      <c r="L404" s="6"/>
      <c r="M404" s="6"/>
      <c r="N404" s="6"/>
      <c r="O404" s="6"/>
      <c r="P404" s="6"/>
      <c r="Q404" s="6"/>
      <c r="R404" s="6"/>
      <c r="S404" s="6"/>
    </row>
    <row r="405" spans="6:19">
      <c r="F405" s="5">
        <f t="shared" si="57"/>
        <v>8.4021842911366793E-9</v>
      </c>
      <c r="G405" s="4">
        <f t="shared" si="54"/>
        <v>5136628473.3520279</v>
      </c>
      <c r="H405" s="3">
        <f t="shared" si="55"/>
        <v>43.158899068203787</v>
      </c>
      <c r="I405">
        <f t="shared" si="56"/>
        <v>221691229832.26187</v>
      </c>
      <c r="J405" s="6"/>
      <c r="K405" s="6"/>
      <c r="L405" s="6"/>
      <c r="M405" s="6"/>
      <c r="N405" s="6"/>
      <c r="O405" s="6"/>
      <c r="P405" s="6"/>
      <c r="Q405" s="6"/>
      <c r="R405" s="6"/>
      <c r="S405" s="6"/>
    </row>
    <row r="406" spans="6:19">
      <c r="F406" s="5">
        <f t="shared" si="57"/>
        <v>7.9973199677684043E-9</v>
      </c>
      <c r="G406" s="4">
        <f t="shared" si="54"/>
        <v>5265044185.1858282</v>
      </c>
      <c r="H406" s="3">
        <f t="shared" si="55"/>
        <v>42.106242993369548</v>
      </c>
      <c r="I406">
        <f t="shared" si="56"/>
        <v>221691229832.26187</v>
      </c>
      <c r="J406" s="6"/>
      <c r="K406" s="6"/>
      <c r="L406" s="6"/>
      <c r="M406" s="6"/>
      <c r="N406" s="6"/>
      <c r="O406" s="6"/>
      <c r="P406" s="6"/>
      <c r="Q406" s="6"/>
      <c r="R406" s="6"/>
      <c r="S406" s="6"/>
    </row>
    <row r="407" spans="6:19">
      <c r="F407" s="5">
        <f t="shared" si="57"/>
        <v>7.6119642762816473E-9</v>
      </c>
      <c r="G407" s="4">
        <f t="shared" si="54"/>
        <v>5396670289.8154736</v>
      </c>
      <c r="H407" s="3">
        <f t="shared" si="55"/>
        <v>41.079261456945908</v>
      </c>
      <c r="I407">
        <f t="shared" si="56"/>
        <v>221691229832.26187</v>
      </c>
      <c r="J407" s="6"/>
      <c r="K407" s="6"/>
      <c r="L407" s="6"/>
      <c r="M407" s="6"/>
      <c r="N407" s="6"/>
      <c r="O407" s="6"/>
      <c r="P407" s="6"/>
      <c r="Q407" s="6"/>
      <c r="R407" s="6"/>
      <c r="S407" s="6"/>
    </row>
    <row r="408" spans="6:19">
      <c r="F408" s="5">
        <f t="shared" si="57"/>
        <v>7.245177181469743E-9</v>
      </c>
      <c r="G408" s="4">
        <f t="shared" si="54"/>
        <v>5531587047.0608597</v>
      </c>
      <c r="H408" s="3">
        <f t="shared" si="55"/>
        <v>40.077328250678939</v>
      </c>
      <c r="I408">
        <f t="shared" si="56"/>
        <v>221691229832.26187</v>
      </c>
      <c r="J408" s="6"/>
      <c r="K408" s="6"/>
      <c r="L408" s="6"/>
      <c r="M408" s="6"/>
      <c r="N408" s="6"/>
      <c r="O408" s="6"/>
      <c r="P408" s="6"/>
      <c r="Q408" s="6"/>
      <c r="R408" s="6"/>
      <c r="S408" s="6"/>
    </row>
    <row r="409" spans="6:19">
      <c r="F409" s="5">
        <f t="shared" si="57"/>
        <v>6.8960639442900598E-9</v>
      </c>
      <c r="G409" s="4">
        <f t="shared" si="54"/>
        <v>5669876723.237381</v>
      </c>
      <c r="H409" s="3">
        <f t="shared" si="55"/>
        <v>39.099832439686772</v>
      </c>
      <c r="I409">
        <f t="shared" si="56"/>
        <v>221691229832.26187</v>
      </c>
      <c r="J409" s="6"/>
      <c r="K409" s="6"/>
      <c r="L409" s="6"/>
      <c r="M409" s="6"/>
      <c r="N409" s="6"/>
      <c r="O409" s="6"/>
      <c r="P409" s="6"/>
      <c r="Q409" s="6"/>
      <c r="R409" s="6"/>
      <c r="S409" s="6"/>
    </row>
    <row r="410" spans="6:19">
      <c r="F410" s="5">
        <f t="shared" si="57"/>
        <v>6.5637729392409863E-9</v>
      </c>
      <c r="G410" s="4">
        <f t="shared" si="54"/>
        <v>5811623641.3183146</v>
      </c>
      <c r="H410" s="3">
        <f t="shared" si="55"/>
        <v>38.146177989938316</v>
      </c>
      <c r="I410">
        <f t="shared" si="56"/>
        <v>221691229832.26187</v>
      </c>
      <c r="J410" s="6"/>
      <c r="K410" s="6"/>
      <c r="L410" s="6"/>
      <c r="M410" s="6"/>
      <c r="N410" s="6"/>
      <c r="O410" s="6"/>
      <c r="P410" s="6"/>
      <c r="Q410" s="6"/>
      <c r="R410" s="6"/>
      <c r="S410" s="6"/>
    </row>
    <row r="411" spans="6:19">
      <c r="F411" s="5">
        <f t="shared" si="57"/>
        <v>6.2474935769099238E-9</v>
      </c>
      <c r="G411" s="4">
        <f t="shared" si="54"/>
        <v>5956914232.3512716</v>
      </c>
      <c r="H411" s="3">
        <f t="shared" si="55"/>
        <v>37.215783404817877</v>
      </c>
      <c r="I411">
        <f t="shared" si="56"/>
        <v>221691229832.26187</v>
      </c>
      <c r="J411" s="6"/>
      <c r="K411" s="6"/>
      <c r="L411" s="6"/>
      <c r="M411" s="6"/>
      <c r="N411" s="6"/>
      <c r="O411" s="6"/>
      <c r="P411" s="6"/>
      <c r="Q411" s="6"/>
      <c r="R411" s="6"/>
      <c r="S411" s="6"/>
    </row>
    <row r="412" spans="6:19">
      <c r="F412" s="5">
        <f t="shared" si="57"/>
        <v>5.9464543266245558E-9</v>
      </c>
      <c r="G412" s="4">
        <f t="shared" si="54"/>
        <v>6105837088.1600533</v>
      </c>
      <c r="H412" s="3">
        <f t="shared" si="55"/>
        <v>36.308081370554028</v>
      </c>
      <c r="I412">
        <f t="shared" si="56"/>
        <v>221691229832.26187</v>
      </c>
      <c r="J412" s="6"/>
      <c r="K412" s="6"/>
      <c r="L412" s="6"/>
      <c r="M412" s="6"/>
      <c r="N412" s="6"/>
      <c r="O412" s="6"/>
      <c r="P412" s="6"/>
      <c r="Q412" s="6"/>
      <c r="R412" s="6"/>
      <c r="S412" s="6"/>
    </row>
    <row r="413" spans="6:19">
      <c r="F413" s="5">
        <f t="shared" si="57"/>
        <v>5.6599208343838742E-9</v>
      </c>
      <c r="G413" s="4">
        <f t="shared" si="54"/>
        <v>6258483015.3640537</v>
      </c>
      <c r="H413" s="3">
        <f t="shared" si="55"/>
        <v>35.422518410296618</v>
      </c>
      <c r="I413">
        <f t="shared" si="56"/>
        <v>221691229832.26187</v>
      </c>
      <c r="J413" s="6"/>
      <c r="K413" s="6"/>
      <c r="L413" s="6"/>
      <c r="M413" s="6"/>
      <c r="N413" s="6"/>
      <c r="O413" s="6"/>
      <c r="P413" s="6"/>
      <c r="Q413" s="6"/>
      <c r="R413" s="6"/>
      <c r="S413" s="6"/>
    </row>
    <row r="414" spans="6:19">
      <c r="F414" s="5">
        <f t="shared" si="57"/>
        <v>5.3871941314778102E-9</v>
      </c>
      <c r="G414" s="4">
        <f t="shared" si="54"/>
        <v>6414945090.7481546</v>
      </c>
      <c r="H414" s="3">
        <f t="shared" si="55"/>
        <v>34.558554546630845</v>
      </c>
      <c r="I414">
        <f t="shared" si="56"/>
        <v>221691229832.26187</v>
      </c>
      <c r="J414" s="6"/>
      <c r="K414" s="6"/>
      <c r="L414" s="6"/>
      <c r="M414" s="6"/>
      <c r="N414" s="6"/>
      <c r="O414" s="6"/>
      <c r="P414" s="6"/>
      <c r="Q414" s="6"/>
      <c r="R414" s="6"/>
      <c r="S414" s="6"/>
    </row>
    <row r="415" spans="6:19">
      <c r="F415" s="5">
        <f t="shared" si="57"/>
        <v>5.1276089294256383E-9</v>
      </c>
      <c r="G415" s="4">
        <f t="shared" si="54"/>
        <v>6575318718.0168581</v>
      </c>
      <c r="H415" s="3">
        <f t="shared" si="55"/>
        <v>33.715662972322782</v>
      </c>
      <c r="I415">
        <f t="shared" si="56"/>
        <v>221691229832.26187</v>
      </c>
      <c r="J415" s="6"/>
      <c r="K415" s="6"/>
      <c r="L415" s="6"/>
      <c r="M415" s="6"/>
      <c r="N415" s="6"/>
      <c r="O415" s="6"/>
      <c r="P415" s="6"/>
      <c r="Q415" s="6"/>
      <c r="R415" s="6"/>
      <c r="S415" s="6"/>
    </row>
    <row r="416" spans="6:19">
      <c r="F416" s="5">
        <f t="shared" si="57"/>
        <v>4.8805319970737788E-9</v>
      </c>
      <c r="G416" s="4">
        <f t="shared" si="54"/>
        <v>6739701685.9672794</v>
      </c>
      <c r="H416" s="3">
        <f t="shared" si="55"/>
        <v>32.893329729095399</v>
      </c>
      <c r="I416">
        <f t="shared" si="56"/>
        <v>221691229832.26187</v>
      </c>
      <c r="J416" s="6"/>
      <c r="K416" s="6"/>
      <c r="L416" s="6"/>
      <c r="M416" s="6"/>
      <c r="N416" s="6"/>
      <c r="O416" s="6"/>
      <c r="P416" s="6"/>
      <c r="Q416" s="6"/>
      <c r="R416" s="6"/>
      <c r="S416" s="6"/>
    </row>
    <row r="417" spans="6:19">
      <c r="F417" s="5">
        <f t="shared" si="57"/>
        <v>4.6453606158941377E-9</v>
      </c>
      <c r="G417" s="4">
        <f t="shared" si="54"/>
        <v>6908194228.1164608</v>
      </c>
      <c r="H417" s="3">
        <f t="shared" si="55"/>
        <v>32.09105339423941</v>
      </c>
      <c r="I417">
        <f t="shared" si="56"/>
        <v>221691229832.26187</v>
      </c>
      <c r="J417" s="6"/>
      <c r="K417" s="6"/>
      <c r="L417" s="6"/>
      <c r="M417" s="6"/>
      <c r="N417" s="6"/>
      <c r="O417" s="6"/>
      <c r="P417" s="6"/>
      <c r="Q417" s="6"/>
      <c r="R417" s="6"/>
      <c r="S417" s="6"/>
    </row>
    <row r="418" spans="6:19">
      <c r="F418" s="5">
        <f t="shared" si="57"/>
        <v>4.4215211097148254E-9</v>
      </c>
      <c r="G418" s="4">
        <f t="shared" si="54"/>
        <v>7080899083.8193722</v>
      </c>
      <c r="H418" s="3">
        <f t="shared" si="55"/>
        <v>31.30834477486772</v>
      </c>
      <c r="I418">
        <f t="shared" si="56"/>
        <v>221691229832.26187</v>
      </c>
      <c r="J418" s="6"/>
      <c r="K418" s="6"/>
      <c r="L418" s="6"/>
      <c r="M418" s="6"/>
      <c r="N418" s="6"/>
      <c r="O418" s="6"/>
      <c r="P418" s="6"/>
      <c r="Q418" s="6"/>
      <c r="R418" s="6"/>
      <c r="S418" s="6"/>
    </row>
    <row r="419" spans="6:19">
      <c r="F419" s="5">
        <f t="shared" si="57"/>
        <v>4.2084674452966813E-9</v>
      </c>
      <c r="G419" s="4">
        <f t="shared" si="54"/>
        <v>7257921560.914856</v>
      </c>
      <c r="H419" s="3">
        <f t="shared" si="55"/>
        <v>30.544726609627048</v>
      </c>
      <c r="I419">
        <f t="shared" si="56"/>
        <v>221691229832.26187</v>
      </c>
      <c r="J419" s="6"/>
      <c r="K419" s="6"/>
      <c r="L419" s="6"/>
      <c r="M419" s="6"/>
      <c r="N419" s="6"/>
      <c r="O419" s="6"/>
      <c r="P419" s="6"/>
      <c r="Q419" s="6"/>
      <c r="R419" s="6"/>
      <c r="S419" s="6"/>
    </row>
    <row r="420" spans="6:19">
      <c r="F420" s="5">
        <f t="shared" si="57"/>
        <v>4.0056799003418747E-9</v>
      </c>
      <c r="G420" s="4">
        <f t="shared" si="54"/>
        <v>7439369599.937727</v>
      </c>
      <c r="H420" s="3">
        <f t="shared" si="55"/>
        <v>29.799733277684926</v>
      </c>
      <c r="I420">
        <f t="shared" si="56"/>
        <v>221691229832.26187</v>
      </c>
      <c r="J420" s="6"/>
      <c r="K420" s="6"/>
      <c r="L420" s="6"/>
      <c r="M420" s="6"/>
      <c r="N420" s="6"/>
      <c r="O420" s="6"/>
      <c r="P420" s="6"/>
      <c r="Q420" s="6"/>
      <c r="R420" s="6"/>
      <c r="S420" s="6"/>
    </row>
    <row r="421" spans="6:19">
      <c r="F421" s="5">
        <f t="shared" si="57"/>
        <v>3.8126637956853063E-9</v>
      </c>
      <c r="G421" s="4">
        <f t="shared" si="54"/>
        <v>7625353839.9361696</v>
      </c>
      <c r="H421" s="3">
        <f t="shared" si="55"/>
        <v>29.072910514814563</v>
      </c>
      <c r="I421">
        <f t="shared" si="56"/>
        <v>221691229832.26187</v>
      </c>
      <c r="J421" s="6"/>
      <c r="K421" s="6"/>
      <c r="L421" s="6"/>
      <c r="M421" s="6"/>
      <c r="N421" s="6"/>
      <c r="O421" s="6"/>
      <c r="P421" s="6"/>
      <c r="Q421" s="6"/>
      <c r="R421" s="6"/>
      <c r="S421" s="6"/>
    </row>
    <row r="422" spans="6:19">
      <c r="F422" s="5">
        <f t="shared" si="57"/>
        <v>3.6289482885761401E-9</v>
      </c>
      <c r="G422" s="4">
        <f t="shared" si="54"/>
        <v>7815987685.9345732</v>
      </c>
      <c r="H422" s="3">
        <f t="shared" si="55"/>
        <v>28.363815136404455</v>
      </c>
      <c r="I422">
        <f t="shared" si="56"/>
        <v>221691229832.26187</v>
      </c>
      <c r="J422" s="6"/>
      <c r="K422" s="6"/>
      <c r="L422" s="6"/>
      <c r="M422" s="6"/>
      <c r="N422" s="6"/>
      <c r="O422" s="6"/>
      <c r="P422" s="6"/>
      <c r="Q422" s="6"/>
      <c r="R422" s="6"/>
      <c r="S422" s="6"/>
    </row>
    <row r="423" spans="6:19">
      <c r="F423" s="5">
        <f t="shared" si="57"/>
        <v>3.4540852241057852E-9</v>
      </c>
      <c r="G423" s="4">
        <f t="shared" si="54"/>
        <v>8011387378.0829372</v>
      </c>
      <c r="H423" s="3">
        <f t="shared" si="55"/>
        <v>27.67201476722386</v>
      </c>
      <c r="I423">
        <f t="shared" si="56"/>
        <v>221691229832.26187</v>
      </c>
      <c r="J423" s="6"/>
      <c r="K423" s="6"/>
      <c r="L423" s="6"/>
      <c r="M423" s="6"/>
      <c r="N423" s="6"/>
      <c r="O423" s="6"/>
      <c r="P423" s="6"/>
      <c r="Q423" s="6"/>
      <c r="R423" s="6"/>
      <c r="S423" s="6"/>
    </row>
    <row r="424" spans="6:19">
      <c r="F424" s="5">
        <f t="shared" si="57"/>
        <v>3.2876480419805213E-9</v>
      </c>
      <c r="G424" s="4">
        <f t="shared" si="54"/>
        <v>8211672062.5350103</v>
      </c>
      <c r="H424" s="3">
        <f t="shared" si="55"/>
        <v>26.997087577779375</v>
      </c>
      <c r="I424">
        <f t="shared" si="56"/>
        <v>221691229832.26187</v>
      </c>
      <c r="J424" s="6"/>
      <c r="K424" s="6"/>
      <c r="L424" s="6"/>
      <c r="M424" s="6"/>
      <c r="N424" s="6"/>
      <c r="O424" s="6"/>
      <c r="P424" s="6"/>
      <c r="Q424" s="6"/>
      <c r="R424" s="6"/>
      <c r="S424" s="6"/>
    </row>
    <row r="425" spans="6:19">
      <c r="F425" s="5">
        <f t="shared" si="57"/>
        <v>3.1292307359719422E-9</v>
      </c>
      <c r="G425" s="4">
        <f t="shared" si="54"/>
        <v>8416963864.0983849</v>
      </c>
      <c r="H425" s="3">
        <f t="shared" si="55"/>
        <v>26.338622027101831</v>
      </c>
      <c r="I425">
        <f t="shared" si="56"/>
        <v>221691229832.26187</v>
      </c>
      <c r="J425" s="6"/>
      <c r="K425" s="6"/>
      <c r="L425" s="6"/>
      <c r="M425" s="6"/>
      <c r="N425" s="6"/>
      <c r="O425" s="6"/>
      <c r="P425" s="6"/>
      <c r="Q425" s="6"/>
      <c r="R425" s="6"/>
      <c r="S425" s="6"/>
    </row>
    <row r="426" spans="6:19">
      <c r="F426" s="5">
        <f t="shared" si="57"/>
        <v>2.9784468635069057E-9</v>
      </c>
      <c r="G426" s="4">
        <f t="shared" si="54"/>
        <v>8627387960.7008438</v>
      </c>
      <c r="H426" s="3">
        <f t="shared" si="55"/>
        <v>25.696216611806669</v>
      </c>
      <c r="I426">
        <f t="shared" si="56"/>
        <v>221691229832.26187</v>
      </c>
      <c r="J426" s="6"/>
      <c r="K426" s="6"/>
      <c r="L426" s="6"/>
      <c r="M426" s="6"/>
      <c r="N426" s="6"/>
      <c r="O426" s="6"/>
      <c r="P426" s="6"/>
      <c r="Q426" s="6"/>
      <c r="R426" s="6"/>
      <c r="S426" s="6"/>
    </row>
    <row r="427" spans="6:19">
      <c r="F427" s="5">
        <f t="shared" si="57"/>
        <v>2.8349286029809929E-9</v>
      </c>
      <c r="G427" s="4">
        <f t="shared" si="54"/>
        <v>8843072659.7183647</v>
      </c>
      <c r="H427" s="3">
        <f t="shared" si="55"/>
        <v>25.069479621274798</v>
      </c>
      <c r="I427">
        <f t="shared" si="56"/>
        <v>221691229832.26187</v>
      </c>
      <c r="J427" s="6"/>
      <c r="K427" s="6"/>
      <c r="L427" s="6"/>
      <c r="M427" s="6"/>
      <c r="N427" s="6"/>
      <c r="O427" s="6"/>
      <c r="P427" s="6"/>
      <c r="Q427" s="6"/>
      <c r="R427" s="6"/>
      <c r="S427" s="6"/>
    </row>
    <row r="428" spans="6:19">
      <c r="F428" s="5">
        <f t="shared" si="57"/>
        <v>2.6983258564958895E-9</v>
      </c>
      <c r="G428" s="4">
        <f t="shared" si="54"/>
        <v>9064149476.2113228</v>
      </c>
      <c r="H428" s="3">
        <f t="shared" si="55"/>
        <v>24.458028898804685</v>
      </c>
      <c r="I428">
        <f t="shared" si="56"/>
        <v>221691229832.26187</v>
      </c>
      <c r="J428" s="6"/>
      <c r="K428" s="6"/>
      <c r="L428" s="6"/>
      <c r="M428" s="6"/>
      <c r="N428" s="6"/>
      <c r="O428" s="6"/>
      <c r="P428" s="6"/>
      <c r="Q428" s="6"/>
      <c r="R428" s="6"/>
      <c r="S428" s="6"/>
    </row>
    <row r="429" spans="6:19">
      <c r="F429" s="5">
        <f t="shared" si="57"/>
        <v>2.5683053958318997E-9</v>
      </c>
      <c r="G429" s="4">
        <f t="shared" si="54"/>
        <v>9290753213.1166058</v>
      </c>
      <c r="H429" s="3">
        <f t="shared" si="55"/>
        <v>23.861491608589937</v>
      </c>
      <c r="I429">
        <f t="shared" si="56"/>
        <v>221691229832.26187</v>
      </c>
      <c r="J429" s="6"/>
      <c r="K429" s="6"/>
      <c r="L429" s="6"/>
      <c r="M429" s="6"/>
      <c r="N429" s="6"/>
      <c r="O429" s="6"/>
      <c r="P429" s="6"/>
      <c r="Q429" s="6"/>
      <c r="R429" s="6"/>
      <c r="S429" s="6"/>
    </row>
    <row r="430" spans="6:19">
      <c r="F430" s="5">
        <f t="shared" si="57"/>
        <v>2.4445500495723015E-9</v>
      </c>
      <c r="G430" s="4">
        <f t="shared" si="54"/>
        <v>9523022043.444521</v>
      </c>
      <c r="H430" s="3">
        <f t="shared" si="55"/>
        <v>23.279504008380425</v>
      </c>
      <c r="I430">
        <f t="shared" si="56"/>
        <v>221691229832.26187</v>
      </c>
      <c r="J430" s="6"/>
      <c r="K430" s="6"/>
      <c r="L430" s="6"/>
      <c r="M430" s="6"/>
      <c r="N430" s="6"/>
      <c r="O430" s="6"/>
      <c r="P430" s="6"/>
      <c r="Q430" s="6"/>
      <c r="R430" s="6"/>
      <c r="S430" s="6"/>
    </row>
    <row r="431" spans="6:19">
      <c r="F431" s="5">
        <f t="shared" si="57"/>
        <v>2.3267579293965986E-9</v>
      </c>
      <c r="G431" s="4">
        <f t="shared" si="54"/>
        <v>9761097594.5306339</v>
      </c>
      <c r="H431" s="3">
        <f t="shared" si="55"/>
        <v>22.71171122768822</v>
      </c>
      <c r="I431">
        <f t="shared" si="56"/>
        <v>221691229832.26187</v>
      </c>
      <c r="J431" s="6"/>
      <c r="K431" s="6"/>
      <c r="L431" s="6"/>
      <c r="M431" s="6"/>
      <c r="N431" s="6"/>
      <c r="O431" s="6"/>
      <c r="P431" s="6"/>
      <c r="Q431" s="6"/>
      <c r="R431" s="6"/>
      <c r="S431" s="6"/>
    </row>
    <row r="432" spans="6:19">
      <c r="F432" s="5">
        <f t="shared" si="57"/>
        <v>2.2146416936553E-9</v>
      </c>
      <c r="G432" s="4">
        <f t="shared" si="54"/>
        <v>10005125034.393898</v>
      </c>
      <c r="H432" s="3">
        <f t="shared" si="55"/>
        <v>22.157767051403145</v>
      </c>
      <c r="I432">
        <f t="shared" si="56"/>
        <v>221691229832.26187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</row>
    <row r="433" spans="6:19">
      <c r="F433" s="5">
        <f t="shared" si="57"/>
        <v>2.1079278464297924E-9</v>
      </c>
      <c r="G433" s="4">
        <f t="shared" ref="G433:G496" si="58">G432*(1+$O$1)</f>
        <v>10255253160.253744</v>
      </c>
      <c r="H433" s="3">
        <f t="shared" si="55"/>
        <v>21.617333708685997</v>
      </c>
      <c r="I433">
        <f t="shared" si="56"/>
        <v>221691229832.26187</v>
      </c>
      <c r="J433" s="6"/>
      <c r="K433" s="6"/>
      <c r="L433" s="6"/>
      <c r="M433" s="6"/>
      <c r="N433" s="6"/>
      <c r="O433" s="6"/>
      <c r="P433" s="6"/>
      <c r="Q433" s="6"/>
      <c r="R433" s="6"/>
      <c r="S433" s="6"/>
    </row>
    <row r="434" spans="6:19">
      <c r="F434" s="5">
        <f t="shared" si="57"/>
        <v>2.0063560703674412E-9</v>
      </c>
      <c r="G434" s="4">
        <f t="shared" si="58"/>
        <v>10511634489.260086</v>
      </c>
      <c r="H434" s="3">
        <f t="shared" ref="H434:H497" si="59">I434/G434</f>
        <v>21.090081667010733</v>
      </c>
      <c r="I434">
        <f t="shared" ref="I434:I497" si="60">I433</f>
        <v>221691229832.26187</v>
      </c>
      <c r="J434" s="6"/>
      <c r="K434" s="6"/>
      <c r="L434" s="6"/>
      <c r="M434" s="6"/>
      <c r="N434" s="6"/>
      <c r="O434" s="6"/>
      <c r="P434" s="6"/>
      <c r="Q434" s="6"/>
      <c r="R434" s="6"/>
      <c r="S434" s="6"/>
    </row>
    <row r="435" spans="6:19">
      <c r="F435" s="5">
        <f t="shared" si="57"/>
        <v>1.9096785916644302E-9</v>
      </c>
      <c r="G435" s="4">
        <f t="shared" si="58"/>
        <v>10774425351.491587</v>
      </c>
      <c r="H435" s="3">
        <f t="shared" si="59"/>
        <v>20.575689431229986</v>
      </c>
      <c r="I435">
        <f t="shared" si="60"/>
        <v>221691229832.26187</v>
      </c>
      <c r="J435" s="6"/>
      <c r="K435" s="6"/>
      <c r="L435" s="6"/>
      <c r="M435" s="6"/>
      <c r="N435" s="6"/>
      <c r="O435" s="6"/>
      <c r="P435" s="6"/>
      <c r="Q435" s="6"/>
      <c r="R435" s="6"/>
      <c r="S435" s="6"/>
    </row>
    <row r="436" spans="6:19">
      <c r="F436" s="5">
        <f t="shared" si="57"/>
        <v>1.8176595756472866E-9</v>
      </c>
      <c r="G436" s="4">
        <f t="shared" si="58"/>
        <v>11043785985.278875</v>
      </c>
      <c r="H436" s="3">
        <f t="shared" si="59"/>
        <v>20.073843347541452</v>
      </c>
      <c r="I436">
        <f t="shared" si="60"/>
        <v>221691229832.26187</v>
      </c>
      <c r="J436" s="6"/>
      <c r="K436" s="6"/>
      <c r="L436" s="6"/>
      <c r="M436" s="6"/>
      <c r="N436" s="6"/>
      <c r="O436" s="6"/>
      <c r="P436" s="6"/>
      <c r="Q436" s="6"/>
      <c r="R436" s="6"/>
      <c r="S436" s="6"/>
    </row>
    <row r="437" spans="6:19">
      <c r="F437" s="5">
        <f t="shared" si="57"/>
        <v>1.7300745514786786E-9</v>
      </c>
      <c r="G437" s="4">
        <f t="shared" si="58"/>
        <v>11319880634.910847</v>
      </c>
      <c r="H437" s="3">
        <f t="shared" si="59"/>
        <v>19.584237412235563</v>
      </c>
      <c r="I437">
        <f t="shared" si="60"/>
        <v>221691229832.26187</v>
      </c>
      <c r="J437" s="6"/>
      <c r="K437" s="6"/>
      <c r="L437" s="6"/>
      <c r="M437" s="6"/>
      <c r="N437" s="6"/>
      <c r="O437" s="6"/>
      <c r="P437" s="6"/>
      <c r="Q437" s="6"/>
      <c r="R437" s="6"/>
      <c r="S437" s="6"/>
    </row>
    <row r="438" spans="6:19">
      <c r="F438" s="5">
        <f t="shared" si="57"/>
        <v>1.6467098645841084E-9</v>
      </c>
      <c r="G438" s="4">
        <f t="shared" si="58"/>
        <v>11602877650.783617</v>
      </c>
      <c r="H438" s="3">
        <f t="shared" si="59"/>
        <v>19.106573085107868</v>
      </c>
      <c r="I438">
        <f t="shared" si="60"/>
        <v>221691229832.26187</v>
      </c>
      <c r="J438" s="6"/>
      <c r="K438" s="6"/>
      <c r="L438" s="6"/>
      <c r="M438" s="6"/>
      <c r="N438" s="6"/>
      <c r="O438" s="6"/>
      <c r="P438" s="6"/>
      <c r="Q438" s="6"/>
      <c r="R438" s="6"/>
      <c r="S438" s="6"/>
    </row>
    <row r="439" spans="6:19">
      <c r="F439" s="5">
        <f t="shared" si="57"/>
        <v>1.5673621554637562E-9</v>
      </c>
      <c r="G439" s="4">
        <f t="shared" si="58"/>
        <v>11892949592.053205</v>
      </c>
      <c r="H439" s="3">
        <f t="shared" si="59"/>
        <v>18.640559107422312</v>
      </c>
      <c r="I439">
        <f t="shared" si="60"/>
        <v>221691229832.26187</v>
      </c>
      <c r="J439" s="6"/>
      <c r="K439" s="6"/>
      <c r="L439" s="6"/>
      <c r="M439" s="6"/>
      <c r="N439" s="6"/>
      <c r="O439" s="6"/>
      <c r="P439" s="6"/>
      <c r="Q439" s="6"/>
      <c r="R439" s="6"/>
      <c r="S439" s="6"/>
    </row>
    <row r="440" spans="6:19">
      <c r="F440" s="5">
        <f t="shared" si="57"/>
        <v>1.4918378636180908E-9</v>
      </c>
      <c r="G440" s="4">
        <f t="shared" si="58"/>
        <v>12190273331.854534</v>
      </c>
      <c r="H440" s="3">
        <f t="shared" si="59"/>
        <v>18.185911324314453</v>
      </c>
      <c r="I440">
        <f t="shared" si="60"/>
        <v>221691229832.26187</v>
      </c>
      <c r="J440" s="6"/>
      <c r="K440" s="6"/>
      <c r="L440" s="6"/>
      <c r="M440" s="6"/>
      <c r="N440" s="6"/>
      <c r="O440" s="6"/>
      <c r="P440" s="6"/>
      <c r="Q440" s="6"/>
      <c r="R440" s="6"/>
      <c r="S440" s="6"/>
    </row>
    <row r="441" spans="6:19">
      <c r="F441" s="5">
        <f t="shared" si="57"/>
        <v>1.4199527553771243E-9</v>
      </c>
      <c r="G441" s="4">
        <f t="shared" si="58"/>
        <v>12495030165.150896</v>
      </c>
      <c r="H441" s="3">
        <f t="shared" si="59"/>
        <v>17.742352511526299</v>
      </c>
      <c r="I441">
        <f t="shared" si="60"/>
        <v>221691229832.26187</v>
      </c>
      <c r="J441" s="6"/>
      <c r="K441" s="6"/>
      <c r="L441" s="6"/>
      <c r="M441" s="6"/>
      <c r="N441" s="6"/>
      <c r="O441" s="6"/>
      <c r="P441" s="6"/>
      <c r="Q441" s="6"/>
      <c r="R441" s="6"/>
      <c r="S441" s="6"/>
    </row>
    <row r="442" spans="6:19">
      <c r="F442" s="5">
        <f t="shared" si="57"/>
        <v>1.3515314744814988E-9</v>
      </c>
      <c r="G442" s="4">
        <f t="shared" si="58"/>
        <v>12807405919.279667</v>
      </c>
      <c r="H442" s="3">
        <f t="shared" si="59"/>
        <v>17.309612206367124</v>
      </c>
      <c r="I442">
        <f t="shared" si="60"/>
        <v>221691229832.26187</v>
      </c>
      <c r="J442" s="6"/>
      <c r="K442" s="6"/>
      <c r="L442" s="6"/>
      <c r="M442" s="6"/>
      <c r="N442" s="6"/>
      <c r="O442" s="6"/>
      <c r="P442" s="6"/>
      <c r="Q442" s="6"/>
      <c r="R442" s="6"/>
      <c r="S442" s="6"/>
    </row>
    <row r="443" spans="6:19">
      <c r="F443" s="5">
        <f t="shared" si="57"/>
        <v>1.2864071143190947E-9</v>
      </c>
      <c r="G443" s="4">
        <f t="shared" si="58"/>
        <v>13127591067.261658</v>
      </c>
      <c r="H443" s="3">
        <f t="shared" si="59"/>
        <v>16.887426542797193</v>
      </c>
      <c r="I443">
        <f t="shared" si="60"/>
        <v>221691229832.26187</v>
      </c>
      <c r="J443" s="6"/>
      <c r="K443" s="6"/>
      <c r="L443" s="6"/>
      <c r="M443" s="6"/>
      <c r="N443" s="6"/>
      <c r="O443" s="6"/>
      <c r="P443" s="6"/>
      <c r="Q443" s="6"/>
      <c r="R443" s="6"/>
      <c r="S443" s="6"/>
    </row>
    <row r="444" spans="6:19">
      <c r="F444" s="5">
        <f t="shared" si="57"/>
        <v>1.2244208107736776E-9</v>
      </c>
      <c r="G444" s="4">
        <f t="shared" si="58"/>
        <v>13455780843.943197</v>
      </c>
      <c r="H444" s="3">
        <f t="shared" si="59"/>
        <v>16.475538090533849</v>
      </c>
      <c r="I444">
        <f t="shared" si="60"/>
        <v>221691229832.26187</v>
      </c>
      <c r="J444" s="6"/>
      <c r="K444" s="6"/>
      <c r="L444" s="6"/>
      <c r="M444" s="6"/>
      <c r="N444" s="6"/>
      <c r="O444" s="6"/>
      <c r="P444" s="6"/>
      <c r="Q444" s="6"/>
      <c r="R444" s="6"/>
      <c r="S444" s="6"/>
    </row>
    <row r="445" spans="6:19">
      <c r="F445" s="5">
        <f t="shared" si="57"/>
        <v>1.1654213546923763E-9</v>
      </c>
      <c r="G445" s="4">
        <f t="shared" si="58"/>
        <v>13792175365.041777</v>
      </c>
      <c r="H445" s="3">
        <f t="shared" si="59"/>
        <v>16.073695698081806</v>
      </c>
      <c r="I445">
        <f t="shared" si="60"/>
        <v>221691229832.26187</v>
      </c>
      <c r="J445" s="6"/>
      <c r="K445" s="6"/>
      <c r="L445" s="6"/>
      <c r="M445" s="6"/>
      <c r="N445" s="6"/>
      <c r="O445" s="6"/>
      <c r="P445" s="6"/>
      <c r="Q445" s="6"/>
      <c r="R445" s="6"/>
      <c r="S445" s="6"/>
    </row>
    <row r="446" spans="6:19">
      <c r="F446" s="5">
        <f t="shared" si="57"/>
        <v>1.1092648230266521E-9</v>
      </c>
      <c r="G446" s="4">
        <f t="shared" si="58"/>
        <v>14136979749.16782</v>
      </c>
      <c r="H446" s="3">
        <f t="shared" si="59"/>
        <v>15.681654339592008</v>
      </c>
      <c r="I446">
        <f t="shared" si="60"/>
        <v>221691229832.26187</v>
      </c>
      <c r="J446" s="6"/>
      <c r="K446" s="6"/>
      <c r="L446" s="6"/>
      <c r="M446" s="6"/>
      <c r="N446" s="6"/>
      <c r="O446" s="6"/>
      <c r="P446" s="6"/>
      <c r="Q446" s="6"/>
      <c r="R446" s="6"/>
      <c r="S446" s="6"/>
    </row>
    <row r="447" spans="6:19">
      <c r="F447" s="5">
        <f t="shared" si="57"/>
        <v>1.0558142277469624E-9</v>
      </c>
      <c r="G447" s="4">
        <f t="shared" si="58"/>
        <v>14490404242.897015</v>
      </c>
      <c r="H447" s="3">
        <f t="shared" si="59"/>
        <v>15.299174965455618</v>
      </c>
      <c r="I447">
        <f t="shared" si="60"/>
        <v>221691229832.26187</v>
      </c>
      <c r="J447" s="6"/>
      <c r="K447" s="6"/>
      <c r="L447" s="6"/>
      <c r="M447" s="6"/>
      <c r="N447" s="6"/>
      <c r="O447" s="6"/>
      <c r="P447" s="6"/>
      <c r="Q447" s="6"/>
      <c r="R447" s="6"/>
      <c r="S447" s="6"/>
    </row>
    <row r="448" spans="6:19">
      <c r="F448" s="5">
        <f t="shared" si="57"/>
        <v>1.0049391816746817E-9</v>
      </c>
      <c r="G448" s="4">
        <f t="shared" si="58"/>
        <v>14852664348.969439</v>
      </c>
      <c r="H448" s="3">
        <f t="shared" si="59"/>
        <v>14.926024356542067</v>
      </c>
      <c r="I448">
        <f t="shared" si="60"/>
        <v>221691229832.26187</v>
      </c>
      <c r="J448" s="6"/>
      <c r="K448" s="6"/>
      <c r="L448" s="6"/>
      <c r="M448" s="6"/>
      <c r="N448" s="6"/>
      <c r="O448" s="6"/>
      <c r="P448" s="6"/>
      <c r="Q448" s="6"/>
      <c r="R448" s="6"/>
      <c r="S448" s="6"/>
    </row>
    <row r="449" spans="6:19">
      <c r="F449" s="5">
        <f t="shared" si="57"/>
        <v>9.5651558041611598E-10</v>
      </c>
      <c r="G449" s="4">
        <f t="shared" si="58"/>
        <v>15223980957.693674</v>
      </c>
      <c r="H449" s="3">
        <f t="shared" si="59"/>
        <v>14.561974981992261</v>
      </c>
      <c r="I449">
        <f t="shared" si="60"/>
        <v>221691229832.26187</v>
      </c>
      <c r="J449" s="6"/>
      <c r="K449" s="6"/>
      <c r="L449" s="6"/>
      <c r="M449" s="6"/>
      <c r="N449" s="6"/>
      <c r="O449" s="6"/>
      <c r="P449" s="6"/>
      <c r="Q449" s="6"/>
      <c r="R449" s="6"/>
      <c r="S449" s="6"/>
    </row>
    <row r="450" spans="6:19">
      <c r="F450" s="5">
        <f t="shared" si="57"/>
        <v>9.1042529962271608E-10</v>
      </c>
      <c r="G450" s="4">
        <f t="shared" si="58"/>
        <v>15604580481.636015</v>
      </c>
      <c r="H450" s="3">
        <f t="shared" si="59"/>
        <v>14.206804860480256</v>
      </c>
      <c r="I450">
        <f t="shared" si="60"/>
        <v>221691229832.26187</v>
      </c>
      <c r="J450" s="6"/>
      <c r="K450" s="6"/>
      <c r="L450" s="6"/>
      <c r="M450" s="6"/>
      <c r="N450" s="6"/>
      <c r="O450" s="6"/>
      <c r="P450" s="6"/>
      <c r="Q450" s="6"/>
      <c r="R450" s="6"/>
      <c r="S450" s="6"/>
    </row>
    <row r="451" spans="6:19">
      <c r="F451" s="5">
        <f t="shared" si="57"/>
        <v>8.6655590683899219E-10</v>
      </c>
      <c r="G451" s="4">
        <f t="shared" si="58"/>
        <v>15994694993.676914</v>
      </c>
      <c r="H451" s="3">
        <f t="shared" si="59"/>
        <v>13.860297424858787</v>
      </c>
      <c r="I451">
        <f t="shared" si="60"/>
        <v>221691229832.26187</v>
      </c>
      <c r="J451" s="6"/>
      <c r="K451" s="6"/>
      <c r="L451" s="6"/>
      <c r="M451" s="6"/>
      <c r="N451" s="6"/>
      <c r="O451" s="6"/>
      <c r="P451" s="6"/>
      <c r="Q451" s="6"/>
      <c r="R451" s="6"/>
      <c r="S451" s="6"/>
    </row>
    <row r="452" spans="6:19">
      <c r="F452" s="5">
        <f t="shared" si="57"/>
        <v>8.2480038723520987E-10</v>
      </c>
      <c r="G452" s="4">
        <f t="shared" si="58"/>
        <v>16394562368.518835</v>
      </c>
      <c r="H452" s="3">
        <f t="shared" si="59"/>
        <v>13.522241390106135</v>
      </c>
      <c r="I452">
        <f t="shared" si="60"/>
        <v>221691229832.26187</v>
      </c>
      <c r="J452" s="6"/>
      <c r="K452" s="6"/>
      <c r="L452" s="6"/>
      <c r="M452" s="6"/>
      <c r="N452" s="6"/>
      <c r="O452" s="6"/>
      <c r="P452" s="6"/>
      <c r="Q452" s="6"/>
      <c r="R452" s="6"/>
      <c r="S452" s="6"/>
    </row>
    <row r="453" spans="6:19">
      <c r="F453" s="5">
        <f t="shared" si="57"/>
        <v>7.8505688255582166E-10</v>
      </c>
      <c r="G453" s="4">
        <f t="shared" si="58"/>
        <v>16804426427.731804</v>
      </c>
      <c r="H453" s="3">
        <f t="shared" si="59"/>
        <v>13.192430624493792</v>
      </c>
      <c r="I453">
        <f t="shared" si="60"/>
        <v>221691229832.26187</v>
      </c>
      <c r="J453" s="6"/>
      <c r="K453" s="6"/>
      <c r="L453" s="6"/>
      <c r="M453" s="6"/>
      <c r="N453" s="6"/>
      <c r="O453" s="6"/>
      <c r="P453" s="6"/>
      <c r="Q453" s="6"/>
      <c r="R453" s="6"/>
      <c r="S453" s="6"/>
    </row>
    <row r="454" spans="6:19">
      <c r="F454" s="5">
        <f t="shared" si="57"/>
        <v>7.4722844264682616E-10</v>
      </c>
      <c r="G454" s="4">
        <f t="shared" si="58"/>
        <v>17224537088.425098</v>
      </c>
      <c r="H454" s="3">
        <f t="shared" si="59"/>
        <v>12.870664023896383</v>
      </c>
      <c r="I454">
        <f t="shared" si="60"/>
        <v>221691229832.26187</v>
      </c>
      <c r="J454" s="6"/>
      <c r="K454" s="6"/>
      <c r="L454" s="6"/>
      <c r="M454" s="6"/>
      <c r="N454" s="6"/>
      <c r="O454" s="6"/>
      <c r="P454" s="6"/>
      <c r="Q454" s="6"/>
      <c r="R454" s="6"/>
      <c r="S454" s="6"/>
    </row>
    <row r="455" spans="6:19">
      <c r="F455" s="5">
        <f t="shared" si="57"/>
        <v>7.1122278895593229E-10</v>
      </c>
      <c r="G455" s="4">
        <f t="shared" si="58"/>
        <v>17655150515.635723</v>
      </c>
      <c r="H455" s="3">
        <f t="shared" si="59"/>
        <v>12.556745389167205</v>
      </c>
      <c r="I455">
        <f t="shared" si="60"/>
        <v>221691229832.26187</v>
      </c>
      <c r="J455" s="6"/>
      <c r="K455" s="6"/>
      <c r="L455" s="6"/>
      <c r="M455" s="6"/>
      <c r="N455" s="6"/>
      <c r="O455" s="6"/>
      <c r="P455" s="6"/>
      <c r="Q455" s="6"/>
      <c r="R455" s="6"/>
      <c r="S455" s="6"/>
    </row>
    <row r="456" spans="6:19">
      <c r="F456" s="5">
        <f t="shared" si="57"/>
        <v>6.769520894286091E-10</v>
      </c>
      <c r="G456" s="4">
        <f t="shared" si="58"/>
        <v>18096529278.526615</v>
      </c>
      <c r="H456" s="3">
        <f t="shared" si="59"/>
        <v>12.250483306504591</v>
      </c>
      <c r="I456">
        <f t="shared" si="60"/>
        <v>221691229832.26187</v>
      </c>
      <c r="J456" s="6"/>
      <c r="K456" s="6"/>
      <c r="L456" s="6"/>
      <c r="M456" s="6"/>
      <c r="N456" s="6"/>
      <c r="O456" s="6"/>
      <c r="P456" s="6"/>
      <c r="Q456" s="6"/>
      <c r="R456" s="6"/>
      <c r="S456" s="6"/>
    </row>
    <row r="457" spans="6:19">
      <c r="F457" s="5">
        <f t="shared" ref="F457:F520" si="61">H457/G457</f>
        <v>6.4433274425090691E-10</v>
      </c>
      <c r="G457" s="4">
        <f t="shared" si="58"/>
        <v>18548942510.48978</v>
      </c>
      <c r="H457" s="3">
        <f t="shared" si="59"/>
        <v>11.951691030736187</v>
      </c>
      <c r="I457">
        <f t="shared" si="60"/>
        <v>221691229832.26187</v>
      </c>
      <c r="J457" s="6"/>
      <c r="K457" s="6"/>
      <c r="L457" s="6"/>
      <c r="M457" s="6"/>
      <c r="N457" s="6"/>
      <c r="O457" s="6"/>
      <c r="P457" s="6"/>
      <c r="Q457" s="6"/>
      <c r="R457" s="6"/>
      <c r="S457" s="6"/>
    </row>
    <row r="458" spans="6:19">
      <c r="F458" s="5">
        <f t="shared" si="61"/>
        <v>6.1328518191638991E-10</v>
      </c>
      <c r="G458" s="4">
        <f t="shared" si="58"/>
        <v>19012666073.252022</v>
      </c>
      <c r="H458" s="3">
        <f t="shared" si="59"/>
        <v>11.660186371449941</v>
      </c>
      <c r="I458">
        <f t="shared" si="60"/>
        <v>221691229832.26187</v>
      </c>
      <c r="J458" s="6"/>
      <c r="K458" s="6"/>
      <c r="L458" s="6"/>
      <c r="M458" s="6"/>
      <c r="N458" s="6"/>
      <c r="O458" s="6"/>
      <c r="P458" s="6"/>
      <c r="Q458" s="6"/>
      <c r="R458" s="6"/>
      <c r="S458" s="6"/>
    </row>
    <row r="459" spans="6:19">
      <c r="F459" s="5">
        <f t="shared" si="61"/>
        <v>5.8373366511970492E-10</v>
      </c>
      <c r="G459" s="4">
        <f t="shared" si="58"/>
        <v>19487982725.083321</v>
      </c>
      <c r="H459" s="3">
        <f t="shared" si="59"/>
        <v>11.375791581902382</v>
      </c>
      <c r="I459">
        <f t="shared" si="60"/>
        <v>221691229832.26187</v>
      </c>
      <c r="J459" s="6"/>
      <c r="K459" s="6"/>
      <c r="L459" s="6"/>
      <c r="M459" s="6"/>
      <c r="N459" s="6"/>
      <c r="O459" s="6"/>
      <c r="P459" s="6"/>
      <c r="Q459" s="6"/>
      <c r="R459" s="6"/>
      <c r="S459" s="6"/>
    </row>
    <row r="460" spans="6:19">
      <c r="F460" s="5">
        <f t="shared" si="61"/>
        <v>5.5560610600328843E-10</v>
      </c>
      <c r="G460" s="4">
        <f t="shared" si="58"/>
        <v>19975182293.210403</v>
      </c>
      <c r="H460" s="3">
        <f t="shared" si="59"/>
        <v>11.09833325063647</v>
      </c>
      <c r="I460">
        <f t="shared" si="60"/>
        <v>221691229832.26187</v>
      </c>
      <c r="J460" s="6"/>
      <c r="K460" s="6"/>
      <c r="L460" s="6"/>
      <c r="M460" s="6"/>
      <c r="N460" s="6"/>
      <c r="O460" s="6"/>
      <c r="P460" s="6"/>
      <c r="Q460" s="6"/>
      <c r="R460" s="6"/>
      <c r="S460" s="6"/>
    </row>
    <row r="461" spans="6:19">
      <c r="F461" s="5">
        <f t="shared" si="61"/>
        <v>5.2883389030652096E-10</v>
      </c>
      <c r="G461" s="4">
        <f t="shared" si="58"/>
        <v>20474561850.540661</v>
      </c>
      <c r="H461" s="3">
        <f t="shared" si="59"/>
        <v>10.827642195742898</v>
      </c>
      <c r="I461">
        <f t="shared" si="60"/>
        <v>221691229832.26187</v>
      </c>
      <c r="J461" s="6"/>
      <c r="K461" s="6"/>
      <c r="L461" s="6"/>
      <c r="M461" s="6"/>
      <c r="N461" s="6"/>
      <c r="O461" s="6"/>
      <c r="P461" s="6"/>
      <c r="Q461" s="6"/>
      <c r="R461" s="6"/>
      <c r="S461" s="6"/>
    </row>
    <row r="462" spans="6:19">
      <c r="F462" s="5">
        <f t="shared" si="61"/>
        <v>5.0335170998836032E-10</v>
      </c>
      <c r="G462" s="4">
        <f t="shared" si="58"/>
        <v>20986425896.804176</v>
      </c>
      <c r="H462" s="3">
        <f t="shared" si="59"/>
        <v>10.563553361700389</v>
      </c>
      <c r="I462">
        <f t="shared" si="60"/>
        <v>221691229832.26187</v>
      </c>
      <c r="J462" s="6"/>
      <c r="K462" s="6"/>
      <c r="L462" s="6"/>
      <c r="M462" s="6"/>
      <c r="N462" s="6"/>
      <c r="O462" s="6"/>
      <c r="P462" s="6"/>
      <c r="Q462" s="6"/>
      <c r="R462" s="6"/>
      <c r="S462" s="6"/>
    </row>
    <row r="463" spans="6:19">
      <c r="F463" s="5">
        <f t="shared" si="61"/>
        <v>4.7909740391515568E-10</v>
      </c>
      <c r="G463" s="4">
        <f t="shared" si="58"/>
        <v>21511086544.224277</v>
      </c>
      <c r="H463" s="3">
        <f t="shared" si="59"/>
        <v>10.305905718732088</v>
      </c>
      <c r="I463">
        <f t="shared" si="60"/>
        <v>221691229832.26187</v>
      </c>
      <c r="J463" s="6"/>
      <c r="K463" s="6"/>
      <c r="L463" s="6"/>
      <c r="M463" s="6"/>
      <c r="N463" s="6"/>
      <c r="O463" s="6"/>
      <c r="P463" s="6"/>
      <c r="Q463" s="6"/>
      <c r="R463" s="6"/>
      <c r="S463" s="6"/>
    </row>
    <row r="464" spans="6:19">
      <c r="F464" s="5">
        <f t="shared" si="61"/>
        <v>4.5601180622501435E-10</v>
      </c>
      <c r="G464" s="4">
        <f t="shared" si="58"/>
        <v>22048863707.829884</v>
      </c>
      <c r="H464" s="3">
        <f t="shared" si="59"/>
        <v>10.054542164616672</v>
      </c>
      <c r="I464">
        <f t="shared" si="60"/>
        <v>221691229832.26187</v>
      </c>
      <c r="J464" s="6"/>
      <c r="K464" s="6"/>
      <c r="L464" s="6"/>
      <c r="M464" s="6"/>
      <c r="N464" s="6"/>
      <c r="O464" s="6"/>
      <c r="P464" s="6"/>
      <c r="Q464" s="6"/>
      <c r="R464" s="6"/>
      <c r="S464" s="6"/>
    </row>
    <row r="465" spans="6:19">
      <c r="F465" s="5">
        <f t="shared" si="61"/>
        <v>4.3403860199882405E-10</v>
      </c>
      <c r="G465" s="4">
        <f t="shared" si="58"/>
        <v>22600085300.525627</v>
      </c>
      <c r="H465" s="3">
        <f t="shared" si="59"/>
        <v>9.8093094288943163</v>
      </c>
      <c r="I465">
        <f t="shared" si="60"/>
        <v>221691229832.26187</v>
      </c>
      <c r="J465" s="6"/>
      <c r="K465" s="6"/>
      <c r="L465" s="6"/>
      <c r="M465" s="6"/>
      <c r="N465" s="6"/>
      <c r="O465" s="6"/>
      <c r="P465" s="6"/>
      <c r="Q465" s="6"/>
      <c r="R465" s="6"/>
      <c r="S465" s="6"/>
    </row>
    <row r="466" spans="6:19">
      <c r="F466" s="5">
        <f t="shared" si="61"/>
        <v>4.1312418988585287E-10</v>
      </c>
      <c r="G466" s="4">
        <f t="shared" si="58"/>
        <v>23165087433.038765</v>
      </c>
      <c r="H466" s="3">
        <f t="shared" si="59"/>
        <v>9.570057979409091</v>
      </c>
      <c r="I466">
        <f t="shared" si="60"/>
        <v>221691229832.26187</v>
      </c>
      <c r="J466" s="6"/>
      <c r="K466" s="6"/>
      <c r="L466" s="6"/>
      <c r="M466" s="6"/>
      <c r="N466" s="6"/>
      <c r="O466" s="6"/>
      <c r="P466" s="6"/>
      <c r="Q466" s="6"/>
      <c r="R466" s="6"/>
      <c r="S466" s="6"/>
    </row>
    <row r="467" spans="6:19">
      <c r="F467" s="5">
        <f t="shared" si="61"/>
        <v>3.9321755134881896E-10</v>
      </c>
      <c r="G467" s="4">
        <f t="shared" si="58"/>
        <v>23744214618.864731</v>
      </c>
      <c r="H467" s="3">
        <f t="shared" si="59"/>
        <v>9.3366419311308206</v>
      </c>
      <c r="I467">
        <f t="shared" si="60"/>
        <v>221691229832.26187</v>
      </c>
      <c r="J467" s="6"/>
      <c r="K467" s="6"/>
      <c r="L467" s="6"/>
      <c r="M467" s="6"/>
      <c r="N467" s="6"/>
      <c r="O467" s="6"/>
      <c r="P467" s="6"/>
      <c r="Q467" s="6"/>
      <c r="R467" s="6"/>
      <c r="S467" s="6"/>
    </row>
    <row r="468" spans="6:19">
      <c r="F468" s="5">
        <f t="shared" si="61"/>
        <v>3.7427012620946501E-10</v>
      </c>
      <c r="G468" s="4">
        <f t="shared" si="58"/>
        <v>24337819984.336346</v>
      </c>
      <c r="H468" s="3">
        <f t="shared" si="59"/>
        <v>9.1089189572008031</v>
      </c>
      <c r="I468">
        <f t="shared" si="60"/>
        <v>221691229832.26187</v>
      </c>
      <c r="J468" s="6"/>
      <c r="K468" s="6"/>
      <c r="L468" s="6"/>
      <c r="M468" s="6"/>
      <c r="N468" s="6"/>
      <c r="O468" s="6"/>
      <c r="P468" s="6"/>
      <c r="Q468" s="6"/>
      <c r="R468" s="6"/>
      <c r="S468" s="6"/>
    </row>
    <row r="469" spans="6:19">
      <c r="F469" s="5">
        <f t="shared" si="61"/>
        <v>3.5623569419104342E-10</v>
      </c>
      <c r="G469" s="4">
        <f t="shared" si="58"/>
        <v>24946265483.944752</v>
      </c>
      <c r="H469" s="3">
        <f t="shared" si="59"/>
        <v>8.886750202147125</v>
      </c>
      <c r="I469">
        <f t="shared" si="60"/>
        <v>221691229832.26187</v>
      </c>
      <c r="J469" s="6"/>
      <c r="K469" s="6"/>
      <c r="L469" s="6"/>
      <c r="M469" s="6"/>
      <c r="N469" s="6"/>
      <c r="O469" s="6"/>
      <c r="P469" s="6"/>
      <c r="Q469" s="6"/>
      <c r="R469" s="6"/>
      <c r="S469" s="6"/>
    </row>
    <row r="470" spans="6:19">
      <c r="F470" s="5">
        <f t="shared" si="61"/>
        <v>3.3907026216875054E-10</v>
      </c>
      <c r="G470" s="4">
        <f t="shared" si="58"/>
        <v>25569922121.043369</v>
      </c>
      <c r="H470" s="3">
        <f t="shared" si="59"/>
        <v>8.6700001972167087</v>
      </c>
      <c r="I470">
        <f t="shared" si="60"/>
        <v>221691229832.26187</v>
      </c>
      <c r="J470" s="6"/>
      <c r="K470" s="6"/>
      <c r="L470" s="6"/>
      <c r="M470" s="6"/>
      <c r="N470" s="6"/>
      <c r="O470" s="6"/>
      <c r="P470" s="6"/>
      <c r="Q470" s="6"/>
      <c r="R470" s="6"/>
      <c r="S470" s="6"/>
    </row>
    <row r="471" spans="6:19">
      <c r="F471" s="5">
        <f t="shared" si="61"/>
        <v>3.2273195685306418E-10</v>
      </c>
      <c r="G471" s="4">
        <f t="shared" si="58"/>
        <v>26209170174.06945</v>
      </c>
      <c r="H471" s="3">
        <f t="shared" si="59"/>
        <v>8.4585367777723981</v>
      </c>
      <c r="I471">
        <f t="shared" si="60"/>
        <v>221691229832.26187</v>
      </c>
      <c r="J471" s="6"/>
      <c r="K471" s="6"/>
      <c r="L471" s="6"/>
      <c r="M471" s="6"/>
      <c r="N471" s="6"/>
      <c r="O471" s="6"/>
      <c r="P471" s="6"/>
      <c r="Q471" s="6"/>
      <c r="R471" s="6"/>
      <c r="S471" s="6"/>
    </row>
    <row r="472" spans="6:19">
      <c r="F472" s="5">
        <f t="shared" si="61"/>
        <v>3.0718092264420156E-10</v>
      </c>
      <c r="G472" s="4">
        <f t="shared" si="58"/>
        <v>26864399428.421185</v>
      </c>
      <c r="H472" s="3">
        <f t="shared" si="59"/>
        <v>8.2522310027047805</v>
      </c>
      <c r="I472">
        <f t="shared" si="60"/>
        <v>221691229832.26187</v>
      </c>
      <c r="J472" s="6"/>
      <c r="K472" s="6"/>
      <c r="L472" s="6"/>
      <c r="M472" s="6"/>
      <c r="N472" s="6"/>
      <c r="O472" s="6"/>
      <c r="P472" s="6"/>
      <c r="Q472" s="6"/>
      <c r="R472" s="6"/>
      <c r="S472" s="6"/>
    </row>
    <row r="473" spans="6:19">
      <c r="F473" s="5">
        <f t="shared" si="61"/>
        <v>2.9237922440852025E-10</v>
      </c>
      <c r="G473" s="4">
        <f t="shared" si="58"/>
        <v>27536009414.13171</v>
      </c>
      <c r="H473" s="3">
        <f t="shared" si="59"/>
        <v>8.0509570758095421</v>
      </c>
      <c r="I473">
        <f t="shared" si="60"/>
        <v>221691229832.26187</v>
      </c>
      <c r="J473" s="6"/>
      <c r="K473" s="6"/>
      <c r="L473" s="6"/>
      <c r="M473" s="6"/>
      <c r="N473" s="6"/>
      <c r="O473" s="6"/>
      <c r="P473" s="6"/>
      <c r="Q473" s="6"/>
      <c r="R473" s="6"/>
      <c r="S473" s="6"/>
    </row>
    <row r="474" spans="6:19">
      <c r="F474" s="5">
        <f t="shared" si="61"/>
        <v>2.782907549396981E-10</v>
      </c>
      <c r="G474" s="4">
        <f t="shared" si="58"/>
        <v>28224409649.485001</v>
      </c>
      <c r="H474" s="3">
        <f t="shared" si="59"/>
        <v>7.854592269082481</v>
      </c>
      <c r="I474">
        <f t="shared" si="60"/>
        <v>221691229832.26187</v>
      </c>
      <c r="J474" s="6"/>
      <c r="K474" s="6"/>
      <c r="L474" s="6"/>
      <c r="M474" s="6"/>
      <c r="N474" s="6"/>
      <c r="O474" s="6"/>
      <c r="P474" s="6"/>
      <c r="Q474" s="6"/>
      <c r="R474" s="6"/>
      <c r="S474" s="6"/>
    </row>
    <row r="475" spans="6:19">
      <c r="F475" s="5">
        <f t="shared" si="61"/>
        <v>2.6488114687895126E-10</v>
      </c>
      <c r="G475" s="4">
        <f t="shared" si="58"/>
        <v>28930019890.722122</v>
      </c>
      <c r="H475" s="3">
        <f t="shared" si="59"/>
        <v>7.6630168478853484</v>
      </c>
      <c r="I475">
        <f t="shared" si="60"/>
        <v>221691229832.26187</v>
      </c>
      <c r="J475" s="6"/>
      <c r="K475" s="6"/>
      <c r="L475" s="6"/>
      <c r="M475" s="6"/>
      <c r="N475" s="6"/>
      <c r="O475" s="6"/>
      <c r="P475" s="6"/>
      <c r="Q475" s="6"/>
      <c r="R475" s="6"/>
      <c r="S475" s="6"/>
    </row>
    <row r="476" spans="6:19">
      <c r="F476" s="5">
        <f t="shared" si="61"/>
        <v>2.5211768887943016E-10</v>
      </c>
      <c r="G476" s="4">
        <f t="shared" si="58"/>
        <v>29653270387.990173</v>
      </c>
      <c r="H476" s="3">
        <f t="shared" si="59"/>
        <v>7.4761139979369258</v>
      </c>
      <c r="I476">
        <f t="shared" si="60"/>
        <v>221691229832.26187</v>
      </c>
      <c r="J476" s="6"/>
      <c r="K476" s="6"/>
      <c r="L476" s="6"/>
      <c r="M476" s="6"/>
      <c r="N476" s="6"/>
      <c r="O476" s="6"/>
      <c r="P476" s="6"/>
      <c r="Q476" s="6"/>
      <c r="R476" s="6"/>
      <c r="S476" s="6"/>
    </row>
    <row r="477" spans="6:19">
      <c r="F477" s="5">
        <f t="shared" si="61"/>
        <v>2.3996924581028457E-10</v>
      </c>
      <c r="G477" s="4">
        <f t="shared" si="58"/>
        <v>30394602147.689926</v>
      </c>
      <c r="H477" s="3">
        <f t="shared" si="59"/>
        <v>7.2937697540848063</v>
      </c>
      <c r="I477">
        <f t="shared" si="60"/>
        <v>221691229832.26187</v>
      </c>
      <c r="J477" s="6"/>
      <c r="K477" s="6"/>
      <c r="L477" s="6"/>
      <c r="M477" s="6"/>
      <c r="N477" s="6"/>
      <c r="O477" s="6"/>
      <c r="P477" s="6"/>
      <c r="Q477" s="6"/>
      <c r="R477" s="6"/>
      <c r="S477" s="6"/>
    </row>
    <row r="478" spans="6:19">
      <c r="F478" s="5">
        <f t="shared" si="61"/>
        <v>2.2840618280574378E-10</v>
      </c>
      <c r="G478" s="4">
        <f t="shared" si="58"/>
        <v>31154467201.382172</v>
      </c>
      <c r="H478" s="3">
        <f t="shared" si="59"/>
        <v>7.1158729308144455</v>
      </c>
      <c r="I478">
        <f t="shared" si="60"/>
        <v>221691229832.26187</v>
      </c>
      <c r="J478" s="6"/>
      <c r="K478" s="6"/>
      <c r="L478" s="6"/>
      <c r="M478" s="6"/>
      <c r="N478" s="6"/>
      <c r="O478" s="6"/>
      <c r="P478" s="6"/>
      <c r="Q478" s="6"/>
      <c r="R478" s="6"/>
      <c r="S478" s="6"/>
    </row>
    <row r="479" spans="6:19">
      <c r="F479" s="5">
        <f t="shared" si="61"/>
        <v>2.1740029297393823E-10</v>
      </c>
      <c r="G479" s="4">
        <f t="shared" si="58"/>
        <v>31933328881.416721</v>
      </c>
      <c r="H479" s="3">
        <f t="shared" si="59"/>
        <v>6.9423150544531183</v>
      </c>
      <c r="I479">
        <f t="shared" si="60"/>
        <v>221691229832.26187</v>
      </c>
      <c r="J479" s="6"/>
      <c r="K479" s="6"/>
      <c r="L479" s="6"/>
      <c r="M479" s="6"/>
      <c r="N479" s="6"/>
      <c r="O479" s="6"/>
      <c r="P479" s="6"/>
      <c r="Q479" s="6"/>
      <c r="R479" s="6"/>
      <c r="S479" s="6"/>
    </row>
    <row r="480" spans="6:19">
      <c r="F480" s="5">
        <f t="shared" si="61"/>
        <v>2.0692472858911435E-10</v>
      </c>
      <c r="G480" s="4">
        <f t="shared" si="58"/>
        <v>32731662103.452137</v>
      </c>
      <c r="H480" s="3">
        <f t="shared" si="59"/>
        <v>6.7729902970274329</v>
      </c>
      <c r="I480">
        <f t="shared" si="60"/>
        <v>221691229832.26187</v>
      </c>
      <c r="J480" s="6"/>
      <c r="K480" s="6"/>
      <c r="L480" s="6"/>
      <c r="M480" s="6"/>
      <c r="N480" s="6"/>
      <c r="O480" s="6"/>
      <c r="P480" s="6"/>
      <c r="Q480" s="6"/>
      <c r="R480" s="6"/>
      <c r="S480" s="6"/>
    </row>
    <row r="481" spans="6:19">
      <c r="F481" s="5">
        <f t="shared" si="61"/>
        <v>1.9695393559939501E-10</v>
      </c>
      <c r="G481" s="4">
        <f t="shared" si="58"/>
        <v>33549953656.038437</v>
      </c>
      <c r="H481" s="3">
        <f t="shared" si="59"/>
        <v>6.6077954117340818</v>
      </c>
      <c r="I481">
        <f t="shared" si="60"/>
        <v>221691229832.26187</v>
      </c>
      <c r="J481" s="6"/>
      <c r="K481" s="6"/>
      <c r="L481" s="6"/>
      <c r="M481" s="6"/>
      <c r="N481" s="6"/>
      <c r="O481" s="6"/>
      <c r="P481" s="6"/>
      <c r="Q481" s="6"/>
      <c r="R481" s="6"/>
      <c r="S481" s="6"/>
    </row>
    <row r="482" spans="6:19">
      <c r="F482" s="5">
        <f t="shared" si="61"/>
        <v>1.8746359129032251E-10</v>
      </c>
      <c r="G482" s="4">
        <f t="shared" si="58"/>
        <v>34388702497.439392</v>
      </c>
      <c r="H482" s="3">
        <f t="shared" si="59"/>
        <v>6.4466296699844712</v>
      </c>
      <c r="I482">
        <f t="shared" si="60"/>
        <v>221691229832.26187</v>
      </c>
      <c r="J482" s="6"/>
      <c r="K482" s="6"/>
      <c r="L482" s="6"/>
      <c r="M482" s="6"/>
      <c r="N482" s="6"/>
      <c r="O482" s="6"/>
      <c r="P482" s="6"/>
      <c r="Q482" s="6"/>
      <c r="R482" s="6"/>
      <c r="S482" s="6"/>
    </row>
    <row r="483" spans="6:19">
      <c r="F483" s="5">
        <f t="shared" si="61"/>
        <v>1.7843054495212139E-10</v>
      </c>
      <c r="G483" s="4">
        <f t="shared" si="58"/>
        <v>35248420059.875374</v>
      </c>
      <c r="H483" s="3">
        <f t="shared" si="59"/>
        <v>6.2893947999848505</v>
      </c>
      <c r="I483">
        <f t="shared" si="60"/>
        <v>221691229832.26187</v>
      </c>
      <c r="J483" s="6"/>
      <c r="K483" s="6"/>
      <c r="L483" s="6"/>
      <c r="M483" s="6"/>
      <c r="N483" s="6"/>
      <c r="O483" s="6"/>
      <c r="P483" s="6"/>
      <c r="Q483" s="6"/>
      <c r="R483" s="6"/>
      <c r="S483" s="6"/>
    </row>
    <row r="484" spans="6:19">
      <c r="F484" s="5">
        <f t="shared" si="61"/>
        <v>1.6983276140594546E-10</v>
      </c>
      <c r="G484" s="4">
        <f t="shared" si="58"/>
        <v>36129630561.372253</v>
      </c>
      <c r="H484" s="3">
        <f t="shared" si="59"/>
        <v>6.1359949268144893</v>
      </c>
      <c r="I484">
        <f t="shared" si="60"/>
        <v>221691229832.26187</v>
      </c>
      <c r="J484" s="6"/>
      <c r="K484" s="6"/>
      <c r="L484" s="6"/>
      <c r="M484" s="6"/>
      <c r="N484" s="6"/>
      <c r="O484" s="6"/>
      <c r="P484" s="6"/>
      <c r="Q484" s="6"/>
      <c r="R484" s="6"/>
      <c r="S484" s="6"/>
    </row>
    <row r="485" spans="6:19">
      <c r="F485" s="5">
        <f t="shared" si="61"/>
        <v>1.616492672513461E-10</v>
      </c>
      <c r="G485" s="4">
        <f t="shared" si="58"/>
        <v>37032871325.406555</v>
      </c>
      <c r="H485" s="3">
        <f t="shared" si="59"/>
        <v>5.9863365139653562</v>
      </c>
      <c r="I485">
        <f t="shared" si="60"/>
        <v>221691229832.26187</v>
      </c>
      <c r="J485" s="6"/>
      <c r="K485" s="6"/>
      <c r="L485" s="6"/>
      <c r="M485" s="6"/>
      <c r="N485" s="6"/>
      <c r="O485" s="6"/>
      <c r="P485" s="6"/>
      <c r="Q485" s="6"/>
      <c r="R485" s="6"/>
      <c r="S485" s="6"/>
    </row>
    <row r="486" spans="6:19">
      <c r="F486" s="5">
        <f t="shared" si="61"/>
        <v>1.5386009970383926E-10</v>
      </c>
      <c r="G486" s="4">
        <f t="shared" si="58"/>
        <v>37958693108.541718</v>
      </c>
      <c r="H486" s="3">
        <f t="shared" si="59"/>
        <v>5.840328306307665</v>
      </c>
      <c r="I486">
        <f t="shared" si="60"/>
        <v>221691229832.26187</v>
      </c>
      <c r="J486" s="6"/>
      <c r="K486" s="6"/>
      <c r="L486" s="6"/>
      <c r="M486" s="6"/>
      <c r="N486" s="6"/>
      <c r="O486" s="6"/>
      <c r="P486" s="6"/>
      <c r="Q486" s="6"/>
      <c r="R486" s="6"/>
      <c r="S486" s="6"/>
    </row>
    <row r="487" spans="6:19">
      <c r="F487" s="5">
        <f t="shared" si="61"/>
        <v>1.4644625789776494E-10</v>
      </c>
      <c r="G487" s="4">
        <f t="shared" si="58"/>
        <v>38907660436.255257</v>
      </c>
      <c r="H487" s="3">
        <f t="shared" si="59"/>
        <v>5.6978812744465026</v>
      </c>
      <c r="I487">
        <f t="shared" si="60"/>
        <v>221691229832.26187</v>
      </c>
      <c r="J487" s="6"/>
      <c r="K487" s="6"/>
      <c r="L487" s="6"/>
      <c r="M487" s="6"/>
      <c r="N487" s="6"/>
      <c r="O487" s="6"/>
      <c r="P487" s="6"/>
      <c r="Q487" s="6"/>
      <c r="R487" s="6"/>
      <c r="S487" s="6"/>
    </row>
    <row r="488" spans="6:19">
      <c r="F488" s="5">
        <f t="shared" si="61"/>
        <v>1.3938965653564776E-10</v>
      </c>
      <c r="G488" s="4">
        <f t="shared" si="58"/>
        <v>39880351947.161636</v>
      </c>
      <c r="H488" s="3">
        <f t="shared" si="59"/>
        <v>5.5589085604356123</v>
      </c>
      <c r="I488">
        <f t="shared" si="60"/>
        <v>221691229832.26187</v>
      </c>
      <c r="J488" s="6"/>
      <c r="K488" s="6"/>
      <c r="L488" s="6"/>
      <c r="M488" s="6"/>
      <c r="N488" s="6"/>
      <c r="O488" s="6"/>
      <c r="P488" s="6"/>
      <c r="Q488" s="6"/>
      <c r="R488" s="6"/>
      <c r="S488" s="6"/>
    </row>
    <row r="489" spans="6:19">
      <c r="F489" s="5">
        <f t="shared" si="61"/>
        <v>1.3267308177099135E-10</v>
      </c>
      <c r="G489" s="4">
        <f t="shared" si="58"/>
        <v>40877360745.840675</v>
      </c>
      <c r="H489" s="3">
        <f t="shared" si="59"/>
        <v>5.4233254248152321</v>
      </c>
      <c r="I489">
        <f t="shared" si="60"/>
        <v>221691229832.26187</v>
      </c>
      <c r="J489" s="6"/>
      <c r="K489" s="6"/>
      <c r="L489" s="6"/>
      <c r="M489" s="6"/>
      <c r="N489" s="6"/>
      <c r="O489" s="6"/>
      <c r="P489" s="6"/>
      <c r="Q489" s="6"/>
      <c r="R489" s="6"/>
      <c r="S489" s="6"/>
    </row>
    <row r="490" spans="6:19">
      <c r="F490" s="5">
        <f t="shared" si="61"/>
        <v>1.262801492168865E-10</v>
      </c>
      <c r="G490" s="4">
        <f t="shared" si="58"/>
        <v>41899294764.486687</v>
      </c>
      <c r="H490" s="3">
        <f t="shared" si="59"/>
        <v>5.2910491949416905</v>
      </c>
      <c r="I490">
        <f t="shared" si="60"/>
        <v>221691229832.26187</v>
      </c>
      <c r="J490" s="6"/>
      <c r="K490" s="6"/>
      <c r="L490" s="6"/>
      <c r="M490" s="6"/>
      <c r="N490" s="6"/>
      <c r="O490" s="6"/>
      <c r="P490" s="6"/>
      <c r="Q490" s="6"/>
      <c r="R490" s="6"/>
      <c r="S490" s="6"/>
    </row>
    <row r="491" spans="6:19">
      <c r="F491" s="5">
        <f t="shared" si="61"/>
        <v>1.2019526397800029E-10</v>
      </c>
      <c r="G491" s="4">
        <f t="shared" si="58"/>
        <v>42946777133.598846</v>
      </c>
      <c r="H491" s="3">
        <f t="shared" si="59"/>
        <v>5.1619992145772597</v>
      </c>
      <c r="I491">
        <f t="shared" si="60"/>
        <v>221691229832.26187</v>
      </c>
      <c r="J491" s="6"/>
      <c r="K491" s="6"/>
      <c r="L491" s="6"/>
      <c r="M491" s="6"/>
      <c r="N491" s="6"/>
      <c r="O491" s="6"/>
      <c r="P491" s="6"/>
      <c r="Q491" s="6"/>
      <c r="R491" s="6"/>
      <c r="S491" s="6"/>
    </row>
    <row r="492" spans="6:19">
      <c r="F492" s="5">
        <f t="shared" si="61"/>
        <v>1.1440358260844767E-10</v>
      </c>
      <c r="G492" s="4">
        <f t="shared" si="58"/>
        <v>44020446561.938812</v>
      </c>
      <c r="H492" s="3">
        <f t="shared" si="59"/>
        <v>5.0360967947095228</v>
      </c>
      <c r="I492">
        <f t="shared" si="60"/>
        <v>221691229832.26187</v>
      </c>
      <c r="J492" s="6"/>
      <c r="K492" s="6"/>
      <c r="L492" s="6"/>
      <c r="M492" s="6"/>
      <c r="N492" s="6"/>
      <c r="O492" s="6"/>
      <c r="P492" s="6"/>
      <c r="Q492" s="6"/>
      <c r="R492" s="6"/>
      <c r="S492" s="6"/>
    </row>
    <row r="493" spans="6:19">
      <c r="F493" s="5">
        <f t="shared" si="61"/>
        <v>1.0889097690274614E-10</v>
      </c>
      <c r="G493" s="4">
        <f t="shared" si="58"/>
        <v>45120957725.987282</v>
      </c>
      <c r="H493" s="3">
        <f t="shared" si="59"/>
        <v>4.9132651655702659</v>
      </c>
      <c r="I493">
        <f t="shared" si="60"/>
        <v>221691229832.26187</v>
      </c>
      <c r="J493" s="6"/>
      <c r="K493" s="6"/>
      <c r="L493" s="6"/>
      <c r="M493" s="6"/>
      <c r="N493" s="6"/>
      <c r="O493" s="6"/>
      <c r="P493" s="6"/>
      <c r="Q493" s="6"/>
      <c r="R493" s="6"/>
      <c r="S493" s="6"/>
    </row>
    <row r="494" spans="6:19">
      <c r="F494" s="5">
        <f t="shared" si="61"/>
        <v>1.0364399943152516E-10</v>
      </c>
      <c r="G494" s="4">
        <f t="shared" si="58"/>
        <v>46248981669.136963</v>
      </c>
      <c r="H494" s="3">
        <f t="shared" si="59"/>
        <v>4.7934294298246494</v>
      </c>
      <c r="I494">
        <f t="shared" si="60"/>
        <v>221691229832.26187</v>
      </c>
      <c r="J494" s="6"/>
      <c r="K494" s="6"/>
      <c r="L494" s="6"/>
      <c r="M494" s="6"/>
      <c r="N494" s="6"/>
      <c r="O494" s="6"/>
      <c r="P494" s="6"/>
      <c r="Q494" s="6"/>
      <c r="R494" s="6"/>
      <c r="S494" s="6"/>
    </row>
    <row r="495" spans="6:19">
      <c r="F495" s="5">
        <f t="shared" si="61"/>
        <v>9.8649850737918112E-11</v>
      </c>
      <c r="G495" s="4">
        <f t="shared" si="58"/>
        <v>47405206210.865379</v>
      </c>
      <c r="H495" s="3">
        <f t="shared" si="59"/>
        <v>4.6765165169020984</v>
      </c>
      <c r="I495">
        <f t="shared" si="60"/>
        <v>221691229832.26187</v>
      </c>
      <c r="J495" s="6"/>
      <c r="K495" s="6"/>
      <c r="L495" s="6"/>
      <c r="M495" s="6"/>
      <c r="N495" s="6"/>
      <c r="O495" s="6"/>
      <c r="P495" s="6"/>
      <c r="Q495" s="6"/>
      <c r="R495" s="6"/>
      <c r="S495" s="6"/>
    </row>
    <row r="496" spans="6:19">
      <c r="F496" s="5">
        <f t="shared" si="61"/>
        <v>9.3896348114615715E-11</v>
      </c>
      <c r="G496" s="4">
        <f t="shared" si="58"/>
        <v>48590336366.137009</v>
      </c>
      <c r="H496" s="3">
        <f t="shared" si="59"/>
        <v>4.5624551384410719</v>
      </c>
      <c r="I496">
        <f t="shared" si="60"/>
        <v>221691229832.26187</v>
      </c>
      <c r="J496" s="6"/>
      <c r="K496" s="6"/>
      <c r="L496" s="6"/>
      <c r="M496" s="6"/>
      <c r="N496" s="6"/>
      <c r="O496" s="6"/>
      <c r="P496" s="6"/>
      <c r="Q496" s="6"/>
      <c r="R496" s="6"/>
      <c r="S496" s="6"/>
    </row>
    <row r="497" spans="6:19">
      <c r="F497" s="5">
        <f t="shared" si="61"/>
        <v>8.9371895885416518E-11</v>
      </c>
      <c r="G497" s="4">
        <f t="shared" ref="G497:G560" si="62">G496*(1+$O$1)</f>
        <v>49805094775.290428</v>
      </c>
      <c r="H497" s="3">
        <f t="shared" si="59"/>
        <v>4.4511757448205582</v>
      </c>
      <c r="I497">
        <f t="shared" si="60"/>
        <v>221691229832.26187</v>
      </c>
      <c r="J497" s="6"/>
      <c r="K497" s="6"/>
      <c r="L497" s="6"/>
      <c r="M497" s="6"/>
      <c r="N497" s="6"/>
      <c r="O497" s="6"/>
      <c r="P497" s="6"/>
      <c r="Q497" s="6"/>
      <c r="R497" s="6"/>
      <c r="S497" s="6"/>
    </row>
    <row r="498" spans="6:19">
      <c r="F498" s="5">
        <f t="shared" si="61"/>
        <v>8.5065457118778371E-11</v>
      </c>
      <c r="G498" s="4">
        <f t="shared" si="62"/>
        <v>51050222144.672684</v>
      </c>
      <c r="H498" s="3">
        <f t="shared" ref="H498:H561" si="63">I498/G498</f>
        <v>4.3426104827517644</v>
      </c>
      <c r="I498">
        <f t="shared" ref="I498:I561" si="64">I497</f>
        <v>221691229832.26187</v>
      </c>
      <c r="J498" s="6"/>
      <c r="K498" s="6"/>
      <c r="L498" s="6"/>
      <c r="M498" s="6"/>
      <c r="N498" s="6"/>
      <c r="O498" s="6"/>
      <c r="P498" s="6"/>
      <c r="Q498" s="6"/>
      <c r="R498" s="6"/>
      <c r="S498" s="6"/>
    </row>
    <row r="499" spans="6:19">
      <c r="F499" s="5">
        <f t="shared" si="61"/>
        <v>8.0966526704369679E-11</v>
      </c>
      <c r="G499" s="4">
        <f t="shared" si="62"/>
        <v>52326477698.289497</v>
      </c>
      <c r="H499" s="3">
        <f t="shared" si="63"/>
        <v>4.2366931539041612</v>
      </c>
      <c r="I499">
        <f t="shared" si="64"/>
        <v>221691229832.26187</v>
      </c>
      <c r="J499" s="6"/>
      <c r="K499" s="6"/>
      <c r="L499" s="6"/>
      <c r="M499" s="6"/>
      <c r="N499" s="6"/>
      <c r="O499" s="6"/>
      <c r="P499" s="6"/>
      <c r="Q499" s="6"/>
      <c r="R499" s="6"/>
      <c r="S499" s="6"/>
    </row>
    <row r="500" spans="6:19">
      <c r="F500" s="5">
        <f t="shared" si="61"/>
        <v>7.7065105726943199E-11</v>
      </c>
      <c r="G500" s="4">
        <f t="shared" si="62"/>
        <v>53634639640.746727</v>
      </c>
      <c r="H500" s="3">
        <f t="shared" si="63"/>
        <v>4.1333591745406455</v>
      </c>
      <c r="I500">
        <f t="shared" si="64"/>
        <v>221691229832.26187</v>
      </c>
      <c r="J500" s="6"/>
      <c r="K500" s="6"/>
      <c r="L500" s="6"/>
      <c r="M500" s="6"/>
      <c r="N500" s="6"/>
      <c r="O500" s="6"/>
      <c r="P500" s="6"/>
      <c r="Q500" s="6"/>
      <c r="R500" s="6"/>
      <c r="S500" s="6"/>
    </row>
    <row r="501" spans="6:19">
      <c r="F501" s="5">
        <f t="shared" si="61"/>
        <v>7.3351677075020308E-11</v>
      </c>
      <c r="G501" s="4">
        <f t="shared" si="62"/>
        <v>54975505631.765388</v>
      </c>
      <c r="H501" s="3">
        <f t="shared" si="63"/>
        <v>4.0325455361372153</v>
      </c>
      <c r="I501">
        <f t="shared" si="64"/>
        <v>221691229832.26187</v>
      </c>
      <c r="J501" s="6"/>
      <c r="K501" s="6"/>
      <c r="L501" s="6"/>
      <c r="M501" s="6"/>
      <c r="N501" s="6"/>
      <c r="O501" s="6"/>
      <c r="P501" s="6"/>
      <c r="Q501" s="6"/>
      <c r="R501" s="6"/>
      <c r="S501" s="6"/>
    </row>
    <row r="502" spans="6:19">
      <c r="F502" s="5">
        <f t="shared" si="61"/>
        <v>6.9817182224885502E-11</v>
      </c>
      <c r="G502" s="4">
        <f t="shared" si="62"/>
        <v>56349893272.559517</v>
      </c>
      <c r="H502" s="3">
        <f t="shared" si="63"/>
        <v>3.9341907669631375</v>
      </c>
      <c r="I502">
        <f t="shared" si="64"/>
        <v>221691229832.26187</v>
      </c>
      <c r="J502" s="6"/>
      <c r="K502" s="6"/>
      <c r="L502" s="6"/>
      <c r="M502" s="6"/>
      <c r="N502" s="6"/>
      <c r="O502" s="6"/>
      <c r="P502" s="6"/>
      <c r="Q502" s="6"/>
      <c r="R502" s="6"/>
      <c r="S502" s="6"/>
    </row>
    <row r="503" spans="6:19">
      <c r="F503" s="5">
        <f t="shared" si="61"/>
        <v>6.6452999143258085E-11</v>
      </c>
      <c r="G503" s="4">
        <f t="shared" si="62"/>
        <v>57758640604.373497</v>
      </c>
      <c r="H503" s="3">
        <f t="shared" si="63"/>
        <v>3.8382348945981835</v>
      </c>
      <c r="I503">
        <f t="shared" si="64"/>
        <v>221691229832.26187</v>
      </c>
      <c r="J503" s="6"/>
      <c r="K503" s="6"/>
      <c r="L503" s="6"/>
      <c r="M503" s="6"/>
      <c r="N503" s="6"/>
      <c r="O503" s="6"/>
      <c r="P503" s="6"/>
      <c r="Q503" s="6"/>
      <c r="R503" s="6"/>
      <c r="S503" s="6"/>
    </row>
    <row r="504" spans="6:19">
      <c r="F504" s="5">
        <f t="shared" si="61"/>
        <v>6.3250921254737039E-11</v>
      </c>
      <c r="G504" s="4">
        <f t="shared" si="62"/>
        <v>59202606619.482826</v>
      </c>
      <c r="H504" s="3">
        <f t="shared" si="63"/>
        <v>3.7446194093640819</v>
      </c>
      <c r="I504">
        <f t="shared" si="64"/>
        <v>221691229832.26187</v>
      </c>
      <c r="J504" s="6"/>
      <c r="K504" s="6"/>
      <c r="L504" s="6"/>
      <c r="M504" s="6"/>
      <c r="N504" s="6"/>
      <c r="O504" s="6"/>
      <c r="P504" s="6"/>
      <c r="Q504" s="6"/>
      <c r="R504" s="6"/>
      <c r="S504" s="6"/>
    </row>
    <row r="505" spans="6:19">
      <c r="F505" s="5">
        <f t="shared" si="61"/>
        <v>6.0203137422712239E-11</v>
      </c>
      <c r="G505" s="4">
        <f t="shared" si="62"/>
        <v>60682671784.969894</v>
      </c>
      <c r="H505" s="3">
        <f t="shared" si="63"/>
        <v>3.6532872286478848</v>
      </c>
      <c r="I505">
        <f t="shared" si="64"/>
        <v>221691229832.26187</v>
      </c>
      <c r="J505" s="6"/>
      <c r="K505" s="6"/>
      <c r="L505" s="6"/>
      <c r="M505" s="6"/>
      <c r="N505" s="6"/>
      <c r="O505" s="6"/>
      <c r="P505" s="6"/>
      <c r="Q505" s="6"/>
      <c r="R505" s="6"/>
      <c r="S505" s="6"/>
    </row>
    <row r="506" spans="6:19">
      <c r="F506" s="5">
        <f t="shared" si="61"/>
        <v>5.7302212894907546E-11</v>
      </c>
      <c r="G506" s="4">
        <f t="shared" si="62"/>
        <v>62199738579.594139</v>
      </c>
      <c r="H506" s="3">
        <f t="shared" si="63"/>
        <v>3.5641826620954977</v>
      </c>
      <c r="I506">
        <f t="shared" si="64"/>
        <v>221691229832.26187</v>
      </c>
      <c r="J506" s="6"/>
      <c r="K506" s="6"/>
      <c r="L506" s="6"/>
      <c r="M506" s="6"/>
      <c r="N506" s="6"/>
      <c r="O506" s="6"/>
      <c r="P506" s="6"/>
      <c r="Q506" s="6"/>
      <c r="R506" s="6"/>
      <c r="S506" s="6"/>
    </row>
    <row r="507" spans="6:19">
      <c r="F507" s="5">
        <f t="shared" si="61"/>
        <v>5.4541071167074423E-11</v>
      </c>
      <c r="G507" s="4">
        <f t="shared" si="62"/>
        <v>63754732044.083984</v>
      </c>
      <c r="H507" s="3">
        <f t="shared" si="63"/>
        <v>3.4772513776541447</v>
      </c>
      <c r="I507">
        <f t="shared" si="64"/>
        <v>221691229832.26187</v>
      </c>
      <c r="J507" s="6"/>
      <c r="K507" s="6"/>
      <c r="L507" s="6"/>
      <c r="M507" s="6"/>
      <c r="N507" s="6"/>
      <c r="O507" s="6"/>
      <c r="P507" s="6"/>
      <c r="Q507" s="6"/>
      <c r="R507" s="6"/>
      <c r="S507" s="6"/>
    </row>
    <row r="508" spans="6:19">
      <c r="F508" s="5">
        <f t="shared" si="61"/>
        <v>5.1912976720594336E-11</v>
      </c>
      <c r="G508" s="4">
        <f t="shared" si="62"/>
        <v>65348600345.186081</v>
      </c>
      <c r="H508" s="3">
        <f t="shared" si="63"/>
        <v>3.3924403684430682</v>
      </c>
      <c r="I508">
        <f t="shared" si="64"/>
        <v>221691229832.26187</v>
      </c>
      <c r="J508" s="6"/>
      <c r="K508" s="6"/>
      <c r="L508" s="6"/>
      <c r="M508" s="6"/>
      <c r="N508" s="6"/>
      <c r="O508" s="6"/>
      <c r="P508" s="6"/>
      <c r="Q508" s="6"/>
      <c r="R508" s="6"/>
      <c r="S508" s="6"/>
    </row>
    <row r="509" spans="6:19">
      <c r="F509" s="5">
        <f t="shared" si="61"/>
        <v>4.94115185918804E-11</v>
      </c>
      <c r="G509" s="4">
        <f t="shared" si="62"/>
        <v>66982315353.815727</v>
      </c>
      <c r="H509" s="3">
        <f t="shared" si="63"/>
        <v>3.3096979204322619</v>
      </c>
      <c r="I509">
        <f t="shared" si="64"/>
        <v>221691229832.26187</v>
      </c>
      <c r="J509" s="6"/>
      <c r="K509" s="6"/>
      <c r="L509" s="6"/>
      <c r="M509" s="6"/>
      <c r="N509" s="6"/>
      <c r="O509" s="6"/>
      <c r="P509" s="6"/>
      <c r="Q509" s="6"/>
      <c r="R509" s="6"/>
      <c r="S509" s="6"/>
    </row>
    <row r="510" spans="6:19">
      <c r="F510" s="5">
        <f t="shared" si="61"/>
        <v>4.7030594733497114E-11</v>
      </c>
      <c r="G510" s="4">
        <f t="shared" si="62"/>
        <v>68656873237.661118</v>
      </c>
      <c r="H510" s="3">
        <f t="shared" si="63"/>
        <v>3.2289735809095239</v>
      </c>
      <c r="I510">
        <f t="shared" si="64"/>
        <v>221691229832.26187</v>
      </c>
      <c r="J510" s="6"/>
      <c r="K510" s="6"/>
      <c r="L510" s="6"/>
      <c r="M510" s="6"/>
      <c r="N510" s="6"/>
      <c r="O510" s="6"/>
      <c r="P510" s="6"/>
      <c r="Q510" s="6"/>
      <c r="R510" s="6"/>
      <c r="S510" s="6"/>
    </row>
    <row r="511" spans="6:19">
      <c r="F511" s="5">
        <f t="shared" si="61"/>
        <v>4.4764397128849124E-11</v>
      </c>
      <c r="G511" s="4">
        <f t="shared" si="62"/>
        <v>70373295068.602646</v>
      </c>
      <c r="H511" s="3">
        <f t="shared" si="63"/>
        <v>3.1502181277166086</v>
      </c>
      <c r="I511">
        <f t="shared" si="64"/>
        <v>221691229832.26187</v>
      </c>
      <c r="J511" s="6"/>
      <c r="K511" s="6"/>
      <c r="L511" s="6"/>
      <c r="M511" s="6"/>
      <c r="N511" s="6"/>
      <c r="O511" s="6"/>
      <c r="P511" s="6"/>
      <c r="Q511" s="6"/>
      <c r="R511" s="6"/>
      <c r="S511" s="6"/>
    </row>
    <row r="512" spans="6:19">
      <c r="F512" s="5">
        <f t="shared" si="61"/>
        <v>4.2607397624127675E-11</v>
      </c>
      <c r="G512" s="4">
        <f t="shared" si="62"/>
        <v>72132627445.317703</v>
      </c>
      <c r="H512" s="3">
        <f t="shared" si="63"/>
        <v>3.0733835392357163</v>
      </c>
      <c r="I512">
        <f t="shared" si="64"/>
        <v>221691229832.26187</v>
      </c>
      <c r="J512" s="6"/>
      <c r="K512" s="6"/>
      <c r="L512" s="6"/>
      <c r="M512" s="6"/>
      <c r="N512" s="6"/>
      <c r="O512" s="6"/>
      <c r="P512" s="6"/>
      <c r="Q512" s="6"/>
      <c r="R512" s="6"/>
      <c r="S512" s="6"/>
    </row>
    <row r="513" spans="6:19">
      <c r="F513" s="5">
        <f t="shared" si="61"/>
        <v>4.0554334442953175E-11</v>
      </c>
      <c r="G513" s="4">
        <f t="shared" si="62"/>
        <v>73935943131.450638</v>
      </c>
      <c r="H513" s="3">
        <f t="shared" si="63"/>
        <v>2.9984229651080159</v>
      </c>
      <c r="I513">
        <f t="shared" si="64"/>
        <v>221691229832.26187</v>
      </c>
      <c r="J513" s="6"/>
      <c r="K513" s="6"/>
      <c r="L513" s="6"/>
      <c r="M513" s="6"/>
      <c r="N513" s="6"/>
      <c r="O513" s="6"/>
      <c r="P513" s="6"/>
      <c r="Q513" s="6"/>
      <c r="R513" s="6"/>
      <c r="S513" s="6"/>
    </row>
    <row r="514" spans="6:19">
      <c r="F514" s="5">
        <f t="shared" si="61"/>
        <v>3.8600199350818025E-11</v>
      </c>
      <c r="G514" s="4">
        <f t="shared" si="62"/>
        <v>75784341709.736893</v>
      </c>
      <c r="H514" s="3">
        <f t="shared" si="63"/>
        <v>2.9252906976663575</v>
      </c>
      <c r="I514">
        <f t="shared" si="64"/>
        <v>221691229832.26187</v>
      </c>
      <c r="J514" s="6"/>
      <c r="K514" s="6"/>
      <c r="L514" s="6"/>
      <c r="M514" s="6"/>
      <c r="N514" s="6"/>
      <c r="O514" s="6"/>
      <c r="P514" s="6"/>
      <c r="Q514" s="6"/>
      <c r="R514" s="6"/>
      <c r="S514" s="6"/>
    </row>
    <row r="515" spans="6:19">
      <c r="F515" s="5">
        <f t="shared" si="61"/>
        <v>3.674022543801836E-11</v>
      </c>
      <c r="G515" s="4">
        <f t="shared" si="62"/>
        <v>77678950252.480301</v>
      </c>
      <c r="H515" s="3">
        <f t="shared" si="63"/>
        <v>2.8539421440647397</v>
      </c>
      <c r="I515">
        <f t="shared" si="64"/>
        <v>221691229832.26187</v>
      </c>
      <c r="J515" s="6"/>
      <c r="K515" s="6"/>
      <c r="L515" s="6"/>
      <c r="M515" s="6"/>
      <c r="N515" s="6"/>
      <c r="O515" s="6"/>
      <c r="P515" s="6"/>
      <c r="Q515" s="6"/>
      <c r="R515" s="6"/>
      <c r="S515" s="6"/>
    </row>
    <row r="516" spans="6:19">
      <c r="F516" s="5">
        <f t="shared" si="61"/>
        <v>3.4969875491272688E-11</v>
      </c>
      <c r="G516" s="4">
        <f t="shared" si="62"/>
        <v>79620924008.792297</v>
      </c>
      <c r="H516" s="3">
        <f t="shared" si="63"/>
        <v>2.784333799087551</v>
      </c>
      <c r="I516">
        <f t="shared" si="64"/>
        <v>221691229832.26187</v>
      </c>
      <c r="J516" s="6"/>
      <c r="K516" s="6"/>
      <c r="L516" s="6"/>
      <c r="M516" s="6"/>
      <c r="N516" s="6"/>
      <c r="O516" s="6"/>
      <c r="P516" s="6"/>
      <c r="Q516" s="6"/>
      <c r="R516" s="6"/>
      <c r="S516" s="6"/>
    </row>
    <row r="517" spans="6:19">
      <c r="F517" s="5">
        <f t="shared" si="61"/>
        <v>3.3284830925661101E-11</v>
      </c>
      <c r="G517" s="4">
        <f t="shared" si="62"/>
        <v>81611447109.0121</v>
      </c>
      <c r="H517" s="3">
        <f t="shared" si="63"/>
        <v>2.7164232186220012</v>
      </c>
      <c r="I517">
        <f t="shared" si="64"/>
        <v>221691229832.26187</v>
      </c>
      <c r="J517" s="6"/>
      <c r="K517" s="6"/>
      <c r="L517" s="6"/>
      <c r="M517" s="6"/>
      <c r="N517" s="6"/>
      <c r="O517" s="6"/>
      <c r="P517" s="6"/>
      <c r="Q517" s="6"/>
      <c r="R517" s="6"/>
      <c r="S517" s="6"/>
    </row>
    <row r="518" spans="6:19">
      <c r="F518" s="5">
        <f t="shared" si="61"/>
        <v>3.1680981249885646E-11</v>
      </c>
      <c r="G518" s="4">
        <f t="shared" si="62"/>
        <v>83651733286.737396</v>
      </c>
      <c r="H518" s="3">
        <f t="shared" si="63"/>
        <v>2.6501689937775623</v>
      </c>
      <c r="I518">
        <f t="shared" si="64"/>
        <v>221691229832.26187</v>
      </c>
      <c r="J518" s="6"/>
      <c r="K518" s="6"/>
      <c r="L518" s="6"/>
      <c r="M518" s="6"/>
      <c r="N518" s="6"/>
      <c r="O518" s="6"/>
      <c r="P518" s="6"/>
      <c r="Q518" s="6"/>
      <c r="R518" s="6"/>
      <c r="S518" s="6"/>
    </row>
    <row r="519" spans="6:19">
      <c r="F519" s="5">
        <f t="shared" si="61"/>
        <v>3.0154414039153505E-11</v>
      </c>
      <c r="G519" s="4">
        <f t="shared" si="62"/>
        <v>85743026618.905823</v>
      </c>
      <c r="H519" s="3">
        <f t="shared" si="63"/>
        <v>2.5855307256366467</v>
      </c>
      <c r="I519">
        <f t="shared" si="64"/>
        <v>221691229832.26187</v>
      </c>
      <c r="J519" s="6"/>
      <c r="K519" s="6"/>
      <c r="L519" s="6"/>
      <c r="M519" s="6"/>
      <c r="N519" s="6"/>
      <c r="O519" s="6"/>
      <c r="P519" s="6"/>
      <c r="Q519" s="6"/>
      <c r="R519" s="6"/>
      <c r="S519" s="6"/>
    </row>
    <row r="520" spans="6:19">
      <c r="F520" s="5">
        <f t="shared" si="61"/>
        <v>2.8701405391222853E-11</v>
      </c>
      <c r="G520" s="4">
        <f t="shared" si="62"/>
        <v>87886602284.378464</v>
      </c>
      <c r="H520" s="3">
        <f t="shared" si="63"/>
        <v>2.5224690006211188</v>
      </c>
      <c r="I520">
        <f t="shared" si="64"/>
        <v>221691229832.26187</v>
      </c>
      <c r="J520" s="6"/>
      <c r="K520" s="6"/>
      <c r="L520" s="6"/>
      <c r="M520" s="6"/>
      <c r="N520" s="6"/>
      <c r="O520" s="6"/>
      <c r="P520" s="6"/>
      <c r="Q520" s="6"/>
      <c r="R520" s="6"/>
      <c r="S520" s="6"/>
    </row>
    <row r="521" spans="6:19">
      <c r="F521" s="5">
        <f t="shared" ref="F521:F584" si="65">H521/G521</f>
        <v>2.7318410842329907E-11</v>
      </c>
      <c r="G521" s="4">
        <f t="shared" si="62"/>
        <v>90083767341.487915</v>
      </c>
      <c r="H521" s="3">
        <f t="shared" si="63"/>
        <v>2.4609453664596281</v>
      </c>
      <c r="I521">
        <f t="shared" si="64"/>
        <v>221691229832.26187</v>
      </c>
      <c r="J521" s="6"/>
      <c r="K521" s="6"/>
      <c r="L521" s="6"/>
      <c r="M521" s="6"/>
      <c r="N521" s="6"/>
      <c r="O521" s="6"/>
      <c r="P521" s="6"/>
      <c r="Q521" s="6"/>
      <c r="R521" s="6"/>
      <c r="S521" s="6"/>
    </row>
    <row r="522" spans="6:19">
      <c r="F522" s="5">
        <f t="shared" si="65"/>
        <v>2.6002056720837515E-11</v>
      </c>
      <c r="G522" s="4">
        <f t="shared" si="62"/>
        <v>92335861525.025101</v>
      </c>
      <c r="H522" s="3">
        <f t="shared" si="63"/>
        <v>2.4009223087411011</v>
      </c>
      <c r="I522">
        <f t="shared" si="64"/>
        <v>221691229832.26187</v>
      </c>
      <c r="J522" s="6"/>
      <c r="K522" s="6"/>
      <c r="L522" s="6"/>
      <c r="M522" s="6"/>
      <c r="N522" s="6"/>
      <c r="O522" s="6"/>
      <c r="P522" s="6"/>
      <c r="Q522" s="6"/>
      <c r="R522" s="6"/>
      <c r="S522" s="6"/>
    </row>
    <row r="523" spans="6:19">
      <c r="F523" s="5">
        <f t="shared" si="65"/>
        <v>2.4749131917513399E-11</v>
      </c>
      <c r="G523" s="4">
        <f t="shared" si="62"/>
        <v>94644258063.150726</v>
      </c>
      <c r="H523" s="3">
        <f t="shared" si="63"/>
        <v>2.3423632280400986</v>
      </c>
      <c r="I523">
        <f t="shared" si="64"/>
        <v>221691229832.26187</v>
      </c>
      <c r="J523" s="6"/>
      <c r="K523" s="6"/>
      <c r="L523" s="6"/>
      <c r="M523" s="6"/>
      <c r="N523" s="6"/>
      <c r="O523" s="6"/>
      <c r="P523" s="6"/>
      <c r="Q523" s="6"/>
      <c r="R523" s="6"/>
      <c r="S523" s="6"/>
    </row>
    <row r="524" spans="6:19">
      <c r="F524" s="5">
        <f t="shared" si="65"/>
        <v>2.355658005236255E-11</v>
      </c>
      <c r="G524" s="4">
        <f t="shared" si="62"/>
        <v>97010364514.729492</v>
      </c>
      <c r="H524" s="3">
        <f t="shared" si="63"/>
        <v>2.2852324176000964</v>
      </c>
      <c r="I524">
        <f t="shared" si="64"/>
        <v>221691229832.26187</v>
      </c>
      <c r="J524" s="6"/>
      <c r="K524" s="6"/>
      <c r="L524" s="6"/>
      <c r="M524" s="6"/>
      <c r="N524" s="6"/>
      <c r="O524" s="6"/>
      <c r="P524" s="6"/>
      <c r="Q524" s="6"/>
      <c r="R524" s="6"/>
      <c r="S524" s="6"/>
    </row>
    <row r="525" spans="6:19">
      <c r="F525" s="5">
        <f t="shared" si="65"/>
        <v>2.2421492018905462E-11</v>
      </c>
      <c r="G525" s="4">
        <f t="shared" si="62"/>
        <v>99435623627.597717</v>
      </c>
      <c r="H525" s="3">
        <f t="shared" si="63"/>
        <v>2.2294950415610697</v>
      </c>
      <c r="I525">
        <f t="shared" si="64"/>
        <v>221691229832.26187</v>
      </c>
      <c r="J525" s="6"/>
      <c r="K525" s="6"/>
      <c r="L525" s="6"/>
      <c r="M525" s="6"/>
      <c r="N525" s="6"/>
      <c r="O525" s="6"/>
      <c r="P525" s="6"/>
      <c r="Q525" s="6"/>
      <c r="R525" s="6"/>
      <c r="S525" s="6"/>
    </row>
    <row r="526" spans="6:19">
      <c r="F526" s="5">
        <f t="shared" si="65"/>
        <v>2.1341098887714896E-11</v>
      </c>
      <c r="G526" s="4">
        <f t="shared" si="62"/>
        <v>101921514218.28766</v>
      </c>
      <c r="H526" s="3">
        <f t="shared" si="63"/>
        <v>2.1751171137181169</v>
      </c>
      <c r="I526">
        <f t="shared" si="64"/>
        <v>221691229832.26187</v>
      </c>
      <c r="J526" s="6"/>
      <c r="K526" s="6"/>
      <c r="L526" s="6"/>
      <c r="M526" s="6"/>
      <c r="N526" s="6"/>
      <c r="O526" s="6"/>
      <c r="P526" s="6"/>
      <c r="Q526" s="6"/>
      <c r="R526" s="6"/>
      <c r="S526" s="6"/>
    </row>
    <row r="527" spans="6:19">
      <c r="F527" s="5">
        <f t="shared" si="65"/>
        <v>2.0312765151899963E-11</v>
      </c>
      <c r="G527" s="4">
        <f t="shared" si="62"/>
        <v>104469552073.74484</v>
      </c>
      <c r="H527" s="3">
        <f t="shared" si="63"/>
        <v>2.1220654767981628</v>
      </c>
      <c r="I527">
        <f t="shared" si="64"/>
        <v>221691229832.26187</v>
      </c>
      <c r="J527" s="6"/>
      <c r="K527" s="6"/>
      <c r="L527" s="6"/>
      <c r="M527" s="6"/>
      <c r="N527" s="6"/>
      <c r="O527" s="6"/>
      <c r="P527" s="6"/>
      <c r="Q527" s="6"/>
      <c r="R527" s="6"/>
      <c r="S527" s="6"/>
    </row>
    <row r="528" spans="6:19">
      <c r="F528" s="5">
        <f t="shared" si="65"/>
        <v>1.9333982298060647E-11</v>
      </c>
      <c r="G528" s="4">
        <f t="shared" si="62"/>
        <v>107081290875.58846</v>
      </c>
      <c r="H528" s="3">
        <f t="shared" si="63"/>
        <v>2.0703077822421103</v>
      </c>
      <c r="I528">
        <f t="shared" si="64"/>
        <v>221691229832.26187</v>
      </c>
      <c r="J528" s="6"/>
      <c r="K528" s="6"/>
      <c r="L528" s="6"/>
      <c r="M528" s="6"/>
      <c r="N528" s="6"/>
      <c r="O528" s="6"/>
      <c r="P528" s="6"/>
      <c r="Q528" s="6"/>
      <c r="R528" s="6"/>
      <c r="S528" s="6"/>
    </row>
    <row r="529" spans="6:19">
      <c r="F529" s="5">
        <f t="shared" si="65"/>
        <v>1.8402362687029765E-11</v>
      </c>
      <c r="G529" s="4">
        <f t="shared" si="62"/>
        <v>109758323147.47816</v>
      </c>
      <c r="H529" s="3">
        <f t="shared" si="63"/>
        <v>2.0198124704801077</v>
      </c>
      <c r="I529">
        <f t="shared" si="64"/>
        <v>221691229832.26187</v>
      </c>
      <c r="J529" s="6"/>
      <c r="K529" s="6"/>
      <c r="L529" s="6"/>
      <c r="M529" s="6"/>
      <c r="N529" s="6"/>
      <c r="O529" s="6"/>
      <c r="P529" s="6"/>
      <c r="Q529" s="6"/>
      <c r="R529" s="6"/>
      <c r="S529" s="6"/>
    </row>
    <row r="530" spans="6:19">
      <c r="F530" s="5">
        <f t="shared" si="65"/>
        <v>1.7515633729475093E-11</v>
      </c>
      <c r="G530" s="4">
        <f t="shared" si="62"/>
        <v>112502281226.16512</v>
      </c>
      <c r="H530" s="3">
        <f t="shared" si="63"/>
        <v>1.9705487516879101</v>
      </c>
      <c r="I530">
        <f t="shared" si="64"/>
        <v>221691229832.26187</v>
      </c>
      <c r="J530" s="6"/>
      <c r="K530" s="6"/>
      <c r="L530" s="6"/>
      <c r="M530" s="6"/>
      <c r="N530" s="6"/>
      <c r="O530" s="6"/>
      <c r="P530" s="6"/>
      <c r="Q530" s="6"/>
      <c r="R530" s="6"/>
      <c r="S530" s="6"/>
    </row>
    <row r="531" spans="6:19">
      <c r="F531" s="5">
        <f t="shared" si="65"/>
        <v>1.6671632342153571E-11</v>
      </c>
      <c r="G531" s="4">
        <f t="shared" si="62"/>
        <v>115314838256.81923</v>
      </c>
      <c r="H531" s="3">
        <f t="shared" si="63"/>
        <v>1.9224865870125953</v>
      </c>
      <c r="I531">
        <f t="shared" si="64"/>
        <v>221691229832.26187</v>
      </c>
      <c r="J531" s="6"/>
      <c r="K531" s="6"/>
      <c r="L531" s="6"/>
      <c r="M531" s="6"/>
      <c r="N531" s="6"/>
      <c r="O531" s="6"/>
      <c r="P531" s="6"/>
      <c r="Q531" s="6"/>
      <c r="R531" s="6"/>
      <c r="S531" s="6"/>
    </row>
    <row r="532" spans="6:19">
      <c r="F532" s="5">
        <f t="shared" si="65"/>
        <v>1.5868299671294299E-11</v>
      </c>
      <c r="G532" s="4">
        <f t="shared" si="62"/>
        <v>118197709213.2397</v>
      </c>
      <c r="H532" s="3">
        <f t="shared" si="63"/>
        <v>1.8755966702561908</v>
      </c>
      <c r="I532">
        <f t="shared" si="64"/>
        <v>221691229832.26187</v>
      </c>
      <c r="J532" s="6"/>
      <c r="K532" s="6"/>
      <c r="L532" s="6"/>
      <c r="M532" s="6"/>
      <c r="N532" s="6"/>
      <c r="O532" s="6"/>
      <c r="P532" s="6"/>
      <c r="Q532" s="6"/>
      <c r="R532" s="6"/>
      <c r="S532" s="6"/>
    </row>
    <row r="533" spans="6:19">
      <c r="F533" s="5">
        <f t="shared" si="65"/>
        <v>1.5103676070238482E-11</v>
      </c>
      <c r="G533" s="4">
        <f t="shared" si="62"/>
        <v>121152651943.57068</v>
      </c>
      <c r="H533" s="3">
        <f t="shared" si="63"/>
        <v>1.82985041000604</v>
      </c>
      <c r="I533">
        <f t="shared" si="64"/>
        <v>221691229832.26187</v>
      </c>
      <c r="J533" s="6"/>
      <c r="K533" s="6"/>
      <c r="L533" s="6"/>
      <c r="M533" s="6"/>
      <c r="N533" s="6"/>
      <c r="O533" s="6"/>
      <c r="P533" s="6"/>
      <c r="Q533" s="6"/>
      <c r="R533" s="6"/>
      <c r="S533" s="6"/>
    </row>
    <row r="534" spans="6:19">
      <c r="F534" s="5">
        <f t="shared" si="65"/>
        <v>1.4375896319084815E-11</v>
      </c>
      <c r="G534" s="4">
        <f t="shared" si="62"/>
        <v>124181468242.15993</v>
      </c>
      <c r="H534" s="3">
        <f t="shared" si="63"/>
        <v>1.7852199122010148</v>
      </c>
      <c r="I534">
        <f t="shared" si="64"/>
        <v>221691229832.26187</v>
      </c>
      <c r="J534" s="6"/>
      <c r="K534" s="6"/>
      <c r="L534" s="6"/>
      <c r="M534" s="6"/>
      <c r="N534" s="6"/>
      <c r="O534" s="6"/>
      <c r="P534" s="6"/>
      <c r="Q534" s="6"/>
      <c r="R534" s="6"/>
      <c r="S534" s="6"/>
    </row>
    <row r="535" spans="6:19">
      <c r="F535" s="5">
        <f t="shared" si="65"/>
        <v>1.3683185074679186E-11</v>
      </c>
      <c r="G535" s="4">
        <f t="shared" si="62"/>
        <v>127286004948.21391</v>
      </c>
      <c r="H535" s="3">
        <f t="shared" si="63"/>
        <v>1.7416779631229415</v>
      </c>
      <c r="I535">
        <f t="shared" si="64"/>
        <v>221691229832.26187</v>
      </c>
      <c r="J535" s="6"/>
      <c r="K535" s="6"/>
      <c r="L535" s="6"/>
      <c r="M535" s="6"/>
      <c r="N535" s="6"/>
      <c r="O535" s="6"/>
      <c r="P535" s="6"/>
      <c r="Q535" s="6"/>
      <c r="R535" s="6"/>
      <c r="S535" s="6"/>
    </row>
    <row r="536" spans="6:19">
      <c r="F536" s="5">
        <f t="shared" si="65"/>
        <v>1.3023852539849316E-11</v>
      </c>
      <c r="G536" s="4">
        <f t="shared" si="62"/>
        <v>130468155071.91925</v>
      </c>
      <c r="H536" s="3">
        <f t="shared" si="63"/>
        <v>1.6991980128028699</v>
      </c>
      <c r="I536">
        <f t="shared" si="64"/>
        <v>221691229832.26187</v>
      </c>
      <c r="J536" s="6"/>
      <c r="K536" s="6"/>
      <c r="L536" s="6"/>
      <c r="M536" s="6"/>
      <c r="N536" s="6"/>
      <c r="O536" s="6"/>
      <c r="P536" s="6"/>
      <c r="Q536" s="6"/>
      <c r="R536" s="6"/>
      <c r="S536" s="6"/>
    </row>
    <row r="537" spans="6:19">
      <c r="F537" s="5">
        <f t="shared" si="65"/>
        <v>1.2396290341319993E-11</v>
      </c>
      <c r="G537" s="4">
        <f t="shared" si="62"/>
        <v>133729858948.71722</v>
      </c>
      <c r="H537" s="3">
        <f t="shared" si="63"/>
        <v>1.6577541588320683</v>
      </c>
      <c r="I537">
        <f t="shared" si="64"/>
        <v>221691229832.26187</v>
      </c>
      <c r="J537" s="6"/>
      <c r="K537" s="6"/>
      <c r="L537" s="6"/>
      <c r="M537" s="6"/>
      <c r="N537" s="6"/>
      <c r="O537" s="6"/>
      <c r="P537" s="6"/>
      <c r="Q537" s="6"/>
      <c r="R537" s="6"/>
      <c r="S537" s="6"/>
    </row>
    <row r="538" spans="6:19">
      <c r="F538" s="5">
        <f t="shared" si="65"/>
        <v>1.1798967606253415E-11</v>
      </c>
      <c r="G538" s="4">
        <f t="shared" si="62"/>
        <v>137073105422.43515</v>
      </c>
      <c r="H538" s="3">
        <f t="shared" si="63"/>
        <v>1.6173211305678716</v>
      </c>
      <c r="I538">
        <f t="shared" si="64"/>
        <v>221691229832.26187</v>
      </c>
      <c r="J538" s="6"/>
      <c r="K538" s="6"/>
      <c r="L538" s="6"/>
      <c r="M538" s="6"/>
      <c r="N538" s="6"/>
      <c r="O538" s="6"/>
      <c r="P538" s="6"/>
      <c r="Q538" s="6"/>
      <c r="R538" s="6"/>
      <c r="S538" s="6"/>
    </row>
    <row r="539" spans="6:19">
      <c r="F539" s="5">
        <f t="shared" si="65"/>
        <v>1.1230427227843826E-11</v>
      </c>
      <c r="G539" s="4">
        <f t="shared" si="62"/>
        <v>140499933057.996</v>
      </c>
      <c r="H539" s="3">
        <f t="shared" si="63"/>
        <v>1.5778742737247531</v>
      </c>
      <c r="I539">
        <f t="shared" si="64"/>
        <v>221691229832.26187</v>
      </c>
      <c r="J539" s="6"/>
      <c r="K539" s="6"/>
      <c r="L539" s="6"/>
      <c r="M539" s="6"/>
      <c r="N539" s="6"/>
      <c r="O539" s="6"/>
      <c r="P539" s="6"/>
      <c r="Q539" s="6"/>
      <c r="R539" s="6"/>
      <c r="S539" s="6"/>
    </row>
    <row r="540" spans="6:19">
      <c r="F540" s="5">
        <f t="shared" si="65"/>
        <v>1.0689282310856705E-11</v>
      </c>
      <c r="G540" s="4">
        <f t="shared" si="62"/>
        <v>144012431384.44589</v>
      </c>
      <c r="H540" s="3">
        <f t="shared" si="63"/>
        <v>1.5393895353412226</v>
      </c>
      <c r="I540">
        <f t="shared" si="64"/>
        <v>221691229832.26187</v>
      </c>
      <c r="J540" s="6"/>
      <c r="K540" s="6"/>
      <c r="L540" s="6"/>
      <c r="M540" s="6"/>
      <c r="N540" s="6"/>
      <c r="O540" s="6"/>
      <c r="P540" s="6"/>
      <c r="Q540" s="6"/>
      <c r="R540" s="6"/>
      <c r="S540" s="6"/>
    </row>
    <row r="541" spans="6:19">
      <c r="F541" s="5">
        <f t="shared" si="65"/>
        <v>1.0174212788441839E-11</v>
      </c>
      <c r="G541" s="4">
        <f t="shared" si="62"/>
        <v>147612742169.05704</v>
      </c>
      <c r="H541" s="3">
        <f t="shared" si="63"/>
        <v>1.5018434491133881</v>
      </c>
      <c r="I541">
        <f t="shared" si="64"/>
        <v>221691229832.26187</v>
      </c>
      <c r="J541" s="6"/>
      <c r="K541" s="6"/>
      <c r="L541" s="6"/>
      <c r="M541" s="6"/>
      <c r="N541" s="6"/>
      <c r="O541" s="6"/>
      <c r="P541" s="6"/>
      <c r="Q541" s="6"/>
      <c r="R541" s="6"/>
      <c r="S541" s="6"/>
    </row>
    <row r="542" spans="6:19">
      <c r="F542" s="5">
        <f t="shared" si="65"/>
        <v>9.6839622019672491E-12</v>
      </c>
      <c r="G542" s="4">
        <f t="shared" si="62"/>
        <v>151303060723.28345</v>
      </c>
      <c r="H542" s="3">
        <f t="shared" si="63"/>
        <v>1.4652131210862323</v>
      </c>
      <c r="I542">
        <f t="shared" si="64"/>
        <v>221691229832.26187</v>
      </c>
      <c r="J542" s="6"/>
      <c r="K542" s="6"/>
      <c r="L542" s="6"/>
      <c r="M542" s="6"/>
      <c r="N542" s="6"/>
      <c r="O542" s="6"/>
      <c r="P542" s="6"/>
      <c r="Q542" s="6"/>
      <c r="R542" s="6"/>
      <c r="S542" s="6"/>
    </row>
    <row r="543" spans="6:19">
      <c r="F543" s="5">
        <f t="shared" si="65"/>
        <v>9.2173346360188003E-12</v>
      </c>
      <c r="G543" s="4">
        <f t="shared" si="62"/>
        <v>155085637241.36551</v>
      </c>
      <c r="H543" s="3">
        <f t="shared" si="63"/>
        <v>1.4294762156938854</v>
      </c>
      <c r="I543">
        <f t="shared" si="64"/>
        <v>221691229832.26187</v>
      </c>
      <c r="J543" s="6"/>
      <c r="K543" s="6"/>
      <c r="L543" s="6"/>
      <c r="M543" s="6"/>
      <c r="N543" s="6"/>
      <c r="O543" s="6"/>
      <c r="P543" s="6"/>
      <c r="Q543" s="6"/>
      <c r="R543" s="6"/>
      <c r="S543" s="6"/>
    </row>
    <row r="544" spans="6:19">
      <c r="F544" s="5">
        <f t="shared" si="65"/>
        <v>8.7731918010886876E-12</v>
      </c>
      <c r="G544" s="4">
        <f t="shared" si="62"/>
        <v>158962778172.39963</v>
      </c>
      <c r="H544" s="3">
        <f t="shared" si="63"/>
        <v>1.3946109421403763</v>
      </c>
      <c r="I544">
        <f t="shared" si="64"/>
        <v>221691229832.26187</v>
      </c>
      <c r="J544" s="6"/>
      <c r="K544" s="6"/>
      <c r="L544" s="6"/>
      <c r="M544" s="6"/>
      <c r="N544" s="6"/>
      <c r="O544" s="6"/>
      <c r="P544" s="6"/>
      <c r="Q544" s="6"/>
      <c r="R544" s="6"/>
      <c r="S544" s="6"/>
    </row>
    <row r="545" spans="6:19">
      <c r="F545" s="5">
        <f t="shared" si="65"/>
        <v>8.3504502568363509E-12</v>
      </c>
      <c r="G545" s="4">
        <f t="shared" si="62"/>
        <v>162936847626.70959</v>
      </c>
      <c r="H545" s="3">
        <f t="shared" si="63"/>
        <v>1.3605960411125624</v>
      </c>
      <c r="I545">
        <f t="shared" si="64"/>
        <v>221691229832.26187</v>
      </c>
      <c r="J545" s="6"/>
      <c r="K545" s="6"/>
      <c r="L545" s="6"/>
      <c r="M545" s="6"/>
      <c r="N545" s="6"/>
      <c r="O545" s="6"/>
      <c r="P545" s="6"/>
      <c r="Q545" s="6"/>
      <c r="R545" s="6"/>
      <c r="S545" s="6"/>
    </row>
    <row r="546" spans="6:19">
      <c r="F546" s="5">
        <f t="shared" si="65"/>
        <v>7.9480787691482229E-12</v>
      </c>
      <c r="G546" s="4">
        <f t="shared" si="62"/>
        <v>167010268817.37732</v>
      </c>
      <c r="H546" s="3">
        <f t="shared" si="63"/>
        <v>1.3274107718171342</v>
      </c>
      <c r="I546">
        <f t="shared" si="64"/>
        <v>221691229832.26187</v>
      </c>
      <c r="J546" s="6"/>
      <c r="K546" s="6"/>
      <c r="L546" s="6"/>
      <c r="M546" s="6"/>
      <c r="N546" s="6"/>
      <c r="O546" s="6"/>
      <c r="P546" s="6"/>
      <c r="Q546" s="6"/>
      <c r="R546" s="6"/>
      <c r="S546" s="6"/>
    </row>
    <row r="547" spans="6:19">
      <c r="F547" s="5">
        <f t="shared" si="65"/>
        <v>7.5650957945491727E-12</v>
      </c>
      <c r="G547" s="4">
        <f t="shared" si="62"/>
        <v>171185525537.81174</v>
      </c>
      <c r="H547" s="3">
        <f t="shared" si="63"/>
        <v>1.2950348993337895</v>
      </c>
      <c r="I547">
        <f t="shared" si="64"/>
        <v>221691229832.26187</v>
      </c>
      <c r="J547" s="6"/>
      <c r="K547" s="6"/>
      <c r="L547" s="6"/>
      <c r="M547" s="6"/>
      <c r="N547" s="6"/>
      <c r="O547" s="6"/>
      <c r="P547" s="6"/>
      <c r="Q547" s="6"/>
      <c r="R547" s="6"/>
      <c r="S547" s="6"/>
    </row>
    <row r="548" spans="6:19">
      <c r="F548" s="5">
        <f t="shared" si="65"/>
        <v>7.2005670858290756E-12</v>
      </c>
      <c r="G548" s="4">
        <f t="shared" si="62"/>
        <v>175465163676.25702</v>
      </c>
      <c r="H548" s="3">
        <f t="shared" si="63"/>
        <v>1.2634486822768678</v>
      </c>
      <c r="I548">
        <f t="shared" si="64"/>
        <v>221691229832.26187</v>
      </c>
      <c r="J548" s="6"/>
      <c r="K548" s="6"/>
      <c r="L548" s="6"/>
      <c r="M548" s="6"/>
      <c r="N548" s="6"/>
      <c r="O548" s="6"/>
      <c r="P548" s="6"/>
      <c r="Q548" s="6"/>
      <c r="R548" s="6"/>
      <c r="S548" s="6"/>
    </row>
    <row r="549" spans="6:19">
      <c r="F549" s="5">
        <f t="shared" si="65"/>
        <v>6.8536034130437385E-12</v>
      </c>
      <c r="G549" s="4">
        <f t="shared" si="62"/>
        <v>179851792768.16342</v>
      </c>
      <c r="H549" s="3">
        <f t="shared" si="63"/>
        <v>1.23263286075792</v>
      </c>
      <c r="I549">
        <f t="shared" si="64"/>
        <v>221691229832.26187</v>
      </c>
      <c r="J549" s="6"/>
      <c r="K549" s="6"/>
      <c r="L549" s="6"/>
      <c r="M549" s="6"/>
      <c r="N549" s="6"/>
      <c r="O549" s="6"/>
      <c r="P549" s="6"/>
      <c r="Q549" s="6"/>
      <c r="R549" s="6"/>
      <c r="S549" s="6"/>
    </row>
    <row r="550" spans="6:19">
      <c r="F550" s="5">
        <f t="shared" si="65"/>
        <v>6.5233583943307461E-12</v>
      </c>
      <c r="G550" s="4">
        <f t="shared" si="62"/>
        <v>184348087587.36749</v>
      </c>
      <c r="H550" s="3">
        <f t="shared" si="63"/>
        <v>1.2025686446418733</v>
      </c>
      <c r="I550">
        <f t="shared" si="64"/>
        <v>221691229832.26187</v>
      </c>
      <c r="J550" s="6"/>
      <c r="K550" s="6"/>
      <c r="L550" s="6"/>
      <c r="M550" s="6"/>
      <c r="N550" s="6"/>
      <c r="O550" s="6"/>
      <c r="P550" s="6"/>
      <c r="Q550" s="6"/>
      <c r="R550" s="6"/>
      <c r="S550" s="6"/>
    </row>
    <row r="551" spans="6:19">
      <c r="F551" s="5">
        <f t="shared" si="65"/>
        <v>6.2090264312487774E-12</v>
      </c>
      <c r="G551" s="4">
        <f t="shared" si="62"/>
        <v>188956789777.05167</v>
      </c>
      <c r="H551" s="3">
        <f t="shared" si="63"/>
        <v>1.1732377020896325</v>
      </c>
      <c r="I551">
        <f t="shared" si="64"/>
        <v>221691229832.26187</v>
      </c>
      <c r="J551" s="6"/>
      <c r="K551" s="6"/>
      <c r="L551" s="6"/>
      <c r="M551" s="6"/>
      <c r="N551" s="6"/>
      <c r="O551" s="6"/>
      <c r="P551" s="6"/>
      <c r="Q551" s="6"/>
      <c r="R551" s="6"/>
      <c r="S551" s="6"/>
    </row>
    <row r="552" spans="6:19">
      <c r="F552" s="5">
        <f t="shared" si="65"/>
        <v>5.9098407436038354E-12</v>
      </c>
      <c r="G552" s="4">
        <f t="shared" si="62"/>
        <v>193680709521.47794</v>
      </c>
      <c r="H552" s="3">
        <f t="shared" si="63"/>
        <v>1.1446221483801295</v>
      </c>
      <c r="I552">
        <f t="shared" si="64"/>
        <v>221691229832.26187</v>
      </c>
      <c r="J552" s="6"/>
      <c r="K552" s="6"/>
      <c r="L552" s="6"/>
      <c r="M552" s="6"/>
      <c r="N552" s="6"/>
      <c r="O552" s="6"/>
      <c r="P552" s="6"/>
      <c r="Q552" s="6"/>
      <c r="R552" s="6"/>
      <c r="S552" s="6"/>
    </row>
    <row r="553" spans="6:19">
      <c r="F553" s="5">
        <f t="shared" si="65"/>
        <v>5.6250714989685527E-12</v>
      </c>
      <c r="G553" s="4">
        <f t="shared" si="62"/>
        <v>198522727259.51486</v>
      </c>
      <c r="H553" s="3">
        <f t="shared" si="63"/>
        <v>1.1167045350050044</v>
      </c>
      <c r="I553">
        <f t="shared" si="64"/>
        <v>221691229832.26187</v>
      </c>
      <c r="J553" s="6"/>
      <c r="K553" s="6"/>
      <c r="L553" s="6"/>
      <c r="M553" s="6"/>
      <c r="N553" s="6"/>
      <c r="O553" s="6"/>
      <c r="P553" s="6"/>
      <c r="Q553" s="6"/>
      <c r="R553" s="6"/>
      <c r="S553" s="6"/>
    </row>
    <row r="554" spans="6:19">
      <c r="F554" s="5">
        <f t="shared" si="65"/>
        <v>5.3540240323317583E-12</v>
      </c>
      <c r="G554" s="4">
        <f t="shared" si="62"/>
        <v>203485795441.00272</v>
      </c>
      <c r="H554" s="3">
        <f t="shared" si="63"/>
        <v>1.0894678390292727</v>
      </c>
      <c r="I554">
        <f t="shared" si="64"/>
        <v>221691229832.26187</v>
      </c>
      <c r="J554" s="6"/>
      <c r="K554" s="6"/>
      <c r="L554" s="6"/>
      <c r="M554" s="6"/>
      <c r="N554" s="6"/>
      <c r="O554" s="6"/>
      <c r="P554" s="6"/>
      <c r="Q554" s="6"/>
      <c r="R554" s="6"/>
      <c r="S554" s="6"/>
    </row>
    <row r="555" spans="6:19">
      <c r="F555" s="5">
        <f t="shared" si="65"/>
        <v>5.0960371515352857E-12</v>
      </c>
      <c r="G555" s="4">
        <f t="shared" si="62"/>
        <v>208572940327.02777</v>
      </c>
      <c r="H555" s="3">
        <f t="shared" si="63"/>
        <v>1.0628954527114858</v>
      </c>
      <c r="I555">
        <f t="shared" si="64"/>
        <v>221691229832.26187</v>
      </c>
      <c r="J555" s="6"/>
      <c r="K555" s="6"/>
      <c r="L555" s="6"/>
      <c r="M555" s="6"/>
      <c r="N555" s="6"/>
      <c r="O555" s="6"/>
      <c r="P555" s="6"/>
      <c r="Q555" s="6"/>
      <c r="R555" s="6"/>
      <c r="S555" s="6"/>
    </row>
    <row r="556" spans="6:19">
      <c r="F556" s="5">
        <f t="shared" si="65"/>
        <v>4.8504815243643414E-12</v>
      </c>
      <c r="G556" s="4">
        <f t="shared" si="62"/>
        <v>213787263835.20346</v>
      </c>
      <c r="H556" s="3">
        <f t="shared" si="63"/>
        <v>1.0369711733770592</v>
      </c>
      <c r="I556">
        <f t="shared" si="64"/>
        <v>221691229832.26187</v>
      </c>
      <c r="J556" s="6"/>
      <c r="K556" s="6"/>
      <c r="L556" s="6"/>
      <c r="M556" s="6"/>
      <c r="N556" s="6"/>
      <c r="O556" s="6"/>
      <c r="P556" s="6"/>
      <c r="Q556" s="6"/>
      <c r="R556" s="6"/>
      <c r="S556" s="6"/>
    </row>
    <row r="557" spans="6:19">
      <c r="F557" s="5">
        <f t="shared" si="65"/>
        <v>4.6167581433568991E-12</v>
      </c>
      <c r="G557" s="4">
        <f t="shared" si="62"/>
        <v>219131945431.08353</v>
      </c>
      <c r="H557" s="3">
        <f t="shared" si="63"/>
        <v>1.0116791935385945</v>
      </c>
      <c r="I557">
        <f t="shared" si="64"/>
        <v>221691229832.26187</v>
      </c>
      <c r="J557" s="6"/>
      <c r="K557" s="6"/>
      <c r="L557" s="6"/>
      <c r="M557" s="6"/>
      <c r="N557" s="6"/>
      <c r="O557" s="6"/>
      <c r="P557" s="6"/>
      <c r="Q557" s="6"/>
      <c r="R557" s="6"/>
      <c r="S557" s="6"/>
    </row>
    <row r="558" spans="6:19">
      <c r="F558" s="5">
        <f t="shared" si="65"/>
        <v>4.3942968645871736E-12</v>
      </c>
      <c r="G558" s="4">
        <f t="shared" si="62"/>
        <v>224610244066.8606</v>
      </c>
      <c r="H558" s="3">
        <f t="shared" si="63"/>
        <v>0.98700409125716537</v>
      </c>
      <c r="I558">
        <f t="shared" si="64"/>
        <v>221691229832.26187</v>
      </c>
      <c r="J558" s="6"/>
      <c r="K558" s="6"/>
      <c r="L558" s="6"/>
      <c r="M558" s="6"/>
      <c r="N558" s="6"/>
      <c r="O558" s="6"/>
      <c r="P558" s="6"/>
      <c r="Q558" s="6"/>
      <c r="R558" s="6"/>
      <c r="S558" s="6"/>
    </row>
    <row r="559" spans="6:19">
      <c r="F559" s="5">
        <f t="shared" si="65"/>
        <v>4.1825550168587021E-12</v>
      </c>
      <c r="G559" s="4">
        <f t="shared" si="62"/>
        <v>230225500168.5321</v>
      </c>
      <c r="H559" s="3">
        <f t="shared" si="63"/>
        <v>0.96293082073869796</v>
      </c>
      <c r="I559">
        <f t="shared" si="64"/>
        <v>221691229832.26187</v>
      </c>
      <c r="J559" s="6"/>
      <c r="K559" s="6"/>
      <c r="L559" s="6"/>
      <c r="M559" s="6"/>
      <c r="N559" s="6"/>
      <c r="O559" s="6"/>
      <c r="P559" s="6"/>
      <c r="Q559" s="6"/>
      <c r="R559" s="6"/>
      <c r="S559" s="6"/>
    </row>
    <row r="560" spans="6:19">
      <c r="F560" s="5">
        <f t="shared" si="65"/>
        <v>3.9810160779142919E-12</v>
      </c>
      <c r="G560" s="4">
        <f t="shared" si="62"/>
        <v>235981137672.74539</v>
      </c>
      <c r="H560" s="3">
        <f t="shared" si="63"/>
        <v>0.93944470315970541</v>
      </c>
      <c r="I560">
        <f t="shared" si="64"/>
        <v>221691229832.26187</v>
      </c>
      <c r="J560" s="6"/>
      <c r="K560" s="6"/>
      <c r="L560" s="6"/>
      <c r="M560" s="6"/>
      <c r="N560" s="6"/>
      <c r="O560" s="6"/>
      <c r="P560" s="6"/>
      <c r="Q560" s="6"/>
      <c r="R560" s="6"/>
      <c r="S560" s="6"/>
    </row>
    <row r="561" spans="6:19">
      <c r="F561" s="5">
        <f t="shared" si="65"/>
        <v>3.7891884144335923E-12</v>
      </c>
      <c r="G561" s="4">
        <f t="shared" ref="G561:G624" si="66">G560*(1+$O$1)</f>
        <v>241880666114.564</v>
      </c>
      <c r="H561" s="3">
        <f t="shared" si="63"/>
        <v>0.91653141771678592</v>
      </c>
      <c r="I561">
        <f t="shared" si="64"/>
        <v>221691229832.26187</v>
      </c>
      <c r="J561" s="6"/>
      <c r="K561" s="6"/>
      <c r="L561" s="6"/>
      <c r="M561" s="6"/>
      <c r="N561" s="6"/>
      <c r="O561" s="6"/>
      <c r="P561" s="6"/>
      <c r="Q561" s="6"/>
      <c r="R561" s="6"/>
      <c r="S561" s="6"/>
    </row>
    <row r="562" spans="6:19">
      <c r="F562" s="5">
        <f t="shared" si="65"/>
        <v>3.6066040827446452E-12</v>
      </c>
      <c r="G562" s="4">
        <f t="shared" si="66"/>
        <v>247927682767.42807</v>
      </c>
      <c r="H562" s="3">
        <f t="shared" ref="H562:H625" si="67">I562/G562</f>
        <v>0.89417699289442532</v>
      </c>
      <c r="I562">
        <f t="shared" ref="I562:I625" si="68">I561</f>
        <v>221691229832.26187</v>
      </c>
      <c r="J562" s="6"/>
      <c r="K562" s="6"/>
      <c r="L562" s="6"/>
      <c r="M562" s="6"/>
      <c r="N562" s="6"/>
      <c r="O562" s="6"/>
      <c r="P562" s="6"/>
      <c r="Q562" s="6"/>
      <c r="R562" s="6"/>
      <c r="S562" s="6"/>
    </row>
    <row r="563" spans="6:19">
      <c r="F563" s="5">
        <f t="shared" si="65"/>
        <v>3.4328176873238749E-12</v>
      </c>
      <c r="G563" s="4">
        <f t="shared" si="66"/>
        <v>254125874836.61374</v>
      </c>
      <c r="H563" s="3">
        <f t="shared" si="67"/>
        <v>0.8723677979457809</v>
      </c>
      <c r="I563">
        <f t="shared" si="68"/>
        <v>221691229832.26187</v>
      </c>
      <c r="J563" s="6"/>
      <c r="K563" s="6"/>
      <c r="L563" s="6"/>
      <c r="M563" s="6"/>
      <c r="N563" s="6"/>
      <c r="O563" s="6"/>
      <c r="P563" s="6"/>
      <c r="Q563" s="6"/>
      <c r="R563" s="6"/>
      <c r="S563" s="6"/>
    </row>
    <row r="564" spans="6:19">
      <c r="F564" s="5">
        <f t="shared" si="65"/>
        <v>3.2674052942999414E-12</v>
      </c>
      <c r="G564" s="4">
        <f t="shared" si="66"/>
        <v>260479021707.52905</v>
      </c>
      <c r="H564" s="3">
        <f t="shared" si="67"/>
        <v>0.85109053458124984</v>
      </c>
      <c r="I564">
        <f t="shared" si="68"/>
        <v>221691229832.26187</v>
      </c>
      <c r="J564" s="6"/>
      <c r="K564" s="6"/>
      <c r="L564" s="6"/>
      <c r="M564" s="6"/>
      <c r="N564" s="6"/>
      <c r="O564" s="6"/>
      <c r="P564" s="6"/>
      <c r="Q564" s="6"/>
      <c r="R564" s="6"/>
      <c r="S564" s="6"/>
    </row>
    <row r="565" spans="6:19">
      <c r="F565" s="5">
        <f t="shared" si="65"/>
        <v>3.109963397311069E-12</v>
      </c>
      <c r="G565" s="4">
        <f t="shared" si="66"/>
        <v>266990997250.21725</v>
      </c>
      <c r="H565" s="3">
        <f t="shared" si="67"/>
        <v>0.83033222885975599</v>
      </c>
      <c r="I565">
        <f t="shared" si="68"/>
        <v>221691229832.26187</v>
      </c>
      <c r="J565" s="6"/>
      <c r="K565" s="6"/>
      <c r="L565" s="6"/>
      <c r="M565" s="6"/>
      <c r="N565" s="6"/>
      <c r="O565" s="6"/>
      <c r="P565" s="6"/>
      <c r="Q565" s="6"/>
      <c r="R565" s="6"/>
      <c r="S565" s="6"/>
    </row>
    <row r="566" spans="6:19">
      <c r="F566" s="5">
        <f t="shared" si="65"/>
        <v>2.9601079331931658E-12</v>
      </c>
      <c r="G566" s="4">
        <f t="shared" si="66"/>
        <v>273665772181.47266</v>
      </c>
      <c r="H566" s="3">
        <f t="shared" si="67"/>
        <v>0.81008022327781082</v>
      </c>
      <c r="I566">
        <f t="shared" si="68"/>
        <v>221691229832.26187</v>
      </c>
      <c r="J566" s="6"/>
      <c r="K566" s="6"/>
      <c r="L566" s="6"/>
      <c r="M566" s="6"/>
      <c r="N566" s="6"/>
      <c r="O566" s="6"/>
      <c r="P566" s="6"/>
      <c r="Q566" s="6"/>
      <c r="R566" s="6"/>
      <c r="S566" s="6"/>
    </row>
    <row r="567" spans="6:19">
      <c r="F567" s="5">
        <f t="shared" si="65"/>
        <v>2.8174733450975998E-12</v>
      </c>
      <c r="G567" s="4">
        <f t="shared" si="66"/>
        <v>280507416486.00946</v>
      </c>
      <c r="H567" s="3">
        <f t="shared" si="67"/>
        <v>0.79032216905152275</v>
      </c>
      <c r="I567">
        <f t="shared" si="68"/>
        <v>221691229832.26187</v>
      </c>
      <c r="J567" s="6"/>
      <c r="K567" s="6"/>
      <c r="L567" s="6"/>
      <c r="M567" s="6"/>
      <c r="N567" s="6"/>
      <c r="O567" s="6"/>
      <c r="P567" s="6"/>
      <c r="Q567" s="6"/>
      <c r="R567" s="6"/>
      <c r="S567" s="6"/>
    </row>
    <row r="568" spans="6:19">
      <c r="F568" s="5">
        <f t="shared" si="65"/>
        <v>2.6817116907532186E-12</v>
      </c>
      <c r="G568" s="4">
        <f t="shared" si="66"/>
        <v>287520101898.15967</v>
      </c>
      <c r="H568" s="3">
        <f t="shared" si="67"/>
        <v>0.77104601858685151</v>
      </c>
      <c r="I568">
        <f t="shared" si="68"/>
        <v>221691229832.26187</v>
      </c>
      <c r="J568" s="6"/>
      <c r="K568" s="6"/>
      <c r="L568" s="6"/>
      <c r="M568" s="6"/>
      <c r="N568" s="6"/>
      <c r="O568" s="6"/>
      <c r="P568" s="6"/>
      <c r="Q568" s="6"/>
      <c r="R568" s="6"/>
      <c r="S568" s="6"/>
    </row>
    <row r="569" spans="6:19">
      <c r="F569" s="5">
        <f t="shared" si="65"/>
        <v>2.5524917936972937E-12</v>
      </c>
      <c r="G569" s="4">
        <f t="shared" si="66"/>
        <v>294708104445.61365</v>
      </c>
      <c r="H569" s="3">
        <f t="shared" si="67"/>
        <v>0.75224001813351371</v>
      </c>
      <c r="I569">
        <f t="shared" si="68"/>
        <v>221691229832.26187</v>
      </c>
      <c r="J569" s="6"/>
      <c r="K569" s="6"/>
      <c r="L569" s="6"/>
      <c r="M569" s="6"/>
      <c r="N569" s="6"/>
      <c r="O569" s="6"/>
      <c r="P569" s="6"/>
      <c r="Q569" s="6"/>
      <c r="R569" s="6"/>
      <c r="S569" s="6"/>
    </row>
    <row r="570" spans="6:19">
      <c r="F570" s="5">
        <f t="shared" si="65"/>
        <v>2.4294984354049199E-12</v>
      </c>
      <c r="G570" s="4">
        <f t="shared" si="66"/>
        <v>302075807056.75397</v>
      </c>
      <c r="H570" s="3">
        <f t="shared" si="67"/>
        <v>0.73389270061806222</v>
      </c>
      <c r="I570">
        <f t="shared" si="68"/>
        <v>221691229832.26187</v>
      </c>
      <c r="J570" s="6"/>
      <c r="K570" s="6"/>
      <c r="L570" s="6"/>
      <c r="M570" s="6"/>
      <c r="N570" s="6"/>
      <c r="O570" s="6"/>
      <c r="P570" s="6"/>
      <c r="Q570" s="6"/>
      <c r="R570" s="6"/>
      <c r="S570" s="6"/>
    </row>
    <row r="571" spans="6:19">
      <c r="F571" s="5">
        <f t="shared" si="65"/>
        <v>2.3124315863461466E-12</v>
      </c>
      <c r="G571" s="4">
        <f t="shared" si="66"/>
        <v>309627702233.17279</v>
      </c>
      <c r="H571" s="3">
        <f t="shared" si="67"/>
        <v>0.71599287865176808</v>
      </c>
      <c r="I571">
        <f t="shared" si="68"/>
        <v>221691229832.26187</v>
      </c>
      <c r="J571" s="6"/>
      <c r="K571" s="6"/>
      <c r="L571" s="6"/>
      <c r="M571" s="6"/>
      <c r="N571" s="6"/>
      <c r="O571" s="6"/>
      <c r="P571" s="6"/>
      <c r="Q571" s="6"/>
      <c r="R571" s="6"/>
      <c r="S571" s="6"/>
    </row>
    <row r="572" spans="6:19">
      <c r="F572" s="5">
        <f t="shared" si="65"/>
        <v>2.2010056740950834E-12</v>
      </c>
      <c r="G572" s="4">
        <f t="shared" si="66"/>
        <v>317368394789.00208</v>
      </c>
      <c r="H572" s="3">
        <f t="shared" si="67"/>
        <v>0.69852963770904208</v>
      </c>
      <c r="I572">
        <f t="shared" si="68"/>
        <v>221691229832.26187</v>
      </c>
      <c r="J572" s="6"/>
      <c r="K572" s="6"/>
      <c r="L572" s="6"/>
      <c r="M572" s="6"/>
      <c r="N572" s="6"/>
      <c r="O572" s="6"/>
      <c r="P572" s="6"/>
      <c r="Q572" s="6"/>
      <c r="R572" s="6"/>
      <c r="S572" s="6"/>
    </row>
    <row r="573" spans="6:19">
      <c r="F573" s="5">
        <f t="shared" si="65"/>
        <v>2.094948886705612E-12</v>
      </c>
      <c r="G573" s="4">
        <f t="shared" si="66"/>
        <v>325302604658.72711</v>
      </c>
      <c r="H573" s="3">
        <f t="shared" si="67"/>
        <v>0.68149232947223626</v>
      </c>
      <c r="I573">
        <f t="shared" si="68"/>
        <v>221691229832.26187</v>
      </c>
      <c r="J573" s="6"/>
      <c r="K573" s="6"/>
      <c r="L573" s="6"/>
      <c r="M573" s="6"/>
      <c r="N573" s="6"/>
      <c r="O573" s="6"/>
      <c r="P573" s="6"/>
      <c r="Q573" s="6"/>
      <c r="R573" s="6"/>
      <c r="S573" s="6"/>
    </row>
    <row r="574" spans="6:19">
      <c r="F574" s="5">
        <f t="shared" si="65"/>
        <v>1.9940025096543606E-12</v>
      </c>
      <c r="G574" s="4">
        <f t="shared" si="66"/>
        <v>333435169775.19525</v>
      </c>
      <c r="H574" s="3">
        <f t="shared" si="67"/>
        <v>0.66487056533876709</v>
      </c>
      <c r="I574">
        <f t="shared" si="68"/>
        <v>221691229832.26187</v>
      </c>
      <c r="J574" s="6"/>
      <c r="K574" s="6"/>
      <c r="L574" s="6"/>
      <c r="M574" s="6"/>
      <c r="N574" s="6"/>
      <c r="O574" s="6"/>
      <c r="P574" s="6"/>
      <c r="Q574" s="6"/>
      <c r="R574" s="6"/>
      <c r="S574" s="6"/>
    </row>
    <row r="575" spans="6:19">
      <c r="F575" s="5">
        <f t="shared" si="65"/>
        <v>1.897920294733479E-12</v>
      </c>
      <c r="G575" s="4">
        <f t="shared" si="66"/>
        <v>341771049019.57507</v>
      </c>
      <c r="H575" s="3">
        <f t="shared" si="67"/>
        <v>0.64865421008660218</v>
      </c>
      <c r="I575">
        <f t="shared" si="68"/>
        <v>221691229832.26187</v>
      </c>
      <c r="J575" s="6"/>
      <c r="K575" s="6"/>
      <c r="L575" s="6"/>
      <c r="M575" s="6"/>
      <c r="N575" s="6"/>
      <c r="O575" s="6"/>
      <c r="P575" s="6"/>
      <c r="Q575" s="6"/>
      <c r="R575" s="6"/>
      <c r="S575" s="6"/>
    </row>
    <row r="576" spans="6:19">
      <c r="F576" s="5">
        <f t="shared" si="65"/>
        <v>1.8064678593536984E-12</v>
      </c>
      <c r="G576" s="4">
        <f t="shared" si="66"/>
        <v>350315325245.06439</v>
      </c>
      <c r="H576" s="3">
        <f t="shared" si="67"/>
        <v>0.63283337569424614</v>
      </c>
      <c r="I576">
        <f t="shared" si="68"/>
        <v>221691229832.26187</v>
      </c>
      <c r="J576" s="6"/>
      <c r="K576" s="6"/>
      <c r="L576" s="6"/>
      <c r="M576" s="6"/>
      <c r="N576" s="6"/>
      <c r="O576" s="6"/>
      <c r="P576" s="6"/>
      <c r="Q576" s="6"/>
      <c r="R576" s="6"/>
      <c r="S576" s="6"/>
    </row>
    <row r="577" spans="6:19">
      <c r="F577" s="5">
        <f t="shared" si="65"/>
        <v>1.7194221147923368E-12</v>
      </c>
      <c r="G577" s="4">
        <f t="shared" si="66"/>
        <v>359073208376.19098</v>
      </c>
      <c r="H577" s="3">
        <f t="shared" si="67"/>
        <v>0.61739841531145967</v>
      </c>
      <c r="I577">
        <f t="shared" si="68"/>
        <v>221691229832.26187</v>
      </c>
      <c r="J577" s="6"/>
      <c r="K577" s="6"/>
      <c r="L577" s="6"/>
      <c r="M577" s="6"/>
      <c r="N577" s="6"/>
      <c r="O577" s="6"/>
      <c r="P577" s="6"/>
      <c r="Q577" s="6"/>
      <c r="R577" s="6"/>
      <c r="S577" s="6"/>
    </row>
    <row r="578" spans="6:19">
      <c r="F578" s="5">
        <f t="shared" si="65"/>
        <v>1.6365707219915168E-12</v>
      </c>
      <c r="G578" s="4">
        <f t="shared" si="66"/>
        <v>368050038585.5957</v>
      </c>
      <c r="H578" s="3">
        <f t="shared" si="67"/>
        <v>0.60233991737703396</v>
      </c>
      <c r="I578">
        <f t="shared" si="68"/>
        <v>221691229832.26187</v>
      </c>
      <c r="J578" s="6"/>
      <c r="K578" s="6"/>
      <c r="L578" s="6"/>
      <c r="M578" s="6"/>
      <c r="N578" s="6"/>
      <c r="O578" s="6"/>
      <c r="P578" s="6"/>
      <c r="Q578" s="6"/>
      <c r="R578" s="6"/>
      <c r="S578" s="6"/>
    </row>
    <row r="579" spans="6:19">
      <c r="F579" s="5">
        <f t="shared" si="65"/>
        <v>1.5577115735790765E-12</v>
      </c>
      <c r="G579" s="4">
        <f t="shared" si="66"/>
        <v>377251289550.23553</v>
      </c>
      <c r="H579" s="3">
        <f t="shared" si="67"/>
        <v>0.58764869988003321</v>
      </c>
      <c r="I579">
        <f t="shared" si="68"/>
        <v>221691229832.26187</v>
      </c>
      <c r="J579" s="6"/>
      <c r="K579" s="6"/>
      <c r="L579" s="6"/>
      <c r="M579" s="6"/>
      <c r="N579" s="6"/>
      <c r="O579" s="6"/>
      <c r="P579" s="6"/>
      <c r="Q579" s="6"/>
      <c r="R579" s="6"/>
      <c r="S579" s="6"/>
    </row>
    <row r="580" spans="6:19">
      <c r="F580" s="5">
        <f t="shared" si="65"/>
        <v>1.4826523008486157E-12</v>
      </c>
      <c r="G580" s="4">
        <f t="shared" si="66"/>
        <v>386682571788.99139</v>
      </c>
      <c r="H580" s="3">
        <f t="shared" si="67"/>
        <v>0.57331580476100807</v>
      </c>
      <c r="I580">
        <f t="shared" si="68"/>
        <v>221691229832.26187</v>
      </c>
      <c r="J580" s="6"/>
      <c r="K580" s="6"/>
      <c r="L580" s="6"/>
      <c r="M580" s="6"/>
      <c r="N580" s="6"/>
      <c r="O580" s="6"/>
      <c r="P580" s="6"/>
      <c r="Q580" s="6"/>
      <c r="R580" s="6"/>
      <c r="S580" s="6"/>
    </row>
    <row r="581" spans="6:19">
      <c r="F581" s="5">
        <f t="shared" si="65"/>
        <v>1.4112098044960056E-12</v>
      </c>
      <c r="G581" s="4">
        <f t="shared" si="66"/>
        <v>396349636083.71613</v>
      </c>
      <c r="H581" s="3">
        <f t="shared" si="67"/>
        <v>0.55933249244976402</v>
      </c>
      <c r="I581">
        <f t="shared" si="68"/>
        <v>221691229832.26187</v>
      </c>
      <c r="J581" s="6"/>
      <c r="K581" s="6"/>
      <c r="L581" s="6"/>
      <c r="M581" s="6"/>
      <c r="N581" s="6"/>
      <c r="O581" s="6"/>
      <c r="P581" s="6"/>
      <c r="Q581" s="6"/>
      <c r="R581" s="6"/>
      <c r="S581" s="6"/>
    </row>
    <row r="582" spans="6:19">
      <c r="F582" s="5">
        <f t="shared" si="65"/>
        <v>1.3432098079676438E-12</v>
      </c>
      <c r="G582" s="4">
        <f t="shared" si="66"/>
        <v>406258376985.80902</v>
      </c>
      <c r="H582" s="3">
        <f t="shared" si="67"/>
        <v>0.54569023653635518</v>
      </c>
      <c r="I582">
        <f t="shared" si="68"/>
        <v>221691229832.26187</v>
      </c>
      <c r="J582" s="6"/>
      <c r="K582" s="6"/>
      <c r="L582" s="6"/>
      <c r="M582" s="6"/>
      <c r="N582" s="6"/>
      <c r="O582" s="6"/>
      <c r="P582" s="6"/>
      <c r="Q582" s="6"/>
      <c r="R582" s="6"/>
      <c r="S582" s="6"/>
    </row>
    <row r="583" spans="6:19">
      <c r="F583" s="5">
        <f t="shared" si="65"/>
        <v>1.2784864323308925E-12</v>
      </c>
      <c r="G583" s="4">
        <f t="shared" si="66"/>
        <v>416414836410.45422</v>
      </c>
      <c r="H583" s="3">
        <f t="shared" si="67"/>
        <v>0.53238071857205382</v>
      </c>
      <c r="I583">
        <f t="shared" si="68"/>
        <v>221691229832.26187</v>
      </c>
      <c r="J583" s="6"/>
      <c r="K583" s="6"/>
      <c r="L583" s="6"/>
      <c r="M583" s="6"/>
      <c r="N583" s="6"/>
      <c r="O583" s="6"/>
      <c r="P583" s="6"/>
      <c r="Q583" s="6"/>
      <c r="R583" s="6"/>
      <c r="S583" s="6"/>
    </row>
    <row r="584" spans="6:19">
      <c r="F584" s="5">
        <f t="shared" si="65"/>
        <v>1.2168817916296424E-12</v>
      </c>
      <c r="G584" s="4">
        <f t="shared" si="66"/>
        <v>426825207320.71552</v>
      </c>
      <c r="H584" s="3">
        <f t="shared" si="67"/>
        <v>0.51939582299712583</v>
      </c>
      <c r="I584">
        <f t="shared" si="68"/>
        <v>221691229832.26187</v>
      </c>
      <c r="J584" s="6"/>
      <c r="K584" s="6"/>
      <c r="L584" s="6"/>
      <c r="M584" s="6"/>
      <c r="N584" s="6"/>
      <c r="O584" s="6"/>
      <c r="P584" s="6"/>
      <c r="Q584" s="6"/>
      <c r="R584" s="6"/>
      <c r="S584" s="6"/>
    </row>
    <row r="585" spans="6:19">
      <c r="F585" s="5">
        <f t="shared" ref="F585:F648" si="69">H585/G585</f>
        <v>1.1582456077379108E-12</v>
      </c>
      <c r="G585" s="4">
        <f t="shared" si="66"/>
        <v>437495837503.73334</v>
      </c>
      <c r="H585" s="3">
        <f t="shared" si="67"/>
        <v>0.50672763219231787</v>
      </c>
      <c r="I585">
        <f t="shared" si="68"/>
        <v>221691229832.26187</v>
      </c>
      <c r="J585" s="6"/>
      <c r="K585" s="6"/>
      <c r="L585" s="6"/>
      <c r="M585" s="6"/>
      <c r="N585" s="6"/>
      <c r="O585" s="6"/>
      <c r="P585" s="6"/>
      <c r="Q585" s="6"/>
      <c r="R585" s="6"/>
      <c r="S585" s="6"/>
    </row>
    <row r="586" spans="6:19">
      <c r="F586" s="5">
        <f t="shared" si="69"/>
        <v>1.1024348437719558E-12</v>
      </c>
      <c r="G586" s="4">
        <f t="shared" si="66"/>
        <v>448433233441.32666</v>
      </c>
      <c r="H586" s="3">
        <f t="shared" si="67"/>
        <v>0.49436842165104189</v>
      </c>
      <c r="I586">
        <f t="shared" si="68"/>
        <v>221691229832.26187</v>
      </c>
      <c r="J586" s="6"/>
      <c r="K586" s="6"/>
      <c r="L586" s="6"/>
      <c r="M586" s="6"/>
      <c r="N586" s="6"/>
      <c r="O586" s="6"/>
      <c r="P586" s="6"/>
      <c r="Q586" s="6"/>
      <c r="R586" s="6"/>
      <c r="S586" s="6"/>
    </row>
    <row r="587" spans="6:19">
      <c r="F587" s="5">
        <f t="shared" si="69"/>
        <v>1.0493133551666444E-12</v>
      </c>
      <c r="G587" s="4">
        <f t="shared" si="66"/>
        <v>459644064277.3598</v>
      </c>
      <c r="H587" s="3">
        <f t="shared" si="67"/>
        <v>0.48231065526930916</v>
      </c>
      <c r="I587">
        <f t="shared" si="68"/>
        <v>221691229832.26187</v>
      </c>
      <c r="J587" s="6"/>
      <c r="K587" s="6"/>
      <c r="L587" s="6"/>
      <c r="M587" s="6"/>
      <c r="N587" s="6"/>
      <c r="O587" s="6"/>
      <c r="P587" s="6"/>
      <c r="Q587" s="6"/>
      <c r="R587" s="6"/>
      <c r="S587" s="6"/>
    </row>
    <row r="588" spans="6:19">
      <c r="F588" s="5">
        <f t="shared" si="69"/>
        <v>9.9875155756492056E-13</v>
      </c>
      <c r="G588" s="4">
        <f t="shared" si="66"/>
        <v>471135165884.29376</v>
      </c>
      <c r="H588" s="3">
        <f t="shared" si="67"/>
        <v>0.47054698075054557</v>
      </c>
      <c r="I588">
        <f t="shared" si="68"/>
        <v>221691229832.26187</v>
      </c>
      <c r="J588" s="6"/>
      <c r="K588" s="6"/>
      <c r="L588" s="6"/>
      <c r="M588" s="6"/>
      <c r="N588" s="6"/>
      <c r="O588" s="6"/>
      <c r="P588" s="6"/>
      <c r="Q588" s="6"/>
      <c r="R588" s="6"/>
      <c r="S588" s="6"/>
    </row>
    <row r="589" spans="6:19">
      <c r="F589" s="5">
        <f t="shared" si="69"/>
        <v>9.5062611071021596E-13</v>
      </c>
      <c r="G589" s="4">
        <f t="shared" si="66"/>
        <v>482913545031.40106</v>
      </c>
      <c r="H589" s="3">
        <f t="shared" si="67"/>
        <v>0.45907022512248352</v>
      </c>
      <c r="I589">
        <f t="shared" si="68"/>
        <v>221691229832.26187</v>
      </c>
      <c r="J589" s="6"/>
      <c r="K589" s="6"/>
      <c r="L589" s="6"/>
      <c r="M589" s="6"/>
      <c r="N589" s="6"/>
      <c r="O589" s="6"/>
      <c r="P589" s="6"/>
      <c r="Q589" s="6"/>
      <c r="R589" s="6"/>
      <c r="S589" s="6"/>
    </row>
    <row r="590" spans="6:19">
      <c r="F590" s="5">
        <f t="shared" si="69"/>
        <v>9.048196175706995E-13</v>
      </c>
      <c r="G590" s="4">
        <f t="shared" si="66"/>
        <v>494986383657.18604</v>
      </c>
      <c r="H590" s="3">
        <f t="shared" si="67"/>
        <v>0.44787339036339863</v>
      </c>
      <c r="I590">
        <f t="shared" si="68"/>
        <v>221691229832.26187</v>
      </c>
      <c r="J590" s="6"/>
      <c r="K590" s="6"/>
      <c r="L590" s="6"/>
      <c r="M590" s="6"/>
      <c r="N590" s="6"/>
      <c r="O590" s="6"/>
      <c r="P590" s="6"/>
      <c r="Q590" s="6"/>
      <c r="R590" s="6"/>
      <c r="S590" s="6"/>
    </row>
    <row r="591" spans="6:19">
      <c r="F591" s="5">
        <f t="shared" si="69"/>
        <v>8.6122033796140354E-13</v>
      </c>
      <c r="G591" s="4">
        <f t="shared" si="66"/>
        <v>507361043248.61566</v>
      </c>
      <c r="H591" s="3">
        <f t="shared" si="67"/>
        <v>0.43694964913502304</v>
      </c>
      <c r="I591">
        <f t="shared" si="68"/>
        <v>221691229832.26187</v>
      </c>
      <c r="J591" s="6"/>
      <c r="K591" s="6"/>
      <c r="L591" s="6"/>
      <c r="M591" s="6"/>
      <c r="N591" s="6"/>
      <c r="O591" s="6"/>
      <c r="P591" s="6"/>
      <c r="Q591" s="6"/>
      <c r="R591" s="6"/>
      <c r="S591" s="6"/>
    </row>
    <row r="592" spans="6:19">
      <c r="F592" s="5">
        <f t="shared" si="69"/>
        <v>8.1972191596564307E-13</v>
      </c>
      <c r="G592" s="4">
        <f t="shared" si="66"/>
        <v>520045069329.83099</v>
      </c>
      <c r="H592" s="3">
        <f t="shared" si="67"/>
        <v>0.42629234061953475</v>
      </c>
      <c r="I592">
        <f t="shared" si="68"/>
        <v>221691229832.26187</v>
      </c>
      <c r="J592" s="6"/>
      <c r="K592" s="6"/>
      <c r="L592" s="6"/>
      <c r="M592" s="6"/>
      <c r="N592" s="6"/>
      <c r="O592" s="6"/>
      <c r="P592" s="6"/>
      <c r="Q592" s="6"/>
      <c r="R592" s="6"/>
      <c r="S592" s="6"/>
    </row>
    <row r="593" spans="6:19">
      <c r="F593" s="5">
        <f t="shared" si="69"/>
        <v>7.8022312049079662E-13</v>
      </c>
      <c r="G593" s="4">
        <f t="shared" si="66"/>
        <v>533046196063.07672</v>
      </c>
      <c r="H593" s="3">
        <f t="shared" si="67"/>
        <v>0.41589496645808272</v>
      </c>
      <c r="I593">
        <f t="shared" si="68"/>
        <v>221691229832.26187</v>
      </c>
      <c r="J593" s="6"/>
      <c r="K593" s="6"/>
      <c r="L593" s="6"/>
      <c r="M593" s="6"/>
      <c r="N593" s="6"/>
      <c r="O593" s="6"/>
      <c r="P593" s="6"/>
      <c r="Q593" s="6"/>
      <c r="R593" s="6"/>
      <c r="S593" s="6"/>
    </row>
    <row r="594" spans="6:19">
      <c r="F594" s="5">
        <f t="shared" si="69"/>
        <v>7.4262759832556507E-13</v>
      </c>
      <c r="G594" s="4">
        <f t="shared" si="66"/>
        <v>546372350964.65356</v>
      </c>
      <c r="H594" s="3">
        <f t="shared" si="67"/>
        <v>0.40575118678837341</v>
      </c>
      <c r="I594">
        <f t="shared" si="68"/>
        <v>221691229832.26187</v>
      </c>
      <c r="J594" s="6"/>
      <c r="K594" s="6"/>
      <c r="L594" s="6"/>
      <c r="M594" s="6"/>
      <c r="N594" s="6"/>
      <c r="O594" s="6"/>
      <c r="P594" s="6"/>
      <c r="Q594" s="6"/>
      <c r="R594" s="6"/>
      <c r="S594" s="6"/>
    </row>
    <row r="595" spans="6:19">
      <c r="F595" s="5">
        <f t="shared" si="69"/>
        <v>7.0684363909631421E-13</v>
      </c>
      <c r="G595" s="4">
        <f t="shared" si="66"/>
        <v>560031659738.7699</v>
      </c>
      <c r="H595" s="3">
        <f t="shared" si="67"/>
        <v>0.39585481637890091</v>
      </c>
      <c r="I595">
        <f t="shared" si="68"/>
        <v>221691229832.26187</v>
      </c>
      <c r="J595" s="6"/>
      <c r="K595" s="6"/>
      <c r="L595" s="6"/>
      <c r="M595" s="6"/>
      <c r="N595" s="6"/>
      <c r="O595" s="6"/>
      <c r="P595" s="6"/>
      <c r="Q595" s="6"/>
      <c r="R595" s="6"/>
      <c r="S595" s="6"/>
    </row>
    <row r="596" spans="6:19">
      <c r="F596" s="5">
        <f t="shared" si="69"/>
        <v>6.7278395154913899E-13</v>
      </c>
      <c r="G596" s="4">
        <f t="shared" si="66"/>
        <v>574032451232.23914</v>
      </c>
      <c r="H596" s="3">
        <f t="shared" si="67"/>
        <v>0.38619982085746429</v>
      </c>
      <c r="I596">
        <f t="shared" si="68"/>
        <v>221691229832.26187</v>
      </c>
      <c r="J596" s="6"/>
      <c r="K596" s="6"/>
      <c r="L596" s="6"/>
      <c r="M596" s="6"/>
      <c r="N596" s="6"/>
      <c r="O596" s="6"/>
      <c r="P596" s="6"/>
      <c r="Q596" s="6"/>
      <c r="R596" s="6"/>
      <c r="S596" s="6"/>
    </row>
    <row r="597" spans="6:19">
      <c r="F597" s="5">
        <f t="shared" si="69"/>
        <v>6.4036545061191123E-13</v>
      </c>
      <c r="G597" s="4">
        <f t="shared" si="66"/>
        <v>588383262513.04504</v>
      </c>
      <c r="H597" s="3">
        <f t="shared" si="67"/>
        <v>0.37678031303167253</v>
      </c>
      <c r="I597">
        <f t="shared" si="68"/>
        <v>221691229832.26187</v>
      </c>
      <c r="J597" s="6"/>
      <c r="K597" s="6"/>
      <c r="L597" s="6"/>
      <c r="M597" s="6"/>
      <c r="N597" s="6"/>
      <c r="O597" s="6"/>
      <c r="P597" s="6"/>
      <c r="Q597" s="6"/>
      <c r="R597" s="6"/>
      <c r="S597" s="6"/>
    </row>
    <row r="598" spans="6:19">
      <c r="F598" s="5">
        <f t="shared" si="69"/>
        <v>6.0950905471686986E-13</v>
      </c>
      <c r="G598" s="4">
        <f t="shared" si="66"/>
        <v>603092844075.87109</v>
      </c>
      <c r="H598" s="3">
        <f t="shared" si="67"/>
        <v>0.36759054929919277</v>
      </c>
      <c r="I598">
        <f t="shared" si="68"/>
        <v>221691229832.26187</v>
      </c>
      <c r="J598" s="6"/>
      <c r="K598" s="6"/>
      <c r="L598" s="6"/>
      <c r="M598" s="6"/>
      <c r="N598" s="6"/>
      <c r="O598" s="6"/>
      <c r="P598" s="6"/>
      <c r="Q598" s="6"/>
      <c r="R598" s="6"/>
      <c r="S598" s="6"/>
    </row>
    <row r="599" spans="6:19">
      <c r="F599" s="5">
        <f t="shared" si="69"/>
        <v>5.8013949288934674E-13</v>
      </c>
      <c r="G599" s="4">
        <f t="shared" si="66"/>
        <v>618170165177.76782</v>
      </c>
      <c r="H599" s="3">
        <f t="shared" si="67"/>
        <v>0.35862492614555397</v>
      </c>
      <c r="I599">
        <f t="shared" si="68"/>
        <v>221691229832.26187</v>
      </c>
      <c r="J599" s="6"/>
      <c r="K599" s="6"/>
      <c r="L599" s="6"/>
      <c r="M599" s="6"/>
      <c r="N599" s="6"/>
      <c r="O599" s="6"/>
      <c r="P599" s="6"/>
      <c r="Q599" s="6"/>
      <c r="R599" s="6"/>
      <c r="S599" s="6"/>
    </row>
    <row r="600" spans="6:19">
      <c r="F600" s="5">
        <f t="shared" si="69"/>
        <v>5.5218512113203753E-13</v>
      </c>
      <c r="G600" s="4">
        <f t="shared" si="66"/>
        <v>633624419307.21191</v>
      </c>
      <c r="H600" s="3">
        <f t="shared" si="67"/>
        <v>0.34987797672736975</v>
      </c>
      <c r="I600">
        <f t="shared" si="68"/>
        <v>221691229832.26187</v>
      </c>
      <c r="J600" s="6"/>
      <c r="K600" s="6"/>
      <c r="L600" s="6"/>
      <c r="M600" s="6"/>
      <c r="N600" s="6"/>
      <c r="O600" s="6"/>
      <c r="P600" s="6"/>
      <c r="Q600" s="6"/>
      <c r="R600" s="6"/>
      <c r="S600" s="6"/>
    </row>
    <row r="601" spans="6:19">
      <c r="F601" s="5">
        <f t="shared" si="69"/>
        <v>5.2557774765690669E-13</v>
      </c>
      <c r="G601" s="4">
        <f t="shared" si="66"/>
        <v>649465029789.89221</v>
      </c>
      <c r="H601" s="3">
        <f t="shared" si="67"/>
        <v>0.34134436753889735</v>
      </c>
      <c r="I601">
        <f t="shared" si="68"/>
        <v>221691229832.26187</v>
      </c>
      <c r="J601" s="6"/>
      <c r="K601" s="6"/>
      <c r="L601" s="6"/>
      <c r="M601" s="6"/>
      <c r="N601" s="6"/>
      <c r="O601" s="6"/>
      <c r="P601" s="6"/>
      <c r="Q601" s="6"/>
      <c r="R601" s="6"/>
      <c r="S601" s="6"/>
    </row>
    <row r="602" spans="6:19">
      <c r="F602" s="5">
        <f t="shared" si="69"/>
        <v>5.0025246653840038E-13</v>
      </c>
      <c r="G602" s="4">
        <f t="shared" si="66"/>
        <v>665701655534.6394</v>
      </c>
      <c r="H602" s="3">
        <f t="shared" si="67"/>
        <v>0.33301889515989991</v>
      </c>
      <c r="I602">
        <f t="shared" si="68"/>
        <v>221691229832.26187</v>
      </c>
      <c r="J602" s="6"/>
      <c r="K602" s="6"/>
      <c r="L602" s="6"/>
      <c r="M602" s="6"/>
      <c r="N602" s="6"/>
      <c r="O602" s="6"/>
      <c r="P602" s="6"/>
      <c r="Q602" s="6"/>
      <c r="R602" s="6"/>
      <c r="S602" s="6"/>
    </row>
    <row r="603" spans="6:19">
      <c r="F603" s="5">
        <f t="shared" si="69"/>
        <v>4.7614749938217759E-13</v>
      </c>
      <c r="G603" s="4">
        <f t="shared" si="66"/>
        <v>682344196923.00537</v>
      </c>
      <c r="H603" s="3">
        <f t="shared" si="67"/>
        <v>0.32489648308282915</v>
      </c>
      <c r="I603">
        <f t="shared" si="68"/>
        <v>221691229832.26187</v>
      </c>
      <c r="J603" s="6"/>
      <c r="K603" s="6"/>
      <c r="L603" s="6"/>
      <c r="M603" s="6"/>
      <c r="N603" s="6"/>
      <c r="O603" s="6"/>
      <c r="P603" s="6"/>
      <c r="Q603" s="6"/>
      <c r="R603" s="6"/>
      <c r="S603" s="6"/>
    </row>
    <row r="604" spans="6:19">
      <c r="F604" s="5">
        <f t="shared" si="69"/>
        <v>4.5320404462313164E-13</v>
      </c>
      <c r="G604" s="4">
        <f t="shared" si="66"/>
        <v>699402801846.08044</v>
      </c>
      <c r="H604" s="3">
        <f t="shared" si="67"/>
        <v>0.31697217861739435</v>
      </c>
      <c r="I604">
        <f t="shared" si="68"/>
        <v>221691229832.26187</v>
      </c>
      <c r="J604" s="6"/>
      <c r="K604" s="6"/>
      <c r="L604" s="6"/>
      <c r="M604" s="6"/>
      <c r="N604" s="6"/>
      <c r="O604" s="6"/>
      <c r="P604" s="6"/>
      <c r="Q604" s="6"/>
      <c r="R604" s="6"/>
      <c r="S604" s="6"/>
    </row>
    <row r="605" spans="6:19">
      <c r="F605" s="5">
        <f t="shared" si="69"/>
        <v>4.3136613408507476E-13</v>
      </c>
      <c r="G605" s="4">
        <f t="shared" si="66"/>
        <v>716887871892.23242</v>
      </c>
      <c r="H605" s="3">
        <f t="shared" si="67"/>
        <v>0.30924114987062862</v>
      </c>
      <c r="I605">
        <f t="shared" si="68"/>
        <v>221691229832.26187</v>
      </c>
      <c r="J605" s="6"/>
      <c r="K605" s="6"/>
      <c r="L605" s="6"/>
      <c r="M605" s="6"/>
      <c r="N605" s="6"/>
      <c r="O605" s="6"/>
      <c r="P605" s="6"/>
      <c r="Q605" s="6"/>
      <c r="R605" s="6"/>
      <c r="S605" s="6"/>
    </row>
    <row r="606" spans="6:19">
      <c r="F606" s="5">
        <f t="shared" si="69"/>
        <v>4.1058049645218301E-13</v>
      </c>
      <c r="G606" s="4">
        <f t="shared" si="66"/>
        <v>734810068689.53821</v>
      </c>
      <c r="H606" s="3">
        <f t="shared" si="67"/>
        <v>0.30169868280061329</v>
      </c>
      <c r="I606">
        <f t="shared" si="68"/>
        <v>221691229832.26187</v>
      </c>
      <c r="J606" s="6"/>
      <c r="K606" s="6"/>
      <c r="L606" s="6"/>
      <c r="M606" s="6"/>
      <c r="N606" s="6"/>
      <c r="O606" s="6"/>
      <c r="P606" s="6"/>
      <c r="Q606" s="6"/>
      <c r="R606" s="6"/>
      <c r="S606" s="6"/>
    </row>
    <row r="607" spans="6:19">
      <c r="F607" s="5">
        <f t="shared" si="69"/>
        <v>3.9079642731915106E-13</v>
      </c>
      <c r="G607" s="4">
        <f t="shared" si="66"/>
        <v>753180320406.77661</v>
      </c>
      <c r="H607" s="3">
        <f t="shared" si="67"/>
        <v>0.29434017834206178</v>
      </c>
      <c r="I607">
        <f t="shared" si="68"/>
        <v>221691229832.26187</v>
      </c>
      <c r="J607" s="6"/>
      <c r="K607" s="6"/>
      <c r="L607" s="6"/>
      <c r="M607" s="6"/>
      <c r="N607" s="6"/>
      <c r="O607" s="6"/>
      <c r="P607" s="6"/>
      <c r="Q607" s="6"/>
      <c r="R607" s="6"/>
      <c r="S607" s="6"/>
    </row>
    <row r="608" spans="6:19">
      <c r="F608" s="5">
        <f t="shared" si="69"/>
        <v>3.7196566550305882E-13</v>
      </c>
      <c r="G608" s="4">
        <f t="shared" si="66"/>
        <v>772009828416.94592</v>
      </c>
      <c r="H608" s="3">
        <f t="shared" si="67"/>
        <v>0.28716114960201156</v>
      </c>
      <c r="I608">
        <f t="shared" si="68"/>
        <v>221691229832.26187</v>
      </c>
      <c r="J608" s="6"/>
      <c r="K608" s="6"/>
      <c r="L608" s="6"/>
      <c r="M608" s="6"/>
      <c r="N608" s="6"/>
      <c r="O608" s="6"/>
      <c r="P608" s="6"/>
      <c r="Q608" s="6"/>
      <c r="R608" s="6"/>
      <c r="S608" s="6"/>
    </row>
    <row r="609" spans="6:19">
      <c r="F609" s="5">
        <f t="shared" si="69"/>
        <v>3.5404227531522561E-13</v>
      </c>
      <c r="G609" s="4">
        <f t="shared" si="66"/>
        <v>791310074127.36951</v>
      </c>
      <c r="H609" s="3">
        <f t="shared" si="67"/>
        <v>0.28015721912391373</v>
      </c>
      <c r="I609">
        <f t="shared" si="68"/>
        <v>221691229832.26187</v>
      </c>
      <c r="J609" s="6"/>
      <c r="K609" s="6"/>
      <c r="L609" s="6"/>
      <c r="M609" s="6"/>
      <c r="N609" s="6"/>
      <c r="O609" s="6"/>
      <c r="P609" s="6"/>
      <c r="Q609" s="6"/>
      <c r="R609" s="6"/>
      <c r="S609" s="6"/>
    </row>
    <row r="610" spans="6:19">
      <c r="F610" s="5">
        <f t="shared" si="69"/>
        <v>3.3698253450586614E-13</v>
      </c>
      <c r="G610" s="4">
        <f t="shared" si="66"/>
        <v>811092825980.55371</v>
      </c>
      <c r="H610" s="3">
        <f t="shared" si="67"/>
        <v>0.27332411621845243</v>
      </c>
      <c r="I610">
        <f t="shared" si="68"/>
        <v>221691229832.26187</v>
      </c>
      <c r="J610" s="6"/>
      <c r="K610" s="6"/>
      <c r="L610" s="6"/>
      <c r="M610" s="6"/>
      <c r="N610" s="6"/>
      <c r="O610" s="6"/>
      <c r="P610" s="6"/>
      <c r="Q610" s="6"/>
      <c r="R610" s="6"/>
      <c r="S610" s="6"/>
    </row>
    <row r="611" spans="6:19">
      <c r="F611" s="5">
        <f t="shared" si="69"/>
        <v>3.20744827608201E-13</v>
      </c>
      <c r="G611" s="4">
        <f t="shared" si="66"/>
        <v>831370146630.0675</v>
      </c>
      <c r="H611" s="3">
        <f t="shared" si="67"/>
        <v>0.2666576743594658</v>
      </c>
      <c r="I611">
        <f t="shared" si="68"/>
        <v>221691229832.26187</v>
      </c>
      <c r="J611" s="6"/>
      <c r="K611" s="6"/>
      <c r="L611" s="6"/>
      <c r="M611" s="6"/>
      <c r="N611" s="6"/>
      <c r="O611" s="6"/>
      <c r="P611" s="6"/>
      <c r="Q611" s="6"/>
      <c r="R611" s="6"/>
      <c r="S611" s="6"/>
    </row>
    <row r="612" spans="6:19">
      <c r="F612" s="5">
        <f t="shared" si="69"/>
        <v>3.0528954442184513E-13</v>
      </c>
      <c r="G612" s="4">
        <f t="shared" si="66"/>
        <v>852154400295.81909</v>
      </c>
      <c r="H612" s="3">
        <f t="shared" si="67"/>
        <v>0.26015382864338127</v>
      </c>
      <c r="I612">
        <f t="shared" si="68"/>
        <v>221691229832.26187</v>
      </c>
      <c r="J612" s="6"/>
      <c r="K612" s="6"/>
      <c r="L612" s="6"/>
      <c r="M612" s="6"/>
      <c r="N612" s="6"/>
      <c r="O612" s="6"/>
      <c r="P612" s="6"/>
      <c r="Q612" s="6"/>
      <c r="R612" s="6"/>
      <c r="S612" s="6"/>
    </row>
    <row r="613" spans="6:19">
      <c r="F613" s="5">
        <f t="shared" si="69"/>
        <v>2.9057898338783605E-13</v>
      </c>
      <c r="G613" s="4">
        <f t="shared" si="66"/>
        <v>873458260303.21448</v>
      </c>
      <c r="H613" s="3">
        <f t="shared" si="67"/>
        <v>0.25380861331061594</v>
      </c>
      <c r="I613">
        <f t="shared" si="68"/>
        <v>221691229832.26187</v>
      </c>
      <c r="J613" s="6"/>
      <c r="K613" s="6"/>
      <c r="L613" s="6"/>
      <c r="M613" s="6"/>
      <c r="N613" s="6"/>
      <c r="O613" s="6"/>
      <c r="P613" s="6"/>
      <c r="Q613" s="6"/>
      <c r="R613" s="6"/>
      <c r="S613" s="6"/>
    </row>
    <row r="614" spans="6:19">
      <c r="F614" s="5">
        <f t="shared" si="69"/>
        <v>2.7657725961959409E-13</v>
      </c>
      <c r="G614" s="4">
        <f t="shared" si="66"/>
        <v>895294716810.7948</v>
      </c>
      <c r="H614" s="3">
        <f t="shared" si="67"/>
        <v>0.24761815932743017</v>
      </c>
      <c r="I614">
        <f t="shared" si="68"/>
        <v>221691229832.26187</v>
      </c>
      <c r="J614" s="6"/>
      <c r="K614" s="6"/>
      <c r="L614" s="6"/>
      <c r="M614" s="6"/>
      <c r="N614" s="6"/>
      <c r="O614" s="6"/>
      <c r="P614" s="6"/>
      <c r="Q614" s="6"/>
      <c r="R614" s="6"/>
      <c r="S614" s="6"/>
    </row>
    <row r="615" spans="6:19">
      <c r="F615" s="5">
        <f t="shared" si="69"/>
        <v>2.6325021736546741E-13</v>
      </c>
      <c r="G615" s="4">
        <f t="shared" si="66"/>
        <v>917677084731.06458</v>
      </c>
      <c r="H615" s="3">
        <f t="shared" si="67"/>
        <v>0.24157869202676119</v>
      </c>
      <c r="I615">
        <f t="shared" si="68"/>
        <v>221691229832.26187</v>
      </c>
      <c r="J615" s="6"/>
      <c r="K615" s="6"/>
      <c r="L615" s="6"/>
      <c r="M615" s="6"/>
      <c r="N615" s="6"/>
      <c r="O615" s="6"/>
      <c r="P615" s="6"/>
      <c r="Q615" s="6"/>
      <c r="R615" s="6"/>
      <c r="S615" s="6"/>
    </row>
    <row r="616" spans="6:19">
      <c r="F616" s="5">
        <f t="shared" si="69"/>
        <v>2.5056534668932057E-13</v>
      </c>
      <c r="G616" s="4">
        <f t="shared" si="66"/>
        <v>940619011849.34106</v>
      </c>
      <c r="H616" s="3">
        <f t="shared" si="67"/>
        <v>0.2356865288065963</v>
      </c>
      <c r="I616">
        <f t="shared" si="68"/>
        <v>221691229832.26187</v>
      </c>
      <c r="J616" s="6"/>
      <c r="K616" s="6"/>
      <c r="L616" s="6"/>
      <c r="M616" s="6"/>
      <c r="N616" s="6"/>
      <c r="O616" s="6"/>
      <c r="P616" s="6"/>
      <c r="Q616" s="6"/>
      <c r="R616" s="6"/>
      <c r="S616" s="6"/>
    </row>
    <row r="617" spans="6:19">
      <c r="F617" s="5">
        <f t="shared" si="69"/>
        <v>2.3849170416592092E-13</v>
      </c>
      <c r="G617" s="4">
        <f t="shared" si="66"/>
        <v>964134487145.57446</v>
      </c>
      <c r="H617" s="3">
        <f t="shared" si="67"/>
        <v>0.22993807688448423</v>
      </c>
      <c r="I617">
        <f t="shared" si="68"/>
        <v>221691229832.26187</v>
      </c>
      <c r="J617" s="6"/>
      <c r="K617" s="6"/>
      <c r="L617" s="6"/>
      <c r="M617" s="6"/>
      <c r="N617" s="6"/>
      <c r="O617" s="6"/>
      <c r="P617" s="6"/>
      <c r="Q617" s="6"/>
      <c r="R617" s="6"/>
      <c r="S617" s="6"/>
    </row>
    <row r="618" spans="6:19">
      <c r="F618" s="5">
        <f t="shared" si="69"/>
        <v>2.2699983739766422E-13</v>
      </c>
      <c r="G618" s="4">
        <f t="shared" si="66"/>
        <v>988237849324.21375</v>
      </c>
      <c r="H618" s="3">
        <f t="shared" si="67"/>
        <v>0.2243298311068139</v>
      </c>
      <c r="I618">
        <f t="shared" si="68"/>
        <v>221691229832.26187</v>
      </c>
      <c r="J618" s="6"/>
      <c r="K618" s="6"/>
      <c r="L618" s="6"/>
      <c r="M618" s="6"/>
      <c r="N618" s="6"/>
      <c r="O618" s="6"/>
      <c r="P618" s="6"/>
      <c r="Q618" s="6"/>
      <c r="R618" s="6"/>
      <c r="S618" s="6"/>
    </row>
    <row r="619" spans="6:19">
      <c r="F619" s="5">
        <f t="shared" si="69"/>
        <v>2.1606171316850852E-13</v>
      </c>
      <c r="G619" s="4">
        <f t="shared" si="66"/>
        <v>1012943795557.319</v>
      </c>
      <c r="H619" s="3">
        <f t="shared" si="67"/>
        <v>0.21885837181152579</v>
      </c>
      <c r="I619">
        <f t="shared" si="68"/>
        <v>221691229832.26187</v>
      </c>
      <c r="J619" s="6"/>
      <c r="K619" s="6"/>
      <c r="L619" s="6"/>
      <c r="M619" s="6"/>
      <c r="N619" s="6"/>
      <c r="O619" s="6"/>
      <c r="P619" s="6"/>
      <c r="Q619" s="6"/>
      <c r="R619" s="6"/>
      <c r="S619" s="6"/>
    </row>
    <row r="620" spans="6:19">
      <c r="F620" s="5">
        <f t="shared" si="69"/>
        <v>2.0565064905985348E-13</v>
      </c>
      <c r="G620" s="4">
        <f t="shared" si="66"/>
        <v>1038267390446.2518</v>
      </c>
      <c r="H620" s="3">
        <f t="shared" si="67"/>
        <v>0.213520362742952</v>
      </c>
      <c r="I620">
        <f t="shared" si="68"/>
        <v>221691229832.26187</v>
      </c>
      <c r="J620" s="6"/>
      <c r="K620" s="6"/>
      <c r="L620" s="6"/>
      <c r="M620" s="6"/>
      <c r="N620" s="6"/>
      <c r="O620" s="6"/>
      <c r="P620" s="6"/>
      <c r="Q620" s="6"/>
      <c r="R620" s="6"/>
      <c r="S620" s="6"/>
    </row>
    <row r="621" spans="6:19">
      <c r="F621" s="5">
        <f t="shared" si="69"/>
        <v>1.9574124836155003E-13</v>
      </c>
      <c r="G621" s="4">
        <f t="shared" si="66"/>
        <v>1064224075207.4081</v>
      </c>
      <c r="H621" s="3">
        <f t="shared" si="67"/>
        <v>0.20831254901751417</v>
      </c>
      <c r="I621">
        <f t="shared" si="68"/>
        <v>221691229832.26187</v>
      </c>
      <c r="J621" s="6"/>
      <c r="K621" s="6"/>
      <c r="L621" s="6"/>
      <c r="M621" s="6"/>
      <c r="N621" s="6"/>
      <c r="O621" s="6"/>
      <c r="P621" s="6"/>
      <c r="Q621" s="6"/>
      <c r="R621" s="6"/>
      <c r="S621" s="6"/>
    </row>
    <row r="622" spans="6:19">
      <c r="F622" s="5">
        <f t="shared" si="69"/>
        <v>1.8630933811926244E-13</v>
      </c>
      <c r="G622" s="4">
        <f t="shared" si="66"/>
        <v>1090829677087.5931</v>
      </c>
      <c r="H622" s="3">
        <f t="shared" si="67"/>
        <v>0.20323175513903824</v>
      </c>
      <c r="I622">
        <f t="shared" si="68"/>
        <v>221691229832.26187</v>
      </c>
      <c r="J622" s="6"/>
      <c r="K622" s="6"/>
      <c r="L622" s="6"/>
      <c r="M622" s="6"/>
      <c r="N622" s="6"/>
      <c r="O622" s="6"/>
      <c r="P622" s="6"/>
      <c r="Q622" s="6"/>
      <c r="R622" s="6"/>
      <c r="S622" s="6"/>
    </row>
    <row r="623" spans="6:19">
      <c r="F623" s="5">
        <f t="shared" si="69"/>
        <v>1.7733191016705523E-13</v>
      </c>
      <c r="G623" s="4">
        <f t="shared" si="66"/>
        <v>1118100419014.783</v>
      </c>
      <c r="H623" s="3">
        <f t="shared" si="67"/>
        <v>0.19827488306247631</v>
      </c>
      <c r="I623">
        <f t="shared" si="68"/>
        <v>221691229832.26187</v>
      </c>
      <c r="J623" s="6"/>
      <c r="K623" s="6"/>
      <c r="L623" s="6"/>
      <c r="M623" s="6"/>
      <c r="N623" s="6"/>
      <c r="O623" s="6"/>
      <c r="P623" s="6"/>
      <c r="Q623" s="6"/>
      <c r="R623" s="6"/>
      <c r="S623" s="6"/>
    </row>
    <row r="624" spans="6:19">
      <c r="F624" s="5">
        <f t="shared" si="69"/>
        <v>1.6878706500136141E-13</v>
      </c>
      <c r="G624" s="4">
        <f t="shared" si="66"/>
        <v>1146052929490.1523</v>
      </c>
      <c r="H624" s="3">
        <f t="shared" si="67"/>
        <v>0.19343891030485499</v>
      </c>
      <c r="I624">
        <f t="shared" si="68"/>
        <v>221691229832.26187</v>
      </c>
      <c r="J624" s="6"/>
      <c r="K624" s="6"/>
      <c r="L624" s="6"/>
      <c r="M624" s="6"/>
      <c r="N624" s="6"/>
      <c r="O624" s="6"/>
      <c r="P624" s="6"/>
      <c r="Q624" s="6"/>
      <c r="R624" s="6"/>
      <c r="S624" s="6"/>
    </row>
    <row r="625" spans="6:19">
      <c r="F625" s="5">
        <f t="shared" si="69"/>
        <v>1.6065395835941599E-13</v>
      </c>
      <c r="G625" s="4">
        <f t="shared" ref="G625:G688" si="70">G624*(1+$O$1)</f>
        <v>1174704252727.406</v>
      </c>
      <c r="H625" s="3">
        <f t="shared" si="67"/>
        <v>0.18872088810229756</v>
      </c>
      <c r="I625">
        <f t="shared" si="68"/>
        <v>221691229832.26187</v>
      </c>
      <c r="J625" s="6"/>
      <c r="K625" s="6"/>
      <c r="L625" s="6"/>
      <c r="M625" s="6"/>
      <c r="N625" s="6"/>
      <c r="O625" s="6"/>
      <c r="P625" s="6"/>
      <c r="Q625" s="6"/>
      <c r="R625" s="6"/>
      <c r="S625" s="6"/>
    </row>
    <row r="626" spans="6:19">
      <c r="F626" s="5">
        <f t="shared" si="69"/>
        <v>1.5291275037184154E-13</v>
      </c>
      <c r="G626" s="4">
        <f t="shared" si="70"/>
        <v>1204071859045.5911</v>
      </c>
      <c r="H626" s="3">
        <f t="shared" ref="H626:H689" si="71">I626/G626</f>
        <v>0.18411793961199763</v>
      </c>
      <c r="I626">
        <f t="shared" ref="I626:I689" si="72">I625</f>
        <v>221691229832.26187</v>
      </c>
      <c r="J626" s="6"/>
      <c r="K626" s="6"/>
      <c r="L626" s="6"/>
      <c r="M626" s="6"/>
      <c r="N626" s="6"/>
      <c r="O626" s="6"/>
      <c r="P626" s="6"/>
      <c r="Q626" s="6"/>
      <c r="R626" s="6"/>
      <c r="S626" s="6"/>
    </row>
    <row r="627" spans="6:19">
      <c r="F627" s="5">
        <f t="shared" si="69"/>
        <v>1.4554455716534594E-13</v>
      </c>
      <c r="G627" s="4">
        <f t="shared" si="70"/>
        <v>1234173655521.7307</v>
      </c>
      <c r="H627" s="3">
        <f t="shared" si="71"/>
        <v>0.1796272581580465</v>
      </c>
      <c r="I627">
        <f t="shared" si="72"/>
        <v>221691229832.26187</v>
      </c>
      <c r="J627" s="6"/>
      <c r="K627" s="6"/>
      <c r="L627" s="6"/>
      <c r="M627" s="6"/>
      <c r="N627" s="6"/>
      <c r="O627" s="6"/>
      <c r="P627" s="6"/>
      <c r="Q627" s="6"/>
      <c r="R627" s="6"/>
      <c r="S627" s="6"/>
    </row>
    <row r="628" spans="6:19">
      <c r="F628" s="5">
        <f t="shared" si="69"/>
        <v>1.3853140479747384E-13</v>
      </c>
      <c r="G628" s="4">
        <f t="shared" si="70"/>
        <v>1265027996909.7739</v>
      </c>
      <c r="H628" s="3">
        <f t="shared" si="71"/>
        <v>0.17524610552004538</v>
      </c>
      <c r="I628">
        <f t="shared" si="72"/>
        <v>221691229832.26187</v>
      </c>
      <c r="J628" s="6"/>
      <c r="K628" s="6"/>
      <c r="L628" s="6"/>
      <c r="M628" s="6"/>
      <c r="N628" s="6"/>
      <c r="O628" s="6"/>
      <c r="P628" s="6"/>
      <c r="Q628" s="6"/>
      <c r="R628" s="6"/>
      <c r="S628" s="6"/>
    </row>
    <row r="629" spans="6:19">
      <c r="F629" s="5">
        <f t="shared" si="69"/>
        <v>1.3185618541103998E-13</v>
      </c>
      <c r="G629" s="4">
        <f t="shared" si="70"/>
        <v>1296653696832.5181</v>
      </c>
      <c r="H629" s="3">
        <f t="shared" si="71"/>
        <v>0.17097181026345892</v>
      </c>
      <c r="I629">
        <f t="shared" si="72"/>
        <v>221691229832.26187</v>
      </c>
      <c r="J629" s="6"/>
      <c r="K629" s="6"/>
      <c r="L629" s="6"/>
      <c r="M629" s="6"/>
      <c r="N629" s="6"/>
      <c r="O629" s="6"/>
      <c r="P629" s="6"/>
      <c r="Q629" s="6"/>
      <c r="R629" s="6"/>
      <c r="S629" s="6"/>
    </row>
    <row r="630" spans="6:19">
      <c r="F630" s="5">
        <f t="shared" si="69"/>
        <v>1.2550261550128737E-13</v>
      </c>
      <c r="G630" s="4">
        <f t="shared" si="70"/>
        <v>1329070039253.3308</v>
      </c>
      <c r="H630" s="3">
        <f t="shared" si="71"/>
        <v>0.16680176611069167</v>
      </c>
      <c r="I630">
        <f t="shared" si="72"/>
        <v>221691229832.26187</v>
      </c>
      <c r="J630" s="6"/>
      <c r="K630" s="6"/>
      <c r="L630" s="6"/>
      <c r="M630" s="6"/>
      <c r="N630" s="6"/>
      <c r="O630" s="6"/>
      <c r="P630" s="6"/>
      <c r="Q630" s="6"/>
      <c r="R630" s="6"/>
      <c r="S630" s="6"/>
    </row>
    <row r="631" spans="6:19">
      <c r="F631" s="5">
        <f t="shared" si="69"/>
        <v>1.1945519619396773E-13</v>
      </c>
      <c r="G631" s="4">
        <f t="shared" si="70"/>
        <v>1362296790234.6641</v>
      </c>
      <c r="H631" s="3">
        <f t="shared" si="71"/>
        <v>0.1627334303518943</v>
      </c>
      <c r="I631">
        <f t="shared" si="72"/>
        <v>221691229832.26187</v>
      </c>
      <c r="J631" s="6"/>
      <c r="K631" s="6"/>
      <c r="L631" s="6"/>
      <c r="M631" s="6"/>
      <c r="N631" s="6"/>
      <c r="O631" s="6"/>
      <c r="P631" s="6"/>
      <c r="Q631" s="6"/>
      <c r="R631" s="6"/>
      <c r="S631" s="6"/>
    </row>
    <row r="632" spans="6:19">
      <c r="F632" s="5">
        <f t="shared" si="69"/>
        <v>1.1369917543744701E-13</v>
      </c>
      <c r="G632" s="4">
        <f t="shared" si="70"/>
        <v>1396354209990.5305</v>
      </c>
      <c r="H632" s="3">
        <f t="shared" si="71"/>
        <v>0.15876432229453105</v>
      </c>
      <c r="I632">
        <f t="shared" si="72"/>
        <v>221691229832.26187</v>
      </c>
      <c r="J632" s="6"/>
      <c r="K632" s="6"/>
      <c r="L632" s="6"/>
      <c r="M632" s="6"/>
      <c r="N632" s="6"/>
      <c r="O632" s="6"/>
      <c r="P632" s="6"/>
      <c r="Q632" s="6"/>
      <c r="R632" s="6"/>
      <c r="S632" s="6"/>
    </row>
    <row r="633" spans="6:19">
      <c r="F633" s="5">
        <f t="shared" si="69"/>
        <v>1.0822051201660632E-13</v>
      </c>
      <c r="G633" s="4">
        <f t="shared" si="70"/>
        <v>1431263065240.2937</v>
      </c>
      <c r="H633" s="3">
        <f t="shared" si="71"/>
        <v>0.154892021750762</v>
      </c>
      <c r="I633">
        <f t="shared" si="72"/>
        <v>221691229832.26187</v>
      </c>
      <c r="J633" s="6"/>
      <c r="K633" s="6"/>
      <c r="L633" s="6"/>
      <c r="M633" s="6"/>
      <c r="N633" s="6"/>
      <c r="O633" s="6"/>
      <c r="P633" s="6"/>
      <c r="Q633" s="6"/>
      <c r="R633" s="6"/>
      <c r="S633" s="6"/>
    </row>
    <row r="634" spans="6:19">
      <c r="F634" s="5">
        <f t="shared" si="69"/>
        <v>1.0300584130075557E-13</v>
      </c>
      <c r="G634" s="4">
        <f t="shared" si="70"/>
        <v>1467044641871.301</v>
      </c>
      <c r="H634" s="3">
        <f t="shared" si="71"/>
        <v>0.15111416756171903</v>
      </c>
      <c r="I634">
        <f t="shared" si="72"/>
        <v>221691229832.26187</v>
      </c>
      <c r="J634" s="6"/>
      <c r="K634" s="6"/>
      <c r="L634" s="6"/>
      <c r="M634" s="6"/>
      <c r="N634" s="6"/>
      <c r="O634" s="6"/>
      <c r="P634" s="6"/>
      <c r="Q634" s="6"/>
      <c r="R634" s="6"/>
      <c r="S634" s="6"/>
    </row>
    <row r="635" spans="6:19">
      <c r="F635" s="5">
        <f t="shared" si="69"/>
        <v>9.8042442642004117E-14</v>
      </c>
      <c r="G635" s="4">
        <f t="shared" si="70"/>
        <v>1503720757918.0835</v>
      </c>
      <c r="H635" s="3">
        <f t="shared" si="71"/>
        <v>0.14742845615777467</v>
      </c>
      <c r="I635">
        <f t="shared" si="72"/>
        <v>221691229832.26187</v>
      </c>
      <c r="J635" s="6"/>
      <c r="K635" s="6"/>
      <c r="L635" s="6"/>
      <c r="M635" s="6"/>
      <c r="N635" s="6"/>
      <c r="O635" s="6"/>
      <c r="P635" s="6"/>
      <c r="Q635" s="6"/>
      <c r="R635" s="6"/>
      <c r="S635" s="6"/>
    </row>
    <row r="636" spans="6:19">
      <c r="F636" s="5">
        <f t="shared" si="69"/>
        <v>9.3318208344560756E-14</v>
      </c>
      <c r="G636" s="4">
        <f t="shared" si="70"/>
        <v>1541313776866.0354</v>
      </c>
      <c r="H636" s="3">
        <f t="shared" si="71"/>
        <v>0.14383264015392652</v>
      </c>
      <c r="I636">
        <f t="shared" si="72"/>
        <v>221691229832.26187</v>
      </c>
      <c r="J636" s="6"/>
      <c r="K636" s="6"/>
      <c r="L636" s="6"/>
      <c r="M636" s="6"/>
      <c r="N636" s="6"/>
      <c r="O636" s="6"/>
      <c r="P636" s="6"/>
      <c r="Q636" s="6"/>
      <c r="R636" s="6"/>
      <c r="S636" s="6"/>
    </row>
    <row r="637" spans="6:19">
      <c r="F637" s="5">
        <f t="shared" si="69"/>
        <v>8.8821614129266667E-14</v>
      </c>
      <c r="G637" s="4">
        <f t="shared" si="70"/>
        <v>1579846621287.686</v>
      </c>
      <c r="H637" s="3">
        <f t="shared" si="71"/>
        <v>0.14032452697944053</v>
      </c>
      <c r="I637">
        <f t="shared" si="72"/>
        <v>221691229832.26187</v>
      </c>
      <c r="J637" s="6"/>
      <c r="K637" s="6"/>
      <c r="L637" s="6"/>
      <c r="M637" s="6"/>
      <c r="N637" s="6"/>
      <c r="O637" s="6"/>
      <c r="P637" s="6"/>
      <c r="Q637" s="6"/>
      <c r="R637" s="6"/>
      <c r="S637" s="6"/>
    </row>
    <row r="638" spans="6:19">
      <c r="F638" s="5">
        <f t="shared" si="69"/>
        <v>8.4541691021312741E-14</v>
      </c>
      <c r="G638" s="4">
        <f t="shared" si="70"/>
        <v>1619342786819.8779</v>
      </c>
      <c r="H638" s="3">
        <f t="shared" si="71"/>
        <v>0.13690197754091762</v>
      </c>
      <c r="I638">
        <f t="shared" si="72"/>
        <v>221691229832.26187</v>
      </c>
      <c r="J638" s="6"/>
      <c r="K638" s="6"/>
      <c r="L638" s="6"/>
      <c r="M638" s="6"/>
      <c r="N638" s="6"/>
      <c r="O638" s="6"/>
      <c r="P638" s="6"/>
      <c r="Q638" s="6"/>
      <c r="R638" s="6"/>
      <c r="S638" s="6"/>
    </row>
    <row r="639" spans="6:19">
      <c r="F639" s="5">
        <f t="shared" si="69"/>
        <v>8.0467998592564182E-14</v>
      </c>
      <c r="G639" s="4">
        <f t="shared" si="70"/>
        <v>1659826356490.3748</v>
      </c>
      <c r="H639" s="3">
        <f t="shared" si="71"/>
        <v>0.13356290491796841</v>
      </c>
      <c r="I639">
        <f t="shared" si="72"/>
        <v>221691229832.26187</v>
      </c>
      <c r="J639" s="6"/>
      <c r="K639" s="6"/>
      <c r="L639" s="6"/>
      <c r="M639" s="6"/>
      <c r="N639" s="6"/>
      <c r="O639" s="6"/>
      <c r="P639" s="6"/>
      <c r="Q639" s="6"/>
      <c r="R639" s="6"/>
      <c r="S639" s="6"/>
    </row>
    <row r="640" spans="6:19">
      <c r="F640" s="5">
        <f t="shared" si="69"/>
        <v>7.6590599493219925E-14</v>
      </c>
      <c r="G640" s="4">
        <f t="shared" si="70"/>
        <v>1701322015402.634</v>
      </c>
      <c r="H640" s="3">
        <f t="shared" si="71"/>
        <v>0.13030527309070089</v>
      </c>
      <c r="I640">
        <f t="shared" si="72"/>
        <v>221691229832.26187</v>
      </c>
      <c r="J640" s="6"/>
      <c r="K640" s="6"/>
      <c r="L640" s="6"/>
      <c r="M640" s="6"/>
      <c r="N640" s="6"/>
      <c r="O640" s="6"/>
      <c r="P640" s="6"/>
      <c r="Q640" s="6"/>
      <c r="R640" s="6"/>
      <c r="S640" s="6"/>
    </row>
    <row r="641" spans="6:19">
      <c r="F641" s="5">
        <f t="shared" si="69"/>
        <v>7.2900035210679312E-14</v>
      </c>
      <c r="G641" s="4">
        <f t="shared" si="70"/>
        <v>1743855065787.6997</v>
      </c>
      <c r="H641" s="3">
        <f t="shared" si="71"/>
        <v>0.12712709569824479</v>
      </c>
      <c r="I641">
        <f t="shared" si="72"/>
        <v>221691229832.26187</v>
      </c>
      <c r="J641" s="6"/>
      <c r="K641" s="6"/>
      <c r="L641" s="6"/>
      <c r="M641" s="6"/>
      <c r="N641" s="6"/>
      <c r="O641" s="6"/>
      <c r="P641" s="6"/>
      <c r="Q641" s="6"/>
      <c r="R641" s="6"/>
      <c r="S641" s="6"/>
    </row>
    <row r="642" spans="6:19">
      <c r="F642" s="5">
        <f t="shared" si="69"/>
        <v>6.9387302996482395E-14</v>
      </c>
      <c r="G642" s="4">
        <f t="shared" si="70"/>
        <v>1787451442432.3921</v>
      </c>
      <c r="H642" s="3">
        <f t="shared" si="71"/>
        <v>0.1240264348275559</v>
      </c>
      <c r="I642">
        <f t="shared" si="72"/>
        <v>221691229832.26187</v>
      </c>
      <c r="J642" s="6"/>
      <c r="K642" s="6"/>
      <c r="L642" s="6"/>
      <c r="M642" s="6"/>
      <c r="N642" s="6"/>
      <c r="O642" s="6"/>
      <c r="P642" s="6"/>
      <c r="Q642" s="6"/>
      <c r="R642" s="6"/>
      <c r="S642" s="6"/>
    </row>
    <row r="643" spans="6:19">
      <c r="F643" s="5">
        <f t="shared" si="69"/>
        <v>6.6043833905039783E-14</v>
      </c>
      <c r="G643" s="4">
        <f t="shared" si="70"/>
        <v>1832137728493.2017</v>
      </c>
      <c r="H643" s="3">
        <f t="shared" si="71"/>
        <v>0.12100139983176188</v>
      </c>
      <c r="I643">
        <f t="shared" si="72"/>
        <v>221691229832.26187</v>
      </c>
      <c r="J643" s="6"/>
      <c r="K643" s="6"/>
      <c r="L643" s="6"/>
      <c r="M643" s="6"/>
      <c r="N643" s="6"/>
      <c r="O643" s="6"/>
      <c r="P643" s="6"/>
      <c r="Q643" s="6"/>
      <c r="R643" s="6"/>
      <c r="S643" s="6"/>
    </row>
    <row r="644" spans="6:19">
      <c r="F644" s="5">
        <f t="shared" si="69"/>
        <v>6.2861471890579221E-14</v>
      </c>
      <c r="G644" s="4">
        <f t="shared" si="70"/>
        <v>1877941171705.5315</v>
      </c>
      <c r="H644" s="3">
        <f t="shared" si="71"/>
        <v>0.11805014617732867</v>
      </c>
      <c r="I644">
        <f t="shared" si="72"/>
        <v>221691229832.26187</v>
      </c>
      <c r="J644" s="6"/>
      <c r="K644" s="6"/>
      <c r="L644" s="6"/>
      <c r="M644" s="6"/>
      <c r="N644" s="6"/>
      <c r="O644" s="6"/>
      <c r="P644" s="6"/>
      <c r="Q644" s="6"/>
      <c r="R644" s="6"/>
      <c r="S644" s="6"/>
    </row>
    <row r="645" spans="6:19">
      <c r="F645" s="5">
        <f t="shared" si="69"/>
        <v>5.9832453911318714E-14</v>
      </c>
      <c r="G645" s="4">
        <f t="shared" si="70"/>
        <v>1924889700998.1697</v>
      </c>
      <c r="H645" s="3">
        <f t="shared" si="71"/>
        <v>0.11517087431934504</v>
      </c>
      <c r="I645">
        <f t="shared" si="72"/>
        <v>221691229832.26187</v>
      </c>
      <c r="J645" s="6"/>
      <c r="K645" s="6"/>
      <c r="L645" s="6"/>
      <c r="M645" s="6"/>
      <c r="N645" s="6"/>
      <c r="O645" s="6"/>
      <c r="P645" s="6"/>
      <c r="Q645" s="6"/>
      <c r="R645" s="6"/>
      <c r="S645" s="6"/>
    </row>
    <row r="646" spans="6:19">
      <c r="F646" s="5">
        <f t="shared" si="69"/>
        <v>5.6949390992331921E-14</v>
      </c>
      <c r="G646" s="4">
        <f t="shared" si="70"/>
        <v>1973011943523.1238</v>
      </c>
      <c r="H646" s="3">
        <f t="shared" si="71"/>
        <v>0.11236182860423909</v>
      </c>
      <c r="I646">
        <f t="shared" si="72"/>
        <v>221691229832.26187</v>
      </c>
      <c r="J646" s="6"/>
      <c r="K646" s="6"/>
      <c r="L646" s="6"/>
      <c r="M646" s="6"/>
      <c r="N646" s="6"/>
      <c r="O646" s="6"/>
      <c r="P646" s="6"/>
      <c r="Q646" s="6"/>
      <c r="R646" s="6"/>
      <c r="S646" s="6"/>
    </row>
    <row r="647" spans="6:19">
      <c r="F647" s="5">
        <f t="shared" si="69"/>
        <v>5.4205250200910819E-14</v>
      </c>
      <c r="G647" s="4">
        <f t="shared" si="70"/>
        <v>2022337242111.2017</v>
      </c>
      <c r="H647" s="3">
        <f t="shared" si="71"/>
        <v>0.10962129619925765</v>
      </c>
      <c r="I647">
        <f t="shared" si="72"/>
        <v>221691229832.26187</v>
      </c>
      <c r="J647" s="6"/>
      <c r="K647" s="6"/>
      <c r="L647" s="6"/>
      <c r="M647" s="6"/>
      <c r="N647" s="6"/>
      <c r="O647" s="6"/>
      <c r="P647" s="6"/>
      <c r="Q647" s="6"/>
      <c r="R647" s="6"/>
      <c r="S647" s="6"/>
    </row>
    <row r="648" spans="6:19">
      <c r="F648" s="5">
        <f t="shared" si="69"/>
        <v>5.1593337490456474E-14</v>
      </c>
      <c r="G648" s="4">
        <f t="shared" si="70"/>
        <v>2072895673163.9814</v>
      </c>
      <c r="H648" s="3">
        <f t="shared" si="71"/>
        <v>0.10694760604805625</v>
      </c>
      <c r="I648">
        <f t="shared" si="72"/>
        <v>221691229832.26187</v>
      </c>
      <c r="J648" s="6"/>
      <c r="K648" s="6"/>
      <c r="L648" s="6"/>
      <c r="M648" s="6"/>
      <c r="N648" s="6"/>
      <c r="O648" s="6"/>
      <c r="P648" s="6"/>
      <c r="Q648" s="6"/>
      <c r="R648" s="6"/>
      <c r="S648" s="6"/>
    </row>
    <row r="649" spans="6:19">
      <c r="F649" s="5">
        <f t="shared" ref="F649:F712" si="73">H649/G649</f>
        <v>4.9107281371047216E-14</v>
      </c>
      <c r="G649" s="4">
        <f t="shared" si="70"/>
        <v>2124718064993.0808</v>
      </c>
      <c r="H649" s="3">
        <f t="shared" si="71"/>
        <v>0.10433912785176221</v>
      </c>
      <c r="I649">
        <f t="shared" si="72"/>
        <v>221691229832.26187</v>
      </c>
      <c r="J649" s="6"/>
      <c r="K649" s="6"/>
      <c r="L649" s="6"/>
      <c r="M649" s="6"/>
      <c r="N649" s="6"/>
      <c r="O649" s="6"/>
      <c r="P649" s="6"/>
      <c r="Q649" s="6"/>
      <c r="R649" s="6"/>
      <c r="S649" s="6"/>
    </row>
    <row r="650" spans="6:19">
      <c r="F650" s="5">
        <f t="shared" si="73"/>
        <v>4.6741017366850422E-14</v>
      </c>
      <c r="G650" s="4">
        <f t="shared" si="70"/>
        <v>2177836016617.9077</v>
      </c>
      <c r="H650" s="3">
        <f t="shared" si="71"/>
        <v>0.10179427107488997</v>
      </c>
      <c r="I650">
        <f t="shared" si="72"/>
        <v>221691229832.26187</v>
      </c>
      <c r="J650" s="6"/>
      <c r="K650" s="6"/>
      <c r="L650" s="6"/>
      <c r="M650" s="6"/>
      <c r="N650" s="6"/>
      <c r="O650" s="6"/>
      <c r="P650" s="6"/>
      <c r="Q650" s="6"/>
      <c r="R650" s="6"/>
      <c r="S650" s="6"/>
    </row>
    <row r="651" spans="6:19">
      <c r="F651" s="5">
        <f t="shared" si="73"/>
        <v>4.4488773222463239E-14</v>
      </c>
      <c r="G651" s="4">
        <f t="shared" si="70"/>
        <v>2232281917033.355</v>
      </c>
      <c r="H651" s="3">
        <f t="shared" si="71"/>
        <v>9.9311483975502421E-2</v>
      </c>
      <c r="I651">
        <f t="shared" si="72"/>
        <v>221691229832.26187</v>
      </c>
      <c r="J651" s="6"/>
      <c r="K651" s="6"/>
      <c r="L651" s="6"/>
      <c r="M651" s="6"/>
      <c r="N651" s="6"/>
      <c r="O651" s="6"/>
      <c r="P651" s="6"/>
      <c r="Q651" s="6"/>
      <c r="R651" s="6"/>
      <c r="S651" s="6"/>
    </row>
    <row r="652" spans="6:19">
      <c r="F652" s="5">
        <f t="shared" si="73"/>
        <v>4.2345054822094711E-14</v>
      </c>
      <c r="G652" s="4">
        <f t="shared" si="70"/>
        <v>2288088964959.1885</v>
      </c>
      <c r="H652" s="3">
        <f t="shared" si="71"/>
        <v>9.6889252659026773E-2</v>
      </c>
      <c r="I652">
        <f t="shared" si="72"/>
        <v>221691229832.26187</v>
      </c>
      <c r="J652" s="6"/>
      <c r="K652" s="6"/>
      <c r="L652" s="6"/>
      <c r="M652" s="6"/>
      <c r="N652" s="6"/>
      <c r="O652" s="6"/>
      <c r="P652" s="6"/>
      <c r="Q652" s="6"/>
      <c r="R652" s="6"/>
      <c r="S652" s="6"/>
    </row>
    <row r="653" spans="6:19">
      <c r="F653" s="5">
        <f t="shared" si="73"/>
        <v>4.0304632787240656E-14</v>
      </c>
      <c r="G653" s="4">
        <f t="shared" si="70"/>
        <v>2345291189083.168</v>
      </c>
      <c r="H653" s="3">
        <f t="shared" si="71"/>
        <v>9.4526100155148077E-2</v>
      </c>
      <c r="I653">
        <f t="shared" si="72"/>
        <v>221691229832.26187</v>
      </c>
      <c r="J653" s="6"/>
      <c r="K653" s="6"/>
      <c r="L653" s="6"/>
      <c r="M653" s="6"/>
      <c r="N653" s="6"/>
      <c r="O653" s="6"/>
      <c r="P653" s="6"/>
      <c r="Q653" s="6"/>
      <c r="R653" s="6"/>
      <c r="S653" s="6"/>
    </row>
    <row r="654" spans="6:19">
      <c r="F654" s="5">
        <f t="shared" si="73"/>
        <v>3.8362529720157677E-14</v>
      </c>
      <c r="G654" s="4">
        <f t="shared" si="70"/>
        <v>2403923468810.2471</v>
      </c>
      <c r="H654" s="3">
        <f t="shared" si="71"/>
        <v>9.2220585517217638E-2</v>
      </c>
      <c r="I654">
        <f t="shared" si="72"/>
        <v>221691229832.26187</v>
      </c>
      <c r="J654" s="6"/>
      <c r="K654" s="6"/>
      <c r="L654" s="6"/>
      <c r="M654" s="6"/>
      <c r="N654" s="6"/>
      <c r="O654" s="6"/>
      <c r="P654" s="6"/>
      <c r="Q654" s="6"/>
      <c r="R654" s="6"/>
      <c r="S654" s="6"/>
    </row>
    <row r="655" spans="6:19">
      <c r="F655" s="5">
        <f t="shared" si="73"/>
        <v>3.6514008062018028E-14</v>
      </c>
      <c r="G655" s="4">
        <f t="shared" si="70"/>
        <v>2464021555530.5029</v>
      </c>
      <c r="H655" s="3">
        <f t="shared" si="71"/>
        <v>8.9971302943626985E-2</v>
      </c>
      <c r="I655">
        <f t="shared" si="72"/>
        <v>221691229832.26187</v>
      </c>
      <c r="J655" s="6"/>
      <c r="K655" s="6"/>
      <c r="L655" s="6"/>
      <c r="M655" s="6"/>
      <c r="N655" s="6"/>
      <c r="O655" s="6"/>
      <c r="P655" s="6"/>
      <c r="Q655" s="6"/>
      <c r="R655" s="6"/>
      <c r="S655" s="6"/>
    </row>
    <row r="656" spans="6:19">
      <c r="F656" s="5">
        <f t="shared" si="73"/>
        <v>3.4754558536126623E-14</v>
      </c>
      <c r="G656" s="4">
        <f t="shared" si="70"/>
        <v>2525622094418.7651</v>
      </c>
      <c r="H656" s="3">
        <f t="shared" si="71"/>
        <v>8.77768809206117E-2</v>
      </c>
      <c r="I656">
        <f t="shared" si="72"/>
        <v>221691229832.26187</v>
      </c>
      <c r="J656" s="6"/>
      <c r="K656" s="6"/>
      <c r="L656" s="6"/>
      <c r="M656" s="6"/>
      <c r="N656" s="6"/>
      <c r="O656" s="6"/>
      <c r="P656" s="6"/>
      <c r="Q656" s="6"/>
      <c r="R656" s="6"/>
      <c r="S656" s="6"/>
    </row>
    <row r="657" spans="6:19">
      <c r="F657" s="5">
        <f t="shared" si="73"/>
        <v>3.3079889148008699E-14</v>
      </c>
      <c r="G657" s="4">
        <f t="shared" si="70"/>
        <v>2588762646779.2339</v>
      </c>
      <c r="H657" s="3">
        <f t="shared" si="71"/>
        <v>8.5635981385962651E-2</v>
      </c>
      <c r="I657">
        <f t="shared" si="72"/>
        <v>221691229832.26187</v>
      </c>
      <c r="J657" s="6"/>
      <c r="K657" s="6"/>
      <c r="L657" s="6"/>
      <c r="M657" s="6"/>
      <c r="N657" s="6"/>
      <c r="O657" s="6"/>
      <c r="P657" s="6"/>
      <c r="Q657" s="6"/>
      <c r="R657" s="6"/>
      <c r="S657" s="6"/>
    </row>
    <row r="658" spans="6:19">
      <c r="F658" s="5">
        <f t="shared" si="73"/>
        <v>3.1485914715534754E-14</v>
      </c>
      <c r="G658" s="4">
        <f t="shared" si="70"/>
        <v>2653481712948.7144</v>
      </c>
      <c r="H658" s="3">
        <f t="shared" si="71"/>
        <v>8.3547298913134296E-2</v>
      </c>
      <c r="I658">
        <f t="shared" si="72"/>
        <v>221691229832.26187</v>
      </c>
      <c r="J658" s="6"/>
      <c r="K658" s="6"/>
      <c r="L658" s="6"/>
      <c r="M658" s="6"/>
      <c r="N658" s="6"/>
      <c r="O658" s="6"/>
      <c r="P658" s="6"/>
      <c r="Q658" s="6"/>
      <c r="R658" s="6"/>
      <c r="S658" s="6"/>
    </row>
    <row r="659" spans="6:19">
      <c r="F659" s="5">
        <f t="shared" si="73"/>
        <v>2.99687469035429E-14</v>
      </c>
      <c r="G659" s="4">
        <f t="shared" si="70"/>
        <v>2719818755772.4321</v>
      </c>
      <c r="H659" s="3">
        <f t="shared" si="71"/>
        <v>8.150955991525298E-2</v>
      </c>
      <c r="I659">
        <f t="shared" si="72"/>
        <v>221691229832.26187</v>
      </c>
      <c r="J659" s="6"/>
      <c r="K659" s="6"/>
      <c r="L659" s="6"/>
      <c r="M659" s="6"/>
      <c r="N659" s="6"/>
      <c r="O659" s="6"/>
      <c r="P659" s="6"/>
      <c r="Q659" s="6"/>
      <c r="R659" s="6"/>
      <c r="S659" s="6"/>
    </row>
    <row r="660" spans="6:19">
      <c r="F660" s="5">
        <f t="shared" si="73"/>
        <v>2.8524684738648808E-14</v>
      </c>
      <c r="G660" s="4">
        <f t="shared" si="70"/>
        <v>2787814224666.7427</v>
      </c>
      <c r="H660" s="3">
        <f t="shared" si="71"/>
        <v>7.9521521868539502E-2</v>
      </c>
      <c r="I660">
        <f t="shared" si="72"/>
        <v>221691229832.26187</v>
      </c>
      <c r="J660" s="6"/>
      <c r="K660" s="6"/>
      <c r="L660" s="6"/>
      <c r="M660" s="6"/>
      <c r="N660" s="6"/>
      <c r="O660" s="6"/>
      <c r="P660" s="6"/>
      <c r="Q660" s="6"/>
      <c r="R660" s="6"/>
      <c r="S660" s="6"/>
    </row>
    <row r="661" spans="6:19">
      <c r="F661" s="5">
        <f t="shared" si="73"/>
        <v>2.7150205581105353E-14</v>
      </c>
      <c r="G661" s="4">
        <f t="shared" si="70"/>
        <v>2857509580283.4111</v>
      </c>
      <c r="H661" s="3">
        <f t="shared" si="71"/>
        <v>7.7581972554672682E-2</v>
      </c>
      <c r="I661">
        <f t="shared" si="72"/>
        <v>221691229832.26187</v>
      </c>
      <c r="J661" s="6"/>
      <c r="K661" s="6"/>
      <c r="L661" s="6"/>
      <c r="M661" s="6"/>
      <c r="N661" s="6"/>
      <c r="O661" s="6"/>
      <c r="P661" s="6"/>
      <c r="Q661" s="6"/>
      <c r="R661" s="6"/>
      <c r="S661" s="6"/>
    </row>
    <row r="662" spans="6:19">
      <c r="F662" s="5">
        <f t="shared" si="73"/>
        <v>2.5841956531688623E-14</v>
      </c>
      <c r="G662" s="4">
        <f t="shared" si="70"/>
        <v>2928947319790.4961</v>
      </c>
      <c r="H662" s="3">
        <f t="shared" si="71"/>
        <v>7.5689729321631899E-2</v>
      </c>
      <c r="I662">
        <f t="shared" si="72"/>
        <v>221691229832.26187</v>
      </c>
      <c r="J662" s="6"/>
      <c r="K662" s="6"/>
      <c r="L662" s="6"/>
      <c r="M662" s="6"/>
      <c r="N662" s="6"/>
      <c r="O662" s="6"/>
      <c r="P662" s="6"/>
      <c r="Q662" s="6"/>
      <c r="R662" s="6"/>
      <c r="S662" s="6"/>
    </row>
    <row r="663" spans="6:19">
      <c r="F663" s="5">
        <f t="shared" si="73"/>
        <v>2.4596746252648308E-14</v>
      </c>
      <c r="G663" s="4">
        <f t="shared" si="70"/>
        <v>3002171002785.2583</v>
      </c>
      <c r="H663" s="3">
        <f t="shared" si="71"/>
        <v>7.3843638362567715E-2</v>
      </c>
      <c r="I663">
        <f t="shared" si="72"/>
        <v>221691229832.26187</v>
      </c>
      <c r="J663" s="6"/>
      <c r="K663" s="6"/>
      <c r="L663" s="6"/>
      <c r="M663" s="6"/>
      <c r="N663" s="6"/>
      <c r="O663" s="6"/>
      <c r="P663" s="6"/>
      <c r="Q663" s="6"/>
      <c r="R663" s="6"/>
      <c r="S663" s="6"/>
    </row>
    <row r="664" spans="6:19">
      <c r="F664" s="5">
        <f t="shared" si="73"/>
        <v>2.3411537182770548E-14</v>
      </c>
      <c r="G664" s="4">
        <f t="shared" si="70"/>
        <v>3077225277854.8896</v>
      </c>
      <c r="H664" s="3">
        <f t="shared" si="71"/>
        <v>7.2042574012261176E-2</v>
      </c>
      <c r="I664">
        <f t="shared" si="72"/>
        <v>221691229832.26187</v>
      </c>
      <c r="J664" s="6"/>
      <c r="K664" s="6"/>
      <c r="L664" s="6"/>
      <c r="M664" s="6"/>
      <c r="N664" s="6"/>
      <c r="O664" s="6"/>
      <c r="P664" s="6"/>
      <c r="Q664" s="6"/>
      <c r="R664" s="6"/>
      <c r="S664" s="6"/>
    </row>
    <row r="665" spans="6:19">
      <c r="F665" s="5">
        <f t="shared" si="73"/>
        <v>2.2283438127562693E-14</v>
      </c>
      <c r="G665" s="4">
        <f t="shared" si="70"/>
        <v>3154155909801.2617</v>
      </c>
      <c r="H665" s="3">
        <f t="shared" si="71"/>
        <v>7.0285438060742625E-2</v>
      </c>
      <c r="I665">
        <f t="shared" si="72"/>
        <v>221691229832.26187</v>
      </c>
      <c r="J665" s="6"/>
      <c r="K665" s="6"/>
      <c r="L665" s="6"/>
      <c r="M665" s="6"/>
      <c r="N665" s="6"/>
      <c r="O665" s="6"/>
      <c r="P665" s="6"/>
      <c r="Q665" s="6"/>
      <c r="R665" s="6"/>
      <c r="S665" s="6"/>
    </row>
    <row r="666" spans="6:19">
      <c r="F666" s="5">
        <f t="shared" si="73"/>
        <v>2.120969720648442E-14</v>
      </c>
      <c r="G666" s="4">
        <f t="shared" si="70"/>
        <v>3233009807546.293</v>
      </c>
      <c r="H666" s="3">
        <f t="shared" si="71"/>
        <v>6.8571159083651342E-2</v>
      </c>
      <c r="I666">
        <f t="shared" si="72"/>
        <v>221691229832.26187</v>
      </c>
      <c r="J666" s="6"/>
      <c r="K666" s="6"/>
      <c r="L666" s="6"/>
      <c r="M666" s="6"/>
      <c r="N666" s="6"/>
      <c r="O666" s="6"/>
      <c r="P666" s="6"/>
      <c r="Q666" s="6"/>
      <c r="R666" s="6"/>
      <c r="S666" s="6"/>
    </row>
    <row r="667" spans="6:19">
      <c r="F667" s="5">
        <f t="shared" si="73"/>
        <v>2.0187695140020866E-14</v>
      </c>
      <c r="G667" s="4">
        <f t="shared" si="70"/>
        <v>3313835052734.9502</v>
      </c>
      <c r="H667" s="3">
        <f t="shared" si="71"/>
        <v>6.6898691788928141E-2</v>
      </c>
      <c r="I667">
        <f t="shared" si="72"/>
        <v>221691229832.26187</v>
      </c>
      <c r="J667" s="6"/>
      <c r="K667" s="6"/>
      <c r="L667" s="6"/>
      <c r="M667" s="6"/>
      <c r="N667" s="6"/>
      <c r="O667" s="6"/>
      <c r="P667" s="6"/>
      <c r="Q667" s="6"/>
      <c r="R667" s="6"/>
      <c r="S667" s="6"/>
    </row>
    <row r="668" spans="6:19">
      <c r="F668" s="5">
        <f t="shared" si="73"/>
        <v>1.9214938860222126E-14</v>
      </c>
      <c r="G668" s="4">
        <f t="shared" si="70"/>
        <v>3396680929053.3237</v>
      </c>
      <c r="H668" s="3">
        <f t="shared" si="71"/>
        <v>6.52670163794421E-2</v>
      </c>
      <c r="I668">
        <f t="shared" si="72"/>
        <v>221691229832.26187</v>
      </c>
      <c r="J668" s="6"/>
      <c r="K668" s="6"/>
      <c r="L668" s="6"/>
      <c r="M668" s="6"/>
      <c r="N668" s="6"/>
      <c r="O668" s="6"/>
      <c r="P668" s="6"/>
      <c r="Q668" s="6"/>
      <c r="R668" s="6"/>
      <c r="S668" s="6"/>
    </row>
    <row r="669" spans="6:19">
      <c r="F669" s="5">
        <f t="shared" si="73"/>
        <v>1.8289055429122782E-14</v>
      </c>
      <c r="G669" s="4">
        <f t="shared" si="70"/>
        <v>3481597952279.6567</v>
      </c>
      <c r="H669" s="3">
        <f t="shared" si="71"/>
        <v>6.3675137931163014E-2</v>
      </c>
      <c r="I669">
        <f t="shared" si="72"/>
        <v>221691229832.26187</v>
      </c>
      <c r="J669" s="6"/>
      <c r="K669" s="6"/>
      <c r="L669" s="6"/>
      <c r="M669" s="6"/>
      <c r="N669" s="6"/>
      <c r="O669" s="6"/>
      <c r="P669" s="6"/>
      <c r="Q669" s="6"/>
      <c r="R669" s="6"/>
      <c r="S669" s="6"/>
    </row>
    <row r="670" spans="6:19">
      <c r="F670" s="5">
        <f t="shared" si="73"/>
        <v>1.7407786250206102E-14</v>
      </c>
      <c r="G670" s="4">
        <f t="shared" si="70"/>
        <v>3568637901086.6479</v>
      </c>
      <c r="H670" s="3">
        <f t="shared" si="71"/>
        <v>6.2122085786500511E-2</v>
      </c>
      <c r="I670">
        <f t="shared" si="72"/>
        <v>221691229832.26187</v>
      </c>
      <c r="J670" s="6"/>
      <c r="K670" s="6"/>
      <c r="L670" s="6"/>
      <c r="M670" s="6"/>
      <c r="N670" s="6"/>
      <c r="O670" s="6"/>
      <c r="P670" s="6"/>
      <c r="Q670" s="6"/>
      <c r="R670" s="6"/>
      <c r="S670" s="6"/>
    </row>
    <row r="671" spans="6:19">
      <c r="F671" s="5">
        <f t="shared" si="73"/>
        <v>1.6568981558792247E-14</v>
      </c>
      <c r="G671" s="4">
        <f t="shared" si="70"/>
        <v>3657853848613.814</v>
      </c>
      <c r="H671" s="3">
        <f t="shared" si="71"/>
        <v>6.060691296243953E-2</v>
      </c>
      <c r="I671">
        <f t="shared" si="72"/>
        <v>221691229832.26187</v>
      </c>
      <c r="J671" s="6"/>
      <c r="K671" s="6"/>
      <c r="L671" s="6"/>
      <c r="M671" s="6"/>
      <c r="N671" s="6"/>
      <c r="O671" s="6"/>
      <c r="P671" s="6"/>
      <c r="Q671" s="6"/>
      <c r="R671" s="6"/>
      <c r="S671" s="6"/>
    </row>
    <row r="672" spans="6:19">
      <c r="F672" s="5">
        <f t="shared" si="73"/>
        <v>1.5770595177910527E-14</v>
      </c>
      <c r="G672" s="4">
        <f t="shared" si="70"/>
        <v>3749300194829.1592</v>
      </c>
      <c r="H672" s="3">
        <f t="shared" si="71"/>
        <v>5.9128695573111734E-2</v>
      </c>
      <c r="I672">
        <f t="shared" si="72"/>
        <v>221691229832.26187</v>
      </c>
      <c r="J672" s="6"/>
      <c r="K672" s="6"/>
      <c r="L672" s="6"/>
      <c r="M672" s="6"/>
      <c r="N672" s="6"/>
      <c r="O672" s="6"/>
      <c r="P672" s="6"/>
      <c r="Q672" s="6"/>
      <c r="R672" s="6"/>
      <c r="S672" s="6"/>
    </row>
    <row r="673" spans="6:19">
      <c r="F673" s="5">
        <f t="shared" si="73"/>
        <v>1.5010679526863085E-14</v>
      </c>
      <c r="G673" s="4">
        <f t="shared" si="70"/>
        <v>3843032699699.8877</v>
      </c>
      <c r="H673" s="3">
        <f t="shared" si="71"/>
        <v>5.7686532266450478E-2</v>
      </c>
      <c r="I673">
        <f t="shared" si="72"/>
        <v>221691229832.26187</v>
      </c>
      <c r="J673" s="6"/>
      <c r="K673" s="6"/>
      <c r="L673" s="6"/>
      <c r="M673" s="6"/>
      <c r="N673" s="6"/>
      <c r="O673" s="6"/>
      <c r="P673" s="6"/>
      <c r="Q673" s="6"/>
      <c r="R673" s="6"/>
      <c r="S673" s="6"/>
    </row>
    <row r="674" spans="6:19">
      <c r="F674" s="5">
        <f t="shared" si="73"/>
        <v>1.4287380870303949E-14</v>
      </c>
      <c r="G674" s="4">
        <f t="shared" si="70"/>
        <v>3939108517192.3848</v>
      </c>
      <c r="H674" s="3">
        <f t="shared" si="71"/>
        <v>5.6279543674585833E-2</v>
      </c>
      <c r="I674">
        <f t="shared" si="72"/>
        <v>221691229832.26187</v>
      </c>
      <c r="J674" s="6"/>
      <c r="K674" s="6"/>
      <c r="L674" s="6"/>
      <c r="M674" s="6"/>
      <c r="N674" s="6"/>
      <c r="O674" s="6"/>
      <c r="P674" s="6"/>
      <c r="Q674" s="6"/>
      <c r="R674" s="6"/>
      <c r="S674" s="6"/>
    </row>
    <row r="675" spans="6:19">
      <c r="F675" s="5">
        <f t="shared" si="73"/>
        <v>1.3598934796244095E-14</v>
      </c>
      <c r="G675" s="4">
        <f t="shared" si="70"/>
        <v>4037586230122.1938</v>
      </c>
      <c r="H675" s="3">
        <f t="shared" si="71"/>
        <v>5.4906871877644724E-2</v>
      </c>
      <c r="I675">
        <f t="shared" si="72"/>
        <v>221691229832.26187</v>
      </c>
      <c r="J675" s="6"/>
      <c r="K675" s="6"/>
      <c r="L675" s="6"/>
      <c r="M675" s="6"/>
      <c r="N675" s="6"/>
      <c r="O675" s="6"/>
      <c r="P675" s="6"/>
      <c r="Q675" s="6"/>
      <c r="R675" s="6"/>
      <c r="S675" s="6"/>
    </row>
    <row r="676" spans="6:19">
      <c r="F676" s="5">
        <f t="shared" si="73"/>
        <v>1.294366191195155E-14</v>
      </c>
      <c r="G676" s="4">
        <f t="shared" si="70"/>
        <v>4138525885875.2485</v>
      </c>
      <c r="H676" s="3">
        <f t="shared" si="71"/>
        <v>5.3567679880629E-2</v>
      </c>
      <c r="I676">
        <f t="shared" si="72"/>
        <v>221691229832.26187</v>
      </c>
      <c r="J676" s="6"/>
      <c r="K676" s="6"/>
      <c r="L676" s="6"/>
      <c r="M676" s="6"/>
      <c r="N676" s="6"/>
      <c r="O676" s="6"/>
      <c r="P676" s="6"/>
      <c r="Q676" s="6"/>
      <c r="R676" s="6"/>
      <c r="S676" s="6"/>
    </row>
    <row r="677" spans="6:19">
      <c r="F677" s="5">
        <f t="shared" si="73"/>
        <v>1.2319963747247164E-14</v>
      </c>
      <c r="G677" s="4">
        <f t="shared" si="70"/>
        <v>4241989033022.1294</v>
      </c>
      <c r="H677" s="3">
        <f t="shared" si="71"/>
        <v>5.226115110305269E-2</v>
      </c>
      <c r="I677">
        <f t="shared" si="72"/>
        <v>221691229832.26187</v>
      </c>
      <c r="J677" s="6"/>
      <c r="K677" s="6"/>
      <c r="L677" s="6"/>
      <c r="M677" s="6"/>
      <c r="N677" s="6"/>
      <c r="O677" s="6"/>
      <c r="P677" s="6"/>
      <c r="Q677" s="6"/>
      <c r="R677" s="6"/>
      <c r="S677" s="6"/>
    </row>
    <row r="678" spans="6:19">
      <c r="F678" s="5">
        <f t="shared" si="73"/>
        <v>1.1726318855202539E-14</v>
      </c>
      <c r="G678" s="4">
        <f t="shared" si="70"/>
        <v>4348038758847.6821</v>
      </c>
      <c r="H678" s="3">
        <f t="shared" si="71"/>
        <v>5.0986488881027019E-2</v>
      </c>
      <c r="I678">
        <f t="shared" si="72"/>
        <v>221691229832.26187</v>
      </c>
      <c r="J678" s="6"/>
      <c r="K678" s="6"/>
      <c r="L678" s="6"/>
      <c r="M678" s="6"/>
      <c r="N678" s="6"/>
      <c r="O678" s="6"/>
      <c r="P678" s="6"/>
      <c r="Q678" s="6"/>
      <c r="R678" s="6"/>
      <c r="S678" s="6"/>
    </row>
    <row r="679" spans="6:19">
      <c r="F679" s="5">
        <f t="shared" si="73"/>
        <v>1.1161279100728175E-14</v>
      </c>
      <c r="G679" s="4">
        <f t="shared" si="70"/>
        <v>4456739727818.874</v>
      </c>
      <c r="H679" s="3">
        <f t="shared" si="71"/>
        <v>4.9742915981489777E-2</v>
      </c>
      <c r="I679">
        <f t="shared" si="72"/>
        <v>221691229832.26187</v>
      </c>
      <c r="J679" s="6"/>
      <c r="K679" s="6"/>
      <c r="L679" s="6"/>
      <c r="M679" s="6"/>
      <c r="N679" s="6"/>
      <c r="O679" s="6"/>
      <c r="P679" s="6"/>
      <c r="Q679" s="6"/>
      <c r="R679" s="6"/>
      <c r="S679" s="6"/>
    </row>
    <row r="680" spans="6:19">
      <c r="F680" s="5">
        <f t="shared" si="73"/>
        <v>1.0623466127998264E-14</v>
      </c>
      <c r="G680" s="4">
        <f t="shared" si="70"/>
        <v>4568158221014.3457</v>
      </c>
      <c r="H680" s="3">
        <f t="shared" si="71"/>
        <v>4.8529674128282713E-2</v>
      </c>
      <c r="I680">
        <f t="shared" si="72"/>
        <v>221691229832.26187</v>
      </c>
      <c r="J680" s="6"/>
      <c r="K680" s="6"/>
      <c r="L680" s="6"/>
      <c r="M680" s="6"/>
      <c r="N680" s="6"/>
      <c r="O680" s="6"/>
      <c r="P680" s="6"/>
      <c r="Q680" s="6"/>
      <c r="R680" s="6"/>
      <c r="S680" s="6"/>
    </row>
    <row r="681" spans="6:19">
      <c r="F681" s="5">
        <f t="shared" si="73"/>
        <v>1.011156799809472E-14</v>
      </c>
      <c r="G681" s="4">
        <f t="shared" si="70"/>
        <v>4682362176539.7041</v>
      </c>
      <c r="H681" s="3">
        <f t="shared" si="71"/>
        <v>4.7346023539788014E-2</v>
      </c>
      <c r="I681">
        <f t="shared" si="72"/>
        <v>221691229832.26187</v>
      </c>
      <c r="J681" s="6"/>
      <c r="K681" s="6"/>
      <c r="L681" s="6"/>
      <c r="M681" s="6"/>
      <c r="N681" s="6"/>
      <c r="O681" s="6"/>
      <c r="P681" s="6"/>
      <c r="Q681" s="6"/>
      <c r="R681" s="6"/>
      <c r="S681" s="6"/>
    </row>
    <row r="682" spans="6:19">
      <c r="F682" s="5">
        <f t="shared" si="73"/>
        <v>9.6243359886683851E-15</v>
      </c>
      <c r="G682" s="4">
        <f t="shared" si="70"/>
        <v>4799421230953.1963</v>
      </c>
      <c r="H682" s="3">
        <f t="shared" si="71"/>
        <v>4.6191242477841968E-2</v>
      </c>
      <c r="I682">
        <f t="shared" si="72"/>
        <v>221691229832.26187</v>
      </c>
      <c r="J682" s="6"/>
      <c r="K682" s="6"/>
      <c r="L682" s="6"/>
      <c r="M682" s="6"/>
      <c r="N682" s="6"/>
      <c r="O682" s="6"/>
      <c r="P682" s="6"/>
      <c r="Q682" s="6"/>
      <c r="R682" s="6"/>
      <c r="S682" s="6"/>
    </row>
    <row r="683" spans="6:19">
      <c r="F683" s="5">
        <f t="shared" si="73"/>
        <v>9.1605815478104818E-15</v>
      </c>
      <c r="G683" s="4">
        <f t="shared" si="70"/>
        <v>4919406761727.0254</v>
      </c>
      <c r="H683" s="3">
        <f t="shared" si="71"/>
        <v>4.5064626807650707E-2</v>
      </c>
      <c r="I683">
        <f t="shared" si="72"/>
        <v>221691229832.26187</v>
      </c>
      <c r="J683" s="6"/>
      <c r="K683" s="6"/>
      <c r="L683" s="6"/>
      <c r="M683" s="6"/>
      <c r="N683" s="6"/>
      <c r="O683" s="6"/>
      <c r="P683" s="6"/>
      <c r="Q683" s="6"/>
      <c r="R683" s="6"/>
      <c r="S683" s="6"/>
    </row>
    <row r="684" spans="6:19">
      <c r="F684" s="5">
        <f t="shared" si="73"/>
        <v>8.7191733947036149E-15</v>
      </c>
      <c r="G684" s="4">
        <f t="shared" si="70"/>
        <v>5042391930770.2002</v>
      </c>
      <c r="H684" s="3">
        <f t="shared" si="71"/>
        <v>4.3965489568439722E-2</v>
      </c>
      <c r="I684">
        <f t="shared" si="72"/>
        <v>221691229832.26187</v>
      </c>
      <c r="J684" s="6"/>
      <c r="K684" s="6"/>
      <c r="L684" s="6"/>
      <c r="M684" s="6"/>
      <c r="N684" s="6"/>
      <c r="O684" s="6"/>
      <c r="P684" s="6"/>
      <c r="Q684" s="6"/>
      <c r="R684" s="6"/>
      <c r="S684" s="6"/>
    </row>
    <row r="685" spans="6:19">
      <c r="F685" s="5">
        <f t="shared" si="73"/>
        <v>8.299034759979646E-15</v>
      </c>
      <c r="G685" s="4">
        <f t="shared" si="70"/>
        <v>5168451729039.4551</v>
      </c>
      <c r="H685" s="3">
        <f t="shared" si="71"/>
        <v>4.2893160554575344E-2</v>
      </c>
      <c r="I685">
        <f t="shared" si="72"/>
        <v>221691229832.26187</v>
      </c>
      <c r="J685" s="6"/>
      <c r="K685" s="6"/>
      <c r="L685" s="6"/>
      <c r="M685" s="6"/>
      <c r="N685" s="6"/>
      <c r="O685" s="6"/>
      <c r="P685" s="6"/>
      <c r="Q685" s="6"/>
      <c r="R685" s="6"/>
      <c r="S685" s="6"/>
    </row>
    <row r="686" spans="6:19">
      <c r="F686" s="5">
        <f t="shared" si="73"/>
        <v>7.8991407590526079E-15</v>
      </c>
      <c r="G686" s="4">
        <f t="shared" si="70"/>
        <v>5297663022265.4414</v>
      </c>
      <c r="H686" s="3">
        <f t="shared" si="71"/>
        <v>4.1846985906902771E-2</v>
      </c>
      <c r="I686">
        <f t="shared" si="72"/>
        <v>221691229832.26187</v>
      </c>
      <c r="J686" s="6"/>
      <c r="K686" s="6"/>
      <c r="L686" s="6"/>
      <c r="M686" s="6"/>
      <c r="N686" s="6"/>
      <c r="O686" s="6"/>
      <c r="P686" s="6"/>
      <c r="Q686" s="6"/>
      <c r="R686" s="6"/>
      <c r="S686" s="6"/>
    </row>
    <row r="687" spans="6:19">
      <c r="F687" s="5">
        <f t="shared" si="73"/>
        <v>7.5185158920191397E-15</v>
      </c>
      <c r="G687" s="4">
        <f t="shared" si="70"/>
        <v>5430104597822.0771</v>
      </c>
      <c r="H687" s="3">
        <f t="shared" si="71"/>
        <v>4.0826327714051487E-2</v>
      </c>
      <c r="I687">
        <f t="shared" si="72"/>
        <v>221691229832.26187</v>
      </c>
      <c r="J687" s="6"/>
      <c r="K687" s="6"/>
      <c r="L687" s="6"/>
      <c r="M687" s="6"/>
      <c r="N687" s="6"/>
      <c r="O687" s="6"/>
      <c r="P687" s="6"/>
      <c r="Q687" s="6"/>
      <c r="R687" s="6"/>
      <c r="S687" s="6"/>
    </row>
    <row r="688" spans="6:19">
      <c r="F688" s="5">
        <f t="shared" si="73"/>
        <v>7.1562316640277372E-15</v>
      </c>
      <c r="G688" s="4">
        <f t="shared" si="70"/>
        <v>5565857212767.6289</v>
      </c>
      <c r="H688" s="3">
        <f t="shared" si="71"/>
        <v>3.9830563623464869E-2</v>
      </c>
      <c r="I688">
        <f t="shared" si="72"/>
        <v>221691229832.26187</v>
      </c>
      <c r="J688" s="6"/>
      <c r="K688" s="6"/>
      <c r="L688" s="6"/>
      <c r="M688" s="6"/>
      <c r="N688" s="6"/>
      <c r="O688" s="6"/>
      <c r="P688" s="6"/>
      <c r="Q688" s="6"/>
      <c r="R688" s="6"/>
      <c r="S688" s="6"/>
    </row>
    <row r="689" spans="6:19">
      <c r="F689" s="5">
        <f t="shared" si="73"/>
        <v>6.8114043203119442E-15</v>
      </c>
      <c r="G689" s="4">
        <f t="shared" ref="G689:G752" si="74">G688*(1+$O$1)</f>
        <v>5705003643086.8193</v>
      </c>
      <c r="H689" s="3">
        <f t="shared" si="71"/>
        <v>3.8859086461916943E-2</v>
      </c>
      <c r="I689">
        <f t="shared" si="72"/>
        <v>221691229832.26187</v>
      </c>
      <c r="J689" s="6"/>
      <c r="K689" s="6"/>
      <c r="L689" s="6"/>
      <c r="M689" s="6"/>
      <c r="N689" s="6"/>
      <c r="O689" s="6"/>
      <c r="P689" s="6"/>
      <c r="Q689" s="6"/>
      <c r="R689" s="6"/>
      <c r="S689" s="6"/>
    </row>
    <row r="690" spans="6:19">
      <c r="F690" s="5">
        <f t="shared" si="73"/>
        <v>6.4831926903623521E-15</v>
      </c>
      <c r="G690" s="4">
        <f t="shared" si="74"/>
        <v>5847628734163.9893</v>
      </c>
      <c r="H690" s="3">
        <f t="shared" ref="H690:H753" si="75">I690/G690</f>
        <v>3.791130386528483E-2</v>
      </c>
      <c r="I690">
        <f t="shared" ref="I690:I753" si="76">I689</f>
        <v>221691229832.26187</v>
      </c>
      <c r="J690" s="6"/>
      <c r="K690" s="6"/>
      <c r="L690" s="6"/>
      <c r="M690" s="6"/>
      <c r="N690" s="6"/>
      <c r="O690" s="6"/>
      <c r="P690" s="6"/>
      <c r="Q690" s="6"/>
      <c r="R690" s="6"/>
      <c r="S690" s="6"/>
    </row>
    <row r="691" spans="6:19">
      <c r="F691" s="5">
        <f t="shared" si="73"/>
        <v>6.1707961359784438E-15</v>
      </c>
      <c r="G691" s="4">
        <f t="shared" si="74"/>
        <v>5993819452518.0889</v>
      </c>
      <c r="H691" s="3">
        <f t="shared" si="75"/>
        <v>3.6986637917351052E-2</v>
      </c>
      <c r="I691">
        <f t="shared" si="76"/>
        <v>221691229832.26187</v>
      </c>
      <c r="J691" s="6"/>
      <c r="K691" s="6"/>
      <c r="L691" s="6"/>
      <c r="M691" s="6"/>
      <c r="N691" s="6"/>
      <c r="O691" s="6"/>
      <c r="P691" s="6"/>
      <c r="Q691" s="6"/>
      <c r="R691" s="6"/>
      <c r="S691" s="6"/>
    </row>
    <row r="692" spans="6:19">
      <c r="F692" s="5">
        <f t="shared" si="73"/>
        <v>5.8734525981948302E-15</v>
      </c>
      <c r="G692" s="4">
        <f t="shared" si="74"/>
        <v>6143664938831.041</v>
      </c>
      <c r="H692" s="3">
        <f t="shared" si="75"/>
        <v>3.6084524797415661E-2</v>
      </c>
      <c r="I692">
        <f t="shared" si="76"/>
        <v>221691229832.26187</v>
      </c>
      <c r="J692" s="6"/>
      <c r="K692" s="6"/>
      <c r="L692" s="6"/>
      <c r="M692" s="6"/>
      <c r="N692" s="6"/>
      <c r="O692" s="6"/>
      <c r="P692" s="6"/>
      <c r="Q692" s="6"/>
      <c r="R692" s="6"/>
      <c r="S692" s="6"/>
    </row>
    <row r="693" spans="6:19">
      <c r="F693" s="5">
        <f t="shared" si="73"/>
        <v>5.590436738317508E-15</v>
      </c>
      <c r="G693" s="4">
        <f t="shared" si="74"/>
        <v>6297256562301.8164</v>
      </c>
      <c r="H693" s="3">
        <f t="shared" si="75"/>
        <v>3.5204414436503087E-2</v>
      </c>
      <c r="I693">
        <f t="shared" si="76"/>
        <v>221691229832.26187</v>
      </c>
      <c r="J693" s="6"/>
      <c r="K693" s="6"/>
      <c r="L693" s="6"/>
      <c r="M693" s="6"/>
      <c r="N693" s="6"/>
      <c r="O693" s="6"/>
      <c r="P693" s="6"/>
      <c r="Q693" s="6"/>
      <c r="R693" s="6"/>
      <c r="S693" s="6"/>
    </row>
    <row r="694" spans="6:19">
      <c r="F694" s="5">
        <f t="shared" si="73"/>
        <v>5.3210581685354033E-15</v>
      </c>
      <c r="G694" s="4">
        <f t="shared" si="74"/>
        <v>6454687976359.3613</v>
      </c>
      <c r="H694" s="3">
        <f t="shared" si="75"/>
        <v>3.4345770181954234E-2</v>
      </c>
      <c r="I694">
        <f t="shared" si="76"/>
        <v>221691229832.26187</v>
      </c>
      <c r="J694" s="6"/>
      <c r="K694" s="6"/>
      <c r="L694" s="6"/>
      <c r="M694" s="6"/>
      <c r="N694" s="6"/>
      <c r="O694" s="6"/>
      <c r="P694" s="6"/>
      <c r="Q694" s="6"/>
      <c r="R694" s="6"/>
      <c r="S694" s="6"/>
    </row>
    <row r="695" spans="6:19">
      <c r="F695" s="5">
        <f t="shared" si="73"/>
        <v>5.0646597677909857E-15</v>
      </c>
      <c r="G695" s="4">
        <f t="shared" si="74"/>
        <v>6616055175768.3447</v>
      </c>
      <c r="H695" s="3">
        <f t="shared" si="75"/>
        <v>3.3508068470199256E-2</v>
      </c>
      <c r="I695">
        <f t="shared" si="76"/>
        <v>221691229832.26187</v>
      </c>
      <c r="J695" s="6"/>
      <c r="K695" s="6"/>
      <c r="L695" s="6"/>
      <c r="M695" s="6"/>
      <c r="N695" s="6"/>
      <c r="O695" s="6"/>
      <c r="P695" s="6"/>
      <c r="Q695" s="6"/>
      <c r="R695" s="6"/>
      <c r="S695" s="6"/>
    </row>
    <row r="696" spans="6:19">
      <c r="F696" s="5">
        <f t="shared" si="73"/>
        <v>4.820616078801653E-15</v>
      </c>
      <c r="G696" s="4">
        <f t="shared" si="74"/>
        <v>6781456555162.5527</v>
      </c>
      <c r="H696" s="3">
        <f t="shared" si="75"/>
        <v>3.269079850751147E-2</v>
      </c>
      <c r="I696">
        <f t="shared" si="76"/>
        <v>221691229832.26187</v>
      </c>
      <c r="J696" s="6"/>
      <c r="K696" s="6"/>
      <c r="L696" s="6"/>
      <c r="M696" s="6"/>
      <c r="N696" s="6"/>
      <c r="O696" s="6"/>
      <c r="P696" s="6"/>
      <c r="Q696" s="6"/>
      <c r="R696" s="6"/>
      <c r="S696" s="6"/>
    </row>
    <row r="697" spans="6:19">
      <c r="F697" s="5">
        <f t="shared" si="73"/>
        <v>4.5883317823216222E-15</v>
      </c>
      <c r="G697" s="4">
        <f t="shared" si="74"/>
        <v>6950992969041.6162</v>
      </c>
      <c r="H697" s="3">
        <f t="shared" si="75"/>
        <v>3.1893461958547781E-2</v>
      </c>
      <c r="I697">
        <f t="shared" si="76"/>
        <v>221691229832.26187</v>
      </c>
      <c r="J697" s="6"/>
      <c r="K697" s="6"/>
      <c r="L697" s="6"/>
      <c r="M697" s="6"/>
      <c r="N697" s="6"/>
      <c r="O697" s="6"/>
      <c r="P697" s="6"/>
      <c r="Q697" s="6"/>
      <c r="R697" s="6"/>
      <c r="S697" s="6"/>
    </row>
    <row r="698" spans="6:19">
      <c r="F698" s="5">
        <f t="shared" si="73"/>
        <v>4.3672402449224245E-15</v>
      </c>
      <c r="G698" s="4">
        <f t="shared" si="74"/>
        <v>7124767793267.6563</v>
      </c>
      <c r="H698" s="3">
        <f t="shared" si="75"/>
        <v>3.1115572642485639E-2</v>
      </c>
      <c r="I698">
        <f t="shared" si="76"/>
        <v>221691229832.26187</v>
      </c>
      <c r="J698" s="6"/>
      <c r="K698" s="6"/>
      <c r="L698" s="6"/>
      <c r="M698" s="6"/>
      <c r="N698" s="6"/>
      <c r="O698" s="6"/>
      <c r="P698" s="6"/>
      <c r="Q698" s="6"/>
      <c r="R698" s="6"/>
      <c r="S698" s="6"/>
    </row>
    <row r="699" spans="6:19">
      <c r="F699" s="5">
        <f t="shared" si="73"/>
        <v>4.1568021367494825E-15</v>
      </c>
      <c r="G699" s="4">
        <f t="shared" si="74"/>
        <v>7302886988099.3467</v>
      </c>
      <c r="H699" s="3">
        <f t="shared" si="75"/>
        <v>3.0356656236571359E-2</v>
      </c>
      <c r="I699">
        <f t="shared" si="76"/>
        <v>221691229832.26187</v>
      </c>
      <c r="J699" s="6"/>
      <c r="K699" s="6"/>
      <c r="L699" s="6"/>
      <c r="M699" s="6"/>
      <c r="N699" s="6"/>
      <c r="O699" s="6"/>
      <c r="P699" s="6"/>
      <c r="Q699" s="6"/>
      <c r="R699" s="6"/>
      <c r="S699" s="6"/>
    </row>
    <row r="700" spans="6:19">
      <c r="F700" s="5">
        <f t="shared" si="73"/>
        <v>3.9565041158829108E-15</v>
      </c>
      <c r="G700" s="4">
        <f t="shared" si="74"/>
        <v>7485459162801.8301</v>
      </c>
      <c r="H700" s="3">
        <f t="shared" si="75"/>
        <v>2.961624998689889E-2</v>
      </c>
      <c r="I700">
        <f t="shared" si="76"/>
        <v>221691229832.26187</v>
      </c>
      <c r="J700" s="6"/>
      <c r="K700" s="6"/>
      <c r="L700" s="6"/>
      <c r="M700" s="6"/>
      <c r="N700" s="6"/>
      <c r="O700" s="6"/>
      <c r="P700" s="6"/>
      <c r="Q700" s="6"/>
      <c r="R700" s="6"/>
      <c r="S700" s="6"/>
    </row>
    <row r="701" spans="6:19">
      <c r="F701" s="5">
        <f t="shared" si="73"/>
        <v>3.7658575760931936E-15</v>
      </c>
      <c r="G701" s="4">
        <f t="shared" si="74"/>
        <v>7672595641871.875</v>
      </c>
      <c r="H701" s="3">
        <f t="shared" si="75"/>
        <v>2.8893902426242821E-2</v>
      </c>
      <c r="I701">
        <f t="shared" si="76"/>
        <v>221691229832.26187</v>
      </c>
      <c r="J701" s="6"/>
      <c r="K701" s="6"/>
      <c r="L701" s="6"/>
      <c r="M701" s="6"/>
      <c r="N701" s="6"/>
      <c r="O701" s="6"/>
      <c r="P701" s="6"/>
      <c r="Q701" s="6"/>
      <c r="R701" s="6"/>
      <c r="S701" s="6"/>
    </row>
    <row r="702" spans="6:19">
      <c r="F702" s="5">
        <f t="shared" si="73"/>
        <v>3.5843974549370088E-15</v>
      </c>
      <c r="G702" s="4">
        <f t="shared" si="74"/>
        <v>7864410532918.6709</v>
      </c>
      <c r="H702" s="3">
        <f t="shared" si="75"/>
        <v>2.8189173098773487E-2</v>
      </c>
      <c r="I702">
        <f t="shared" si="76"/>
        <v>221691229832.26187</v>
      </c>
      <c r="J702" s="6"/>
      <c r="K702" s="6"/>
      <c r="L702" s="6"/>
      <c r="M702" s="6"/>
      <c r="N702" s="6"/>
      <c r="O702" s="6"/>
      <c r="P702" s="6"/>
      <c r="Q702" s="6"/>
      <c r="R702" s="6"/>
      <c r="S702" s="6"/>
    </row>
    <row r="703" spans="6:19">
      <c r="F703" s="5">
        <f t="shared" si="73"/>
        <v>3.4116810992856723E-15</v>
      </c>
      <c r="G703" s="4">
        <f t="shared" si="74"/>
        <v>8061020796241.6367</v>
      </c>
      <c r="H703" s="3">
        <f t="shared" si="75"/>
        <v>2.7501632291486333E-2</v>
      </c>
      <c r="I703">
        <f t="shared" si="76"/>
        <v>221691229832.26187</v>
      </c>
      <c r="J703" s="6"/>
      <c r="K703" s="6"/>
      <c r="L703" s="6"/>
      <c r="M703" s="6"/>
      <c r="N703" s="6"/>
      <c r="O703" s="6"/>
      <c r="P703" s="6"/>
      <c r="Q703" s="6"/>
      <c r="R703" s="6"/>
      <c r="S703" s="6"/>
    </row>
    <row r="704" spans="6:19">
      <c r="F704" s="5">
        <f t="shared" si="73"/>
        <v>3.2472871855187846E-15</v>
      </c>
      <c r="G704" s="4">
        <f t="shared" si="74"/>
        <v>8262546316147.6768</v>
      </c>
      <c r="H704" s="3">
        <f t="shared" si="75"/>
        <v>2.6830860772181792E-2</v>
      </c>
      <c r="I704">
        <f t="shared" si="76"/>
        <v>221691229832.26187</v>
      </c>
      <c r="J704" s="6"/>
      <c r="K704" s="6"/>
      <c r="L704" s="6"/>
      <c r="M704" s="6"/>
      <c r="N704" s="6"/>
      <c r="O704" s="6"/>
      <c r="P704" s="6"/>
      <c r="Q704" s="6"/>
      <c r="R704" s="6"/>
      <c r="S704" s="6"/>
    </row>
    <row r="705" spans="6:19">
      <c r="F705" s="5">
        <f t="shared" si="73"/>
        <v>3.0908146917489924E-15</v>
      </c>
      <c r="G705" s="4">
        <f t="shared" si="74"/>
        <v>8469109974051.3682</v>
      </c>
      <c r="H705" s="3">
        <f t="shared" si="75"/>
        <v>2.6176449533835897E-2</v>
      </c>
      <c r="I705">
        <f t="shared" si="76"/>
        <v>221691229832.26187</v>
      </c>
      <c r="J705" s="6"/>
      <c r="K705" s="6"/>
      <c r="L705" s="6"/>
      <c r="M705" s="6"/>
      <c r="N705" s="6"/>
      <c r="O705" s="6"/>
      <c r="P705" s="6"/>
      <c r="Q705" s="6"/>
      <c r="R705" s="6"/>
      <c r="S705" s="6"/>
    </row>
    <row r="706" spans="6:19">
      <c r="F706" s="5">
        <f t="shared" si="73"/>
        <v>2.9418819195707248E-15</v>
      </c>
      <c r="G706" s="4">
        <f t="shared" si="74"/>
        <v>8680837723402.6514</v>
      </c>
      <c r="H706" s="3">
        <f t="shared" si="75"/>
        <v>2.5537999545205754E-2</v>
      </c>
      <c r="I706">
        <f t="shared" si="76"/>
        <v>221691229832.26187</v>
      </c>
      <c r="J706" s="6"/>
      <c r="K706" s="6"/>
      <c r="L706" s="6"/>
      <c r="M706" s="6"/>
      <c r="N706" s="6"/>
      <c r="O706" s="6"/>
      <c r="P706" s="6"/>
      <c r="Q706" s="6"/>
      <c r="R706" s="6"/>
      <c r="S706" s="6"/>
    </row>
    <row r="707" spans="6:19">
      <c r="F707" s="5">
        <f t="shared" si="73"/>
        <v>2.800125562946556E-15</v>
      </c>
      <c r="G707" s="4">
        <f t="shared" si="74"/>
        <v>8897858666487.7168</v>
      </c>
      <c r="H707" s="3">
        <f t="shared" si="75"/>
        <v>2.4915121507517811E-2</v>
      </c>
      <c r="I707">
        <f t="shared" si="76"/>
        <v>221691229832.26187</v>
      </c>
      <c r="J707" s="6"/>
      <c r="K707" s="6"/>
      <c r="L707" s="6"/>
      <c r="M707" s="6"/>
      <c r="N707" s="6"/>
      <c r="O707" s="6"/>
      <c r="P707" s="6"/>
      <c r="Q707" s="6"/>
      <c r="R707" s="6"/>
      <c r="S707" s="6"/>
    </row>
    <row r="708" spans="6:19">
      <c r="F708" s="5">
        <f t="shared" si="73"/>
        <v>2.6651998219598401E-15</v>
      </c>
      <c r="G708" s="4">
        <f t="shared" si="74"/>
        <v>9120305133149.9082</v>
      </c>
      <c r="H708" s="3">
        <f t="shared" si="75"/>
        <v>2.4307435617090551E-2</v>
      </c>
      <c r="I708">
        <f t="shared" si="76"/>
        <v>221691229832.26187</v>
      </c>
      <c r="J708" s="6"/>
      <c r="K708" s="6"/>
      <c r="L708" s="6"/>
      <c r="M708" s="6"/>
      <c r="N708" s="6"/>
      <c r="O708" s="6"/>
      <c r="P708" s="6"/>
      <c r="Q708" s="6"/>
      <c r="R708" s="6"/>
      <c r="S708" s="6"/>
    </row>
    <row r="709" spans="6:19">
      <c r="F709" s="5">
        <f t="shared" si="73"/>
        <v>2.5367755592717108E-15</v>
      </c>
      <c r="G709" s="4">
        <f t="shared" si="74"/>
        <v>9348312761478.6543</v>
      </c>
      <c r="H709" s="3">
        <f t="shared" si="75"/>
        <v>2.3714571333746885E-2</v>
      </c>
      <c r="I709">
        <f t="shared" si="76"/>
        <v>221691229832.26187</v>
      </c>
      <c r="J709" s="6"/>
      <c r="K709" s="6"/>
      <c r="L709" s="6"/>
      <c r="M709" s="6"/>
      <c r="N709" s="6"/>
      <c r="O709" s="6"/>
      <c r="P709" s="6"/>
      <c r="Q709" s="6"/>
      <c r="R709" s="6"/>
      <c r="S709" s="6"/>
    </row>
    <row r="710" spans="6:19">
      <c r="F710" s="5">
        <f t="shared" si="73"/>
        <v>2.4145394972247105E-15</v>
      </c>
      <c r="G710" s="4">
        <f t="shared" si="74"/>
        <v>9582020580515.6191</v>
      </c>
      <c r="H710" s="3">
        <f t="shared" si="75"/>
        <v>2.3136167154875011E-2</v>
      </c>
      <c r="I710">
        <f t="shared" si="76"/>
        <v>221691229832.26187</v>
      </c>
      <c r="J710" s="6"/>
      <c r="K710" s="6"/>
      <c r="L710" s="6"/>
      <c r="M710" s="6"/>
      <c r="N710" s="6"/>
      <c r="O710" s="6"/>
      <c r="P710" s="6"/>
      <c r="Q710" s="6"/>
      <c r="R710" s="6"/>
      <c r="S710" s="6"/>
    </row>
    <row r="711" spans="6:19">
      <c r="F711" s="5">
        <f t="shared" si="73"/>
        <v>2.2981934536344665E-15</v>
      </c>
      <c r="G711" s="4">
        <f t="shared" si="74"/>
        <v>9821571095028.5078</v>
      </c>
      <c r="H711" s="3">
        <f t="shared" si="75"/>
        <v>2.2571870395000016E-2</v>
      </c>
      <c r="I711">
        <f t="shared" si="76"/>
        <v>221691229832.26187</v>
      </c>
      <c r="J711" s="6"/>
      <c r="K711" s="6"/>
      <c r="L711" s="6"/>
      <c r="M711" s="6"/>
      <c r="N711" s="6"/>
      <c r="O711" s="6"/>
      <c r="P711" s="6"/>
      <c r="Q711" s="6"/>
      <c r="R711" s="6"/>
      <c r="S711" s="6"/>
    </row>
    <row r="712" spans="6:19">
      <c r="F712" s="5">
        <f t="shared" si="73"/>
        <v>2.1874536144052038E-15</v>
      </c>
      <c r="G712" s="4">
        <f t="shared" si="74"/>
        <v>10067110372404.219</v>
      </c>
      <c r="H712" s="3">
        <f t="shared" si="75"/>
        <v>2.2021336970731727E-2</v>
      </c>
      <c r="I712">
        <f t="shared" si="76"/>
        <v>221691229832.26187</v>
      </c>
      <c r="J712" s="6"/>
      <c r="K712" s="6"/>
      <c r="L712" s="6"/>
      <c r="M712" s="6"/>
      <c r="N712" s="6"/>
      <c r="O712" s="6"/>
      <c r="P712" s="6"/>
      <c r="Q712" s="6"/>
      <c r="R712" s="6"/>
      <c r="S712" s="6"/>
    </row>
    <row r="713" spans="6:19">
      <c r="F713" s="5">
        <f t="shared" ref="F713:F776" si="77">H713/G713</f>
        <v>2.0820498411947212E-15</v>
      </c>
      <c r="G713" s="4">
        <f t="shared" si="74"/>
        <v>10318788131714.324</v>
      </c>
      <c r="H713" s="3">
        <f t="shared" si="75"/>
        <v>2.1484231190957784E-2</v>
      </c>
      <c r="I713">
        <f t="shared" si="76"/>
        <v>221691229832.26187</v>
      </c>
      <c r="J713" s="6"/>
      <c r="K713" s="6"/>
      <c r="L713" s="6"/>
      <c r="M713" s="6"/>
      <c r="N713" s="6"/>
      <c r="O713" s="6"/>
      <c r="P713" s="6"/>
      <c r="Q713" s="6"/>
      <c r="R713" s="6"/>
      <c r="S713" s="6"/>
    </row>
    <row r="714" spans="6:19">
      <c r="F714" s="5">
        <f t="shared" si="77"/>
        <v>1.9817250124399492E-15</v>
      </c>
      <c r="G714" s="4">
        <f t="shared" si="74"/>
        <v>10576757835007.182</v>
      </c>
      <c r="H714" s="3">
        <f t="shared" si="75"/>
        <v>2.0960225552153936E-2</v>
      </c>
      <c r="I714">
        <f t="shared" si="76"/>
        <v>221691229832.26187</v>
      </c>
      <c r="J714" s="6"/>
      <c r="K714" s="6"/>
      <c r="L714" s="6"/>
      <c r="M714" s="6"/>
      <c r="N714" s="6"/>
      <c r="O714" s="6"/>
      <c r="P714" s="6"/>
      <c r="Q714" s="6"/>
      <c r="R714" s="6"/>
      <c r="S714" s="6"/>
    </row>
    <row r="715" spans="6:19">
      <c r="F715" s="5">
        <f t="shared" si="77"/>
        <v>1.8862343961355857E-15</v>
      </c>
      <c r="G715" s="4">
        <f t="shared" si="74"/>
        <v>10841176780882.359</v>
      </c>
      <c r="H715" s="3">
        <f t="shared" si="75"/>
        <v>2.0449000538686771E-2</v>
      </c>
      <c r="I715">
        <f t="shared" si="76"/>
        <v>221691229832.26187</v>
      </c>
      <c r="J715" s="6"/>
      <c r="K715" s="6"/>
      <c r="L715" s="6"/>
      <c r="M715" s="6"/>
      <c r="N715" s="6"/>
      <c r="O715" s="6"/>
      <c r="P715" s="6"/>
      <c r="Q715" s="6"/>
      <c r="R715" s="6"/>
      <c r="S715" s="6"/>
    </row>
    <row r="716" spans="6:19">
      <c r="F716" s="5">
        <f t="shared" si="77"/>
        <v>1.7953450528357747E-15</v>
      </c>
      <c r="G716" s="4">
        <f t="shared" si="74"/>
        <v>11112206200404.418</v>
      </c>
      <c r="H716" s="3">
        <f t="shared" si="75"/>
        <v>1.9950244427987093E-2</v>
      </c>
      <c r="I716">
        <f t="shared" si="76"/>
        <v>221691229832.26187</v>
      </c>
      <c r="J716" s="6"/>
      <c r="K716" s="6"/>
      <c r="L716" s="6"/>
      <c r="M716" s="6"/>
      <c r="N716" s="6"/>
      <c r="O716" s="6"/>
      <c r="P716" s="6"/>
      <c r="Q716" s="6"/>
      <c r="R716" s="6"/>
      <c r="S716" s="6"/>
    </row>
    <row r="717" spans="6:19">
      <c r="F717" s="5">
        <f t="shared" si="77"/>
        <v>1.7088352674225106E-15</v>
      </c>
      <c r="G717" s="4">
        <f t="shared" si="74"/>
        <v>11390011355414.527</v>
      </c>
      <c r="H717" s="3">
        <f t="shared" si="75"/>
        <v>1.9463653100475216E-2</v>
      </c>
      <c r="I717">
        <f t="shared" si="76"/>
        <v>221691229832.26187</v>
      </c>
      <c r="J717" s="6"/>
      <c r="K717" s="6"/>
      <c r="L717" s="6"/>
      <c r="M717" s="6"/>
      <c r="N717" s="6"/>
      <c r="O717" s="6"/>
      <c r="P717" s="6"/>
      <c r="Q717" s="6"/>
      <c r="R717" s="6"/>
      <c r="S717" s="6"/>
    </row>
    <row r="718" spans="6:19">
      <c r="F718" s="5">
        <f t="shared" si="77"/>
        <v>1.6264940082546208E-15</v>
      </c>
      <c r="G718" s="4">
        <f t="shared" si="74"/>
        <v>11674761639299.889</v>
      </c>
      <c r="H718" s="3">
        <f t="shared" si="75"/>
        <v>1.8988929854122163E-2</v>
      </c>
      <c r="I718">
        <f t="shared" si="76"/>
        <v>221691229832.26187</v>
      </c>
      <c r="J718" s="6"/>
      <c r="K718" s="6"/>
      <c r="L718" s="6"/>
      <c r="M718" s="6"/>
      <c r="N718" s="6"/>
      <c r="O718" s="6"/>
      <c r="P718" s="6"/>
      <c r="Q718" s="6"/>
      <c r="R718" s="6"/>
      <c r="S718" s="6"/>
    </row>
    <row r="719" spans="6:19">
      <c r="F719" s="5">
        <f t="shared" si="77"/>
        <v>1.5481204123779856E-15</v>
      </c>
      <c r="G719" s="4">
        <f t="shared" si="74"/>
        <v>11966630680282.385</v>
      </c>
      <c r="H719" s="3">
        <f t="shared" si="75"/>
        <v>1.8525785223533819E-2</v>
      </c>
      <c r="I719">
        <f t="shared" si="76"/>
        <v>221691229832.26187</v>
      </c>
      <c r="J719" s="6"/>
      <c r="K719" s="6"/>
      <c r="L719" s="6"/>
      <c r="M719" s="6"/>
      <c r="N719" s="6"/>
      <c r="O719" s="6"/>
      <c r="P719" s="6"/>
      <c r="Q719" s="6"/>
      <c r="R719" s="6"/>
      <c r="S719" s="6"/>
    </row>
    <row r="720" spans="6:19">
      <c r="F720" s="5">
        <f t="shared" si="77"/>
        <v>1.473523295541212E-15</v>
      </c>
      <c r="G720" s="4">
        <f t="shared" si="74"/>
        <v>12265796447289.443</v>
      </c>
      <c r="H720" s="3">
        <f t="shared" si="75"/>
        <v>1.807393680344763E-2</v>
      </c>
      <c r="I720">
        <f t="shared" si="76"/>
        <v>221691229832.26187</v>
      </c>
      <c r="J720" s="6"/>
      <c r="K720" s="6"/>
      <c r="L720" s="6"/>
      <c r="M720" s="6"/>
      <c r="N720" s="6"/>
      <c r="O720" s="6"/>
      <c r="P720" s="6"/>
      <c r="Q720" s="6"/>
      <c r="R720" s="6"/>
      <c r="S720" s="6"/>
    </row>
    <row r="721" spans="6:19">
      <c r="F721" s="5">
        <f t="shared" si="77"/>
        <v>1.4025206858214991E-15</v>
      </c>
      <c r="G721" s="4">
        <f t="shared" si="74"/>
        <v>12572441358471.678</v>
      </c>
      <c r="H721" s="3">
        <f t="shared" si="75"/>
        <v>1.7633109076534276E-2</v>
      </c>
      <c r="I721">
        <f t="shared" si="76"/>
        <v>221691229832.26187</v>
      </c>
      <c r="J721" s="6"/>
      <c r="K721" s="6"/>
      <c r="L721" s="6"/>
      <c r="M721" s="6"/>
      <c r="N721" s="6"/>
      <c r="O721" s="6"/>
      <c r="P721" s="6"/>
      <c r="Q721" s="6"/>
      <c r="R721" s="6"/>
      <c r="S721" s="6"/>
    </row>
    <row r="722" spans="6:19">
      <c r="F722" s="5">
        <f t="shared" si="77"/>
        <v>1.3349393797230211E-15</v>
      </c>
      <c r="G722" s="4">
        <f t="shared" si="74"/>
        <v>12886752392433.469</v>
      </c>
      <c r="H722" s="3">
        <f t="shared" si="75"/>
        <v>1.7203033245399294E-2</v>
      </c>
      <c r="I722">
        <f t="shared" si="76"/>
        <v>221691229832.26187</v>
      </c>
      <c r="J722" s="6"/>
      <c r="K722" s="6"/>
      <c r="L722" s="6"/>
      <c r="M722" s="6"/>
      <c r="N722" s="6"/>
      <c r="O722" s="6"/>
      <c r="P722" s="6"/>
      <c r="Q722" s="6"/>
      <c r="R722" s="6"/>
      <c r="S722" s="6"/>
    </row>
    <row r="723" spans="6:19">
      <c r="F723" s="5">
        <f t="shared" si="77"/>
        <v>1.2706145196649817E-15</v>
      </c>
      <c r="G723" s="4">
        <f t="shared" si="74"/>
        <v>13208921202244.305</v>
      </c>
      <c r="H723" s="3">
        <f t="shared" si="75"/>
        <v>1.678344706868224E-2</v>
      </c>
      <c r="I723">
        <f t="shared" si="76"/>
        <v>221691229832.26187</v>
      </c>
      <c r="J723" s="6"/>
      <c r="K723" s="6"/>
      <c r="L723" s="6"/>
      <c r="M723" s="6"/>
      <c r="N723" s="6"/>
      <c r="O723" s="6"/>
      <c r="P723" s="6"/>
      <c r="Q723" s="6"/>
      <c r="R723" s="6"/>
      <c r="S723" s="6"/>
    </row>
    <row r="724" spans="6:19">
      <c r="F724" s="5">
        <f t="shared" si="77"/>
        <v>1.2093891918286566E-15</v>
      </c>
      <c r="G724" s="4">
        <f t="shared" si="74"/>
        <v>13539144232300.41</v>
      </c>
      <c r="H724" s="3">
        <f t="shared" si="75"/>
        <v>1.6374094701153408E-2</v>
      </c>
      <c r="I724">
        <f t="shared" si="76"/>
        <v>221691229832.26187</v>
      </c>
      <c r="J724" s="6"/>
      <c r="K724" s="6"/>
      <c r="L724" s="6"/>
      <c r="M724" s="6"/>
      <c r="N724" s="6"/>
      <c r="O724" s="6"/>
      <c r="P724" s="6"/>
      <c r="Q724" s="6"/>
      <c r="R724" s="6"/>
      <c r="S724" s="6"/>
    </row>
    <row r="725" spans="6:19">
      <c r="F725" s="5">
        <f t="shared" si="77"/>
        <v>1.1511140433824213E-15</v>
      </c>
      <c r="G725" s="4">
        <f t="shared" si="74"/>
        <v>13877622838107.92</v>
      </c>
      <c r="H725" s="3">
        <f t="shared" si="75"/>
        <v>1.5974726537710641E-2</v>
      </c>
      <c r="I725">
        <f t="shared" si="76"/>
        <v>221691229832.26187</v>
      </c>
      <c r="J725" s="6"/>
      <c r="K725" s="6"/>
      <c r="L725" s="6"/>
      <c r="M725" s="6"/>
      <c r="N725" s="6"/>
      <c r="O725" s="6"/>
      <c r="P725" s="6"/>
      <c r="Q725" s="6"/>
      <c r="R725" s="6"/>
      <c r="S725" s="6"/>
    </row>
    <row r="726" spans="6:19">
      <c r="F726" s="5">
        <f t="shared" si="77"/>
        <v>1.0956469181510259E-15</v>
      </c>
      <c r="G726" s="4">
        <f t="shared" si="74"/>
        <v>14224563409060.617</v>
      </c>
      <c r="H726" s="3">
        <f t="shared" si="75"/>
        <v>1.5585099061181116E-2</v>
      </c>
      <c r="I726">
        <f t="shared" si="76"/>
        <v>221691229832.26187</v>
      </c>
      <c r="J726" s="6"/>
      <c r="K726" s="6"/>
      <c r="L726" s="6"/>
      <c r="M726" s="6"/>
      <c r="N726" s="6"/>
      <c r="O726" s="6"/>
      <c r="P726" s="6"/>
      <c r="Q726" s="6"/>
      <c r="R726" s="6"/>
      <c r="S726" s="6"/>
    </row>
    <row r="727" spans="6:19">
      <c r="F727" s="5">
        <f t="shared" si="77"/>
        <v>1.0428525098403581E-15</v>
      </c>
      <c r="G727" s="4">
        <f t="shared" si="74"/>
        <v>14580177494287.131</v>
      </c>
      <c r="H727" s="3">
        <f t="shared" si="75"/>
        <v>1.5204974693835237E-2</v>
      </c>
      <c r="I727">
        <f t="shared" si="76"/>
        <v>221691229832.26187</v>
      </c>
      <c r="J727" s="6"/>
      <c r="K727" s="6"/>
      <c r="L727" s="6"/>
      <c r="M727" s="6"/>
      <c r="N727" s="6"/>
      <c r="O727" s="6"/>
      <c r="P727" s="6"/>
      <c r="Q727" s="6"/>
      <c r="R727" s="6"/>
      <c r="S727" s="6"/>
    </row>
    <row r="728" spans="6:19">
      <c r="F728" s="5">
        <f t="shared" si="77"/>
        <v>9.9260203197178645E-16</v>
      </c>
      <c r="G728" s="4">
        <f t="shared" si="74"/>
        <v>14944681931644.309</v>
      </c>
      <c r="H728" s="3">
        <f t="shared" si="75"/>
        <v>1.4834121652522183E-2</v>
      </c>
      <c r="I728">
        <f t="shared" si="76"/>
        <v>221691229832.26187</v>
      </c>
      <c r="J728" s="6"/>
      <c r="K728" s="6"/>
      <c r="L728" s="6"/>
      <c r="M728" s="6"/>
      <c r="N728" s="6"/>
      <c r="O728" s="6"/>
      <c r="P728" s="6"/>
      <c r="Q728" s="6"/>
      <c r="R728" s="6"/>
      <c r="S728" s="6"/>
    </row>
    <row r="729" spans="6:19">
      <c r="F729" s="5">
        <f t="shared" si="77"/>
        <v>9.4477290372091533E-16</v>
      </c>
      <c r="G729" s="4">
        <f t="shared" si="74"/>
        <v>15318298979935.414</v>
      </c>
      <c r="H729" s="3">
        <f t="shared" si="75"/>
        <v>1.4472313807338717E-2</v>
      </c>
      <c r="I729">
        <f t="shared" si="76"/>
        <v>221691229832.26187</v>
      </c>
      <c r="J729" s="6"/>
      <c r="K729" s="6"/>
      <c r="L729" s="6"/>
      <c r="M729" s="6"/>
      <c r="N729" s="6"/>
      <c r="O729" s="6"/>
      <c r="P729" s="6"/>
      <c r="Q729" s="6"/>
      <c r="R729" s="6"/>
      <c r="S729" s="6"/>
    </row>
    <row r="730" spans="6:19">
      <c r="F730" s="5">
        <f t="shared" si="77"/>
        <v>8.9924845089438708E-16</v>
      </c>
      <c r="G730" s="4">
        <f t="shared" si="74"/>
        <v>15701256454433.799</v>
      </c>
      <c r="H730" s="3">
        <f t="shared" si="75"/>
        <v>1.411933054374509E-2</v>
      </c>
      <c r="I730">
        <f t="shared" si="76"/>
        <v>221691229832.26187</v>
      </c>
      <c r="J730" s="6"/>
      <c r="K730" s="6"/>
      <c r="L730" s="6"/>
      <c r="M730" s="6"/>
      <c r="N730" s="6"/>
      <c r="O730" s="6"/>
      <c r="P730" s="6"/>
      <c r="Q730" s="6"/>
      <c r="R730" s="6"/>
      <c r="S730" s="6"/>
    </row>
    <row r="731" spans="6:19">
      <c r="F731" s="5">
        <f t="shared" si="77"/>
        <v>8.5591762131530018E-16</v>
      </c>
      <c r="G731" s="4">
        <f t="shared" si="74"/>
        <v>16093787865794.643</v>
      </c>
      <c r="H731" s="3">
        <f t="shared" si="75"/>
        <v>1.3774956628043991E-2</v>
      </c>
      <c r="I731">
        <f t="shared" si="76"/>
        <v>221691229832.26187</v>
      </c>
      <c r="J731" s="6"/>
      <c r="K731" s="6"/>
      <c r="L731" s="6"/>
      <c r="M731" s="6"/>
      <c r="N731" s="6"/>
      <c r="O731" s="6"/>
      <c r="P731" s="6"/>
      <c r="Q731" s="6"/>
      <c r="R731" s="6"/>
      <c r="S731" s="6"/>
    </row>
    <row r="732" spans="6:19">
      <c r="F732" s="5">
        <f t="shared" si="77"/>
        <v>8.1467471392295077E-16</v>
      </c>
      <c r="G732" s="4">
        <f t="shared" si="74"/>
        <v>16496132562439.508</v>
      </c>
      <c r="H732" s="3">
        <f t="shared" si="75"/>
        <v>1.343898207614048E-2</v>
      </c>
      <c r="I732">
        <f t="shared" si="76"/>
        <v>221691229832.26187</v>
      </c>
      <c r="J732" s="6"/>
      <c r="K732" s="6"/>
      <c r="L732" s="6"/>
      <c r="M732" s="6"/>
      <c r="N732" s="6"/>
      <c r="O732" s="6"/>
      <c r="P732" s="6"/>
      <c r="Q732" s="6"/>
      <c r="R732" s="6"/>
      <c r="S732" s="6"/>
    </row>
    <row r="733" spans="6:19">
      <c r="F733" s="5">
        <f t="shared" si="77"/>
        <v>7.7541912092606871E-16</v>
      </c>
      <c r="G733" s="4">
        <f t="shared" si="74"/>
        <v>16908535876500.494</v>
      </c>
      <c r="H733" s="3">
        <f t="shared" si="75"/>
        <v>1.3111202025502908E-2</v>
      </c>
      <c r="I733">
        <f t="shared" si="76"/>
        <v>221691229832.26187</v>
      </c>
      <c r="J733" s="6"/>
      <c r="K733" s="6"/>
      <c r="L733" s="6"/>
      <c r="M733" s="6"/>
      <c r="N733" s="6"/>
      <c r="O733" s="6"/>
      <c r="P733" s="6"/>
      <c r="Q733" s="6"/>
      <c r="R733" s="6"/>
      <c r="S733" s="6"/>
    </row>
    <row r="734" spans="6:19">
      <c r="F734" s="5">
        <f t="shared" si="77"/>
        <v>7.3805508238055325E-16</v>
      </c>
      <c r="G734" s="4">
        <f t="shared" si="74"/>
        <v>17331249273413.006</v>
      </c>
      <c r="H734" s="3">
        <f t="shared" si="75"/>
        <v>1.279141661024674E-2</v>
      </c>
      <c r="I734">
        <f t="shared" si="76"/>
        <v>221691229832.26187</v>
      </c>
      <c r="J734" s="6"/>
      <c r="K734" s="6"/>
      <c r="L734" s="6"/>
      <c r="M734" s="6"/>
      <c r="N734" s="6"/>
      <c r="O734" s="6"/>
      <c r="P734" s="6"/>
      <c r="Q734" s="6"/>
      <c r="R734" s="6"/>
      <c r="S734" s="6"/>
    </row>
    <row r="735" spans="6:19">
      <c r="F735" s="5">
        <f t="shared" si="77"/>
        <v>7.0249145259303129E-16</v>
      </c>
      <c r="G735" s="4">
        <f t="shared" si="74"/>
        <v>17764530505248.328</v>
      </c>
      <c r="H735" s="3">
        <f t="shared" si="75"/>
        <v>1.2479430839265114E-2</v>
      </c>
      <c r="I735">
        <f t="shared" si="76"/>
        <v>221691229832.26187</v>
      </c>
      <c r="J735" s="6"/>
      <c r="K735" s="6"/>
      <c r="L735" s="6"/>
      <c r="M735" s="6"/>
      <c r="N735" s="6"/>
      <c r="O735" s="6"/>
      <c r="P735" s="6"/>
      <c r="Q735" s="6"/>
      <c r="R735" s="6"/>
      <c r="S735" s="6"/>
    </row>
    <row r="736" spans="6:19">
      <c r="F736" s="5">
        <f t="shared" si="77"/>
        <v>6.6864147778039872E-16</v>
      </c>
      <c r="G736" s="4">
        <f t="shared" si="74"/>
        <v>18208643767879.535</v>
      </c>
      <c r="H736" s="3">
        <f t="shared" si="75"/>
        <v>1.2175054477331819E-2</v>
      </c>
      <c r="I736">
        <f t="shared" si="76"/>
        <v>221691229832.26187</v>
      </c>
      <c r="J736" s="6"/>
      <c r="K736" s="6"/>
      <c r="L736" s="6"/>
      <c r="M736" s="6"/>
      <c r="N736" s="6"/>
      <c r="O736" s="6"/>
      <c r="P736" s="6"/>
      <c r="Q736" s="6"/>
      <c r="R736" s="6"/>
      <c r="S736" s="6"/>
    </row>
    <row r="737" spans="6:19">
      <c r="F737" s="5">
        <f t="shared" si="77"/>
        <v>6.3642258444297321E-16</v>
      </c>
      <c r="G737" s="4">
        <f t="shared" si="74"/>
        <v>18663859862076.523</v>
      </c>
      <c r="H737" s="3">
        <f t="shared" si="75"/>
        <v>1.1878101929104214E-2</v>
      </c>
      <c r="I737">
        <f t="shared" si="76"/>
        <v>221691229832.26187</v>
      </c>
      <c r="J737" s="6"/>
      <c r="K737" s="6"/>
      <c r="L737" s="6"/>
      <c r="M737" s="6"/>
      <c r="N737" s="6"/>
      <c r="O737" s="6"/>
      <c r="P737" s="6"/>
      <c r="Q737" s="6"/>
      <c r="R737" s="6"/>
      <c r="S737" s="6"/>
    </row>
    <row r="738" spans="6:19">
      <c r="F738" s="5">
        <f t="shared" si="77"/>
        <v>6.0575617793501331E-16</v>
      </c>
      <c r="G738" s="4">
        <f t="shared" si="74"/>
        <v>19130456358628.434</v>
      </c>
      <c r="H738" s="3">
        <f t="shared" si="75"/>
        <v>1.1588392125955332E-2</v>
      </c>
      <c r="I738">
        <f t="shared" si="76"/>
        <v>221691229832.26187</v>
      </c>
      <c r="J738" s="6"/>
      <c r="K738" s="6"/>
      <c r="L738" s="6"/>
      <c r="M738" s="6"/>
      <c r="N738" s="6"/>
      <c r="O738" s="6"/>
      <c r="P738" s="6"/>
      <c r="Q738" s="6"/>
      <c r="R738" s="6"/>
      <c r="S738" s="6"/>
    </row>
    <row r="739" spans="6:19">
      <c r="F739" s="5">
        <f t="shared" si="77"/>
        <v>5.7656745074123815E-16</v>
      </c>
      <c r="G739" s="4">
        <f t="shared" si="74"/>
        <v>19608717767594.145</v>
      </c>
      <c r="H739" s="3">
        <f t="shared" si="75"/>
        <v>1.1305748415566178E-2</v>
      </c>
      <c r="I739">
        <f t="shared" si="76"/>
        <v>221691229832.26187</v>
      </c>
      <c r="J739" s="6"/>
      <c r="K739" s="6"/>
      <c r="L739" s="6"/>
      <c r="M739" s="6"/>
      <c r="N739" s="6"/>
      <c r="O739" s="6"/>
      <c r="P739" s="6"/>
      <c r="Q739" s="6"/>
      <c r="R739" s="6"/>
      <c r="S739" s="6"/>
    </row>
    <row r="740" spans="6:19">
      <c r="F740" s="5">
        <f t="shared" si="77"/>
        <v>5.4878519999166052E-16</v>
      </c>
      <c r="G740" s="4">
        <f t="shared" si="74"/>
        <v>20098935711783.996</v>
      </c>
      <c r="H740" s="3">
        <f t="shared" si="75"/>
        <v>1.1029998454210908E-2</v>
      </c>
      <c r="I740">
        <f t="shared" si="76"/>
        <v>221691229832.26187</v>
      </c>
      <c r="J740" s="6"/>
      <c r="K740" s="6"/>
      <c r="L740" s="6"/>
      <c r="M740" s="6"/>
      <c r="N740" s="6"/>
      <c r="O740" s="6"/>
      <c r="P740" s="6"/>
      <c r="Q740" s="6"/>
      <c r="R740" s="6"/>
      <c r="S740" s="6"/>
    </row>
    <row r="741" spans="6:19">
      <c r="F741" s="5">
        <f t="shared" si="77"/>
        <v>5.223416537695758E-16</v>
      </c>
      <c r="G741" s="4">
        <f t="shared" si="74"/>
        <v>20601409104578.594</v>
      </c>
      <c r="H741" s="3">
        <f t="shared" si="75"/>
        <v>1.0760974101669178E-2</v>
      </c>
      <c r="I741">
        <f t="shared" si="76"/>
        <v>221691229832.26187</v>
      </c>
      <c r="J741" s="6"/>
      <c r="K741" s="6"/>
      <c r="L741" s="6"/>
      <c r="M741" s="6"/>
      <c r="N741" s="6"/>
      <c r="O741" s="6"/>
      <c r="P741" s="6"/>
      <c r="Q741" s="6"/>
      <c r="R741" s="6"/>
      <c r="S741" s="6"/>
    </row>
    <row r="742" spans="6:19">
      <c r="F742" s="5">
        <f t="shared" si="77"/>
        <v>4.9717230578900737E-16</v>
      </c>
      <c r="G742" s="4">
        <f t="shared" si="74"/>
        <v>21116444332193.059</v>
      </c>
      <c r="H742" s="3">
        <f t="shared" si="75"/>
        <v>1.0498511318701638E-2</v>
      </c>
      <c r="I742">
        <f t="shared" si="76"/>
        <v>221691229832.26187</v>
      </c>
      <c r="J742" s="6"/>
      <c r="K742" s="6"/>
      <c r="L742" s="6"/>
      <c r="M742" s="6"/>
      <c r="N742" s="6"/>
      <c r="O742" s="6"/>
      <c r="P742" s="6"/>
      <c r="Q742" s="6"/>
      <c r="R742" s="6"/>
      <c r="S742" s="6"/>
    </row>
    <row r="743" spans="6:19">
      <c r="F743" s="5">
        <f t="shared" si="77"/>
        <v>4.732157580383176E-16</v>
      </c>
      <c r="G743" s="4">
        <f t="shared" si="74"/>
        <v>21644355440497.883</v>
      </c>
      <c r="H743" s="3">
        <f t="shared" si="75"/>
        <v>1.0242450067025989E-2</v>
      </c>
      <c r="I743">
        <f t="shared" si="76"/>
        <v>221691229832.26187</v>
      </c>
      <c r="J743" s="6"/>
      <c r="K743" s="6"/>
      <c r="L743" s="6"/>
      <c r="M743" s="6"/>
      <c r="N743" s="6"/>
      <c r="O743" s="6"/>
      <c r="P743" s="6"/>
      <c r="Q743" s="6"/>
      <c r="R743" s="6"/>
      <c r="S743" s="6"/>
    </row>
    <row r="744" spans="6:19">
      <c r="F744" s="5">
        <f t="shared" si="77"/>
        <v>4.5041357100613223E-16</v>
      </c>
      <c r="G744" s="4">
        <f t="shared" si="74"/>
        <v>22185464326510.328</v>
      </c>
      <c r="H744" s="3">
        <f t="shared" si="75"/>
        <v>9.9926342117326733E-3</v>
      </c>
      <c r="I744">
        <f t="shared" si="76"/>
        <v>221691229832.26187</v>
      </c>
      <c r="J744" s="6"/>
      <c r="K744" s="6"/>
      <c r="L744" s="6"/>
      <c r="M744" s="6"/>
      <c r="N744" s="6"/>
      <c r="O744" s="6"/>
      <c r="P744" s="6"/>
      <c r="Q744" s="6"/>
      <c r="R744" s="6"/>
      <c r="S744" s="6"/>
    </row>
    <row r="745" spans="6:19">
      <c r="F745" s="5">
        <f t="shared" si="77"/>
        <v>4.2871012112421869E-16</v>
      </c>
      <c r="G745" s="4">
        <f t="shared" si="74"/>
        <v>22740100934673.086</v>
      </c>
      <c r="H745" s="3">
        <f t="shared" si="75"/>
        <v>9.7489114260806576E-3</v>
      </c>
      <c r="I745">
        <f t="shared" si="76"/>
        <v>221691229832.26187</v>
      </c>
      <c r="J745" s="6"/>
      <c r="K745" s="6"/>
      <c r="L745" s="6"/>
      <c r="M745" s="6"/>
      <c r="N745" s="6"/>
      <c r="O745" s="6"/>
      <c r="P745" s="6"/>
      <c r="Q745" s="6"/>
      <c r="R745" s="6"/>
      <c r="S745" s="6"/>
    </row>
    <row r="746" spans="6:19">
      <c r="F746" s="5">
        <f t="shared" si="77"/>
        <v>4.0805246507956574E-16</v>
      </c>
      <c r="G746" s="4">
        <f t="shared" si="74"/>
        <v>23308603458039.91</v>
      </c>
      <c r="H746" s="3">
        <f t="shared" si="75"/>
        <v>9.5111330986152754E-3</v>
      </c>
      <c r="I746">
        <f t="shared" si="76"/>
        <v>221691229832.26187</v>
      </c>
      <c r="J746" s="6"/>
      <c r="K746" s="6"/>
      <c r="L746" s="6"/>
      <c r="M746" s="6"/>
      <c r="N746" s="6"/>
      <c r="O746" s="6"/>
      <c r="P746" s="6"/>
      <c r="Q746" s="6"/>
      <c r="R746" s="6"/>
      <c r="S746" s="6"/>
    </row>
    <row r="747" spans="6:19">
      <c r="F747" s="5">
        <f t="shared" si="77"/>
        <v>3.8839021066466703E-16</v>
      </c>
      <c r="G747" s="4">
        <f t="shared" si="74"/>
        <v>23891318544490.906</v>
      </c>
      <c r="H747" s="3">
        <f t="shared" si="75"/>
        <v>9.2791542425514888E-3</v>
      </c>
      <c r="I747">
        <f t="shared" si="76"/>
        <v>221691229832.26187</v>
      </c>
      <c r="J747" s="6"/>
      <c r="K747" s="6"/>
      <c r="L747" s="6"/>
      <c r="M747" s="6"/>
      <c r="N747" s="6"/>
      <c r="O747" s="6"/>
      <c r="P747" s="6"/>
      <c r="Q747" s="6"/>
      <c r="R747" s="6"/>
      <c r="S747" s="6"/>
    </row>
    <row r="748" spans="6:19">
      <c r="F748" s="5">
        <f t="shared" si="77"/>
        <v>3.6967539385096218E-16</v>
      </c>
      <c r="G748" s="4">
        <f t="shared" si="74"/>
        <v>24488601508103.176</v>
      </c>
      <c r="H748" s="3">
        <f t="shared" si="75"/>
        <v>9.052833407367308E-3</v>
      </c>
      <c r="I748">
        <f t="shared" si="76"/>
        <v>221691229832.26187</v>
      </c>
      <c r="J748" s="6"/>
      <c r="K748" s="6"/>
      <c r="L748" s="6"/>
      <c r="M748" s="6"/>
      <c r="N748" s="6"/>
      <c r="O748" s="6"/>
      <c r="P748" s="6"/>
      <c r="Q748" s="6"/>
      <c r="R748" s="6"/>
      <c r="S748" s="6"/>
    </row>
    <row r="749" spans="6:19">
      <c r="F749" s="5">
        <f t="shared" si="77"/>
        <v>3.5186236178556786E-16</v>
      </c>
      <c r="G749" s="4">
        <f t="shared" si="74"/>
        <v>25100816545805.754</v>
      </c>
      <c r="H749" s="3">
        <f t="shared" si="75"/>
        <v>8.8320325925534716E-3</v>
      </c>
      <c r="I749">
        <f t="shared" si="76"/>
        <v>221691229832.26187</v>
      </c>
      <c r="J749" s="6"/>
      <c r="K749" s="6"/>
      <c r="L749" s="6"/>
      <c r="M749" s="6"/>
      <c r="N749" s="6"/>
      <c r="O749" s="6"/>
      <c r="P749" s="6"/>
      <c r="Q749" s="6"/>
      <c r="R749" s="6"/>
      <c r="S749" s="6"/>
    </row>
    <row r="750" spans="6:19">
      <c r="F750" s="5">
        <f t="shared" si="77"/>
        <v>3.3490766142588263E-16</v>
      </c>
      <c r="G750" s="4">
        <f t="shared" si="74"/>
        <v>25728336959450.895</v>
      </c>
      <c r="H750" s="3">
        <f t="shared" si="75"/>
        <v>8.6166171634668026E-3</v>
      </c>
      <c r="I750">
        <f t="shared" si="76"/>
        <v>221691229832.26187</v>
      </c>
      <c r="J750" s="6"/>
      <c r="K750" s="6"/>
      <c r="L750" s="6"/>
      <c r="M750" s="6"/>
      <c r="N750" s="6"/>
      <c r="O750" s="6"/>
      <c r="P750" s="6"/>
      <c r="Q750" s="6"/>
      <c r="R750" s="6"/>
      <c r="S750" s="6"/>
    </row>
    <row r="751" spans="6:19">
      <c r="F751" s="5">
        <f t="shared" si="77"/>
        <v>3.1876993354039997E-16</v>
      </c>
      <c r="G751" s="4">
        <f t="shared" si="74"/>
        <v>26371545383437.164</v>
      </c>
      <c r="H751" s="3">
        <f t="shared" si="75"/>
        <v>8.4064557692359061E-3</v>
      </c>
      <c r="I751">
        <f t="shared" si="76"/>
        <v>221691229832.26187</v>
      </c>
      <c r="J751" s="6"/>
      <c r="K751" s="6"/>
      <c r="L751" s="6"/>
      <c r="M751" s="6"/>
      <c r="N751" s="6"/>
      <c r="O751" s="6"/>
      <c r="P751" s="6"/>
      <c r="Q751" s="6"/>
      <c r="R751" s="6"/>
      <c r="S751" s="6"/>
    </row>
    <row r="752" spans="6:19">
      <c r="F752" s="5">
        <f t="shared" si="77"/>
        <v>3.034098118171565E-16</v>
      </c>
      <c r="G752" s="4">
        <f t="shared" si="74"/>
        <v>27030834018023.09</v>
      </c>
      <c r="H752" s="3">
        <f t="shared" si="75"/>
        <v>8.2014202626691773E-3</v>
      </c>
      <c r="I752">
        <f t="shared" si="76"/>
        <v>221691229832.26187</v>
      </c>
      <c r="J752" s="6"/>
      <c r="K752" s="6"/>
      <c r="L752" s="6"/>
      <c r="M752" s="6"/>
      <c r="N752" s="6"/>
      <c r="O752" s="6"/>
      <c r="P752" s="6"/>
      <c r="Q752" s="6"/>
      <c r="R752" s="6"/>
      <c r="S752" s="6"/>
    </row>
    <row r="753" spans="6:19">
      <c r="F753" s="5">
        <f t="shared" si="77"/>
        <v>2.8878982683370046E-16</v>
      </c>
      <c r="G753" s="4">
        <f t="shared" ref="G753:G815" si="78">G752*(1+$O$1)</f>
        <v>27706604868473.664</v>
      </c>
      <c r="H753" s="3">
        <f t="shared" si="75"/>
        <v>8.0013856221162714E-3</v>
      </c>
      <c r="I753">
        <f t="shared" si="76"/>
        <v>221691229832.26187</v>
      </c>
      <c r="J753" s="6"/>
      <c r="K753" s="6"/>
      <c r="L753" s="6"/>
      <c r="M753" s="6"/>
      <c r="N753" s="6"/>
      <c r="O753" s="6"/>
      <c r="P753" s="6"/>
      <c r="Q753" s="6"/>
      <c r="R753" s="6"/>
      <c r="S753" s="6"/>
    </row>
    <row r="754" spans="6:19">
      <c r="F754" s="5">
        <f t="shared" si="77"/>
        <v>2.7487431465432527E-16</v>
      </c>
      <c r="G754" s="4">
        <f t="shared" si="78"/>
        <v>28399269990185.504</v>
      </c>
      <c r="H754" s="3">
        <f t="shared" ref="H754:H815" si="79">I754/G754</f>
        <v>7.8062298752353872E-3</v>
      </c>
      <c r="I754">
        <f t="shared" ref="I754:I815" si="80">I753</f>
        <v>221691229832.26187</v>
      </c>
      <c r="J754" s="6"/>
      <c r="K754" s="6"/>
      <c r="L754" s="6"/>
      <c r="M754" s="6"/>
      <c r="N754" s="6"/>
      <c r="O754" s="6"/>
      <c r="P754" s="6"/>
      <c r="Q754" s="6"/>
      <c r="R754" s="6"/>
      <c r="S754" s="6"/>
    </row>
    <row r="755" spans="6:19">
      <c r="F755" s="5">
        <f t="shared" si="77"/>
        <v>2.6162932983160053E-16</v>
      </c>
      <c r="G755" s="4">
        <f t="shared" si="78"/>
        <v>29109251739940.141</v>
      </c>
      <c r="H755" s="3">
        <f t="shared" si="79"/>
        <v>7.6158340246198905E-3</v>
      </c>
      <c r="I755">
        <f t="shared" si="80"/>
        <v>221691229832.26187</v>
      </c>
      <c r="J755" s="6"/>
      <c r="K755" s="6"/>
      <c r="L755" s="6"/>
      <c r="M755" s="6"/>
      <c r="N755" s="6"/>
      <c r="O755" s="6"/>
      <c r="P755" s="6"/>
      <c r="Q755" s="6"/>
      <c r="R755" s="6"/>
      <c r="S755" s="6"/>
    </row>
    <row r="756" spans="6:19">
      <c r="F756" s="5">
        <f t="shared" si="77"/>
        <v>2.4902256259997676E-16</v>
      </c>
      <c r="G756" s="4">
        <f t="shared" si="78"/>
        <v>29836983033438.641</v>
      </c>
      <c r="H756" s="3">
        <f t="shared" si="79"/>
        <v>7.4300819752389181E-3</v>
      </c>
      <c r="I756">
        <f t="shared" si="80"/>
        <v>221691229832.26187</v>
      </c>
      <c r="J756" s="6"/>
      <c r="K756" s="6"/>
      <c r="L756" s="6"/>
      <c r="M756" s="6"/>
      <c r="N756" s="6"/>
      <c r="O756" s="6"/>
      <c r="P756" s="6"/>
      <c r="Q756" s="6"/>
      <c r="R756" s="6"/>
      <c r="S756" s="6"/>
    </row>
    <row r="757" spans="6:19">
      <c r="F757" s="5">
        <f t="shared" si="77"/>
        <v>2.3702326005946632E-16</v>
      </c>
      <c r="G757" s="4">
        <f t="shared" si="78"/>
        <v>30582907609274.605</v>
      </c>
      <c r="H757" s="3">
        <f t="shared" si="79"/>
        <v>7.2488604636477254E-3</v>
      </c>
      <c r="I757">
        <f t="shared" si="80"/>
        <v>221691229832.26187</v>
      </c>
      <c r="J757" s="6"/>
      <c r="K757" s="6"/>
      <c r="L757" s="6"/>
      <c r="M757" s="6"/>
      <c r="N757" s="6"/>
      <c r="O757" s="6"/>
      <c r="P757" s="6"/>
      <c r="Q757" s="6"/>
      <c r="R757" s="6"/>
      <c r="S757" s="6"/>
    </row>
    <row r="758" spans="6:19">
      <c r="F758" s="5">
        <f t="shared" si="77"/>
        <v>2.2560215115713629E-16</v>
      </c>
      <c r="G758" s="4">
        <f t="shared" si="78"/>
        <v>31347480299506.469</v>
      </c>
      <c r="H758" s="3">
        <f t="shared" si="79"/>
        <v>7.0720589889246106E-3</v>
      </c>
      <c r="I758">
        <f t="shared" si="80"/>
        <v>221691229832.26187</v>
      </c>
      <c r="J758" s="6"/>
      <c r="K758" s="6"/>
      <c r="L758" s="6"/>
      <c r="M758" s="6"/>
      <c r="N758" s="6"/>
      <c r="O758" s="6"/>
      <c r="P758" s="6"/>
      <c r="Q758" s="6"/>
      <c r="R758" s="6"/>
      <c r="S758" s="6"/>
    </row>
    <row r="759" spans="6:19">
      <c r="F759" s="5">
        <f t="shared" si="77"/>
        <v>2.1473137528341353E-16</v>
      </c>
      <c r="G759" s="4">
        <f t="shared" si="78"/>
        <v>32131167306994.129</v>
      </c>
      <c r="H759" s="3">
        <f t="shared" si="79"/>
        <v>6.8995697452923039E-3</v>
      </c>
      <c r="I759">
        <f t="shared" si="80"/>
        <v>221691229832.26187</v>
      </c>
      <c r="J759" s="6"/>
      <c r="K759" s="6"/>
      <c r="L759" s="6"/>
      <c r="M759" s="6"/>
      <c r="N759" s="6"/>
      <c r="O759" s="6"/>
      <c r="P759" s="6"/>
      <c r="Q759" s="6"/>
      <c r="R759" s="6"/>
      <c r="S759" s="6"/>
    </row>
    <row r="760" spans="6:19">
      <c r="F760" s="5">
        <f t="shared" si="77"/>
        <v>2.0438441430901943E-16</v>
      </c>
      <c r="G760" s="4">
        <f t="shared" si="78"/>
        <v>32934446489668.98</v>
      </c>
      <c r="H760" s="3">
        <f t="shared" si="79"/>
        <v>6.7312875563827358E-3</v>
      </c>
      <c r="I760">
        <f t="shared" si="80"/>
        <v>221691229832.26187</v>
      </c>
      <c r="J760" s="6"/>
      <c r="K760" s="6"/>
      <c r="L760" s="6"/>
      <c r="M760" s="6"/>
      <c r="N760" s="6"/>
      <c r="O760" s="6"/>
      <c r="P760" s="6"/>
      <c r="Q760" s="6"/>
      <c r="R760" s="6"/>
      <c r="S760" s="6"/>
    </row>
    <row r="761" spans="6:19">
      <c r="F761" s="5">
        <f t="shared" si="77"/>
        <v>1.9453602789674665E-16</v>
      </c>
      <c r="G761" s="4">
        <f t="shared" si="78"/>
        <v>33757807651910.703</v>
      </c>
      <c r="H761" s="3">
        <f t="shared" si="79"/>
        <v>6.5671098111051082E-3</v>
      </c>
      <c r="I761">
        <f t="shared" si="80"/>
        <v>221691229832.26187</v>
      </c>
      <c r="J761" s="6"/>
      <c r="K761" s="6"/>
      <c r="L761" s="6"/>
      <c r="M761" s="6"/>
      <c r="N761" s="6"/>
      <c r="O761" s="6"/>
      <c r="P761" s="6"/>
      <c r="Q761" s="6"/>
      <c r="R761" s="6"/>
      <c r="S761" s="6"/>
    </row>
    <row r="762" spans="6:19">
      <c r="F762" s="5">
        <f t="shared" si="77"/>
        <v>1.8516219193027643E-16</v>
      </c>
      <c r="G762" s="4">
        <f t="shared" si="78"/>
        <v>34601752843208.469</v>
      </c>
      <c r="H762" s="3">
        <f t="shared" si="79"/>
        <v>6.4069364010781544E-3</v>
      </c>
      <c r="I762">
        <f t="shared" si="80"/>
        <v>221691229832.26187</v>
      </c>
      <c r="J762" s="6"/>
      <c r="K762" s="6"/>
      <c r="L762" s="6"/>
      <c r="M762" s="6"/>
      <c r="N762" s="6"/>
      <c r="O762" s="6"/>
      <c r="P762" s="6"/>
      <c r="Q762" s="6"/>
      <c r="R762" s="6"/>
      <c r="S762" s="6"/>
    </row>
    <row r="763" spans="6:19">
      <c r="F763" s="5">
        <f t="shared" si="77"/>
        <v>1.7624003990984074E-16</v>
      </c>
      <c r="G763" s="4">
        <f t="shared" si="78"/>
        <v>35466796664288.68</v>
      </c>
      <c r="H763" s="3">
        <f t="shared" si="79"/>
        <v>6.2506696595884433E-3</v>
      </c>
      <c r="I763">
        <f t="shared" si="80"/>
        <v>221691229832.26187</v>
      </c>
      <c r="J763" s="6"/>
      <c r="K763" s="6"/>
      <c r="L763" s="6"/>
      <c r="M763" s="6"/>
      <c r="N763" s="6"/>
      <c r="O763" s="6"/>
      <c r="P763" s="6"/>
      <c r="Q763" s="6"/>
      <c r="R763" s="6"/>
      <c r="S763" s="6"/>
    </row>
    <row r="764" spans="6:19">
      <c r="F764" s="5">
        <f t="shared" si="77"/>
        <v>1.6774780717176996E-16</v>
      </c>
      <c r="G764" s="4">
        <f t="shared" si="78"/>
        <v>36353466580895.891</v>
      </c>
      <c r="H764" s="3">
        <f t="shared" si="79"/>
        <v>6.0982143020375072E-3</v>
      </c>
      <c r="I764">
        <f t="shared" si="80"/>
        <v>221691229832.26187</v>
      </c>
      <c r="J764" s="6"/>
      <c r="K764" s="6"/>
      <c r="L764" s="6"/>
      <c r="M764" s="6"/>
      <c r="N764" s="6"/>
      <c r="O764" s="6"/>
      <c r="P764" s="6"/>
      <c r="Q764" s="6"/>
      <c r="R764" s="6"/>
      <c r="S764" s="6"/>
    </row>
    <row r="765" spans="6:19">
      <c r="F765" s="5">
        <f t="shared" si="77"/>
        <v>1.5966477779585488E-16</v>
      </c>
      <c r="G765" s="4">
        <f t="shared" si="78"/>
        <v>37262303245418.281</v>
      </c>
      <c r="H765" s="3">
        <f t="shared" si="79"/>
        <v>5.9494773678414716E-3</v>
      </c>
      <c r="I765">
        <f t="shared" si="80"/>
        <v>221691229832.26187</v>
      </c>
      <c r="J765" s="6"/>
      <c r="K765" s="6"/>
      <c r="L765" s="6"/>
      <c r="M765" s="6"/>
      <c r="N765" s="6"/>
      <c r="O765" s="6"/>
      <c r="P765" s="6"/>
      <c r="Q765" s="6"/>
      <c r="R765" s="6"/>
      <c r="S765" s="6"/>
    </row>
    <row r="766" spans="6:19">
      <c r="F766" s="5">
        <f t="shared" si="77"/>
        <v>1.5197123407101002E-16</v>
      </c>
      <c r="G766" s="4">
        <f t="shared" si="78"/>
        <v>38193860826553.734</v>
      </c>
      <c r="H766" s="3">
        <f t="shared" si="79"/>
        <v>5.8043681637477773E-3</v>
      </c>
      <c r="I766">
        <f t="shared" si="80"/>
        <v>221691229832.26187</v>
      </c>
      <c r="J766" s="6"/>
      <c r="K766" s="6"/>
      <c r="L766" s="6"/>
      <c r="M766" s="6"/>
      <c r="N766" s="6"/>
      <c r="O766" s="6"/>
      <c r="P766" s="6"/>
      <c r="Q766" s="6"/>
      <c r="R766" s="6"/>
      <c r="S766" s="6"/>
    </row>
    <row r="767" spans="6:19">
      <c r="F767" s="5">
        <f t="shared" si="77"/>
        <v>1.4464840839596431E-16</v>
      </c>
      <c r="G767" s="4">
        <f t="shared" si="78"/>
        <v>39148707347217.578</v>
      </c>
      <c r="H767" s="3">
        <f t="shared" si="79"/>
        <v>5.6627982085344173E-3</v>
      </c>
      <c r="I767">
        <f t="shared" si="80"/>
        <v>221691229832.26187</v>
      </c>
      <c r="J767" s="6"/>
      <c r="K767" s="6"/>
      <c r="L767" s="6"/>
      <c r="M767" s="6"/>
      <c r="N767" s="6"/>
      <c r="O767" s="6"/>
      <c r="P767" s="6"/>
      <c r="Q767" s="6"/>
      <c r="R767" s="6"/>
      <c r="S767" s="6"/>
    </row>
    <row r="768" spans="6:19">
      <c r="F768" s="5">
        <f t="shared" si="77"/>
        <v>1.37678437497646E-16</v>
      </c>
      <c r="G768" s="4">
        <f t="shared" si="78"/>
        <v>40127425030898.016</v>
      </c>
      <c r="H768" s="3">
        <f t="shared" si="79"/>
        <v>5.5246811790579681E-3</v>
      </c>
      <c r="I768">
        <f t="shared" si="80"/>
        <v>221691229832.26187</v>
      </c>
      <c r="J768" s="6"/>
      <c r="K768" s="6"/>
      <c r="L768" s="6"/>
      <c r="M768" s="6"/>
      <c r="N768" s="6"/>
      <c r="O768" s="6"/>
      <c r="P768" s="6"/>
      <c r="Q768" s="6"/>
      <c r="R768" s="6"/>
      <c r="S768" s="6"/>
    </row>
    <row r="769" spans="6:19">
      <c r="F769" s="5">
        <f t="shared" si="77"/>
        <v>1.310443188555822E-16</v>
      </c>
      <c r="G769" s="4">
        <f t="shared" si="78"/>
        <v>41130610656670.461</v>
      </c>
      <c r="H769" s="3">
        <f t="shared" si="79"/>
        <v>5.3899328576175309E-3</v>
      </c>
      <c r="I769">
        <f t="shared" si="80"/>
        <v>221691229832.26187</v>
      </c>
      <c r="J769" s="6"/>
      <c r="K769" s="6"/>
      <c r="L769" s="6"/>
      <c r="M769" s="6"/>
      <c r="N769" s="6"/>
      <c r="O769" s="6"/>
      <c r="P769" s="6"/>
      <c r="Q769" s="6"/>
      <c r="R769" s="6"/>
      <c r="S769" s="6"/>
    </row>
    <row r="770" spans="6:19">
      <c r="F770" s="5">
        <f t="shared" si="77"/>
        <v>1.2472986922601519E-16</v>
      </c>
      <c r="G770" s="4">
        <f t="shared" si="78"/>
        <v>42158875923087.219</v>
      </c>
      <c r="H770" s="3">
        <f t="shared" si="79"/>
        <v>5.2584710806024689E-3</v>
      </c>
      <c r="I770">
        <f t="shared" si="80"/>
        <v>221691229832.26187</v>
      </c>
      <c r="J770" s="6"/>
      <c r="K770" s="6"/>
      <c r="L770" s="6"/>
      <c r="M770" s="6"/>
      <c r="N770" s="6"/>
      <c r="O770" s="6"/>
      <c r="P770" s="6"/>
      <c r="Q770" s="6"/>
      <c r="R770" s="6"/>
      <c r="S770" s="6"/>
    </row>
    <row r="771" spans="6:19">
      <c r="F771" s="5">
        <f t="shared" si="77"/>
        <v>1.1871968516455938E-16</v>
      </c>
      <c r="G771" s="4">
        <f t="shared" si="78"/>
        <v>43212847821164.398</v>
      </c>
      <c r="H771" s="3">
        <f t="shared" si="79"/>
        <v>5.1302156883926532E-3</v>
      </c>
      <c r="I771">
        <f t="shared" si="80"/>
        <v>221691229832.26187</v>
      </c>
      <c r="J771" s="6"/>
      <c r="K771" s="6"/>
      <c r="L771" s="6"/>
      <c r="M771" s="6"/>
      <c r="N771" s="6"/>
      <c r="O771" s="6"/>
      <c r="P771" s="6"/>
      <c r="Q771" s="6"/>
      <c r="R771" s="6"/>
      <c r="S771" s="6"/>
    </row>
    <row r="772" spans="6:19">
      <c r="F772" s="5">
        <f t="shared" si="77"/>
        <v>1.1299910545109756E-16</v>
      </c>
      <c r="G772" s="4">
        <f t="shared" si="78"/>
        <v>44293169016693.508</v>
      </c>
      <c r="H772" s="3">
        <f t="shared" si="79"/>
        <v>5.0050884764806375E-3</v>
      </c>
      <c r="I772">
        <f t="shared" si="80"/>
        <v>221691229832.26187</v>
      </c>
      <c r="J772" s="6"/>
      <c r="K772" s="6"/>
      <c r="L772" s="6"/>
      <c r="M772" s="6"/>
      <c r="N772" s="6"/>
      <c r="O772" s="6"/>
      <c r="P772" s="6"/>
      <c r="Q772" s="6"/>
      <c r="R772" s="6"/>
      <c r="S772" s="6"/>
    </row>
    <row r="773" spans="6:19">
      <c r="F773" s="5">
        <f t="shared" si="77"/>
        <v>1.0755417532525647E-16</v>
      </c>
      <c r="G773" s="4">
        <f t="shared" si="78"/>
        <v>45400498242110.844</v>
      </c>
      <c r="H773" s="3">
        <f t="shared" si="79"/>
        <v>4.8830131477859877E-3</v>
      </c>
      <c r="I773">
        <f t="shared" si="80"/>
        <v>221691229832.26187</v>
      </c>
      <c r="J773" s="6"/>
      <c r="K773" s="6"/>
      <c r="L773" s="6"/>
      <c r="M773" s="6"/>
      <c r="N773" s="6"/>
      <c r="O773" s="6"/>
      <c r="P773" s="6"/>
      <c r="Q773" s="6"/>
      <c r="R773" s="6"/>
      <c r="S773" s="6"/>
    </row>
    <row r="774" spans="6:19">
      <c r="F774" s="5">
        <f t="shared" si="77"/>
        <v>1.0237161244521735E-16</v>
      </c>
      <c r="G774" s="4">
        <f t="shared" si="78"/>
        <v>46535510698163.609</v>
      </c>
      <c r="H774" s="3">
        <f t="shared" si="79"/>
        <v>4.7639152661326711E-3</v>
      </c>
      <c r="I774">
        <f t="shared" si="80"/>
        <v>221691229832.26187</v>
      </c>
      <c r="J774" s="6"/>
      <c r="K774" s="6"/>
      <c r="L774" s="6"/>
      <c r="M774" s="6"/>
      <c r="N774" s="6"/>
      <c r="O774" s="6"/>
      <c r="P774" s="6"/>
      <c r="Q774" s="6"/>
      <c r="R774" s="6"/>
      <c r="S774" s="6"/>
    </row>
    <row r="775" spans="6:19">
      <c r="F775" s="5">
        <f t="shared" si="77"/>
        <v>9.7438774486822017E-17</v>
      </c>
      <c r="G775" s="4">
        <f t="shared" si="78"/>
        <v>47698898465617.695</v>
      </c>
      <c r="H775" s="3">
        <f t="shared" si="79"/>
        <v>4.6477222108611436E-3</v>
      </c>
      <c r="I775">
        <f t="shared" si="80"/>
        <v>221691229832.26187</v>
      </c>
      <c r="J775" s="6"/>
      <c r="K775" s="6"/>
      <c r="L775" s="6"/>
      <c r="M775" s="6"/>
      <c r="N775" s="6"/>
      <c r="O775" s="6"/>
      <c r="P775" s="6"/>
      <c r="Q775" s="6"/>
      <c r="R775" s="6"/>
      <c r="S775" s="6"/>
    </row>
    <row r="776" spans="6:19">
      <c r="F776" s="5">
        <f t="shared" si="77"/>
        <v>9.2743628303935302E-17</v>
      </c>
      <c r="G776" s="4">
        <f t="shared" si="78"/>
        <v>48891370927258.133</v>
      </c>
      <c r="H776" s="3">
        <f t="shared" si="79"/>
        <v>4.534363132547457E-3</v>
      </c>
      <c r="I776">
        <f t="shared" si="80"/>
        <v>221691229832.26187</v>
      </c>
      <c r="J776" s="6"/>
      <c r="K776" s="6"/>
      <c r="L776" s="6"/>
      <c r="M776" s="6"/>
      <c r="N776" s="6"/>
      <c r="O776" s="6"/>
      <c r="P776" s="6"/>
      <c r="Q776" s="6"/>
      <c r="R776" s="6"/>
      <c r="S776" s="6"/>
    </row>
    <row r="777" spans="6:19">
      <c r="F777" s="5">
        <f t="shared" ref="F777:F815" si="81">H777/G777</f>
        <v>8.8274720574834354E-17</v>
      </c>
      <c r="G777" s="4">
        <f t="shared" si="78"/>
        <v>50113655200439.578</v>
      </c>
      <c r="H777" s="3">
        <f t="shared" si="79"/>
        <v>4.4237689098023981E-3</v>
      </c>
      <c r="I777">
        <f t="shared" si="80"/>
        <v>221691229832.26187</v>
      </c>
      <c r="J777" s="6"/>
      <c r="K777" s="6"/>
      <c r="L777" s="6"/>
      <c r="M777" s="6"/>
      <c r="N777" s="6"/>
      <c r="O777" s="6"/>
      <c r="P777" s="6"/>
      <c r="Q777" s="6"/>
      <c r="R777" s="6"/>
      <c r="S777" s="6"/>
    </row>
    <row r="778" spans="6:19">
      <c r="F778" s="5">
        <f t="shared" si="81"/>
        <v>8.4021149863019035E-17</v>
      </c>
      <c r="G778" s="4">
        <f t="shared" si="78"/>
        <v>51366496580450.563</v>
      </c>
      <c r="H778" s="3">
        <f t="shared" si="79"/>
        <v>4.3158721071242913E-3</v>
      </c>
      <c r="I778">
        <f t="shared" si="80"/>
        <v>221691229832.26187</v>
      </c>
      <c r="J778" s="6"/>
      <c r="K778" s="6"/>
      <c r="L778" s="6"/>
      <c r="M778" s="6"/>
      <c r="N778" s="6"/>
      <c r="O778" s="6"/>
      <c r="P778" s="6"/>
      <c r="Q778" s="6"/>
      <c r="R778" s="6"/>
      <c r="S778" s="6"/>
    </row>
    <row r="779" spans="6:19">
      <c r="F779" s="5">
        <f t="shared" si="81"/>
        <v>7.9972540024289404E-17</v>
      </c>
      <c r="G779" s="4">
        <f t="shared" si="78"/>
        <v>52650658994961.82</v>
      </c>
      <c r="H779" s="3">
        <f t="shared" si="79"/>
        <v>4.210606933779797E-3</v>
      </c>
      <c r="I779">
        <f t="shared" si="80"/>
        <v>221691229832.26187</v>
      </c>
      <c r="J779" s="6"/>
      <c r="K779" s="6"/>
      <c r="L779" s="6"/>
      <c r="M779" s="6"/>
      <c r="N779" s="6"/>
      <c r="O779" s="6"/>
      <c r="P779" s="6"/>
      <c r="Q779" s="6"/>
      <c r="R779" s="6"/>
      <c r="S779" s="6"/>
    </row>
    <row r="780" spans="6:19">
      <c r="F780" s="5">
        <f t="shared" si="81"/>
        <v>7.6119014895218968E-17</v>
      </c>
      <c r="G780" s="4">
        <f t="shared" si="78"/>
        <v>53966925469835.859</v>
      </c>
      <c r="H780" s="3">
        <f t="shared" si="79"/>
        <v>4.1079092036876074E-3</v>
      </c>
      <c r="I780">
        <f t="shared" si="80"/>
        <v>221691229832.26187</v>
      </c>
      <c r="J780" s="6"/>
      <c r="K780" s="6"/>
      <c r="L780" s="6"/>
      <c r="M780" s="6"/>
      <c r="N780" s="6"/>
      <c r="O780" s="6"/>
      <c r="P780" s="6"/>
      <c r="Q780" s="6"/>
      <c r="R780" s="6"/>
      <c r="S780" s="6"/>
    </row>
    <row r="781" spans="6:19">
      <c r="F781" s="5">
        <f t="shared" si="81"/>
        <v>7.2451174201279218E-17</v>
      </c>
      <c r="G781" s="4">
        <f t="shared" si="78"/>
        <v>55316098606581.75</v>
      </c>
      <c r="H781" s="3">
        <f t="shared" si="79"/>
        <v>4.0077162962805927E-3</v>
      </c>
      <c r="I781">
        <f t="shared" si="80"/>
        <v>221691229832.26187</v>
      </c>
      <c r="J781" s="6"/>
      <c r="K781" s="6"/>
      <c r="L781" s="6"/>
      <c r="M781" s="6"/>
      <c r="N781" s="6"/>
      <c r="O781" s="6"/>
      <c r="P781" s="6"/>
      <c r="Q781" s="6"/>
      <c r="R781" s="6"/>
      <c r="S781" s="6"/>
    </row>
    <row r="782" spans="6:19">
      <c r="F782" s="5">
        <f t="shared" si="81"/>
        <v>6.8960070625845785E-17</v>
      </c>
      <c r="G782" s="4">
        <f t="shared" si="78"/>
        <v>56699001071746.289</v>
      </c>
      <c r="H782" s="3">
        <f t="shared" si="79"/>
        <v>3.90996711832253E-3</v>
      </c>
      <c r="I782">
        <f t="shared" si="80"/>
        <v>221691229832.26187</v>
      </c>
      <c r="J782" s="6"/>
      <c r="K782" s="6"/>
      <c r="L782" s="6"/>
      <c r="M782" s="6"/>
      <c r="N782" s="6"/>
      <c r="O782" s="6"/>
      <c r="P782" s="6"/>
      <c r="Q782" s="6"/>
      <c r="R782" s="6"/>
      <c r="S782" s="6"/>
    </row>
    <row r="783" spans="6:19">
      <c r="F783" s="5">
        <f t="shared" si="81"/>
        <v>6.56371879841483E-17</v>
      </c>
      <c r="G783" s="4">
        <f t="shared" si="78"/>
        <v>58116476098539.938</v>
      </c>
      <c r="H783" s="3">
        <f t="shared" si="79"/>
        <v>3.8146020666561275E-3</v>
      </c>
      <c r="I783">
        <f t="shared" si="80"/>
        <v>221691229832.26187</v>
      </c>
      <c r="J783" s="6"/>
      <c r="K783" s="6"/>
      <c r="L783" s="6"/>
      <c r="M783" s="6"/>
      <c r="N783" s="6"/>
      <c r="O783" s="6"/>
      <c r="P783" s="6"/>
      <c r="Q783" s="6"/>
      <c r="R783" s="6"/>
      <c r="S783" s="6"/>
    </row>
    <row r="784" spans="6:19">
      <c r="F784" s="5">
        <f t="shared" si="81"/>
        <v>6.2474420448921649E-17</v>
      </c>
      <c r="G784" s="4">
        <f t="shared" si="78"/>
        <v>59569388001003.43</v>
      </c>
      <c r="H784" s="3">
        <f t="shared" si="79"/>
        <v>3.7215629918596368E-3</v>
      </c>
      <c r="I784">
        <f t="shared" si="80"/>
        <v>221691229832.26187</v>
      </c>
      <c r="J784" s="6"/>
      <c r="K784" s="6"/>
      <c r="L784" s="6"/>
      <c r="M784" s="6"/>
      <c r="N784" s="6"/>
      <c r="O784" s="6"/>
      <c r="P784" s="6"/>
      <c r="Q784" s="6"/>
      <c r="R784" s="6"/>
      <c r="S784" s="6"/>
    </row>
    <row r="785" spans="6:19">
      <c r="F785" s="5">
        <f t="shared" si="81"/>
        <v>5.946405277708189E-17</v>
      </c>
      <c r="G785" s="4">
        <f t="shared" si="78"/>
        <v>61058622701028.508</v>
      </c>
      <c r="H785" s="3">
        <f t="shared" si="79"/>
        <v>3.6307931627898899E-3</v>
      </c>
      <c r="I785">
        <f t="shared" si="80"/>
        <v>221691229832.26187</v>
      </c>
      <c r="J785" s="6"/>
      <c r="K785" s="6"/>
      <c r="L785" s="6"/>
      <c r="M785" s="6"/>
      <c r="N785" s="6"/>
      <c r="O785" s="6"/>
      <c r="P785" s="6"/>
      <c r="Q785" s="6"/>
      <c r="R785" s="6"/>
      <c r="S785" s="6"/>
    </row>
    <row r="786" spans="6:19">
      <c r="F786" s="5">
        <f t="shared" si="81"/>
        <v>5.6598741489191578E-17</v>
      </c>
      <c r="G786" s="4">
        <f t="shared" si="78"/>
        <v>62585088268554.219</v>
      </c>
      <c r="H786" s="3">
        <f t="shared" si="79"/>
        <v>3.5422372319901365E-3</v>
      </c>
      <c r="I786">
        <f t="shared" si="80"/>
        <v>221691229832.26187</v>
      </c>
      <c r="J786" s="6"/>
      <c r="K786" s="6"/>
      <c r="L786" s="6"/>
      <c r="M786" s="6"/>
      <c r="N786" s="6"/>
      <c r="O786" s="6"/>
      <c r="P786" s="6"/>
      <c r="Q786" s="6"/>
      <c r="R786" s="6"/>
      <c r="S786" s="6"/>
    </row>
    <row r="787" spans="6:19">
      <c r="F787" s="5">
        <f t="shared" si="81"/>
        <v>5.3871496955804005E-17</v>
      </c>
      <c r="G787" s="4">
        <f t="shared" si="78"/>
        <v>64149715475268.07</v>
      </c>
      <c r="H787" s="3">
        <f t="shared" si="79"/>
        <v>3.455841201941597E-3</v>
      </c>
      <c r="I787">
        <f t="shared" si="80"/>
        <v>221691229832.26187</v>
      </c>
      <c r="J787" s="6"/>
      <c r="K787" s="6"/>
      <c r="L787" s="6"/>
      <c r="M787" s="6"/>
      <c r="N787" s="6"/>
      <c r="O787" s="6"/>
      <c r="P787" s="6"/>
      <c r="Q787" s="6"/>
      <c r="R787" s="6"/>
      <c r="S787" s="6"/>
    </row>
    <row r="788" spans="6:19">
      <c r="F788" s="5">
        <f t="shared" si="81"/>
        <v>5.1275666346987763E-17</v>
      </c>
      <c r="G788" s="4">
        <f t="shared" si="78"/>
        <v>65753458362149.766</v>
      </c>
      <c r="H788" s="3">
        <f t="shared" si="79"/>
        <v>3.3715523921381439E-3</v>
      </c>
      <c r="I788">
        <f t="shared" si="80"/>
        <v>221691229832.26187</v>
      </c>
      <c r="J788" s="6"/>
      <c r="K788" s="6"/>
      <c r="L788" s="6"/>
      <c r="M788" s="6"/>
      <c r="N788" s="6"/>
      <c r="O788" s="6"/>
      <c r="P788" s="6"/>
      <c r="Q788" s="6"/>
      <c r="R788" s="6"/>
      <c r="S788" s="6"/>
    </row>
    <row r="789" spans="6:19">
      <c r="F789" s="5">
        <f t="shared" si="81"/>
        <v>4.8804917403438681E-17</v>
      </c>
      <c r="G789" s="4">
        <f t="shared" si="78"/>
        <v>67397294821203.508</v>
      </c>
      <c r="H789" s="3">
        <f t="shared" si="79"/>
        <v>3.2893194069640429E-3</v>
      </c>
      <c r="I789">
        <f t="shared" si="80"/>
        <v>221691229832.26187</v>
      </c>
      <c r="J789" s="6"/>
      <c r="K789" s="6"/>
      <c r="L789" s="6"/>
      <c r="M789" s="6"/>
      <c r="N789" s="6"/>
      <c r="O789" s="6"/>
      <c r="P789" s="6"/>
      <c r="Q789" s="6"/>
      <c r="R789" s="6"/>
      <c r="S789" s="6"/>
    </row>
    <row r="790" spans="6:19">
      <c r="F790" s="5">
        <f t="shared" si="81"/>
        <v>4.6453222989590664E-17</v>
      </c>
      <c r="G790" s="4">
        <f t="shared" si="78"/>
        <v>69082227191733.586</v>
      </c>
      <c r="H790" s="3">
        <f t="shared" si="79"/>
        <v>3.209092104355164E-3</v>
      </c>
      <c r="I790">
        <f t="shared" si="80"/>
        <v>221691229832.26187</v>
      </c>
      <c r="J790" s="6"/>
      <c r="K790" s="6"/>
      <c r="L790" s="6"/>
      <c r="M790" s="6"/>
      <c r="N790" s="6"/>
      <c r="O790" s="6"/>
      <c r="P790" s="6"/>
      <c r="Q790" s="6"/>
      <c r="R790" s="6"/>
      <c r="S790" s="6"/>
    </row>
    <row r="791" spans="6:19">
      <c r="F791" s="5">
        <f t="shared" si="81"/>
        <v>4.4214846391044069E-17</v>
      </c>
      <c r="G791" s="4">
        <f t="shared" si="78"/>
        <v>70809282871526.922</v>
      </c>
      <c r="H791" s="3">
        <f t="shared" si="79"/>
        <v>3.1308215652245505E-3</v>
      </c>
      <c r="I791">
        <f t="shared" si="80"/>
        <v>221691229832.26187</v>
      </c>
      <c r="J791" s="6"/>
      <c r="K791" s="6"/>
      <c r="L791" s="6"/>
      <c r="M791" s="6"/>
      <c r="N791" s="6"/>
      <c r="O791" s="6"/>
      <c r="P791" s="6"/>
      <c r="Q791" s="6"/>
      <c r="R791" s="6"/>
      <c r="S791" s="6"/>
    </row>
    <row r="792" spans="6:19">
      <c r="F792" s="5">
        <f t="shared" si="81"/>
        <v>4.2084327320446465E-17</v>
      </c>
      <c r="G792" s="4">
        <f t="shared" si="78"/>
        <v>72579514943315.094</v>
      </c>
      <c r="H792" s="3">
        <f t="shared" si="79"/>
        <v>3.0544600636337078E-3</v>
      </c>
      <c r="I792">
        <f t="shared" si="80"/>
        <v>221691229832.26187</v>
      </c>
      <c r="J792" s="6"/>
      <c r="K792" s="6"/>
      <c r="L792" s="6"/>
      <c r="M792" s="6"/>
      <c r="N792" s="6"/>
      <c r="O792" s="6"/>
      <c r="P792" s="6"/>
      <c r="Q792" s="6"/>
      <c r="R792" s="6"/>
      <c r="S792" s="6"/>
    </row>
    <row r="793" spans="6:19">
      <c r="F793" s="5">
        <f t="shared" si="81"/>
        <v>4.0056468597688486E-17</v>
      </c>
      <c r="G793" s="4">
        <f t="shared" si="78"/>
        <v>74394002816897.969</v>
      </c>
      <c r="H793" s="3">
        <f t="shared" si="79"/>
        <v>2.9799610376914222E-3</v>
      </c>
      <c r="I793">
        <f t="shared" si="80"/>
        <v>221691229832.26187</v>
      </c>
      <c r="J793" s="6"/>
      <c r="K793" s="6"/>
      <c r="L793" s="6"/>
      <c r="M793" s="6"/>
      <c r="N793" s="6"/>
      <c r="O793" s="6"/>
      <c r="P793" s="6"/>
      <c r="Q793" s="6"/>
      <c r="R793" s="6"/>
      <c r="S793" s="6"/>
    </row>
    <row r="794" spans="6:19">
      <c r="F794" s="5">
        <f t="shared" si="81"/>
        <v>3.8126323471922425E-17</v>
      </c>
      <c r="G794" s="4">
        <f t="shared" si="78"/>
        <v>76253852887320.406</v>
      </c>
      <c r="H794" s="3">
        <f t="shared" si="79"/>
        <v>2.9072790611623638E-3</v>
      </c>
      <c r="I794">
        <f t="shared" si="80"/>
        <v>221691229832.26187</v>
      </c>
      <c r="J794" s="6"/>
      <c r="K794" s="6"/>
      <c r="L794" s="6"/>
      <c r="M794" s="6"/>
      <c r="N794" s="6"/>
      <c r="O794" s="6"/>
      <c r="P794" s="6"/>
      <c r="Q794" s="6"/>
      <c r="R794" s="6"/>
      <c r="S794" s="6"/>
    </row>
    <row r="795" spans="6:19">
      <c r="F795" s="5">
        <f t="shared" si="81"/>
        <v>3.6289183554477034E-17</v>
      </c>
      <c r="G795" s="4">
        <f t="shared" si="78"/>
        <v>78160199209503.406</v>
      </c>
      <c r="H795" s="3">
        <f t="shared" si="79"/>
        <v>2.8363698157681601E-3</v>
      </c>
      <c r="I795">
        <f t="shared" si="80"/>
        <v>221691229832.26187</v>
      </c>
      <c r="J795" s="6"/>
      <c r="K795" s="6"/>
      <c r="L795" s="6"/>
      <c r="M795" s="6"/>
      <c r="N795" s="6"/>
      <c r="O795" s="6"/>
      <c r="P795" s="6"/>
      <c r="Q795" s="6"/>
      <c r="R795" s="6"/>
      <c r="S795" s="6"/>
    </row>
    <row r="796" spans="6:19">
      <c r="F796" s="5">
        <f t="shared" si="81"/>
        <v>3.454056733323216E-17</v>
      </c>
      <c r="G796" s="4">
        <f t="shared" si="78"/>
        <v>80114204189740.984</v>
      </c>
      <c r="H796" s="3">
        <f t="shared" si="79"/>
        <v>2.7671900641640587E-3</v>
      </c>
      <c r="I796">
        <f t="shared" si="80"/>
        <v>221691229832.26187</v>
      </c>
      <c r="J796" s="6"/>
      <c r="K796" s="6"/>
      <c r="L796" s="6"/>
      <c r="M796" s="6"/>
      <c r="N796" s="6"/>
      <c r="O796" s="6"/>
      <c r="P796" s="6"/>
      <c r="Q796" s="6"/>
      <c r="R796" s="6"/>
      <c r="S796" s="6"/>
    </row>
    <row r="797" spans="6:19">
      <c r="F797" s="5">
        <f t="shared" si="81"/>
        <v>3.2876209240435141E-17</v>
      </c>
      <c r="G797" s="4">
        <f t="shared" si="78"/>
        <v>82117059294484.5</v>
      </c>
      <c r="H797" s="3">
        <f t="shared" si="79"/>
        <v>2.6996976235746919E-3</v>
      </c>
      <c r="I797">
        <f t="shared" si="80"/>
        <v>221691229832.26187</v>
      </c>
      <c r="J797" s="6"/>
      <c r="K797" s="6"/>
      <c r="L797" s="6"/>
      <c r="M797" s="6"/>
      <c r="N797" s="6"/>
      <c r="O797" s="6"/>
      <c r="P797" s="6"/>
      <c r="Q797" s="6"/>
      <c r="R797" s="6"/>
      <c r="S797" s="6"/>
    </row>
    <row r="798" spans="6:19">
      <c r="F798" s="5">
        <f t="shared" si="81"/>
        <v>3.1292049247291037E-17</v>
      </c>
      <c r="G798" s="4">
        <f t="shared" si="78"/>
        <v>84169985776846.609</v>
      </c>
      <c r="H798" s="3">
        <f t="shared" si="79"/>
        <v>2.6338513400728705E-3</v>
      </c>
      <c r="I798">
        <f t="shared" si="80"/>
        <v>221691229832.26187</v>
      </c>
      <c r="J798" s="6"/>
      <c r="K798" s="6"/>
      <c r="L798" s="6"/>
      <c r="M798" s="6"/>
      <c r="N798" s="6"/>
      <c r="O798" s="6"/>
      <c r="P798" s="6"/>
      <c r="Q798" s="6"/>
      <c r="R798" s="6"/>
      <c r="S798" s="6"/>
    </row>
    <row r="799" spans="6:19">
      <c r="F799" s="5">
        <f t="shared" si="81"/>
        <v>2.9784222959943882E-17</v>
      </c>
      <c r="G799" s="4">
        <f t="shared" si="78"/>
        <v>86274235421267.766</v>
      </c>
      <c r="H799" s="3">
        <f t="shared" si="79"/>
        <v>2.5696110634857274E-3</v>
      </c>
      <c r="I799">
        <f t="shared" si="80"/>
        <v>221691229832.26187</v>
      </c>
      <c r="J799" s="6"/>
      <c r="K799" s="6"/>
      <c r="L799" s="6"/>
      <c r="M799" s="6"/>
      <c r="N799" s="6"/>
      <c r="O799" s="6"/>
      <c r="P799" s="6"/>
      <c r="Q799" s="6"/>
      <c r="R799" s="6"/>
      <c r="S799" s="6"/>
    </row>
    <row r="800" spans="6:19">
      <c r="F800" s="5">
        <f t="shared" si="81"/>
        <v>2.8349052192689009E-17</v>
      </c>
      <c r="G800" s="4">
        <f t="shared" si="78"/>
        <v>88431091306799.453</v>
      </c>
      <c r="H800" s="3">
        <f t="shared" si="79"/>
        <v>2.5069376229129047E-3</v>
      </c>
      <c r="I800">
        <f t="shared" si="80"/>
        <v>221691229832.26187</v>
      </c>
      <c r="J800" s="6"/>
      <c r="K800" s="6"/>
      <c r="L800" s="6"/>
      <c r="M800" s="6"/>
      <c r="N800" s="6"/>
      <c r="O800" s="6"/>
      <c r="P800" s="6"/>
      <c r="Q800" s="6"/>
      <c r="R800" s="6"/>
      <c r="S800" s="6"/>
    </row>
    <row r="801" spans="6:19">
      <c r="F801" s="5">
        <f t="shared" si="81"/>
        <v>2.6983035995420832E-17</v>
      </c>
      <c r="G801" s="4">
        <f t="shared" si="78"/>
        <v>90641868589469.438</v>
      </c>
      <c r="H801" s="3">
        <f t="shared" si="79"/>
        <v>2.4457928028418586E-3</v>
      </c>
      <c r="I801">
        <f t="shared" si="80"/>
        <v>221691229832.26187</v>
      </c>
      <c r="J801" s="6"/>
      <c r="K801" s="6"/>
      <c r="L801" s="6"/>
      <c r="M801" s="6"/>
      <c r="N801" s="6"/>
      <c r="O801" s="6"/>
      <c r="P801" s="6"/>
      <c r="Q801" s="6"/>
      <c r="R801" s="6"/>
      <c r="S801" s="6"/>
    </row>
    <row r="802" spans="6:19">
      <c r="F802" s="5">
        <f t="shared" si="81"/>
        <v>2.5682842113428511E-17</v>
      </c>
      <c r="G802" s="4">
        <f t="shared" si="78"/>
        <v>92907915304206.172</v>
      </c>
      <c r="H802" s="3">
        <f t="shared" si="79"/>
        <v>2.3861393198457157E-3</v>
      </c>
      <c r="I802">
        <f t="shared" si="80"/>
        <v>221691229832.26187</v>
      </c>
      <c r="J802" s="6"/>
      <c r="K802" s="6"/>
      <c r="L802" s="6"/>
      <c r="M802" s="6"/>
      <c r="N802" s="6"/>
      <c r="O802" s="6"/>
      <c r="P802" s="6"/>
      <c r="Q802" s="6"/>
      <c r="R802" s="6"/>
      <c r="S802" s="6"/>
    </row>
    <row r="803" spans="6:19">
      <c r="F803" s="5">
        <f t="shared" si="81"/>
        <v>2.44452988587065E-17</v>
      </c>
      <c r="G803" s="4">
        <f t="shared" si="78"/>
        <v>95230613186811.313</v>
      </c>
      <c r="H803" s="3">
        <f t="shared" si="79"/>
        <v>2.3279407998494789E-3</v>
      </c>
      <c r="I803">
        <f t="shared" si="80"/>
        <v>221691229832.26187</v>
      </c>
      <c r="J803" s="6"/>
      <c r="K803" s="6"/>
      <c r="L803" s="6"/>
      <c r="M803" s="6"/>
      <c r="N803" s="6"/>
      <c r="O803" s="6"/>
      <c r="P803" s="6"/>
      <c r="Q803" s="6"/>
      <c r="R803" s="6"/>
      <c r="S803" s="6"/>
    </row>
    <row r="804" spans="6:19">
      <c r="F804" s="5">
        <f t="shared" si="81"/>
        <v>2.3267387372950866E-17</v>
      </c>
      <c r="G804" s="4">
        <f t="shared" si="78"/>
        <v>97611378516481.594</v>
      </c>
      <c r="H804" s="3">
        <f t="shared" si="79"/>
        <v>2.2711617559507112E-3</v>
      </c>
      <c r="I804">
        <f t="shared" si="80"/>
        <v>221691229832.26187</v>
      </c>
      <c r="J804" s="6"/>
      <c r="K804" s="6"/>
      <c r="L804" s="6"/>
      <c r="M804" s="6"/>
      <c r="N804" s="6"/>
      <c r="O804" s="6"/>
      <c r="P804" s="6"/>
      <c r="Q804" s="6"/>
      <c r="R804" s="6"/>
      <c r="S804" s="6"/>
    </row>
    <row r="805" spans="6:19">
      <c r="F805" s="5">
        <f t="shared" si="81"/>
        <v>2.2146234263367871E-17</v>
      </c>
      <c r="G805" s="4">
        <f t="shared" si="78"/>
        <v>100051662979393.63</v>
      </c>
      <c r="H805" s="3">
        <f t="shared" si="79"/>
        <v>2.2157675667811819E-3</v>
      </c>
      <c r="I805">
        <f t="shared" si="80"/>
        <v>221691229832.26187</v>
      </c>
      <c r="J805" s="6"/>
      <c r="K805" s="6"/>
      <c r="L805" s="6"/>
      <c r="M805" s="6"/>
      <c r="N805" s="6"/>
      <c r="O805" s="6"/>
      <c r="P805" s="6"/>
      <c r="Q805" s="6"/>
      <c r="R805" s="6"/>
      <c r="S805" s="6"/>
    </row>
    <row r="806" spans="6:19">
      <c r="F806" s="5">
        <f t="shared" si="81"/>
        <v>2.1079104593330518E-17</v>
      </c>
      <c r="G806" s="4">
        <f t="shared" si="78"/>
        <v>102552954553878.45</v>
      </c>
      <c r="H806" s="3">
        <f t="shared" si="79"/>
        <v>2.1617244553962752E-3</v>
      </c>
      <c r="I806">
        <f t="shared" si="80"/>
        <v>221691229832.26187</v>
      </c>
      <c r="J806" s="6"/>
      <c r="K806" s="6"/>
      <c r="L806" s="6"/>
      <c r="M806" s="6"/>
      <c r="N806" s="6"/>
      <c r="O806" s="6"/>
      <c r="P806" s="6"/>
      <c r="Q806" s="6"/>
      <c r="R806" s="6"/>
      <c r="S806" s="6"/>
    </row>
    <row r="807" spans="6:19">
      <c r="F807" s="5">
        <f t="shared" si="81"/>
        <v>2.0063395210784554E-17</v>
      </c>
      <c r="G807" s="4">
        <f t="shared" si="78"/>
        <v>105116778417725.41</v>
      </c>
      <c r="H807" s="3">
        <f t="shared" si="79"/>
        <v>2.1089994686792931E-3</v>
      </c>
      <c r="I807">
        <f t="shared" si="80"/>
        <v>221691229832.26187</v>
      </c>
      <c r="J807" s="6"/>
      <c r="K807" s="6"/>
      <c r="L807" s="6"/>
      <c r="M807" s="6"/>
      <c r="N807" s="6"/>
      <c r="O807" s="6"/>
      <c r="P807" s="6"/>
      <c r="Q807" s="6"/>
      <c r="R807" s="6"/>
      <c r="S807" s="6"/>
    </row>
    <row r="808" spans="6:19">
      <c r="F808" s="5">
        <f t="shared" si="81"/>
        <v>1.9096628398129263E-17</v>
      </c>
      <c r="G808" s="4">
        <f t="shared" si="78"/>
        <v>107744697878168.53</v>
      </c>
      <c r="H808" s="3">
        <f t="shared" si="79"/>
        <v>2.0575604572480909E-3</v>
      </c>
      <c r="I808">
        <f t="shared" si="80"/>
        <v>221691229832.26187</v>
      </c>
      <c r="J808" s="6"/>
      <c r="K808" s="6"/>
      <c r="L808" s="6"/>
      <c r="M808" s="6"/>
      <c r="N808" s="6"/>
      <c r="O808" s="6"/>
      <c r="P808" s="6"/>
      <c r="Q808" s="6"/>
      <c r="R808" s="6"/>
      <c r="S808" s="6"/>
    </row>
    <row r="809" spans="6:19">
      <c r="F809" s="5">
        <f t="shared" si="81"/>
        <v>1.8176445828082585E-17</v>
      </c>
      <c r="G809" s="4">
        <f t="shared" si="78"/>
        <v>110438315325122.73</v>
      </c>
      <c r="H809" s="3">
        <f t="shared" si="79"/>
        <v>2.0073760558517962E-3</v>
      </c>
      <c r="I809">
        <f t="shared" si="80"/>
        <v>221691229832.26187</v>
      </c>
      <c r="J809" s="6"/>
      <c r="K809" s="6"/>
      <c r="L809" s="6"/>
      <c r="M809" s="6"/>
      <c r="N809" s="6"/>
      <c r="O809" s="6"/>
      <c r="P809" s="6"/>
      <c r="Q809" s="6"/>
      <c r="R809" s="6"/>
      <c r="S809" s="6"/>
    </row>
    <row r="810" spans="6:19">
      <c r="F810" s="5">
        <f t="shared" si="81"/>
        <v>1.7300602810786521E-17</v>
      </c>
      <c r="G810" s="4">
        <f t="shared" si="78"/>
        <v>113199273208250.8</v>
      </c>
      <c r="H810" s="3">
        <f t="shared" si="79"/>
        <v>1.9584156642456553E-3</v>
      </c>
      <c r="I810">
        <f t="shared" si="80"/>
        <v>221691229832.26187</v>
      </c>
      <c r="J810" s="6"/>
      <c r="K810" s="6"/>
      <c r="L810" s="6"/>
      <c r="M810" s="6"/>
      <c r="N810" s="6"/>
      <c r="O810" s="6"/>
      <c r="P810" s="6"/>
      <c r="Q810" s="6"/>
      <c r="R810" s="6"/>
      <c r="S810" s="6"/>
    </row>
    <row r="811" spans="6:19">
      <c r="F811" s="5">
        <f t="shared" si="81"/>
        <v>1.6466962818119236E-17</v>
      </c>
      <c r="G811" s="4">
        <f t="shared" si="78"/>
        <v>116029255038457.06</v>
      </c>
      <c r="H811" s="3">
        <f t="shared" si="79"/>
        <v>1.9106494285323465E-3</v>
      </c>
      <c r="I811">
        <f t="shared" si="80"/>
        <v>221691229832.26187</v>
      </c>
      <c r="J811" s="6"/>
      <c r="K811" s="6"/>
      <c r="L811" s="6"/>
      <c r="M811" s="6"/>
      <c r="S811" s="6"/>
    </row>
    <row r="812" spans="6:19">
      <c r="F812" s="5">
        <f t="shared" si="81"/>
        <v>1.5673492271856502E-17</v>
      </c>
      <c r="G812" s="4">
        <f t="shared" si="78"/>
        <v>118929986414418.48</v>
      </c>
      <c r="H812" s="3">
        <f t="shared" si="79"/>
        <v>1.8640482229583869E-3</v>
      </c>
      <c r="I812">
        <f t="shared" si="80"/>
        <v>221691229832.26187</v>
      </c>
      <c r="J812" s="6"/>
      <c r="K812" s="6"/>
      <c r="L812" s="6"/>
      <c r="M812" s="6"/>
      <c r="S812" s="6"/>
    </row>
    <row r="813" spans="6:19">
      <c r="F813" s="5">
        <f t="shared" si="81"/>
        <v>1.4918255582968715E-17</v>
      </c>
      <c r="G813" s="4">
        <f t="shared" si="78"/>
        <v>121903236074778.94</v>
      </c>
      <c r="H813" s="3">
        <f t="shared" si="79"/>
        <v>1.818583632154524E-3</v>
      </c>
      <c r="I813">
        <f t="shared" si="80"/>
        <v>221691229832.26187</v>
      </c>
      <c r="J813" s="6"/>
      <c r="K813" s="6"/>
      <c r="L813" s="6"/>
      <c r="M813" s="6"/>
      <c r="S813" s="6"/>
    </row>
    <row r="814" spans="6:19">
      <c r="F814" s="5">
        <f t="shared" si="81"/>
        <v>1.4199410429952375E-17</v>
      </c>
      <c r="G814" s="4">
        <f t="shared" si="78"/>
        <v>124950816976648.41</v>
      </c>
      <c r="H814" s="3">
        <f t="shared" si="79"/>
        <v>1.7742279338092918E-3</v>
      </c>
      <c r="I814">
        <f t="shared" si="80"/>
        <v>221691229832.26187</v>
      </c>
      <c r="J814" s="6"/>
      <c r="K814" s="6"/>
      <c r="L814" s="6"/>
      <c r="M814" s="6"/>
      <c r="S814" s="6"/>
    </row>
    <row r="815" spans="6:19">
      <c r="F815" s="5">
        <f t="shared" si="81"/>
        <v>1.3515203264678052E-17</v>
      </c>
      <c r="G815" s="4">
        <f t="shared" si="78"/>
        <v>128074587401064.61</v>
      </c>
      <c r="H815" s="3">
        <f t="shared" si="79"/>
        <v>1.7309540817651628E-3</v>
      </c>
      <c r="I815">
        <f t="shared" si="80"/>
        <v>221691229832.26187</v>
      </c>
      <c r="J815" s="6"/>
      <c r="K815" s="6"/>
      <c r="L815" s="6"/>
      <c r="M815" s="6"/>
      <c r="S815" s="6"/>
    </row>
  </sheetData>
  <mergeCells count="3">
    <mergeCell ref="T6:V6"/>
    <mergeCell ref="N6:R6"/>
    <mergeCell ref="W6:Y6"/>
  </mergeCells>
  <conditionalFormatting sqref="W12:Y71">
    <cfRule type="cellIs" dxfId="43" priority="35" operator="lessThan">
      <formula>0</formula>
    </cfRule>
  </conditionalFormatting>
  <conditionalFormatting sqref="W8:Y11">
    <cfRule type="cellIs" dxfId="42" priority="34" operator="lessThan">
      <formula>0</formula>
    </cfRule>
  </conditionalFormatting>
  <conditionalFormatting sqref="W72:Y72">
    <cfRule type="cellIs" dxfId="41" priority="33" operator="lessThan">
      <formula>0</formula>
    </cfRule>
  </conditionalFormatting>
  <conditionalFormatting sqref="W73:Y73">
    <cfRule type="cellIs" dxfId="40" priority="32" operator="lessThan">
      <formula>0</formula>
    </cfRule>
  </conditionalFormatting>
  <conditionalFormatting sqref="W74:Y74">
    <cfRule type="cellIs" dxfId="39" priority="31" operator="lessThan">
      <formula>0</formula>
    </cfRule>
  </conditionalFormatting>
  <conditionalFormatting sqref="W75:Y75">
    <cfRule type="cellIs" dxfId="38" priority="30" operator="lessThan">
      <formula>0</formula>
    </cfRule>
  </conditionalFormatting>
  <conditionalFormatting sqref="W76:Y76">
    <cfRule type="cellIs" dxfId="37" priority="29" operator="lessThan">
      <formula>0</formula>
    </cfRule>
  </conditionalFormatting>
  <conditionalFormatting sqref="W77:Y77">
    <cfRule type="cellIs" dxfId="36" priority="28" operator="lessThan">
      <formula>0</formula>
    </cfRule>
  </conditionalFormatting>
  <conditionalFormatting sqref="W78:Y78">
    <cfRule type="cellIs" dxfId="35" priority="27" operator="lessThan">
      <formula>0</formula>
    </cfRule>
  </conditionalFormatting>
  <conditionalFormatting sqref="W79:Y79">
    <cfRule type="cellIs" dxfId="34" priority="26" operator="lessThan">
      <formula>0</formula>
    </cfRule>
  </conditionalFormatting>
  <conditionalFormatting sqref="W80:Y80">
    <cfRule type="cellIs" dxfId="33" priority="25" operator="lessThan">
      <formula>0</formula>
    </cfRule>
  </conditionalFormatting>
  <conditionalFormatting sqref="W81:Y81">
    <cfRule type="cellIs" dxfId="32" priority="24" operator="lessThan">
      <formula>0</formula>
    </cfRule>
  </conditionalFormatting>
  <conditionalFormatting sqref="W82:Y82">
    <cfRule type="cellIs" dxfId="31" priority="23" operator="lessThan">
      <formula>0</formula>
    </cfRule>
  </conditionalFormatting>
  <conditionalFormatting sqref="W83:Y83">
    <cfRule type="cellIs" dxfId="30" priority="22" operator="lessThan">
      <formula>0</formula>
    </cfRule>
  </conditionalFormatting>
  <conditionalFormatting sqref="W84:Y84">
    <cfRule type="cellIs" dxfId="29" priority="21" operator="lessThan">
      <formula>0</formula>
    </cfRule>
  </conditionalFormatting>
  <conditionalFormatting sqref="W85:Y85">
    <cfRule type="cellIs" dxfId="28" priority="20" operator="lessThan">
      <formula>0</formula>
    </cfRule>
  </conditionalFormatting>
  <conditionalFormatting sqref="W86:Y86">
    <cfRule type="cellIs" dxfId="27" priority="19" operator="lessThan">
      <formula>0</formula>
    </cfRule>
  </conditionalFormatting>
  <conditionalFormatting sqref="W87:Y87">
    <cfRule type="cellIs" dxfId="26" priority="18" operator="lessThan">
      <formula>0</formula>
    </cfRule>
  </conditionalFormatting>
  <conditionalFormatting sqref="W88:Y88">
    <cfRule type="cellIs" dxfId="25" priority="17" operator="lessThan">
      <formula>0</formula>
    </cfRule>
  </conditionalFormatting>
  <conditionalFormatting sqref="W89:Y89">
    <cfRule type="cellIs" dxfId="24" priority="16" operator="lessThan">
      <formula>0</formula>
    </cfRule>
  </conditionalFormatting>
  <conditionalFormatting sqref="W90:Y90">
    <cfRule type="cellIs" dxfId="23" priority="15" operator="lessThan">
      <formula>0</formula>
    </cfRule>
  </conditionalFormatting>
  <conditionalFormatting sqref="W91:Y91">
    <cfRule type="cellIs" dxfId="22" priority="14" operator="lessThan">
      <formula>0</formula>
    </cfRule>
  </conditionalFormatting>
  <conditionalFormatting sqref="W92:Y92">
    <cfRule type="cellIs" dxfId="21" priority="13" operator="lessThan">
      <formula>0</formula>
    </cfRule>
  </conditionalFormatting>
  <conditionalFormatting sqref="W93:Y93">
    <cfRule type="cellIs" dxfId="20" priority="12" operator="lessThan">
      <formula>0</formula>
    </cfRule>
  </conditionalFormatting>
  <conditionalFormatting sqref="W94:Y94">
    <cfRule type="cellIs" dxfId="19" priority="11" operator="lessThan">
      <formula>0</formula>
    </cfRule>
  </conditionalFormatting>
  <conditionalFormatting sqref="W95:Y95">
    <cfRule type="cellIs" dxfId="18" priority="10" operator="lessThan">
      <formula>0</formula>
    </cfRule>
  </conditionalFormatting>
  <conditionalFormatting sqref="W96:Y96">
    <cfRule type="cellIs" dxfId="17" priority="9" operator="lessThan">
      <formula>0</formula>
    </cfRule>
  </conditionalFormatting>
  <conditionalFormatting sqref="W97:Y97">
    <cfRule type="cellIs" dxfId="16" priority="8" operator="lessThan">
      <formula>0</formula>
    </cfRule>
  </conditionalFormatting>
  <conditionalFormatting sqref="W98:Y98">
    <cfRule type="cellIs" dxfId="15" priority="7" operator="lessThan">
      <formula>0</formula>
    </cfRule>
  </conditionalFormatting>
  <conditionalFormatting sqref="W99:Y99">
    <cfRule type="cellIs" dxfId="14" priority="6" operator="lessThan">
      <formula>0</formula>
    </cfRule>
  </conditionalFormatting>
  <conditionalFormatting sqref="W100:Y100">
    <cfRule type="cellIs" dxfId="13" priority="5" operator="lessThan">
      <formula>0</formula>
    </cfRule>
  </conditionalFormatting>
  <conditionalFormatting sqref="Z8:Z100">
    <cfRule type="cellIs" dxfId="12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0C8B9-4E34-418E-B0DE-D0EB3CFCEB20}">
  <sheetPr codeName="Sheet7">
    <tabColor theme="7" tint="0.59999389629810485"/>
  </sheetPr>
  <dimension ref="A1:N55"/>
  <sheetViews>
    <sheetView topLeftCell="A11" zoomScale="85" zoomScaleNormal="85" workbookViewId="0">
      <selection activeCell="A10" sqref="A1:XFD10"/>
    </sheetView>
  </sheetViews>
  <sheetFormatPr defaultRowHeight="15"/>
  <cols>
    <col min="1" max="1" width="12.42578125" bestFit="1" customWidth="1"/>
    <col min="2" max="2" width="25.28515625" bestFit="1" customWidth="1"/>
    <col min="3" max="3" width="22.140625" bestFit="1" customWidth="1"/>
    <col min="4" max="4" width="22" bestFit="1" customWidth="1"/>
    <col min="5" max="5" width="25.28515625" bestFit="1" customWidth="1"/>
    <col min="6" max="6" width="24.140625" bestFit="1" customWidth="1"/>
    <col min="7" max="7" width="48" bestFit="1" customWidth="1"/>
    <col min="8" max="8" width="12" bestFit="1" customWidth="1"/>
    <col min="9" max="10" width="16.85546875" bestFit="1" customWidth="1"/>
    <col min="12" max="12" width="11.7109375" bestFit="1" customWidth="1"/>
    <col min="13" max="13" width="18.42578125" bestFit="1" customWidth="1"/>
    <col min="14" max="14" width="30.5703125" bestFit="1" customWidth="1"/>
    <col min="15" max="15" width="48" bestFit="1" customWidth="1"/>
  </cols>
  <sheetData>
    <row r="1" spans="1:14" hidden="1"/>
    <row r="2" spans="1:14" hidden="1"/>
    <row r="3" spans="1:14" hidden="1"/>
    <row r="4" spans="1:14" hidden="1"/>
    <row r="5" spans="1:14" hidden="1">
      <c r="B5" t="s">
        <v>6</v>
      </c>
      <c r="D5" t="s">
        <v>13</v>
      </c>
      <c r="E5" t="s">
        <v>14</v>
      </c>
      <c r="G5" t="s">
        <v>51</v>
      </c>
      <c r="I5" t="s">
        <v>15</v>
      </c>
      <c r="J5" t="s">
        <v>16</v>
      </c>
      <c r="K5" t="s">
        <v>43</v>
      </c>
    </row>
    <row r="6" spans="1:14" hidden="1">
      <c r="A6">
        <f>(B6-$B$8)/$B$8</f>
        <v>0.49999999999999989</v>
      </c>
      <c r="B6">
        <f>B8*1.5</f>
        <v>0.89999999999999991</v>
      </c>
      <c r="C6" s="41">
        <f>(D6-D$8)/D$8</f>
        <v>-0.18350341907227397</v>
      </c>
      <c r="D6">
        <f>$D$8*SQRT($B$8/B6)</f>
        <v>1360.8276348795434</v>
      </c>
      <c r="E6">
        <f>$E$8*SQRT(B6/$B$8)</f>
        <v>1224.744871391589</v>
      </c>
      <c r="F6">
        <f>E6*D6</f>
        <v>1666666.6666666665</v>
      </c>
      <c r="G6">
        <f>E6/D6</f>
        <v>0.89999999999999991</v>
      </c>
      <c r="I6">
        <f>D6+E6/B6</f>
        <v>2721.6552697590869</v>
      </c>
      <c r="J6">
        <f>E6+D6*B6</f>
        <v>2449.4897427831779</v>
      </c>
      <c r="K6">
        <f>$J$8/B6</f>
        <v>2222.2222222222226</v>
      </c>
      <c r="L6" s="1">
        <f>(K6-$K$8)/$K$8</f>
        <v>-0.33333333333333326</v>
      </c>
    </row>
    <row r="7" spans="1:14" hidden="1">
      <c r="A7">
        <f>(B7-$B$8)/$B$8</f>
        <v>0.25000000000000006</v>
      </c>
      <c r="B7">
        <f>B8*1.25</f>
        <v>0.75</v>
      </c>
      <c r="C7" s="41">
        <f>(D7-D$8)/D$8</f>
        <v>-0.10557280900008413</v>
      </c>
      <c r="D7">
        <f>$D$8*SQRT($B$8/B7)</f>
        <v>1490.7119849998599</v>
      </c>
      <c r="E7">
        <f>$E$8*SQRT(B7/$B$8)</f>
        <v>1118.0339887498949</v>
      </c>
      <c r="F7">
        <f>E7*D7</f>
        <v>1666666.6666666667</v>
      </c>
      <c r="G7">
        <f>E7/D7</f>
        <v>0.75</v>
      </c>
      <c r="I7">
        <f>D7+E7/B7</f>
        <v>2981.4239699997197</v>
      </c>
      <c r="J7">
        <f>E7+D7*B7</f>
        <v>2236.0679774997898</v>
      </c>
      <c r="K7">
        <f>$J$8/B7</f>
        <v>2666.6666666666665</v>
      </c>
      <c r="L7" s="1">
        <f>(K7-$K$8)/$K$8</f>
        <v>-0.20000000000000009</v>
      </c>
    </row>
    <row r="8" spans="1:14" hidden="1">
      <c r="A8">
        <f>(B8-$B$8)/$B$8</f>
        <v>0</v>
      </c>
      <c r="B8">
        <v>0.6</v>
      </c>
      <c r="C8" s="41">
        <f>(D8-D$8)/D$8</f>
        <v>0</v>
      </c>
      <c r="D8">
        <f>E8/B8</f>
        <v>1666.6666666666667</v>
      </c>
      <c r="E8">
        <v>1000</v>
      </c>
      <c r="F8">
        <f>E8*D8</f>
        <v>1666666.6666666667</v>
      </c>
      <c r="G8">
        <f>E8/D8</f>
        <v>0.6</v>
      </c>
      <c r="I8">
        <f>D8+E8/B8</f>
        <v>3333.3333333333335</v>
      </c>
      <c r="J8">
        <f>E8+D8*B8</f>
        <v>2000</v>
      </c>
      <c r="K8">
        <f>$J$8/B8</f>
        <v>3333.3333333333335</v>
      </c>
      <c r="L8" s="1">
        <f>(K8-$K$8)/$K$8</f>
        <v>0</v>
      </c>
    </row>
    <row r="9" spans="1:14" hidden="1">
      <c r="A9">
        <f>(B9-$B$8)/$B$8</f>
        <v>-0.25000000000000006</v>
      </c>
      <c r="B9">
        <f>B8*0.75</f>
        <v>0.44999999999999996</v>
      </c>
      <c r="C9" s="41">
        <f>(D9-D$8)/D$8</f>
        <v>0.15470053837925174</v>
      </c>
      <c r="D9">
        <f>$D$8*SQRT($B$8/B9)</f>
        <v>1924.500897298753</v>
      </c>
      <c r="E9">
        <f>$E$8*SQRT(B9/$B$8)</f>
        <v>866.02540378443859</v>
      </c>
      <c r="F9">
        <f>E9*D9</f>
        <v>1666666.666666667</v>
      </c>
      <c r="G9">
        <f>E9/D9</f>
        <v>0.44999999999999984</v>
      </c>
      <c r="I9">
        <f>D9+E9/B9</f>
        <v>3849.0017945975055</v>
      </c>
      <c r="J9">
        <f>E9+D9*B9</f>
        <v>1732.0508075688772</v>
      </c>
      <c r="K9">
        <f>$J$8/B9</f>
        <v>4444.4444444444453</v>
      </c>
      <c r="L9" s="1">
        <f>(K9-$K$8)/$K$8</f>
        <v>0.33333333333333354</v>
      </c>
    </row>
    <row r="10" spans="1:14" hidden="1">
      <c r="A10">
        <f>(B10-$B$8)/$B$8</f>
        <v>-0.5</v>
      </c>
      <c r="B10">
        <f>B8*0.5</f>
        <v>0.3</v>
      </c>
      <c r="C10" s="41">
        <f>(D10-D$8)/D$8</f>
        <v>0.41421356237309503</v>
      </c>
      <c r="D10">
        <f>$D$8*SQRT($B$8/B10)</f>
        <v>2357.0226039551585</v>
      </c>
      <c r="E10">
        <f>$E$8*SQRT(B10/$B$8)</f>
        <v>707.10678118654755</v>
      </c>
      <c r="F10">
        <f>E10*D10</f>
        <v>1666666.6666666667</v>
      </c>
      <c r="G10">
        <f>E10/D10</f>
        <v>0.3</v>
      </c>
      <c r="I10">
        <f>D10+E10/B10</f>
        <v>4714.045207910317</v>
      </c>
      <c r="J10">
        <f>E10+D10*B10</f>
        <v>1414.2135623730951</v>
      </c>
      <c r="K10">
        <f>$J$8/B10</f>
        <v>6666.666666666667</v>
      </c>
      <c r="L10" s="1">
        <f>(K10-$K$8)/$K$8</f>
        <v>1</v>
      </c>
    </row>
    <row r="11" spans="1:14">
      <c r="B11" t="s">
        <v>17</v>
      </c>
    </row>
    <row r="15" spans="1:14">
      <c r="C15" s="154" t="s">
        <v>0</v>
      </c>
      <c r="D15" s="155"/>
      <c r="E15" s="155"/>
      <c r="F15" s="156"/>
      <c r="G15" s="48" t="s">
        <v>21</v>
      </c>
      <c r="I15" s="153" t="s">
        <v>19</v>
      </c>
      <c r="J15" s="153"/>
      <c r="L15" s="153" t="s">
        <v>20</v>
      </c>
      <c r="M15" s="153"/>
    </row>
    <row r="16" spans="1:14">
      <c r="B16" s="40"/>
      <c r="C16" s="44" t="s">
        <v>22</v>
      </c>
      <c r="D16" s="44" t="s">
        <v>23</v>
      </c>
      <c r="E16" s="40" t="s">
        <v>52</v>
      </c>
      <c r="F16" s="40" t="s">
        <v>53</v>
      </c>
      <c r="G16" s="40"/>
      <c r="I16" s="40" t="s">
        <v>22</v>
      </c>
      <c r="J16" s="40" t="s">
        <v>24</v>
      </c>
      <c r="L16" s="40" t="s">
        <v>25</v>
      </c>
      <c r="M16" s="40" t="s">
        <v>24</v>
      </c>
      <c r="N16" s="40" t="s">
        <v>38</v>
      </c>
    </row>
    <row r="17" spans="2:14" hidden="1">
      <c r="C17" s="50" t="s">
        <v>0</v>
      </c>
      <c r="D17" s="50" t="s">
        <v>0</v>
      </c>
      <c r="E17" s="50" t="s">
        <v>0</v>
      </c>
      <c r="F17" s="50" t="s">
        <v>0</v>
      </c>
      <c r="G17" s="48"/>
      <c r="I17" s="48" t="s">
        <v>41</v>
      </c>
      <c r="J17" s="48" t="s">
        <v>41</v>
      </c>
      <c r="L17" s="48" t="s">
        <v>42</v>
      </c>
      <c r="M17" s="48" t="s">
        <v>42</v>
      </c>
    </row>
    <row r="18" spans="2:14">
      <c r="B18" s="43">
        <f>A6</f>
        <v>0.49999999999999989</v>
      </c>
      <c r="C18" s="43">
        <f t="shared" ref="C18:D22" si="0">(D6-D$8)/D$8</f>
        <v>-0.18350341907227397</v>
      </c>
      <c r="D18" s="43">
        <f t="shared" si="0"/>
        <v>0.22474487139158897</v>
      </c>
      <c r="E18" s="42">
        <f>(J6-J$8)/J$8</f>
        <v>0.22474487139158897</v>
      </c>
      <c r="F18" s="42">
        <f>(I6-I$8)/I$8</f>
        <v>-0.18350341907227397</v>
      </c>
      <c r="G18" s="152" t="s">
        <v>50</v>
      </c>
      <c r="I18" s="42">
        <v>0</v>
      </c>
      <c r="J18" s="42">
        <f>B18</f>
        <v>0.49999999999999989</v>
      </c>
      <c r="L18" s="42">
        <f>L6</f>
        <v>-0.33333333333333326</v>
      </c>
      <c r="M18" s="42">
        <v>0</v>
      </c>
      <c r="N18" s="40" t="s">
        <v>39</v>
      </c>
    </row>
    <row r="19" spans="2:14">
      <c r="B19" s="43">
        <f>A7</f>
        <v>0.25000000000000006</v>
      </c>
      <c r="C19" s="43">
        <f t="shared" si="0"/>
        <v>-0.10557280900008413</v>
      </c>
      <c r="D19" s="43">
        <f t="shared" si="0"/>
        <v>0.11803398874989489</v>
      </c>
      <c r="E19" s="42">
        <f>(J7-J$8)/J$8</f>
        <v>0.11803398874989489</v>
      </c>
      <c r="F19" s="42">
        <f>(I7-I$8)/I$8</f>
        <v>-0.10557280900008413</v>
      </c>
      <c r="G19" s="152"/>
      <c r="I19" s="42">
        <v>0</v>
      </c>
      <c r="J19" s="42">
        <f>B19</f>
        <v>0.25000000000000006</v>
      </c>
      <c r="L19" s="42">
        <f t="shared" ref="L19:L22" si="1">L7</f>
        <v>-0.20000000000000009</v>
      </c>
      <c r="M19" s="42">
        <v>0</v>
      </c>
      <c r="N19" s="40" t="s">
        <v>39</v>
      </c>
    </row>
    <row r="20" spans="2:14">
      <c r="B20" s="43">
        <f>A8</f>
        <v>0</v>
      </c>
      <c r="C20" s="43">
        <f t="shared" si="0"/>
        <v>0</v>
      </c>
      <c r="D20" s="43">
        <f t="shared" si="0"/>
        <v>0</v>
      </c>
      <c r="E20" s="42">
        <f>(J8-J$8)/J$8</f>
        <v>0</v>
      </c>
      <c r="F20" s="42">
        <f>(I8-I$8)/I$8</f>
        <v>0</v>
      </c>
      <c r="G20" s="45"/>
      <c r="I20" s="42">
        <v>0</v>
      </c>
      <c r="J20" s="42">
        <f>B20</f>
        <v>0</v>
      </c>
      <c r="L20" s="42">
        <f t="shared" si="1"/>
        <v>0</v>
      </c>
      <c r="M20" s="42">
        <v>0</v>
      </c>
      <c r="N20" s="40" t="s">
        <v>40</v>
      </c>
    </row>
    <row r="21" spans="2:14">
      <c r="B21" s="43">
        <f>A9</f>
        <v>-0.25000000000000006</v>
      </c>
      <c r="C21" s="43">
        <f t="shared" si="0"/>
        <v>0.15470053837925174</v>
      </c>
      <c r="D21" s="43">
        <f t="shared" si="0"/>
        <v>-0.1339745962155614</v>
      </c>
      <c r="E21" s="42">
        <f>(J9-J$8)/J$8</f>
        <v>-0.1339745962155614</v>
      </c>
      <c r="F21" s="42">
        <f>(I9-I$8)/I$8</f>
        <v>0.1547005383792516</v>
      </c>
      <c r="G21" s="152" t="s">
        <v>37</v>
      </c>
      <c r="I21" s="42">
        <v>0</v>
      </c>
      <c r="J21" s="42">
        <f>B21</f>
        <v>-0.25000000000000006</v>
      </c>
      <c r="L21" s="42">
        <f t="shared" si="1"/>
        <v>0.33333333333333354</v>
      </c>
      <c r="M21" s="42">
        <v>0</v>
      </c>
      <c r="N21" s="40" t="s">
        <v>40</v>
      </c>
    </row>
    <row r="22" spans="2:14">
      <c r="B22" s="43">
        <f>A10</f>
        <v>-0.5</v>
      </c>
      <c r="C22" s="43">
        <f t="shared" si="0"/>
        <v>0.41421356237309503</v>
      </c>
      <c r="D22" s="43">
        <f t="shared" si="0"/>
        <v>-0.29289321881345243</v>
      </c>
      <c r="E22" s="42">
        <f>(J10-J$8)/J$8</f>
        <v>-0.29289321881345243</v>
      </c>
      <c r="F22" s="42">
        <f>(I10-I$8)/I$8</f>
        <v>0.41421356237309503</v>
      </c>
      <c r="G22" s="152"/>
      <c r="I22" s="42">
        <v>0</v>
      </c>
      <c r="J22" s="42">
        <f>B22</f>
        <v>-0.5</v>
      </c>
      <c r="L22" s="42">
        <f t="shared" si="1"/>
        <v>1</v>
      </c>
      <c r="M22" s="42">
        <v>0</v>
      </c>
      <c r="N22" s="40" t="s">
        <v>40</v>
      </c>
    </row>
    <row r="24" spans="2:14">
      <c r="C24" s="143" t="s">
        <v>30</v>
      </c>
      <c r="D24" s="143"/>
    </row>
    <row r="25" spans="2:14">
      <c r="C25" s="40" t="s">
        <v>26</v>
      </c>
      <c r="D25" s="40" t="s">
        <v>29</v>
      </c>
      <c r="F25" s="51" t="s">
        <v>46</v>
      </c>
      <c r="G25" s="51" t="s">
        <v>55</v>
      </c>
      <c r="H25" t="s">
        <v>21</v>
      </c>
    </row>
    <row r="26" spans="2:14">
      <c r="B26" s="46" t="s">
        <v>0</v>
      </c>
      <c r="C26" s="40" t="s">
        <v>31</v>
      </c>
      <c r="D26" s="40" t="s">
        <v>18</v>
      </c>
      <c r="F26" s="40" t="s">
        <v>45</v>
      </c>
      <c r="G26" s="52" t="s">
        <v>54</v>
      </c>
    </row>
    <row r="27" spans="2:14">
      <c r="B27" s="40" t="s">
        <v>27</v>
      </c>
      <c r="C27" s="40" t="s">
        <v>31</v>
      </c>
      <c r="D27" s="40" t="s">
        <v>32</v>
      </c>
      <c r="F27" s="40" t="s">
        <v>47</v>
      </c>
      <c r="G27" s="40"/>
    </row>
    <row r="28" spans="2:14">
      <c r="B28" s="40" t="s">
        <v>28</v>
      </c>
      <c r="C28" s="40" t="s">
        <v>32</v>
      </c>
      <c r="D28" s="40" t="s">
        <v>18</v>
      </c>
      <c r="F28" s="40" t="s">
        <v>32</v>
      </c>
      <c r="G28" s="40"/>
    </row>
    <row r="29" spans="2:14">
      <c r="B29" s="47" t="s">
        <v>34</v>
      </c>
    </row>
    <row r="30" spans="2:14">
      <c r="B30" s="47" t="s">
        <v>44</v>
      </c>
    </row>
    <row r="32" spans="2:14">
      <c r="C32" s="151" t="s">
        <v>33</v>
      </c>
      <c r="D32" s="151"/>
    </row>
    <row r="33" spans="2:7">
      <c r="C33" s="40" t="s">
        <v>26</v>
      </c>
      <c r="D33" s="40" t="s">
        <v>29</v>
      </c>
      <c r="F33" s="51" t="s">
        <v>46</v>
      </c>
      <c r="G33" s="51" t="s">
        <v>55</v>
      </c>
    </row>
    <row r="34" spans="2:7">
      <c r="B34" s="46" t="s">
        <v>0</v>
      </c>
      <c r="C34" s="40" t="s">
        <v>18</v>
      </c>
      <c r="D34" s="40" t="s">
        <v>31</v>
      </c>
      <c r="F34" s="40" t="s">
        <v>48</v>
      </c>
      <c r="G34" s="52" t="s">
        <v>54</v>
      </c>
    </row>
    <row r="35" spans="2:7">
      <c r="B35" s="40" t="s">
        <v>27</v>
      </c>
      <c r="C35" s="40" t="s">
        <v>18</v>
      </c>
      <c r="D35" s="40" t="s">
        <v>32</v>
      </c>
      <c r="F35" s="40" t="s">
        <v>49</v>
      </c>
      <c r="G35" s="40"/>
    </row>
    <row r="36" spans="2:7">
      <c r="B36" s="40" t="s">
        <v>28</v>
      </c>
      <c r="C36" s="40" t="s">
        <v>32</v>
      </c>
      <c r="D36" s="40" t="s">
        <v>31</v>
      </c>
      <c r="F36" s="40" t="s">
        <v>32</v>
      </c>
      <c r="G36" s="40"/>
    </row>
    <row r="37" spans="2:7">
      <c r="B37" s="47" t="s">
        <v>35</v>
      </c>
    </row>
    <row r="38" spans="2:7">
      <c r="B38" s="49" t="s">
        <v>36</v>
      </c>
    </row>
    <row r="55" spans="2:2">
      <c r="B55" t="s">
        <v>56</v>
      </c>
    </row>
  </sheetData>
  <mergeCells count="7">
    <mergeCell ref="C32:D32"/>
    <mergeCell ref="G21:G22"/>
    <mergeCell ref="G18:G19"/>
    <mergeCell ref="I15:J15"/>
    <mergeCell ref="L15:M15"/>
    <mergeCell ref="C15:F15"/>
    <mergeCell ref="C24:D24"/>
  </mergeCells>
  <conditionalFormatting sqref="B18:G19 B21:G22">
    <cfRule type="cellIs" dxfId="11" priority="10" operator="lessThan">
      <formula>0</formula>
    </cfRule>
  </conditionalFormatting>
  <conditionalFormatting sqref="I18:J19 I21:J22">
    <cfRule type="cellIs" dxfId="10" priority="5" operator="lessThan">
      <formula>0</formula>
    </cfRule>
  </conditionalFormatting>
  <conditionalFormatting sqref="L18:M18 M21:M22 M19 L19:L22">
    <cfRule type="cellIs" dxfId="9" priority="4" operator="lessThan">
      <formula>0</formula>
    </cfRule>
  </conditionalFormatting>
  <conditionalFormatting sqref="B20:G20">
    <cfRule type="cellIs" dxfId="8" priority="3" operator="lessThan">
      <formula>0</formula>
    </cfRule>
  </conditionalFormatting>
  <conditionalFormatting sqref="I20:J20">
    <cfRule type="cellIs" dxfId="7" priority="2" operator="lessThan">
      <formula>0</formula>
    </cfRule>
  </conditionalFormatting>
  <conditionalFormatting sqref="M20">
    <cfRule type="cellIs" dxfId="6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689E3-1C17-4DFA-99DC-02CA8AA6F8BA}">
  <sheetPr codeName="Sheet8">
    <tabColor theme="7" tint="0.59999389629810485"/>
  </sheetPr>
  <dimension ref="A1:O40"/>
  <sheetViews>
    <sheetView topLeftCell="A12" zoomScale="85" zoomScaleNormal="85" workbookViewId="0">
      <selection activeCell="F16" sqref="F16"/>
    </sheetView>
  </sheetViews>
  <sheetFormatPr defaultRowHeight="15"/>
  <cols>
    <col min="1" max="1" width="33.28515625" bestFit="1" customWidth="1"/>
    <col min="2" max="2" width="25.28515625" bestFit="1" customWidth="1"/>
    <col min="3" max="3" width="23.5703125" bestFit="1" customWidth="1"/>
    <col min="4" max="4" width="23.140625" bestFit="1" customWidth="1"/>
    <col min="5" max="5" width="25.28515625" bestFit="1" customWidth="1"/>
    <col min="6" max="6" width="24.140625" bestFit="1" customWidth="1"/>
    <col min="7" max="7" width="50.7109375" bestFit="1" customWidth="1"/>
    <col min="8" max="8" width="12" bestFit="1" customWidth="1"/>
    <col min="9" max="10" width="16.85546875" bestFit="1" customWidth="1"/>
    <col min="11" max="11" width="12.28515625" bestFit="1" customWidth="1"/>
    <col min="12" max="12" width="23.5703125" bestFit="1" customWidth="1"/>
    <col min="13" max="13" width="18.42578125" bestFit="1" customWidth="1"/>
    <col min="14" max="14" width="30.5703125" bestFit="1" customWidth="1"/>
    <col min="15" max="15" width="48" bestFit="1" customWidth="1"/>
  </cols>
  <sheetData>
    <row r="1" spans="1:15" hidden="1"/>
    <row r="2" spans="1:15" hidden="1"/>
    <row r="3" spans="1:15" hidden="1"/>
    <row r="4" spans="1:15" hidden="1"/>
    <row r="5" spans="1:15" hidden="1">
      <c r="B5" t="s">
        <v>60</v>
      </c>
      <c r="D5" t="s">
        <v>13</v>
      </c>
      <c r="E5" t="s">
        <v>57</v>
      </c>
      <c r="G5" t="s">
        <v>63</v>
      </c>
      <c r="I5" t="s">
        <v>15</v>
      </c>
      <c r="J5" t="s">
        <v>64</v>
      </c>
      <c r="L5" t="s">
        <v>67</v>
      </c>
      <c r="N5" t="s">
        <v>70</v>
      </c>
    </row>
    <row r="6" spans="1:15" hidden="1">
      <c r="A6">
        <f>(B6-$B$8)/$B$8</f>
        <v>0.5</v>
      </c>
      <c r="B6">
        <f>B8*1.5</f>
        <v>3</v>
      </c>
      <c r="C6" s="41">
        <f>(D6-D$8)/D$8</f>
        <v>0.22474487139158897</v>
      </c>
      <c r="D6">
        <f>$D$8*SQRT(1/($B$8/B6))</f>
        <v>1224.744871391589</v>
      </c>
      <c r="E6">
        <f t="shared" ref="E6:E7" si="0">D6/B6</f>
        <v>408.24829046386299</v>
      </c>
      <c r="F6">
        <f>E6*D6</f>
        <v>499999.99999999994</v>
      </c>
      <c r="G6">
        <f>D6/E6</f>
        <v>3</v>
      </c>
      <c r="I6">
        <f>D6+E6*B6</f>
        <v>2449.4897427831779</v>
      </c>
      <c r="J6">
        <f>E6+D6/B6</f>
        <v>816.49658092772597</v>
      </c>
      <c r="K6">
        <f>(J6-$J$8)/$J$8</f>
        <v>-0.18350341907227402</v>
      </c>
      <c r="L6">
        <f>$I$8/B6</f>
        <v>666.66666666666663</v>
      </c>
      <c r="M6" s="1">
        <f>(L6-$L$8)/$L$8</f>
        <v>-0.33333333333333337</v>
      </c>
      <c r="N6">
        <f>$J$8*B6</f>
        <v>3000</v>
      </c>
      <c r="O6">
        <f>(N6-$N$8)/$N$8</f>
        <v>0.5</v>
      </c>
    </row>
    <row r="7" spans="1:15" hidden="1">
      <c r="A7">
        <f>(B7-$B$8)/$B$8</f>
        <v>0.25</v>
      </c>
      <c r="B7">
        <f>B8*1.25</f>
        <v>2.5</v>
      </c>
      <c r="C7" s="41">
        <f>(D7-D$8)/D$8</f>
        <v>0.11803398874989489</v>
      </c>
      <c r="D7">
        <f>$D$8*SQRT(1/($B$8/B7))</f>
        <v>1118.0339887498949</v>
      </c>
      <c r="E7">
        <f t="shared" si="0"/>
        <v>447.21359549995793</v>
      </c>
      <c r="F7">
        <f>E7*D7</f>
        <v>500000</v>
      </c>
      <c r="G7">
        <f t="shared" ref="G7:G10" si="1">D7/E7</f>
        <v>2.5</v>
      </c>
      <c r="I7">
        <f t="shared" ref="I7:I10" si="2">D7+E7*B7</f>
        <v>2236.0679774997898</v>
      </c>
      <c r="J7">
        <f t="shared" ref="J7:J10" si="3">E7+D7/B7</f>
        <v>894.42719099991587</v>
      </c>
      <c r="K7">
        <f>(J7-$J$8)/$J$8</f>
        <v>-0.10557280900008413</v>
      </c>
      <c r="L7">
        <f t="shared" ref="L7:L10" si="4">$I$8/B7</f>
        <v>800</v>
      </c>
      <c r="M7" s="1">
        <f>(L7-$L$8)/$L$8</f>
        <v>-0.2</v>
      </c>
      <c r="N7">
        <f>$J$8*B7</f>
        <v>2500</v>
      </c>
      <c r="O7">
        <f>(N7-$N$8)/$N$8</f>
        <v>0.25</v>
      </c>
    </row>
    <row r="8" spans="1:15" hidden="1">
      <c r="A8">
        <f>(B8-$B$8)/$B$8</f>
        <v>0</v>
      </c>
      <c r="B8">
        <v>2</v>
      </c>
      <c r="C8" s="41">
        <f>(D8-D$8)/D$8</f>
        <v>0</v>
      </c>
      <c r="D8">
        <v>1000</v>
      </c>
      <c r="E8">
        <f>D8/B8</f>
        <v>500</v>
      </c>
      <c r="F8">
        <f>E8*D8</f>
        <v>500000</v>
      </c>
      <c r="G8">
        <f t="shared" si="1"/>
        <v>2</v>
      </c>
      <c r="I8">
        <f t="shared" si="2"/>
        <v>2000</v>
      </c>
      <c r="J8">
        <f t="shared" si="3"/>
        <v>1000</v>
      </c>
      <c r="K8">
        <f>(J8-$J$8)/$J$8</f>
        <v>0</v>
      </c>
      <c r="L8">
        <f t="shared" si="4"/>
        <v>1000</v>
      </c>
      <c r="M8" s="1">
        <f>(L8-$L$8)/$L$8</f>
        <v>0</v>
      </c>
      <c r="N8">
        <f>$J$8*B8</f>
        <v>2000</v>
      </c>
      <c r="O8">
        <f>(N8-$N$8)/$N$8</f>
        <v>0</v>
      </c>
    </row>
    <row r="9" spans="1:15" hidden="1">
      <c r="A9">
        <f>(B9-$B$8)/$B$8</f>
        <v>-0.25</v>
      </c>
      <c r="B9">
        <f>B8*0.75</f>
        <v>1.5</v>
      </c>
      <c r="C9" s="41">
        <f>(D9-D$8)/D$8</f>
        <v>-0.1339745962155614</v>
      </c>
      <c r="D9">
        <f>$D$8*SQRT(1/($B$8/B9))</f>
        <v>866.02540378443859</v>
      </c>
      <c r="E9">
        <f t="shared" ref="E9:E10" si="5">D9/B9</f>
        <v>577.35026918962569</v>
      </c>
      <c r="F9">
        <f>E9*D9</f>
        <v>499999.99999999988</v>
      </c>
      <c r="G9">
        <f t="shared" si="1"/>
        <v>1.5</v>
      </c>
      <c r="I9">
        <f t="shared" si="2"/>
        <v>1732.0508075688772</v>
      </c>
      <c r="J9">
        <f t="shared" si="3"/>
        <v>1154.7005383792514</v>
      </c>
      <c r="K9">
        <f>(J9-$J$8)/$J$8</f>
        <v>0.15470053837925138</v>
      </c>
      <c r="L9">
        <f t="shared" si="4"/>
        <v>1333.3333333333333</v>
      </c>
      <c r="M9" s="1">
        <f>(L9-$L$8)/$L$8</f>
        <v>0.33333333333333326</v>
      </c>
      <c r="N9">
        <f>$J$8*B9</f>
        <v>1500</v>
      </c>
      <c r="O9">
        <f>(N9-$N$8)/$N$8</f>
        <v>-0.25</v>
      </c>
    </row>
    <row r="10" spans="1:15" hidden="1">
      <c r="A10">
        <f>(B10-$B$8)/$B$8</f>
        <v>-0.5</v>
      </c>
      <c r="B10">
        <f>B8*0.5</f>
        <v>1</v>
      </c>
      <c r="C10" s="41">
        <f>(D10-D$8)/D$8</f>
        <v>-0.29289321881345243</v>
      </c>
      <c r="D10">
        <f>$D$8*SQRT(1/($B$8/B10))</f>
        <v>707.10678118654755</v>
      </c>
      <c r="E10">
        <f t="shared" si="5"/>
        <v>707.10678118654755</v>
      </c>
      <c r="F10">
        <f>E10*D10</f>
        <v>500000.00000000006</v>
      </c>
      <c r="G10">
        <f t="shared" si="1"/>
        <v>1</v>
      </c>
      <c r="I10">
        <f t="shared" si="2"/>
        <v>1414.2135623730951</v>
      </c>
      <c r="J10">
        <f t="shared" si="3"/>
        <v>1414.2135623730951</v>
      </c>
      <c r="K10">
        <f>(J10-$J$8)/$J$8</f>
        <v>0.41421356237309509</v>
      </c>
      <c r="L10">
        <f t="shared" si="4"/>
        <v>2000</v>
      </c>
      <c r="M10" s="1">
        <f>(L10-$L$8)/$L$8</f>
        <v>1</v>
      </c>
      <c r="N10">
        <f>$J$8*B10</f>
        <v>1000</v>
      </c>
      <c r="O10">
        <f>(N10-$N$8)/$N$8</f>
        <v>-0.5</v>
      </c>
    </row>
    <row r="11" spans="1:15" hidden="1">
      <c r="B11" t="s">
        <v>17</v>
      </c>
    </row>
    <row r="12" spans="1:15">
      <c r="A12" s="53" t="s">
        <v>79</v>
      </c>
    </row>
    <row r="15" spans="1:15">
      <c r="C15" s="154" t="s">
        <v>0</v>
      </c>
      <c r="D15" s="155"/>
      <c r="E15" s="155"/>
      <c r="F15" s="156"/>
      <c r="G15" s="48" t="s">
        <v>21</v>
      </c>
      <c r="I15" s="153" t="s">
        <v>19</v>
      </c>
      <c r="J15" s="153"/>
      <c r="L15" s="153" t="s">
        <v>68</v>
      </c>
      <c r="M15" s="153"/>
    </row>
    <row r="16" spans="1:15">
      <c r="B16" s="40"/>
      <c r="C16" s="44" t="s">
        <v>22</v>
      </c>
      <c r="D16" s="44" t="s">
        <v>58</v>
      </c>
      <c r="E16" s="40" t="s">
        <v>59</v>
      </c>
      <c r="F16" s="40" t="s">
        <v>53</v>
      </c>
      <c r="G16" s="40"/>
      <c r="I16" s="40" t="s">
        <v>65</v>
      </c>
      <c r="J16" s="40" t="s">
        <v>66</v>
      </c>
      <c r="L16" s="40" t="s">
        <v>25</v>
      </c>
      <c r="M16" s="40" t="s">
        <v>24</v>
      </c>
      <c r="N16" s="40" t="s">
        <v>38</v>
      </c>
    </row>
    <row r="17" spans="2:14">
      <c r="C17" s="50" t="s">
        <v>0</v>
      </c>
      <c r="D17" s="50" t="s">
        <v>0</v>
      </c>
      <c r="E17" s="50" t="s">
        <v>0</v>
      </c>
      <c r="F17" s="50" t="s">
        <v>0</v>
      </c>
      <c r="G17" s="48"/>
      <c r="I17" s="48" t="s">
        <v>41</v>
      </c>
      <c r="J17" s="48" t="s">
        <v>41</v>
      </c>
      <c r="L17" s="48" t="s">
        <v>69</v>
      </c>
      <c r="M17" s="48" t="s">
        <v>69</v>
      </c>
    </row>
    <row r="18" spans="2:14">
      <c r="B18" s="43">
        <f>A6</f>
        <v>0.5</v>
      </c>
      <c r="C18" s="43">
        <f>(D6-D$8)/D$8</f>
        <v>0.22474487139158897</v>
      </c>
      <c r="D18" s="43">
        <f t="shared" ref="C18:D22" si="6">(E6-E$8)/E$8</f>
        <v>-0.18350341907227402</v>
      </c>
      <c r="E18" s="42">
        <f>(J6-J$8)/J$8</f>
        <v>-0.18350341907227402</v>
      </c>
      <c r="F18" s="42">
        <f>(I6-I$8)/I$8</f>
        <v>0.22474487139158897</v>
      </c>
      <c r="G18" s="152" t="s">
        <v>62</v>
      </c>
      <c r="I18" s="42">
        <v>0</v>
      </c>
      <c r="J18" s="42">
        <f>M6</f>
        <v>-0.33333333333333337</v>
      </c>
      <c r="L18" s="42">
        <f>B18</f>
        <v>0.5</v>
      </c>
      <c r="M18" s="42">
        <v>0</v>
      </c>
      <c r="N18" s="40" t="s">
        <v>39</v>
      </c>
    </row>
    <row r="19" spans="2:14">
      <c r="B19" s="43">
        <f>A7</f>
        <v>0.25</v>
      </c>
      <c r="C19" s="43">
        <f t="shared" si="6"/>
        <v>0.11803398874989489</v>
      </c>
      <c r="D19" s="43">
        <f t="shared" si="6"/>
        <v>-0.10557280900008413</v>
      </c>
      <c r="E19" s="42">
        <f>(J7-J$8)/J$8</f>
        <v>-0.10557280900008413</v>
      </c>
      <c r="F19" s="42">
        <f>(I7-I$8)/I$8</f>
        <v>0.11803398874989489</v>
      </c>
      <c r="G19" s="152"/>
      <c r="I19" s="42">
        <v>0</v>
      </c>
      <c r="J19" s="42">
        <f t="shared" ref="J19:J22" si="7">M7</f>
        <v>-0.2</v>
      </c>
      <c r="L19" s="42">
        <f t="shared" ref="L19:L22" si="8">B19</f>
        <v>0.25</v>
      </c>
      <c r="M19" s="42">
        <v>0</v>
      </c>
      <c r="N19" s="40" t="s">
        <v>39</v>
      </c>
    </row>
    <row r="20" spans="2:14">
      <c r="B20" s="43">
        <f>A8</f>
        <v>0</v>
      </c>
      <c r="C20" s="43">
        <f t="shared" si="6"/>
        <v>0</v>
      </c>
      <c r="D20" s="43">
        <f t="shared" si="6"/>
        <v>0</v>
      </c>
      <c r="E20" s="42">
        <f>(J8-J$8)/J$8</f>
        <v>0</v>
      </c>
      <c r="F20" s="42">
        <f>(I8-I$8)/I$8</f>
        <v>0</v>
      </c>
      <c r="G20" s="45"/>
      <c r="I20" s="42">
        <v>0</v>
      </c>
      <c r="J20" s="42">
        <f t="shared" si="7"/>
        <v>0</v>
      </c>
      <c r="L20" s="42">
        <f t="shared" si="8"/>
        <v>0</v>
      </c>
      <c r="M20" s="42">
        <v>0</v>
      </c>
      <c r="N20" s="40" t="s">
        <v>40</v>
      </c>
    </row>
    <row r="21" spans="2:14">
      <c r="B21" s="43">
        <f>A9</f>
        <v>-0.25</v>
      </c>
      <c r="C21" s="43">
        <f t="shared" si="6"/>
        <v>-0.1339745962155614</v>
      </c>
      <c r="D21" s="43">
        <f t="shared" si="6"/>
        <v>0.15470053837925138</v>
      </c>
      <c r="E21" s="42">
        <f>(J9-J$8)/J$8</f>
        <v>0.15470053837925138</v>
      </c>
      <c r="F21" s="42">
        <f>(I9-I$8)/I$8</f>
        <v>-0.1339745962155614</v>
      </c>
      <c r="G21" s="152" t="s">
        <v>61</v>
      </c>
      <c r="I21" s="42">
        <v>0</v>
      </c>
      <c r="J21" s="42">
        <f t="shared" si="7"/>
        <v>0.33333333333333326</v>
      </c>
      <c r="L21" s="42">
        <f t="shared" si="8"/>
        <v>-0.25</v>
      </c>
      <c r="M21" s="42">
        <v>0</v>
      </c>
      <c r="N21" s="40" t="s">
        <v>40</v>
      </c>
    </row>
    <row r="22" spans="2:14">
      <c r="B22" s="43">
        <f>A10</f>
        <v>-0.5</v>
      </c>
      <c r="C22" s="43">
        <f t="shared" si="6"/>
        <v>-0.29289321881345243</v>
      </c>
      <c r="D22" s="43">
        <f t="shared" si="6"/>
        <v>0.41421356237309509</v>
      </c>
      <c r="E22" s="42">
        <f>(J10-J$8)/J$8</f>
        <v>0.41421356237309509</v>
      </c>
      <c r="F22" s="42">
        <f>(I10-I$8)/I$8</f>
        <v>-0.29289321881345243</v>
      </c>
      <c r="G22" s="152"/>
      <c r="I22" s="42">
        <v>0</v>
      </c>
      <c r="J22" s="42">
        <f t="shared" si="7"/>
        <v>1</v>
      </c>
      <c r="L22" s="42">
        <f t="shared" si="8"/>
        <v>-0.5</v>
      </c>
      <c r="M22" s="42">
        <v>0</v>
      </c>
      <c r="N22" s="40" t="s">
        <v>40</v>
      </c>
    </row>
    <row r="24" spans="2:14">
      <c r="C24" s="143" t="s">
        <v>71</v>
      </c>
      <c r="D24" s="143"/>
    </row>
    <row r="25" spans="2:14">
      <c r="C25" s="40" t="s">
        <v>29</v>
      </c>
      <c r="D25" s="40" t="s">
        <v>72</v>
      </c>
      <c r="F25" s="51" t="s">
        <v>46</v>
      </c>
      <c r="G25" s="51" t="s">
        <v>55</v>
      </c>
    </row>
    <row r="26" spans="2:14">
      <c r="B26" s="46" t="s">
        <v>0</v>
      </c>
      <c r="C26" s="40" t="s">
        <v>31</v>
      </c>
      <c r="D26" s="40" t="s">
        <v>18</v>
      </c>
      <c r="F26" s="40" t="s">
        <v>45</v>
      </c>
      <c r="G26" s="52" t="s">
        <v>54</v>
      </c>
    </row>
    <row r="27" spans="2:14">
      <c r="B27" s="40" t="s">
        <v>27</v>
      </c>
      <c r="C27" s="40" t="s">
        <v>32</v>
      </c>
      <c r="D27" s="40" t="s">
        <v>18</v>
      </c>
      <c r="F27" s="40" t="s">
        <v>32</v>
      </c>
      <c r="G27" s="40"/>
    </row>
    <row r="28" spans="2:14">
      <c r="B28" s="40" t="s">
        <v>73</v>
      </c>
      <c r="C28" s="40" t="s">
        <v>31</v>
      </c>
      <c r="D28" s="40" t="s">
        <v>32</v>
      </c>
      <c r="F28" s="40" t="s">
        <v>47</v>
      </c>
      <c r="G28" s="40"/>
    </row>
    <row r="29" spans="2:14">
      <c r="B29" s="47" t="s">
        <v>76</v>
      </c>
    </row>
    <row r="30" spans="2:14">
      <c r="B30" s="47" t="s">
        <v>44</v>
      </c>
    </row>
    <row r="32" spans="2:14">
      <c r="C32" s="151" t="s">
        <v>74</v>
      </c>
      <c r="D32" s="151"/>
    </row>
    <row r="33" spans="2:7">
      <c r="C33" s="40" t="s">
        <v>29</v>
      </c>
      <c r="D33" s="40" t="s">
        <v>72</v>
      </c>
      <c r="F33" s="51" t="s">
        <v>46</v>
      </c>
      <c r="G33" s="51" t="s">
        <v>55</v>
      </c>
    </row>
    <row r="34" spans="2:7">
      <c r="B34" s="46" t="s">
        <v>0</v>
      </c>
      <c r="C34" s="40" t="s">
        <v>18</v>
      </c>
      <c r="D34" s="40" t="s">
        <v>31</v>
      </c>
      <c r="F34" s="40" t="s">
        <v>48</v>
      </c>
      <c r="G34" s="52" t="s">
        <v>54</v>
      </c>
    </row>
    <row r="35" spans="2:7">
      <c r="B35" s="40" t="s">
        <v>27</v>
      </c>
      <c r="C35" s="40" t="s">
        <v>32</v>
      </c>
      <c r="D35" s="40" t="s">
        <v>31</v>
      </c>
      <c r="F35" s="40" t="s">
        <v>32</v>
      </c>
      <c r="G35" s="40"/>
    </row>
    <row r="36" spans="2:7">
      <c r="B36" s="40" t="s">
        <v>73</v>
      </c>
      <c r="C36" s="40" t="s">
        <v>18</v>
      </c>
      <c r="D36" s="40" t="s">
        <v>32</v>
      </c>
      <c r="F36" s="40" t="s">
        <v>75</v>
      </c>
      <c r="G36" s="40"/>
    </row>
    <row r="37" spans="2:7">
      <c r="B37" s="47" t="s">
        <v>77</v>
      </c>
    </row>
    <row r="38" spans="2:7">
      <c r="B38" s="49" t="s">
        <v>78</v>
      </c>
    </row>
    <row r="40" spans="2:7">
      <c r="E40" s="54" t="s">
        <v>80</v>
      </c>
    </row>
  </sheetData>
  <mergeCells count="7">
    <mergeCell ref="C32:D32"/>
    <mergeCell ref="C15:F15"/>
    <mergeCell ref="I15:J15"/>
    <mergeCell ref="L15:M15"/>
    <mergeCell ref="G18:G19"/>
    <mergeCell ref="G21:G22"/>
    <mergeCell ref="C24:D24"/>
  </mergeCells>
  <conditionalFormatting sqref="B18:G19 B21:G22">
    <cfRule type="cellIs" dxfId="5" priority="6" operator="lessThan">
      <formula>0</formula>
    </cfRule>
  </conditionalFormatting>
  <conditionalFormatting sqref="I18:J18 I21:I22 I19 J19:J22">
    <cfRule type="cellIs" dxfId="4" priority="5" operator="lessThan">
      <formula>0</formula>
    </cfRule>
  </conditionalFormatting>
  <conditionalFormatting sqref="L18:M18 M21:M22 M19 L19:L22">
    <cfRule type="cellIs" dxfId="3" priority="4" operator="lessThan">
      <formula>0</formula>
    </cfRule>
  </conditionalFormatting>
  <conditionalFormatting sqref="B20:G20">
    <cfRule type="cellIs" dxfId="2" priority="3" operator="lessThan">
      <formula>0</formula>
    </cfRule>
  </conditionalFormatting>
  <conditionalFormatting sqref="I20">
    <cfRule type="cellIs" dxfId="1" priority="2" operator="lessThan">
      <formula>0</formula>
    </cfRule>
  </conditionalFormatting>
  <conditionalFormatting sqref="M20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PoolData</vt:lpstr>
      <vt:lpstr>Your Pooling</vt:lpstr>
      <vt:lpstr>Basic_Pool Stats</vt:lpstr>
      <vt:lpstr>Impermanent Loss</vt:lpstr>
      <vt:lpstr>FSN_XXX Graph</vt:lpstr>
      <vt:lpstr>FSN_aUSDT</vt:lpstr>
      <vt:lpstr>Basic_Fusion_aUSDT</vt:lpstr>
      <vt:lpstr>Basic_Fusion_ANY(orXXX)</vt:lpstr>
      <vt:lpstr>ANYFSN</vt:lpstr>
      <vt:lpstr>DAILYANY</vt:lpstr>
      <vt:lpstr>FEEREWARDS</vt:lpstr>
      <vt:lpstr>FSNPRICE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2020-09-12T03:05:58Z</dcterms:created>
  <dcterms:modified xsi:type="dcterms:W3CDTF">2020-10-01T02:53:37Z</dcterms:modified>
</cp:coreProperties>
</file>
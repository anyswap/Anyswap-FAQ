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charts/chart4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5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oolData" sheetId="1" state="visible" r:id="rId3"/>
    <sheet name="Basic_Pool Stats" sheetId="2" state="visible" r:id="rId4"/>
    <sheet name="Your Pooling" sheetId="3" state="visible" r:id="rId5"/>
    <sheet name="Impermanent Loss" sheetId="4" state="visible" r:id="rId6"/>
    <sheet name="BNB_XXX Graph" sheetId="5" state="visible" r:id="rId7"/>
    <sheet name="BNB_aUSDT" sheetId="6" state="visible" r:id="rId8"/>
  </sheets>
  <definedNames>
    <definedName function="false" hidden="false" name="ANYBNB" vbProcedure="false">PoolData!$D$4</definedName>
    <definedName function="false" hidden="false" name="ANYFSN" vbProcedure="false">PoolData!$D$4</definedName>
    <definedName function="false" hidden="false" name="BNBPRICE" vbProcedure="false">PoolData!$D$5</definedName>
    <definedName function="false" hidden="false" name="DAILYANY" vbProcedure="false">PoolData!$D$3</definedName>
    <definedName function="false" hidden="false" name="FEEREWARDS" vbProcedure="false">PoolData!$D$2</definedName>
    <definedName function="false" hidden="false" name="FSNPRICE" vbProcedure="false">PoolData!$D$5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<sst xmlns="http://schemas.openxmlformats.org/spreadsheetml/2006/main" count="347" uniqueCount="129">
  <si>
    <t xml:space="preserve">Basic Data</t>
  </si>
  <si>
    <t xml:space="preserve">To update</t>
  </si>
  <si>
    <t xml:space="preserve">Trafing fee rewards</t>
  </si>
  <si>
    <t xml:space="preserve">Daily ANY to LP</t>
  </si>
  <si>
    <t xml:space="preserve">Promo</t>
  </si>
  <si>
    <t xml:space="preserve">ANY to bnb Price Ratio</t>
  </si>
  <si>
    <t xml:space="preserve">Current BNB Price</t>
  </si>
  <si>
    <t xml:space="preserve">* Based on BNB/aUSDT Pool</t>
  </si>
  <si>
    <t xml:space="preserve">Total Pool Size (BNB half)</t>
  </si>
  <si>
    <t xml:space="preserve">Any per BNB rewards</t>
  </si>
  <si>
    <t xml:space="preserve">Total Trading Volume</t>
  </si>
  <si>
    <t xml:space="preserve">* This adds your pooled tokens to pool size if not pooled already</t>
  </si>
  <si>
    <t xml:space="preserve">BNB</t>
  </si>
  <si>
    <t xml:space="preserve">Other</t>
  </si>
  <si>
    <t xml:space="preserve">Weighting</t>
  </si>
  <si>
    <t xml:space="preserve">Coin 1</t>
  </si>
  <si>
    <t xml:space="preserve">Coin 2</t>
  </si>
  <si>
    <t xml:space="preserve">ANY Reward % to pool</t>
  </si>
  <si>
    <t xml:space="preserve">XXX:BNB Ratio</t>
  </si>
  <si>
    <t xml:space="preserve">Coin 1 Pool Size</t>
  </si>
  <si>
    <t xml:space="preserve">Coin 2 Pool Size</t>
  </si>
  <si>
    <t xml:space="preserve">Product</t>
  </si>
  <si>
    <t xml:space="preserve">BNB from Exchange</t>
  </si>
  <si>
    <t xml:space="preserve">Coin 2 From Exchange</t>
  </si>
  <si>
    <t xml:space="preserve">Trading Volume in BNB</t>
  </si>
  <si>
    <t xml:space="preserve">DAILY ANY Per Pool</t>
  </si>
  <si>
    <t xml:space="preserve">Daily volume rewards per pool (BNB)</t>
  </si>
  <si>
    <t xml:space="preserve">$ daily per pool</t>
  </si>
  <si>
    <t xml:space="preserve">Daily %</t>
  </si>
  <si>
    <t xml:space="preserve">APY</t>
  </si>
  <si>
    <t xml:space="preserve">aUSDT</t>
  </si>
  <si>
    <t xml:space="preserve">BUSD</t>
  </si>
  <si>
    <t xml:space="preserve">ANY</t>
  </si>
  <si>
    <t xml:space="preserve">UNI</t>
  </si>
  <si>
    <t xml:space="preserve">BURGER</t>
  </si>
  <si>
    <t xml:space="preserve">SPARTAN</t>
  </si>
  <si>
    <t xml:space="preserve">FOR</t>
  </si>
  <si>
    <t xml:space="preserve">BAKE</t>
  </si>
  <si>
    <t xml:space="preserve">PEACH</t>
  </si>
  <si>
    <t xml:space="preserve">MILK</t>
  </si>
  <si>
    <t xml:space="preserve">TUNA</t>
  </si>
  <si>
    <t xml:space="preserve">PROM</t>
  </si>
  <si>
    <t xml:space="preserve">Best over all pool Currently</t>
  </si>
  <si>
    <t xml:space="preserve">*For rewards (not potential impermanent loss)</t>
  </si>
  <si>
    <t xml:space="preserve">BNB Price</t>
  </si>
  <si>
    <t xml:space="preserve">ANY Ratio</t>
  </si>
  <si>
    <t xml:space="preserve">Basic Stats (24 hours)</t>
  </si>
  <si>
    <t xml:space="preserve">Any Rewards per 100 BNB (non ANY pool)</t>
  </si>
  <si>
    <t xml:space="preserve">ANY Rewards</t>
  </si>
  <si>
    <t xml:space="preserve">Daily ANY per 100 BNB pooled</t>
  </si>
  <si>
    <t xml:space="preserve">Any Rewards per 100 BNB (Any Pool)</t>
  </si>
  <si>
    <t xml:space="preserve">Non ANY pool</t>
  </si>
  <si>
    <t xml:space="preserve">ANY Pool</t>
  </si>
  <si>
    <t xml:space="preserve">Approximate Swap Trading Rewards (for 100 BNB Swap)</t>
  </si>
  <si>
    <t xml:space="preserve">* estimated based on total daily volume however rewards are on a 100 block basis</t>
  </si>
  <si>
    <t xml:space="preserve">Total Pool Rewards</t>
  </si>
  <si>
    <t xml:space="preserve">Total</t>
  </si>
  <si>
    <t xml:space="preserve">Pool</t>
  </si>
  <si>
    <t xml:space="preserve">Total Rewards</t>
  </si>
  <si>
    <t xml:space="preserve">To be updated by user</t>
  </si>
  <si>
    <t xml:space="preserve">Volume Rewards in LP (In BNB)</t>
  </si>
  <si>
    <t xml:space="preserve">Daily Rewards total (In BNB equivalent)</t>
  </si>
  <si>
    <t xml:space="preserve">Daily USD at Current Fusion Price</t>
  </si>
  <si>
    <t xml:space="preserve">Y</t>
  </si>
  <si>
    <t xml:space="preserve">Daily Rewards</t>
  </si>
  <si>
    <t xml:space="preserve">N</t>
  </si>
  <si>
    <t xml:space="preserve">Total Equivalent BNB Pooling</t>
  </si>
  <si>
    <t xml:space="preserve">Daily % Returns</t>
  </si>
  <si>
    <t xml:space="preserve">* Click to copy data from Impermanent loss tab if required</t>
  </si>
  <si>
    <t xml:space="preserve">Your Pooling</t>
  </si>
  <si>
    <t xml:space="preserve">Y if already in pool, N if you plan to add</t>
  </si>
  <si>
    <t xml:space="preserve">POOL (Dropdown)</t>
  </si>
  <si>
    <t xml:space="preserve">Your BNB Pooled</t>
  </si>
  <si>
    <t xml:space="preserve">Your XXX Pooled</t>
  </si>
  <si>
    <t xml:space="preserve">Your Pool Share</t>
  </si>
  <si>
    <t xml:space="preserve">Your Daily ANY Rewards</t>
  </si>
  <si>
    <t xml:space="preserve">Your LP Volume Rewards (BNB)</t>
  </si>
  <si>
    <t xml:space="preserve">Total Rewards (In BNB equivalent)</t>
  </si>
  <si>
    <t xml:space="preserve">$ rewards at current BNB Price</t>
  </si>
  <si>
    <t xml:space="preserve">Daily % Return</t>
  </si>
  <si>
    <t xml:space="preserve">Already In Pool?</t>
  </si>
  <si>
    <t xml:space="preserve">BNB-aUSDT</t>
  </si>
  <si>
    <t xml:space="preserve">BNB-UNI</t>
  </si>
  <si>
    <t xml:space="preserve">BNB-ANY</t>
  </si>
  <si>
    <t xml:space="preserve">-</t>
  </si>
  <si>
    <t xml:space="preserve">ENTER your current Pool Data</t>
  </si>
  <si>
    <t xml:space="preserve">Gain/Loss</t>
  </si>
  <si>
    <t xml:space="preserve">* daily rewards not included</t>
  </si>
  <si>
    <t xml:space="preserve">Entry Tokens</t>
  </si>
  <si>
    <t xml:space="preserve">Entry Ratio</t>
  </si>
  <si>
    <t xml:space="preserve">Current Ratio</t>
  </si>
  <si>
    <t xml:space="preserve">Estimated Current Tokens</t>
  </si>
  <si>
    <t xml:space="preserve">Token Gain/Loss</t>
  </si>
  <si>
    <t xml:space="preserve">Pool Summary</t>
  </si>
  <si>
    <t xml:space="preserve">BNB Price Entry (manual entry, or calculated if BNB USDT)</t>
  </si>
  <si>
    <t xml:space="preserve">XXX</t>
  </si>
  <si>
    <t xml:space="preserve">Cross Product Entry</t>
  </si>
  <si>
    <t xml:space="preserve">Cross Product Now</t>
  </si>
  <si>
    <t xml:space="preserve">Pairing Token</t>
  </si>
  <si>
    <t xml:space="preserve">Equivalent Starting Fusion</t>
  </si>
  <si>
    <t xml:space="preserve">Equivalent Fusion Now</t>
  </si>
  <si>
    <t xml:space="preserve">USD Entry</t>
  </si>
  <si>
    <t xml:space="preserve">USD Current</t>
  </si>
  <si>
    <t xml:space="preserve">USD Gain/ Loss</t>
  </si>
  <si>
    <t xml:space="preserve">BNB Entered</t>
  </si>
  <si>
    <t xml:space="preserve">XXX Entered</t>
  </si>
  <si>
    <t xml:space="preserve">BNB Current</t>
  </si>
  <si>
    <t xml:space="preserve">XXX Current</t>
  </si>
  <si>
    <t xml:space="preserve">BNB Gain/Loss</t>
  </si>
  <si>
    <t xml:space="preserve">XXX Gain/Loss</t>
  </si>
  <si>
    <t xml:space="preserve">USD Gain/Loss</t>
  </si>
  <si>
    <t xml:space="preserve">&lt;dropdown menu for selecting Pool</t>
  </si>
  <si>
    <t xml:space="preserve">Increase in FSN pool per row</t>
  </si>
  <si>
    <t xml:space="preserve">BNB To Pool</t>
  </si>
  <si>
    <t xml:space="preserve">Your % of pool</t>
  </si>
  <si>
    <t xml:space="preserve">Current FSN Price</t>
  </si>
  <si>
    <t xml:space="preserve">* EXCLUDING USDT REWARDS AND TRANSACTION FEES</t>
  </si>
  <si>
    <t xml:space="preserve">Pooling</t>
  </si>
  <si>
    <t xml:space="preserve">Holding (converted to USD at current FSN price)</t>
  </si>
  <si>
    <t xml:space="preserve">Hodling Vs Pooling</t>
  </si>
  <si>
    <t xml:space="preserve">Sum Product</t>
  </si>
  <si>
    <t xml:space="preserve">50/50 HODL</t>
  </si>
  <si>
    <t xml:space="preserve">ENTRY</t>
  </si>
  <si>
    <t xml:space="preserve">Pool Coins</t>
  </si>
  <si>
    <t xml:space="preserve">FSN To Pool</t>
  </si>
  <si>
    <t xml:space="preserve">Holding (converted to USD)</t>
  </si>
  <si>
    <t xml:space="preserve">Price FSN</t>
  </si>
  <si>
    <t xml:space="preserve">FSN pool  Size</t>
  </si>
  <si>
    <t xml:space="preserve">USDT Pool Size</t>
  </si>
</sst>
</file>

<file path=xl/styles.xml><?xml version="1.0" encoding="utf-8"?>
<styleSheet xmlns="http://schemas.openxmlformats.org/spreadsheetml/2006/main">
  <numFmts count="22">
    <numFmt numFmtId="164" formatCode="General"/>
    <numFmt numFmtId="165" formatCode="0%"/>
    <numFmt numFmtId="166" formatCode="0.00%"/>
    <numFmt numFmtId="167" formatCode="0.00"/>
    <numFmt numFmtId="168" formatCode="\$#,##0.00"/>
    <numFmt numFmtId="169" formatCode="#,##0"/>
    <numFmt numFmtId="170" formatCode="0.00000000"/>
    <numFmt numFmtId="171" formatCode="0.0E+00"/>
    <numFmt numFmtId="172" formatCode="0.00000"/>
    <numFmt numFmtId="173" formatCode="0"/>
    <numFmt numFmtId="174" formatCode="0.0"/>
    <numFmt numFmtId="175" formatCode="0.000"/>
    <numFmt numFmtId="176" formatCode="0.0%"/>
    <numFmt numFmtId="177" formatCode="\$#,##0"/>
    <numFmt numFmtId="178" formatCode="_-* #,##0.00_-;\-* #,##0.00_-;_-* \-??_-;_-@_-"/>
    <numFmt numFmtId="179" formatCode="_-* #,##0_-;\-* #,##0_-;_-* \-??_-;_-@_-"/>
    <numFmt numFmtId="180" formatCode="_(* #,##0_);_(* \(#,##0\);_(* \-??_);_(@_)"/>
    <numFmt numFmtId="181" formatCode="_(* #,##0.00_);_(* \(#,##0.00\);_(* \-??_);_(@_)"/>
    <numFmt numFmtId="182" formatCode="\$#,##0.00_);&quot;($&quot;#,##0.00\)"/>
    <numFmt numFmtId="183" formatCode="#,##0.00"/>
    <numFmt numFmtId="184" formatCode="[$$-409]#,##0.00"/>
    <numFmt numFmtId="185" formatCode="[$$-409]#,##0"/>
  </numFmts>
  <fonts count="2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FF0000"/>
      <name val="Calibri"/>
      <family val="2"/>
      <charset val="1"/>
    </font>
    <font>
      <b val="true"/>
      <sz val="9"/>
      <color rgb="FF062536"/>
      <name val="Manrope"/>
      <family val="0"/>
      <charset val="1"/>
    </font>
    <font>
      <sz val="11"/>
      <color rgb="FFFFFFFF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0"/>
      <color rgb="FFFF0000"/>
      <name val="Calibri"/>
      <family val="2"/>
      <charset val="1"/>
    </font>
    <font>
      <sz val="18"/>
      <color rgb="FFFFFFFF"/>
      <name val="Calibri"/>
      <family val="0"/>
    </font>
    <font>
      <sz val="18"/>
      <color rgb="FFFF0000"/>
      <name val="Calibri"/>
      <family val="2"/>
      <charset val="1"/>
    </font>
    <font>
      <sz val="20"/>
      <color rgb="FF000000"/>
      <name val="Calibri"/>
      <family val="2"/>
      <charset val="1"/>
    </font>
    <font>
      <sz val="36"/>
      <color rgb="FFFF0000"/>
      <name val="Calibri"/>
      <family val="2"/>
      <charset val="1"/>
    </font>
    <font>
      <b val="true"/>
      <sz val="36"/>
      <color rgb="FF000000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i val="true"/>
      <sz val="11"/>
      <color rgb="FF000000"/>
      <name val="Calibri"/>
      <family val="2"/>
      <charset val="1"/>
    </font>
    <font>
      <i val="true"/>
      <sz val="11"/>
      <color rgb="FFFF0000"/>
      <name val="Calibri"/>
      <family val="2"/>
      <charset val="1"/>
    </font>
    <font>
      <b val="true"/>
      <sz val="16"/>
      <color rgb="FFC00000"/>
      <name val="Calibri"/>
      <family val="2"/>
      <charset val="1"/>
    </font>
    <font>
      <b val="true"/>
      <sz val="14"/>
      <color rgb="FF000000"/>
      <name val="Calibri"/>
      <family val="2"/>
      <charset val="1"/>
    </font>
    <font>
      <b val="true"/>
      <sz val="24"/>
      <color rgb="FF595959"/>
      <name val="Calibri"/>
      <family val="2"/>
    </font>
    <font>
      <sz val="16"/>
      <color rgb="FF595959"/>
      <name val="Calibri"/>
      <family val="2"/>
    </font>
    <font>
      <sz val="32"/>
      <color rgb="FF595959"/>
      <name val="Calibri"/>
      <family val="2"/>
    </font>
    <font>
      <sz val="24"/>
      <color rgb="FF595959"/>
      <name val="Calibri"/>
      <family val="2"/>
    </font>
    <font>
      <b val="true"/>
      <sz val="16"/>
      <color rgb="FF595959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AE3F3"/>
        <bgColor rgb="FFDEEBF7"/>
      </patternFill>
    </fill>
    <fill>
      <patternFill patternType="solid">
        <fgColor rgb="FF2F5597"/>
        <bgColor rgb="FF4472C4"/>
      </patternFill>
    </fill>
    <fill>
      <patternFill patternType="solid">
        <fgColor rgb="FFC5E0B4"/>
        <bgColor rgb="FFD9D9D9"/>
      </patternFill>
    </fill>
    <fill>
      <patternFill patternType="solid">
        <fgColor rgb="FFDEEBF7"/>
        <bgColor rgb="FFDAE3F3"/>
      </patternFill>
    </fill>
    <fill>
      <patternFill patternType="solid">
        <fgColor rgb="FFB4C7E7"/>
        <bgColor rgb="FF9DC3E6"/>
      </patternFill>
    </fill>
    <fill>
      <patternFill patternType="solid">
        <fgColor rgb="FFFFF2CC"/>
        <bgColor rgb="FFFBE5D6"/>
      </patternFill>
    </fill>
    <fill>
      <patternFill patternType="solid">
        <fgColor rgb="FF92D050"/>
        <bgColor rgb="FFA9D18E"/>
      </patternFill>
    </fill>
    <fill>
      <patternFill patternType="solid">
        <fgColor rgb="FFF8CBAD"/>
        <bgColor rgb="FFFFC7CE"/>
      </patternFill>
    </fill>
    <fill>
      <patternFill patternType="solid">
        <fgColor rgb="FF9DC3E6"/>
        <bgColor rgb="FFB4C7E7"/>
      </patternFill>
    </fill>
    <fill>
      <patternFill patternType="solid">
        <fgColor rgb="FFA9D18E"/>
        <bgColor rgb="FFC5E0B4"/>
      </patternFill>
    </fill>
    <fill>
      <patternFill patternType="solid">
        <fgColor rgb="FFFBE5D6"/>
        <bgColor rgb="FFFFF2CC"/>
      </patternFill>
    </fill>
    <fill>
      <patternFill patternType="solid">
        <fgColor rgb="FF8FAADC"/>
        <bgColor rgb="FF9DC3E6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 style="thin"/>
      <top style="thin"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8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3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3" borderId="1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7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7" fillId="0" borderId="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3" fontId="0" fillId="8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7" fillId="8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4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1" fillId="9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1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11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11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1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2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1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1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79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14" fillId="12" borderId="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1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9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9" fontId="7" fillId="1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7" fillId="7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0" fillId="7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8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2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3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9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9" fontId="7" fillId="2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7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9" fontId="7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9" fontId="1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3" fontId="7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7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7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7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3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1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5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4" fontId="7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5" fontId="7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5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Percent 2" xfId="21"/>
  </cellStyles>
  <dxfs count="75">
    <dxf>
      <fill>
        <patternFill>
          <bgColor rgb="FFA6A6A6"/>
        </patternFill>
      </fill>
    </dxf>
    <dxf>
      <fill>
        <patternFill>
          <bgColor rgb="FFA6A6A6"/>
        </patternFill>
      </fill>
    </dxf>
    <dxf>
      <fill>
        <patternFill>
          <bgColor rgb="FFA6A6A6"/>
        </patternFill>
      </fill>
    </dxf>
    <dxf>
      <fill>
        <patternFill>
          <bgColor rgb="FFA6A6A6"/>
        </patternFill>
      </fill>
    </dxf>
    <dxf>
      <fill>
        <patternFill>
          <bgColor rgb="FFA6A6A6"/>
        </patternFill>
      </fill>
    </dxf>
    <dxf>
      <fill>
        <patternFill>
          <bgColor rgb="FFA6A6A6"/>
        </patternFill>
      </fill>
    </dxf>
    <dxf>
      <fill>
        <patternFill>
          <bgColor rgb="FFA6A6A6"/>
        </patternFill>
      </fill>
    </dxf>
    <dxf>
      <fill>
        <patternFill>
          <bgColor rgb="FFA6A6A6"/>
        </patternFill>
      </fill>
    </dxf>
    <dxf>
      <fill>
        <patternFill>
          <bgColor rgb="FFA6A6A6"/>
        </patternFill>
      </fill>
    </dxf>
    <dxf>
      <fill>
        <patternFill>
          <bgColor rgb="FFA6A6A6"/>
        </patternFill>
      </fill>
    </dxf>
    <dxf>
      <fill>
        <patternFill>
          <bgColor rgb="FFA6A6A6"/>
        </patternFill>
      </fill>
    </dxf>
    <dxf>
      <fill>
        <patternFill>
          <bgColor rgb="FFA6A6A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B4C7E7"/>
      <rgbColor rgb="FFA9D18E"/>
      <rgbColor rgb="FF8FAADC"/>
      <rgbColor rgb="FF993366"/>
      <rgbColor rgb="FFFFF2CC"/>
      <rgbColor rgb="FFDEEBF7"/>
      <rgbColor rgb="FF660066"/>
      <rgbColor rgb="FFFFC7CE"/>
      <rgbColor rgb="FF0066CC"/>
      <rgbColor rgb="FFD9D9D9"/>
      <rgbColor rgb="FF000080"/>
      <rgbColor rgb="FFFF00FF"/>
      <rgbColor rgb="FFFFFF00"/>
      <rgbColor rgb="FF00FFFF"/>
      <rgbColor rgb="FF800080"/>
      <rgbColor rgb="FFC00000"/>
      <rgbColor rgb="FF008080"/>
      <rgbColor rgb="FF0000FF"/>
      <rgbColor rgb="FF00CCFF"/>
      <rgbColor rgb="FFDAE3F3"/>
      <rgbColor rgb="FFC5E0B4"/>
      <rgbColor rgb="FFFBE5D6"/>
      <rgbColor rgb="FF9DC3E6"/>
      <rgbColor rgb="FFF4B183"/>
      <rgbColor rgb="FFA6A6A6"/>
      <rgbColor rgb="FFF8CBAD"/>
      <rgbColor rgb="FF4472C4"/>
      <rgbColor rgb="FF33CCCC"/>
      <rgbColor rgb="FF92D050"/>
      <rgbColor rgb="FFFFC000"/>
      <rgbColor rgb="FFFF9900"/>
      <rgbColor rgb="FFED7D31"/>
      <rgbColor rgb="FF595959"/>
      <rgbColor rgb="FFA5A5A5"/>
      <rgbColor rgb="FF062536"/>
      <rgbColor rgb="FF339966"/>
      <rgbColor rgb="FF003300"/>
      <rgbColor rgb="FF333300"/>
      <rgbColor rgb="FFC55A11"/>
      <rgbColor rgb="FF993366"/>
      <rgbColor rgb="FF2F5597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2400" spc="-1" strike="noStrike">
                <a:solidFill>
                  <a:srgbClr val="595959"/>
                </a:solidFill>
                <a:latin typeface="Calibri"/>
              </a:defRPr>
            </a:pPr>
            <a:r>
              <a:rPr b="1" sz="2400" spc="-1" strike="noStrike">
                <a:solidFill>
                  <a:srgbClr val="595959"/>
                </a:solidFill>
                <a:latin typeface="Calibri"/>
              </a:rPr>
              <a:t> Starting Balance is 1000 BNB and 4976.02 UNI - equivalent of 2000 FSN or 9952.04 UNI 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'BNB_XXX Graph'!$Q$7</c:f>
              <c:strCache>
                <c:ptCount val="1"/>
                <c:pt idx="0">
                  <c:v> Equivalent USD Pooling at current FSN Price </c:v>
                </c:pt>
              </c:strCache>
            </c:strRef>
          </c:tx>
          <c:spPr>
            <a:solidFill>
              <a:srgbClr val="4472c4"/>
            </a:solidFill>
            <a:ln w="69840">
              <a:solidFill>
                <a:srgbClr val="4472c4"/>
              </a:solidFill>
              <a:custDash/>
              <a:round/>
            </a:ln>
          </c:spPr>
          <c:marker>
            <c:symbol val="none"/>
          </c:marker>
          <c:dLbls>
            <c:numFmt formatCode="_-* #,##0_-;\-* #,##0_-;_-* \-??_-;_-@_-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'BNB_XXX Graph'!$N$8:$N$100</c:f>
              <c:strCache>
                <c:ptCount val="93"/>
                <c:pt idx="0">
                  <c:v>0.91</c:v>
                </c:pt>
                <c:pt idx="1">
                  <c:v>0.88</c:v>
                </c:pt>
                <c:pt idx="2">
                  <c:v>0.85</c:v>
                </c:pt>
                <c:pt idx="3">
                  <c:v>0.81</c:v>
                </c:pt>
                <c:pt idx="4">
                  <c:v>0.78</c:v>
                </c:pt>
                <c:pt idx="5">
                  <c:v>0.75</c:v>
                </c:pt>
                <c:pt idx="6">
                  <c:v>0.72</c:v>
                </c:pt>
                <c:pt idx="7">
                  <c:v>0.69</c:v>
                </c:pt>
                <c:pt idx="8">
                  <c:v>0.67</c:v>
                </c:pt>
                <c:pt idx="9">
                  <c:v>0.64</c:v>
                </c:pt>
                <c:pt idx="10">
                  <c:v>0.62</c:v>
                </c:pt>
                <c:pt idx="11">
                  <c:v>0.59</c:v>
                </c:pt>
                <c:pt idx="12">
                  <c:v>0.57</c:v>
                </c:pt>
                <c:pt idx="13">
                  <c:v>0.55</c:v>
                </c:pt>
                <c:pt idx="14">
                  <c:v>0.53</c:v>
                </c:pt>
                <c:pt idx="15">
                  <c:v>0.50</c:v>
                </c:pt>
                <c:pt idx="16">
                  <c:v>0.49</c:v>
                </c:pt>
                <c:pt idx="17">
                  <c:v>0.47</c:v>
                </c:pt>
                <c:pt idx="18">
                  <c:v>0.45</c:v>
                </c:pt>
                <c:pt idx="19">
                  <c:v>0.43</c:v>
                </c:pt>
                <c:pt idx="20">
                  <c:v>0.41</c:v>
                </c:pt>
                <c:pt idx="21">
                  <c:v>0.40</c:v>
                </c:pt>
                <c:pt idx="22">
                  <c:v>0.38</c:v>
                </c:pt>
                <c:pt idx="23">
                  <c:v>0.37</c:v>
                </c:pt>
                <c:pt idx="24">
                  <c:v>0.35</c:v>
                </c:pt>
                <c:pt idx="25">
                  <c:v>0.34</c:v>
                </c:pt>
                <c:pt idx="26">
                  <c:v>0.33</c:v>
                </c:pt>
                <c:pt idx="27">
                  <c:v>0.31</c:v>
                </c:pt>
                <c:pt idx="28">
                  <c:v>0.30</c:v>
                </c:pt>
                <c:pt idx="29">
                  <c:v>0.29</c:v>
                </c:pt>
                <c:pt idx="30">
                  <c:v>0.28</c:v>
                </c:pt>
                <c:pt idx="31">
                  <c:v>0.27</c:v>
                </c:pt>
                <c:pt idx="32">
                  <c:v>0.26</c:v>
                </c:pt>
                <c:pt idx="33">
                  <c:v>0.25</c:v>
                </c:pt>
                <c:pt idx="34">
                  <c:v>0.24</c:v>
                </c:pt>
                <c:pt idx="35">
                  <c:v>0.23</c:v>
                </c:pt>
                <c:pt idx="36">
                  <c:v>0.22</c:v>
                </c:pt>
                <c:pt idx="37">
                  <c:v>0.21</c:v>
                </c:pt>
                <c:pt idx="38">
                  <c:v>0.20</c:v>
                </c:pt>
                <c:pt idx="39">
                  <c:v>0.20</c:v>
                </c:pt>
                <c:pt idx="40">
                  <c:v>0.19</c:v>
                </c:pt>
                <c:pt idx="41">
                  <c:v>0.18</c:v>
                </c:pt>
                <c:pt idx="42">
                  <c:v>0.17</c:v>
                </c:pt>
                <c:pt idx="43">
                  <c:v>0.17</c:v>
                </c:pt>
                <c:pt idx="44">
                  <c:v>0.16</c:v>
                </c:pt>
                <c:pt idx="45">
                  <c:v>0.15</c:v>
                </c:pt>
                <c:pt idx="46">
                  <c:v>0.15</c:v>
                </c:pt>
                <c:pt idx="47">
                  <c:v>0.14</c:v>
                </c:pt>
                <c:pt idx="48">
                  <c:v>0.14</c:v>
                </c:pt>
                <c:pt idx="49">
                  <c:v>0.13</c:v>
                </c:pt>
                <c:pt idx="50">
                  <c:v>0.13</c:v>
                </c:pt>
                <c:pt idx="51">
                  <c:v>0.12</c:v>
                </c:pt>
                <c:pt idx="52">
                  <c:v>0.12</c:v>
                </c:pt>
                <c:pt idx="53">
                  <c:v>0.11</c:v>
                </c:pt>
                <c:pt idx="54">
                  <c:v>0.11</c:v>
                </c:pt>
                <c:pt idx="55">
                  <c:v>0.10</c:v>
                </c:pt>
                <c:pt idx="56">
                  <c:v>0.10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0.07</c:v>
                </c:pt>
                <c:pt idx="64">
                  <c:v>0.07</c:v>
                </c:pt>
                <c:pt idx="65">
                  <c:v>0.07</c:v>
                </c:pt>
                <c:pt idx="66">
                  <c:v>0.07</c:v>
                </c:pt>
                <c:pt idx="67">
                  <c:v>0.06</c:v>
                </c:pt>
                <c:pt idx="68">
                  <c:v>0.06</c:v>
                </c:pt>
                <c:pt idx="69">
                  <c:v>0.06</c:v>
                </c:pt>
                <c:pt idx="70">
                  <c:v>0.06</c:v>
                </c:pt>
                <c:pt idx="71">
                  <c:v>0.05</c:v>
                </c:pt>
                <c:pt idx="72">
                  <c:v>0.05</c:v>
                </c:pt>
                <c:pt idx="73">
                  <c:v>0.05</c:v>
                </c:pt>
                <c:pt idx="74">
                  <c:v>0.05</c:v>
                </c:pt>
                <c:pt idx="75">
                  <c:v>0.05</c:v>
                </c:pt>
                <c:pt idx="76">
                  <c:v>0.04</c:v>
                </c:pt>
                <c:pt idx="77">
                  <c:v>0.04</c:v>
                </c:pt>
                <c:pt idx="78">
                  <c:v>0.04</c:v>
                </c:pt>
                <c:pt idx="79">
                  <c:v>0.04</c:v>
                </c:pt>
                <c:pt idx="80">
                  <c:v>0.04</c:v>
                </c:pt>
                <c:pt idx="81">
                  <c:v>0.04</c:v>
                </c:pt>
                <c:pt idx="82">
                  <c:v>0.03</c:v>
                </c:pt>
                <c:pt idx="83">
                  <c:v>0.03</c:v>
                </c:pt>
                <c:pt idx="84">
                  <c:v>0.03</c:v>
                </c:pt>
                <c:pt idx="85">
                  <c:v>0.03</c:v>
                </c:pt>
                <c:pt idx="86">
                  <c:v>0.03</c:v>
                </c:pt>
                <c:pt idx="87">
                  <c:v>0.03</c:v>
                </c:pt>
                <c:pt idx="88">
                  <c:v>0.03</c:v>
                </c:pt>
                <c:pt idx="89">
                  <c:v>0.03</c:v>
                </c:pt>
                <c:pt idx="90">
                  <c:v>0.02</c:v>
                </c:pt>
                <c:pt idx="91">
                  <c:v>0.02</c:v>
                </c:pt>
                <c:pt idx="92">
                  <c:v>0.02</c:v>
                </c:pt>
              </c:strCache>
            </c:strRef>
          </c:cat>
          <c:val>
            <c:numRef>
              <c:f>'BNB_XXX Graph'!$Q$8:$Q$100</c:f>
              <c:numCache>
                <c:formatCode>General</c:formatCode>
                <c:ptCount val="93"/>
                <c:pt idx="0">
                  <c:v>111799.551935996</c:v>
                </c:pt>
                <c:pt idx="1">
                  <c:v>109607.40385882</c:v>
                </c:pt>
                <c:pt idx="2">
                  <c:v>107458.239077274</c:v>
                </c:pt>
                <c:pt idx="3">
                  <c:v>105351.214781642</c:v>
                </c:pt>
                <c:pt idx="4">
                  <c:v>103285.504687884</c:v>
                </c:pt>
                <c:pt idx="5">
                  <c:v>101260.298713612</c:v>
                </c:pt>
                <c:pt idx="6">
                  <c:v>99274.8026604036</c:v>
                </c:pt>
                <c:pt idx="7">
                  <c:v>97328.2379023564</c:v>
                </c:pt>
                <c:pt idx="8">
                  <c:v>95419.8410807416</c:v>
                </c:pt>
                <c:pt idx="9">
                  <c:v>93548.8638046486</c:v>
                </c:pt>
                <c:pt idx="10">
                  <c:v>91714.5723574987</c:v>
                </c:pt>
                <c:pt idx="11">
                  <c:v>89916.2474093124</c:v>
                </c:pt>
                <c:pt idx="12">
                  <c:v>88153.18373462</c:v>
                </c:pt>
                <c:pt idx="13">
                  <c:v>86424.689935902</c:v>
                </c:pt>
                <c:pt idx="14">
                  <c:v>84730.0881724529</c:v>
                </c:pt>
                <c:pt idx="15">
                  <c:v>83068.7138945617</c:v>
                </c:pt>
                <c:pt idx="16">
                  <c:v>81439.9155829036</c:v>
                </c:pt>
                <c:pt idx="17">
                  <c:v>79843.0544930428</c:v>
                </c:pt>
                <c:pt idx="18">
                  <c:v>78277.5044049439</c:v>
                </c:pt>
                <c:pt idx="19">
                  <c:v>76742.6513773959</c:v>
                </c:pt>
                <c:pt idx="20">
                  <c:v>75237.8935072509</c:v>
                </c:pt>
                <c:pt idx="21">
                  <c:v>73762.6406933832</c:v>
                </c:pt>
                <c:pt idx="22">
                  <c:v>72316.3144052777</c:v>
                </c:pt>
                <c:pt idx="23">
                  <c:v>70898.3474561546</c:v>
                </c:pt>
                <c:pt idx="24">
                  <c:v>69508.1837805437</c:v>
                </c:pt>
                <c:pt idx="25">
                  <c:v>68145.2782162193</c:v>
                </c:pt>
                <c:pt idx="26">
                  <c:v>66809.0962904111</c:v>
                </c:pt>
                <c:pt idx="27">
                  <c:v>65499.114010207</c:v>
                </c:pt>
                <c:pt idx="28">
                  <c:v>64214.8176570657</c:v>
                </c:pt>
                <c:pt idx="29">
                  <c:v>62955.7035853585</c:v>
                </c:pt>
                <c:pt idx="30">
                  <c:v>61721.2780248613</c:v>
                </c:pt>
                <c:pt idx="31">
                  <c:v>60511.0568871189</c:v>
                </c:pt>
                <c:pt idx="32">
                  <c:v>59324.5655756068</c:v>
                </c:pt>
                <c:pt idx="33">
                  <c:v>58161.3387996145</c:v>
                </c:pt>
                <c:pt idx="34">
                  <c:v>57020.9203917789</c:v>
                </c:pt>
                <c:pt idx="35">
                  <c:v>55902.863129195</c:v>
                </c:pt>
                <c:pt idx="36">
                  <c:v>54806.7285580343</c:v>
                </c:pt>
                <c:pt idx="37">
                  <c:v>53732.0868216022</c:v>
                </c:pt>
                <c:pt idx="38">
                  <c:v>52678.5164917669</c:v>
                </c:pt>
                <c:pt idx="39">
                  <c:v>51645.604403693</c:v>
                </c:pt>
                <c:pt idx="40">
                  <c:v>50632.9454938167</c:v>
                </c:pt>
                <c:pt idx="41">
                  <c:v>49620.2865839404</c:v>
                </c:pt>
                <c:pt idx="42">
                  <c:v>48627.8808522616</c:v>
                </c:pt>
                <c:pt idx="43">
                  <c:v>47655.3232352163</c:v>
                </c:pt>
                <c:pt idx="44">
                  <c:v>46702.216770512</c:v>
                </c:pt>
                <c:pt idx="45">
                  <c:v>45768.1724351018</c:v>
                </c:pt>
                <c:pt idx="46">
                  <c:v>44852.8089863997</c:v>
                </c:pt>
                <c:pt idx="47">
                  <c:v>43955.7528066717</c:v>
                </c:pt>
                <c:pt idx="48">
                  <c:v>43076.6377505383</c:v>
                </c:pt>
                <c:pt idx="49">
                  <c:v>42215.1049955275</c:v>
                </c:pt>
                <c:pt idx="50">
                  <c:v>41370.802895617</c:v>
                </c:pt>
                <c:pt idx="51">
                  <c:v>40543.3868377046</c:v>
                </c:pt>
                <c:pt idx="52">
                  <c:v>39732.5191009505</c:v>
                </c:pt>
                <c:pt idx="53">
                  <c:v>38937.8687189315</c:v>
                </c:pt>
                <c:pt idx="54">
                  <c:v>38159.1113445529</c:v>
                </c:pt>
                <c:pt idx="55">
                  <c:v>37395.9291176618</c:v>
                </c:pt>
                <c:pt idx="56">
                  <c:v>36648.0105353086</c:v>
                </c:pt>
                <c:pt idx="57">
                  <c:v>35915.0503246024</c:v>
                </c:pt>
                <c:pt idx="58">
                  <c:v>35196.7493181104</c:v>
                </c:pt>
                <c:pt idx="59">
                  <c:v>34492.8143317482</c:v>
                </c:pt>
                <c:pt idx="60">
                  <c:v>33802.9580451132</c:v>
                </c:pt>
                <c:pt idx="61">
                  <c:v>33126.8988842109</c:v>
                </c:pt>
                <c:pt idx="62">
                  <c:v>32464.3609065267</c:v>
                </c:pt>
                <c:pt idx="63">
                  <c:v>31815.0736883962</c:v>
                </c:pt>
                <c:pt idx="64">
                  <c:v>31178.7722146283</c:v>
                </c:pt>
                <c:pt idx="65">
                  <c:v>30555.1967703357</c:v>
                </c:pt>
                <c:pt idx="66">
                  <c:v>29944.092834929</c:v>
                </c:pt>
                <c:pt idx="67">
                  <c:v>29345.2109782304</c:v>
                </c:pt>
                <c:pt idx="68">
                  <c:v>28758.3067586658</c:v>
                </c:pt>
                <c:pt idx="69">
                  <c:v>28183.1406234925</c:v>
                </c:pt>
                <c:pt idx="70">
                  <c:v>27619.4778110226</c:v>
                </c:pt>
                <c:pt idx="71">
                  <c:v>27067.0882548022</c:v>
                </c:pt>
                <c:pt idx="72">
                  <c:v>26525.7464897061</c:v>
                </c:pt>
                <c:pt idx="73">
                  <c:v>25995.231559912</c:v>
                </c:pt>
                <c:pt idx="74">
                  <c:v>25475.3269287138</c:v>
                </c:pt>
                <c:pt idx="75">
                  <c:v>24965.8203901395</c:v>
                </c:pt>
                <c:pt idx="76">
                  <c:v>24466.5039823367</c:v>
                </c:pt>
                <c:pt idx="77">
                  <c:v>23977.17390269</c:v>
                </c:pt>
                <c:pt idx="78">
                  <c:v>23497.6304246362</c:v>
                </c:pt>
                <c:pt idx="79">
                  <c:v>23027.6778161434</c:v>
                </c:pt>
                <c:pt idx="80">
                  <c:v>22567.1242598206</c:v>
                </c:pt>
                <c:pt idx="81">
                  <c:v>22115.7817746242</c:v>
                </c:pt>
                <c:pt idx="82">
                  <c:v>21673.4661391317</c:v>
                </c:pt>
                <c:pt idx="83">
                  <c:v>21239.996816349</c:v>
                </c:pt>
                <c:pt idx="84">
                  <c:v>20815.1968800221</c:v>
                </c:pt>
                <c:pt idx="85">
                  <c:v>20398.8929424216</c:v>
                </c:pt>
                <c:pt idx="86">
                  <c:v>19990.9150835732</c:v>
                </c:pt>
                <c:pt idx="87">
                  <c:v>19591.0967819017</c:v>
                </c:pt>
                <c:pt idx="88">
                  <c:v>19199.2748462637</c:v>
                </c:pt>
                <c:pt idx="89">
                  <c:v>18815.2893493384</c:v>
                </c:pt>
                <c:pt idx="90">
                  <c:v>18438.9835623516</c:v>
                </c:pt>
                <c:pt idx="91">
                  <c:v>18070.2038911046</c:v>
                </c:pt>
                <c:pt idx="92">
                  <c:v>17708.7998132825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'BNB_XXX Graph'!$S$7</c:f>
              <c:strCache>
                <c:ptCount val="1"/>
                <c:pt idx="0">
                  <c:v> HODL 2000 BNB (at current fsn price) </c:v>
                </c:pt>
              </c:strCache>
            </c:strRef>
          </c:tx>
          <c:spPr>
            <a:solidFill>
              <a:srgbClr val="ff0000"/>
            </a:solidFill>
            <a:ln w="5076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numFmt formatCode="_-* #,##0_-;\-* #,##0_-;_-* \-??_-;_-@_-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'BNB_XXX Graph'!$N$8:$N$100</c:f>
              <c:strCache>
                <c:ptCount val="93"/>
                <c:pt idx="0">
                  <c:v>0.91</c:v>
                </c:pt>
                <c:pt idx="1">
                  <c:v>0.88</c:v>
                </c:pt>
                <c:pt idx="2">
                  <c:v>0.85</c:v>
                </c:pt>
                <c:pt idx="3">
                  <c:v>0.81</c:v>
                </c:pt>
                <c:pt idx="4">
                  <c:v>0.78</c:v>
                </c:pt>
                <c:pt idx="5">
                  <c:v>0.75</c:v>
                </c:pt>
                <c:pt idx="6">
                  <c:v>0.72</c:v>
                </c:pt>
                <c:pt idx="7">
                  <c:v>0.69</c:v>
                </c:pt>
                <c:pt idx="8">
                  <c:v>0.67</c:v>
                </c:pt>
                <c:pt idx="9">
                  <c:v>0.64</c:v>
                </c:pt>
                <c:pt idx="10">
                  <c:v>0.62</c:v>
                </c:pt>
                <c:pt idx="11">
                  <c:v>0.59</c:v>
                </c:pt>
                <c:pt idx="12">
                  <c:v>0.57</c:v>
                </c:pt>
                <c:pt idx="13">
                  <c:v>0.55</c:v>
                </c:pt>
                <c:pt idx="14">
                  <c:v>0.53</c:v>
                </c:pt>
                <c:pt idx="15">
                  <c:v>0.50</c:v>
                </c:pt>
                <c:pt idx="16">
                  <c:v>0.49</c:v>
                </c:pt>
                <c:pt idx="17">
                  <c:v>0.47</c:v>
                </c:pt>
                <c:pt idx="18">
                  <c:v>0.45</c:v>
                </c:pt>
                <c:pt idx="19">
                  <c:v>0.43</c:v>
                </c:pt>
                <c:pt idx="20">
                  <c:v>0.41</c:v>
                </c:pt>
                <c:pt idx="21">
                  <c:v>0.40</c:v>
                </c:pt>
                <c:pt idx="22">
                  <c:v>0.38</c:v>
                </c:pt>
                <c:pt idx="23">
                  <c:v>0.37</c:v>
                </c:pt>
                <c:pt idx="24">
                  <c:v>0.35</c:v>
                </c:pt>
                <c:pt idx="25">
                  <c:v>0.34</c:v>
                </c:pt>
                <c:pt idx="26">
                  <c:v>0.33</c:v>
                </c:pt>
                <c:pt idx="27">
                  <c:v>0.31</c:v>
                </c:pt>
                <c:pt idx="28">
                  <c:v>0.30</c:v>
                </c:pt>
                <c:pt idx="29">
                  <c:v>0.29</c:v>
                </c:pt>
                <c:pt idx="30">
                  <c:v>0.28</c:v>
                </c:pt>
                <c:pt idx="31">
                  <c:v>0.27</c:v>
                </c:pt>
                <c:pt idx="32">
                  <c:v>0.26</c:v>
                </c:pt>
                <c:pt idx="33">
                  <c:v>0.25</c:v>
                </c:pt>
                <c:pt idx="34">
                  <c:v>0.24</c:v>
                </c:pt>
                <c:pt idx="35">
                  <c:v>0.23</c:v>
                </c:pt>
                <c:pt idx="36">
                  <c:v>0.22</c:v>
                </c:pt>
                <c:pt idx="37">
                  <c:v>0.21</c:v>
                </c:pt>
                <c:pt idx="38">
                  <c:v>0.20</c:v>
                </c:pt>
                <c:pt idx="39">
                  <c:v>0.20</c:v>
                </c:pt>
                <c:pt idx="40">
                  <c:v>0.19</c:v>
                </c:pt>
                <c:pt idx="41">
                  <c:v>0.18</c:v>
                </c:pt>
                <c:pt idx="42">
                  <c:v>0.17</c:v>
                </c:pt>
                <c:pt idx="43">
                  <c:v>0.17</c:v>
                </c:pt>
                <c:pt idx="44">
                  <c:v>0.16</c:v>
                </c:pt>
                <c:pt idx="45">
                  <c:v>0.15</c:v>
                </c:pt>
                <c:pt idx="46">
                  <c:v>0.15</c:v>
                </c:pt>
                <c:pt idx="47">
                  <c:v>0.14</c:v>
                </c:pt>
                <c:pt idx="48">
                  <c:v>0.14</c:v>
                </c:pt>
                <c:pt idx="49">
                  <c:v>0.13</c:v>
                </c:pt>
                <c:pt idx="50">
                  <c:v>0.13</c:v>
                </c:pt>
                <c:pt idx="51">
                  <c:v>0.12</c:v>
                </c:pt>
                <c:pt idx="52">
                  <c:v>0.12</c:v>
                </c:pt>
                <c:pt idx="53">
                  <c:v>0.11</c:v>
                </c:pt>
                <c:pt idx="54">
                  <c:v>0.11</c:v>
                </c:pt>
                <c:pt idx="55">
                  <c:v>0.10</c:v>
                </c:pt>
                <c:pt idx="56">
                  <c:v>0.10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0.07</c:v>
                </c:pt>
                <c:pt idx="64">
                  <c:v>0.07</c:v>
                </c:pt>
                <c:pt idx="65">
                  <c:v>0.07</c:v>
                </c:pt>
                <c:pt idx="66">
                  <c:v>0.07</c:v>
                </c:pt>
                <c:pt idx="67">
                  <c:v>0.06</c:v>
                </c:pt>
                <c:pt idx="68">
                  <c:v>0.06</c:v>
                </c:pt>
                <c:pt idx="69">
                  <c:v>0.06</c:v>
                </c:pt>
                <c:pt idx="70">
                  <c:v>0.06</c:v>
                </c:pt>
                <c:pt idx="71">
                  <c:v>0.05</c:v>
                </c:pt>
                <c:pt idx="72">
                  <c:v>0.05</c:v>
                </c:pt>
                <c:pt idx="73">
                  <c:v>0.05</c:v>
                </c:pt>
                <c:pt idx="74">
                  <c:v>0.05</c:v>
                </c:pt>
                <c:pt idx="75">
                  <c:v>0.05</c:v>
                </c:pt>
                <c:pt idx="76">
                  <c:v>0.04</c:v>
                </c:pt>
                <c:pt idx="77">
                  <c:v>0.04</c:v>
                </c:pt>
                <c:pt idx="78">
                  <c:v>0.04</c:v>
                </c:pt>
                <c:pt idx="79">
                  <c:v>0.04</c:v>
                </c:pt>
                <c:pt idx="80">
                  <c:v>0.04</c:v>
                </c:pt>
                <c:pt idx="81">
                  <c:v>0.04</c:v>
                </c:pt>
                <c:pt idx="82">
                  <c:v>0.03</c:v>
                </c:pt>
                <c:pt idx="83">
                  <c:v>0.03</c:v>
                </c:pt>
                <c:pt idx="84">
                  <c:v>0.03</c:v>
                </c:pt>
                <c:pt idx="85">
                  <c:v>0.03</c:v>
                </c:pt>
                <c:pt idx="86">
                  <c:v>0.03</c:v>
                </c:pt>
                <c:pt idx="87">
                  <c:v>0.03</c:v>
                </c:pt>
                <c:pt idx="88">
                  <c:v>0.03</c:v>
                </c:pt>
                <c:pt idx="89">
                  <c:v>0.03</c:v>
                </c:pt>
                <c:pt idx="90">
                  <c:v>0.02</c:v>
                </c:pt>
                <c:pt idx="91">
                  <c:v>0.02</c:v>
                </c:pt>
                <c:pt idx="92">
                  <c:v>0.02</c:v>
                </c:pt>
              </c:strCache>
            </c:strRef>
          </c:cat>
          <c:val>
            <c:numRef>
              <c:f>'BNB_XXX Graph'!$S$8:$S$100</c:f>
              <c:numCache>
                <c:formatCode>General</c:formatCode>
                <c:ptCount val="93"/>
                <c:pt idx="0">
                  <c:v>50632.9454938167</c:v>
                </c:pt>
                <c:pt idx="1">
                  <c:v>50632.9454938167</c:v>
                </c:pt>
                <c:pt idx="2">
                  <c:v>50632.9454938167</c:v>
                </c:pt>
                <c:pt idx="3">
                  <c:v>50632.9454938167</c:v>
                </c:pt>
                <c:pt idx="4">
                  <c:v>50632.9454938167</c:v>
                </c:pt>
                <c:pt idx="5">
                  <c:v>50632.9454938167</c:v>
                </c:pt>
                <c:pt idx="6">
                  <c:v>50632.9454938167</c:v>
                </c:pt>
                <c:pt idx="7">
                  <c:v>50632.9454938167</c:v>
                </c:pt>
                <c:pt idx="8">
                  <c:v>50632.9454938167</c:v>
                </c:pt>
                <c:pt idx="9">
                  <c:v>50632.9454938167</c:v>
                </c:pt>
                <c:pt idx="10">
                  <c:v>50632.9454938167</c:v>
                </c:pt>
                <c:pt idx="11">
                  <c:v>50632.9454938167</c:v>
                </c:pt>
                <c:pt idx="12">
                  <c:v>50632.9454938167</c:v>
                </c:pt>
                <c:pt idx="13">
                  <c:v>50632.9454938167</c:v>
                </c:pt>
                <c:pt idx="14">
                  <c:v>50632.9454938167</c:v>
                </c:pt>
                <c:pt idx="15">
                  <c:v>50632.9454938167</c:v>
                </c:pt>
                <c:pt idx="16">
                  <c:v>50632.9454938167</c:v>
                </c:pt>
                <c:pt idx="17">
                  <c:v>50632.9454938167</c:v>
                </c:pt>
                <c:pt idx="18">
                  <c:v>50632.9454938167</c:v>
                </c:pt>
                <c:pt idx="19">
                  <c:v>50632.9454938167</c:v>
                </c:pt>
                <c:pt idx="20">
                  <c:v>50632.9454938167</c:v>
                </c:pt>
                <c:pt idx="21">
                  <c:v>50632.9454938167</c:v>
                </c:pt>
                <c:pt idx="22">
                  <c:v>50632.9454938167</c:v>
                </c:pt>
                <c:pt idx="23">
                  <c:v>50632.9454938167</c:v>
                </c:pt>
                <c:pt idx="24">
                  <c:v>50632.9454938167</c:v>
                </c:pt>
                <c:pt idx="25">
                  <c:v>50632.9454938167</c:v>
                </c:pt>
                <c:pt idx="26">
                  <c:v>50632.9454938167</c:v>
                </c:pt>
                <c:pt idx="27">
                  <c:v>50632.9454938167</c:v>
                </c:pt>
                <c:pt idx="28">
                  <c:v>50632.9454938167</c:v>
                </c:pt>
                <c:pt idx="29">
                  <c:v>50632.9454938167</c:v>
                </c:pt>
                <c:pt idx="30">
                  <c:v>50632.9454938167</c:v>
                </c:pt>
                <c:pt idx="31">
                  <c:v>50632.9454938167</c:v>
                </c:pt>
                <c:pt idx="32">
                  <c:v>50632.9454938167</c:v>
                </c:pt>
                <c:pt idx="33">
                  <c:v>50632.9454938167</c:v>
                </c:pt>
                <c:pt idx="34">
                  <c:v>50632.9454938167</c:v>
                </c:pt>
                <c:pt idx="35">
                  <c:v>50632.9454938167</c:v>
                </c:pt>
                <c:pt idx="36">
                  <c:v>50632.9454938167</c:v>
                </c:pt>
                <c:pt idx="37">
                  <c:v>50632.9454938167</c:v>
                </c:pt>
                <c:pt idx="38">
                  <c:v>50632.9454938167</c:v>
                </c:pt>
                <c:pt idx="39">
                  <c:v>50632.9454938167</c:v>
                </c:pt>
                <c:pt idx="40">
                  <c:v>50632.9454938167</c:v>
                </c:pt>
                <c:pt idx="41">
                  <c:v>50632.9454938167</c:v>
                </c:pt>
                <c:pt idx="42">
                  <c:v>50632.9454938167</c:v>
                </c:pt>
                <c:pt idx="43">
                  <c:v>50632.9454938167</c:v>
                </c:pt>
                <c:pt idx="44">
                  <c:v>50632.9454938167</c:v>
                </c:pt>
                <c:pt idx="45">
                  <c:v>50632.9454938167</c:v>
                </c:pt>
                <c:pt idx="46">
                  <c:v>50632.9454938167</c:v>
                </c:pt>
                <c:pt idx="47">
                  <c:v>50632.9454938167</c:v>
                </c:pt>
                <c:pt idx="48">
                  <c:v>50632.9454938167</c:v>
                </c:pt>
                <c:pt idx="49">
                  <c:v>50632.9454938167</c:v>
                </c:pt>
                <c:pt idx="50">
                  <c:v>50632.9454938167</c:v>
                </c:pt>
                <c:pt idx="51">
                  <c:v>50632.9454938167</c:v>
                </c:pt>
                <c:pt idx="52">
                  <c:v>50632.9454938167</c:v>
                </c:pt>
                <c:pt idx="53">
                  <c:v>50632.9454938167</c:v>
                </c:pt>
                <c:pt idx="54">
                  <c:v>50632.9454938167</c:v>
                </c:pt>
                <c:pt idx="55">
                  <c:v>50632.9454938167</c:v>
                </c:pt>
                <c:pt idx="56">
                  <c:v>50632.9454938167</c:v>
                </c:pt>
                <c:pt idx="57">
                  <c:v>50632.9454938167</c:v>
                </c:pt>
                <c:pt idx="58">
                  <c:v>50632.9454938167</c:v>
                </c:pt>
                <c:pt idx="59">
                  <c:v>50632.9454938167</c:v>
                </c:pt>
                <c:pt idx="60">
                  <c:v>50632.9454938167</c:v>
                </c:pt>
                <c:pt idx="61">
                  <c:v>50632.9454938167</c:v>
                </c:pt>
                <c:pt idx="62">
                  <c:v>50632.9454938167</c:v>
                </c:pt>
                <c:pt idx="63">
                  <c:v>50632.9454938167</c:v>
                </c:pt>
                <c:pt idx="64">
                  <c:v>50632.9454938167</c:v>
                </c:pt>
                <c:pt idx="65">
                  <c:v>50632.9454938167</c:v>
                </c:pt>
                <c:pt idx="66">
                  <c:v>50632.9454938167</c:v>
                </c:pt>
                <c:pt idx="67">
                  <c:v>50632.9454938167</c:v>
                </c:pt>
                <c:pt idx="68">
                  <c:v>50632.9454938167</c:v>
                </c:pt>
                <c:pt idx="69">
                  <c:v>50632.9454938167</c:v>
                </c:pt>
                <c:pt idx="70">
                  <c:v>50632.9454938167</c:v>
                </c:pt>
                <c:pt idx="71">
                  <c:v>50632.9454938167</c:v>
                </c:pt>
                <c:pt idx="72">
                  <c:v>50632.9454938167</c:v>
                </c:pt>
                <c:pt idx="73">
                  <c:v>50632.9454938167</c:v>
                </c:pt>
                <c:pt idx="74">
                  <c:v>50632.9454938167</c:v>
                </c:pt>
                <c:pt idx="75">
                  <c:v>50632.9454938167</c:v>
                </c:pt>
                <c:pt idx="76">
                  <c:v>50632.9454938167</c:v>
                </c:pt>
                <c:pt idx="77">
                  <c:v>50632.9454938167</c:v>
                </c:pt>
                <c:pt idx="78">
                  <c:v>50632.9454938167</c:v>
                </c:pt>
                <c:pt idx="79">
                  <c:v>50632.9454938167</c:v>
                </c:pt>
                <c:pt idx="80">
                  <c:v>50632.9454938167</c:v>
                </c:pt>
                <c:pt idx="81">
                  <c:v>50632.9454938167</c:v>
                </c:pt>
                <c:pt idx="82">
                  <c:v>50632.9454938167</c:v>
                </c:pt>
                <c:pt idx="83">
                  <c:v>50632.9454938167</c:v>
                </c:pt>
                <c:pt idx="84">
                  <c:v>50632.9454938167</c:v>
                </c:pt>
                <c:pt idx="85">
                  <c:v>50632.9454938167</c:v>
                </c:pt>
                <c:pt idx="86">
                  <c:v>50632.9454938167</c:v>
                </c:pt>
                <c:pt idx="87">
                  <c:v>50632.9454938167</c:v>
                </c:pt>
                <c:pt idx="88">
                  <c:v>50632.9454938167</c:v>
                </c:pt>
                <c:pt idx="89">
                  <c:v>50632.9454938167</c:v>
                </c:pt>
                <c:pt idx="90">
                  <c:v>50632.9454938167</c:v>
                </c:pt>
                <c:pt idx="91">
                  <c:v>50632.9454938167</c:v>
                </c:pt>
                <c:pt idx="92">
                  <c:v>50632.9454938167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'BNB_XXX Graph'!$T$7</c:f>
              <c:strCache>
                <c:ptCount val="1"/>
                <c:pt idx="0">
                  <c:v> HODL 10660.475 UNI (at current fsn price) </c:v>
                </c:pt>
              </c:strCache>
            </c:strRef>
          </c:tx>
          <c:spPr>
            <a:solidFill>
              <a:srgbClr val="a5a5a5"/>
            </a:solidFill>
            <a:ln w="28440">
              <a:solidFill>
                <a:srgbClr val="a5a5a5"/>
              </a:solidFill>
              <a:round/>
            </a:ln>
          </c:spPr>
          <c:marker>
            <c:symbol val="none"/>
          </c:marker>
          <c:dLbls>
            <c:numFmt formatCode="_-* #,##0_-;\-* #,##0_-;_-* \-??_-;_-@_-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'BNB_XXX Graph'!$N$8:$N$100</c:f>
              <c:strCache>
                <c:ptCount val="93"/>
                <c:pt idx="0">
                  <c:v>0.91</c:v>
                </c:pt>
                <c:pt idx="1">
                  <c:v>0.88</c:v>
                </c:pt>
                <c:pt idx="2">
                  <c:v>0.85</c:v>
                </c:pt>
                <c:pt idx="3">
                  <c:v>0.81</c:v>
                </c:pt>
                <c:pt idx="4">
                  <c:v>0.78</c:v>
                </c:pt>
                <c:pt idx="5">
                  <c:v>0.75</c:v>
                </c:pt>
                <c:pt idx="6">
                  <c:v>0.72</c:v>
                </c:pt>
                <c:pt idx="7">
                  <c:v>0.69</c:v>
                </c:pt>
                <c:pt idx="8">
                  <c:v>0.67</c:v>
                </c:pt>
                <c:pt idx="9">
                  <c:v>0.64</c:v>
                </c:pt>
                <c:pt idx="10">
                  <c:v>0.62</c:v>
                </c:pt>
                <c:pt idx="11">
                  <c:v>0.59</c:v>
                </c:pt>
                <c:pt idx="12">
                  <c:v>0.57</c:v>
                </c:pt>
                <c:pt idx="13">
                  <c:v>0.55</c:v>
                </c:pt>
                <c:pt idx="14">
                  <c:v>0.53</c:v>
                </c:pt>
                <c:pt idx="15">
                  <c:v>0.50</c:v>
                </c:pt>
                <c:pt idx="16">
                  <c:v>0.49</c:v>
                </c:pt>
                <c:pt idx="17">
                  <c:v>0.47</c:v>
                </c:pt>
                <c:pt idx="18">
                  <c:v>0.45</c:v>
                </c:pt>
                <c:pt idx="19">
                  <c:v>0.43</c:v>
                </c:pt>
                <c:pt idx="20">
                  <c:v>0.41</c:v>
                </c:pt>
                <c:pt idx="21">
                  <c:v>0.40</c:v>
                </c:pt>
                <c:pt idx="22">
                  <c:v>0.38</c:v>
                </c:pt>
                <c:pt idx="23">
                  <c:v>0.37</c:v>
                </c:pt>
                <c:pt idx="24">
                  <c:v>0.35</c:v>
                </c:pt>
                <c:pt idx="25">
                  <c:v>0.34</c:v>
                </c:pt>
                <c:pt idx="26">
                  <c:v>0.33</c:v>
                </c:pt>
                <c:pt idx="27">
                  <c:v>0.31</c:v>
                </c:pt>
                <c:pt idx="28">
                  <c:v>0.30</c:v>
                </c:pt>
                <c:pt idx="29">
                  <c:v>0.29</c:v>
                </c:pt>
                <c:pt idx="30">
                  <c:v>0.28</c:v>
                </c:pt>
                <c:pt idx="31">
                  <c:v>0.27</c:v>
                </c:pt>
                <c:pt idx="32">
                  <c:v>0.26</c:v>
                </c:pt>
                <c:pt idx="33">
                  <c:v>0.25</c:v>
                </c:pt>
                <c:pt idx="34">
                  <c:v>0.24</c:v>
                </c:pt>
                <c:pt idx="35">
                  <c:v>0.23</c:v>
                </c:pt>
                <c:pt idx="36">
                  <c:v>0.22</c:v>
                </c:pt>
                <c:pt idx="37">
                  <c:v>0.21</c:v>
                </c:pt>
                <c:pt idx="38">
                  <c:v>0.20</c:v>
                </c:pt>
                <c:pt idx="39">
                  <c:v>0.20</c:v>
                </c:pt>
                <c:pt idx="40">
                  <c:v>0.19</c:v>
                </c:pt>
                <c:pt idx="41">
                  <c:v>0.18</c:v>
                </c:pt>
                <c:pt idx="42">
                  <c:v>0.17</c:v>
                </c:pt>
                <c:pt idx="43">
                  <c:v>0.17</c:v>
                </c:pt>
                <c:pt idx="44">
                  <c:v>0.16</c:v>
                </c:pt>
                <c:pt idx="45">
                  <c:v>0.15</c:v>
                </c:pt>
                <c:pt idx="46">
                  <c:v>0.15</c:v>
                </c:pt>
                <c:pt idx="47">
                  <c:v>0.14</c:v>
                </c:pt>
                <c:pt idx="48">
                  <c:v>0.14</c:v>
                </c:pt>
                <c:pt idx="49">
                  <c:v>0.13</c:v>
                </c:pt>
                <c:pt idx="50">
                  <c:v>0.13</c:v>
                </c:pt>
                <c:pt idx="51">
                  <c:v>0.12</c:v>
                </c:pt>
                <c:pt idx="52">
                  <c:v>0.12</c:v>
                </c:pt>
                <c:pt idx="53">
                  <c:v>0.11</c:v>
                </c:pt>
                <c:pt idx="54">
                  <c:v>0.11</c:v>
                </c:pt>
                <c:pt idx="55">
                  <c:v>0.10</c:v>
                </c:pt>
                <c:pt idx="56">
                  <c:v>0.10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0.07</c:v>
                </c:pt>
                <c:pt idx="64">
                  <c:v>0.07</c:v>
                </c:pt>
                <c:pt idx="65">
                  <c:v>0.07</c:v>
                </c:pt>
                <c:pt idx="66">
                  <c:v>0.07</c:v>
                </c:pt>
                <c:pt idx="67">
                  <c:v>0.06</c:v>
                </c:pt>
                <c:pt idx="68">
                  <c:v>0.06</c:v>
                </c:pt>
                <c:pt idx="69">
                  <c:v>0.06</c:v>
                </c:pt>
                <c:pt idx="70">
                  <c:v>0.06</c:v>
                </c:pt>
                <c:pt idx="71">
                  <c:v>0.05</c:v>
                </c:pt>
                <c:pt idx="72">
                  <c:v>0.05</c:v>
                </c:pt>
                <c:pt idx="73">
                  <c:v>0.05</c:v>
                </c:pt>
                <c:pt idx="74">
                  <c:v>0.05</c:v>
                </c:pt>
                <c:pt idx="75">
                  <c:v>0.05</c:v>
                </c:pt>
                <c:pt idx="76">
                  <c:v>0.04</c:v>
                </c:pt>
                <c:pt idx="77">
                  <c:v>0.04</c:v>
                </c:pt>
                <c:pt idx="78">
                  <c:v>0.04</c:v>
                </c:pt>
                <c:pt idx="79">
                  <c:v>0.04</c:v>
                </c:pt>
                <c:pt idx="80">
                  <c:v>0.04</c:v>
                </c:pt>
                <c:pt idx="81">
                  <c:v>0.04</c:v>
                </c:pt>
                <c:pt idx="82">
                  <c:v>0.03</c:v>
                </c:pt>
                <c:pt idx="83">
                  <c:v>0.03</c:v>
                </c:pt>
                <c:pt idx="84">
                  <c:v>0.03</c:v>
                </c:pt>
                <c:pt idx="85">
                  <c:v>0.03</c:v>
                </c:pt>
                <c:pt idx="86">
                  <c:v>0.03</c:v>
                </c:pt>
                <c:pt idx="87">
                  <c:v>0.03</c:v>
                </c:pt>
                <c:pt idx="88">
                  <c:v>0.03</c:v>
                </c:pt>
                <c:pt idx="89">
                  <c:v>0.03</c:v>
                </c:pt>
                <c:pt idx="90">
                  <c:v>0.02</c:v>
                </c:pt>
                <c:pt idx="91">
                  <c:v>0.02</c:v>
                </c:pt>
                <c:pt idx="92">
                  <c:v>0.02</c:v>
                </c:pt>
              </c:strCache>
            </c:strRef>
          </c:cat>
          <c:val>
            <c:numRef>
              <c:f>'BNB_XXX Graph'!$T$8:$T$100</c:f>
              <c:numCache>
                <c:formatCode>General</c:formatCode>
                <c:ptCount val="93"/>
                <c:pt idx="0">
                  <c:v>246857.845049049</c:v>
                </c:pt>
                <c:pt idx="1">
                  <c:v>237272.054064829</c:v>
                </c:pt>
                <c:pt idx="2">
                  <c:v>228058.491027326</c:v>
                </c:pt>
                <c:pt idx="3">
                  <c:v>219202.701871709</c:v>
                </c:pt>
                <c:pt idx="4">
                  <c:v>210690.793802104</c:v>
                </c:pt>
                <c:pt idx="5">
                  <c:v>202509.413496832</c:v>
                </c:pt>
                <c:pt idx="6">
                  <c:v>194645.726159969</c:v>
                </c:pt>
                <c:pt idx="7">
                  <c:v>187087.39538636</c:v>
                </c:pt>
                <c:pt idx="8">
                  <c:v>179822.563808497</c:v>
                </c:pt>
                <c:pt idx="9">
                  <c:v>172839.834494902</c:v>
                </c:pt>
                <c:pt idx="10">
                  <c:v>166128.253070841</c:v>
                </c:pt>
                <c:pt idx="11">
                  <c:v>159677.290533295</c:v>
                </c:pt>
                <c:pt idx="12">
                  <c:v>153476.826733271</c:v>
                </c:pt>
                <c:pt idx="13">
                  <c:v>147517.134499492</c:v>
                </c:pt>
                <c:pt idx="14">
                  <c:v>141788.864378596</c:v>
                </c:pt>
                <c:pt idx="15">
                  <c:v>136283.029967894</c:v>
                </c:pt>
                <c:pt idx="16">
                  <c:v>130990.99381766</c:v>
                </c:pt>
                <c:pt idx="17">
                  <c:v>125904.453880873</c:v>
                </c:pt>
                <c:pt idx="18">
                  <c:v>121015.430489113</c:v>
                </c:pt>
                <c:pt idx="19">
                  <c:v>116316.253834211</c:v>
                </c:pt>
                <c:pt idx="20">
                  <c:v>111799.551935996</c:v>
                </c:pt>
                <c:pt idx="21">
                  <c:v>107458.239077274</c:v>
                </c:pt>
                <c:pt idx="22">
                  <c:v>103285.504687884</c:v>
                </c:pt>
                <c:pt idx="23">
                  <c:v>99274.8026604036</c:v>
                </c:pt>
                <c:pt idx="24">
                  <c:v>95419.8410807416</c:v>
                </c:pt>
                <c:pt idx="25">
                  <c:v>91714.5723574986</c:v>
                </c:pt>
                <c:pt idx="26">
                  <c:v>88153.18373462</c:v>
                </c:pt>
                <c:pt idx="27">
                  <c:v>84730.0881724529</c:v>
                </c:pt>
                <c:pt idx="28">
                  <c:v>81439.9155829036</c:v>
                </c:pt>
                <c:pt idx="29">
                  <c:v>78277.5044049438</c:v>
                </c:pt>
                <c:pt idx="30">
                  <c:v>75237.8935072509</c:v>
                </c:pt>
                <c:pt idx="31">
                  <c:v>72316.3144052777</c:v>
                </c:pt>
                <c:pt idx="32">
                  <c:v>69508.1837805437</c:v>
                </c:pt>
                <c:pt idx="33">
                  <c:v>66809.0962904111</c:v>
                </c:pt>
                <c:pt idx="34">
                  <c:v>64214.8176570657</c:v>
                </c:pt>
                <c:pt idx="35">
                  <c:v>61721.2780248613</c:v>
                </c:pt>
                <c:pt idx="36">
                  <c:v>59324.5655756067</c:v>
                </c:pt>
                <c:pt idx="37">
                  <c:v>57020.9203917789</c:v>
                </c:pt>
                <c:pt idx="38">
                  <c:v>54806.7285580343</c:v>
                </c:pt>
                <c:pt idx="39">
                  <c:v>52678.5164917669</c:v>
                </c:pt>
                <c:pt idx="40">
                  <c:v>50632.9454938167</c:v>
                </c:pt>
                <c:pt idx="41">
                  <c:v>48627.8808522616</c:v>
                </c:pt>
                <c:pt idx="42">
                  <c:v>46702.216770512</c:v>
                </c:pt>
                <c:pt idx="43">
                  <c:v>44852.8089863997</c:v>
                </c:pt>
                <c:pt idx="44">
                  <c:v>43076.6377505383</c:v>
                </c:pt>
                <c:pt idx="45">
                  <c:v>41370.802895617</c:v>
                </c:pt>
                <c:pt idx="46">
                  <c:v>39732.5191009505</c:v>
                </c:pt>
                <c:pt idx="47">
                  <c:v>38159.1113445529</c:v>
                </c:pt>
                <c:pt idx="48">
                  <c:v>36648.0105353086</c:v>
                </c:pt>
                <c:pt idx="49">
                  <c:v>35196.7493181104</c:v>
                </c:pt>
                <c:pt idx="50">
                  <c:v>33802.9580451132</c:v>
                </c:pt>
                <c:pt idx="51">
                  <c:v>32464.3609065267</c:v>
                </c:pt>
                <c:pt idx="52">
                  <c:v>31178.7722146283</c:v>
                </c:pt>
                <c:pt idx="53">
                  <c:v>29944.092834929</c:v>
                </c:pt>
                <c:pt idx="54">
                  <c:v>28758.3067586658</c:v>
                </c:pt>
                <c:pt idx="55">
                  <c:v>27619.4778110226</c:v>
                </c:pt>
                <c:pt idx="56">
                  <c:v>26525.7464897061</c:v>
                </c:pt>
                <c:pt idx="57">
                  <c:v>25475.3269287138</c:v>
                </c:pt>
                <c:pt idx="58">
                  <c:v>24466.5039823367</c:v>
                </c:pt>
                <c:pt idx="59">
                  <c:v>23497.6304246362</c:v>
                </c:pt>
                <c:pt idx="60">
                  <c:v>22567.1242598206</c:v>
                </c:pt>
                <c:pt idx="61">
                  <c:v>21673.4661391317</c:v>
                </c:pt>
                <c:pt idx="62">
                  <c:v>20815.1968800221</c:v>
                </c:pt>
                <c:pt idx="63">
                  <c:v>19990.9150835732</c:v>
                </c:pt>
                <c:pt idx="64">
                  <c:v>19199.2748462637</c:v>
                </c:pt>
                <c:pt idx="65">
                  <c:v>18438.9835623516</c:v>
                </c:pt>
                <c:pt idx="66">
                  <c:v>17708.7998132825</c:v>
                </c:pt>
                <c:pt idx="67">
                  <c:v>17007.5313406765</c:v>
                </c:pt>
                <c:pt idx="68">
                  <c:v>16334.0330995857</c:v>
                </c:pt>
                <c:pt idx="69">
                  <c:v>15687.2053888421</c:v>
                </c:pt>
                <c:pt idx="70">
                  <c:v>15065.992055444</c:v>
                </c:pt>
                <c:pt idx="71">
                  <c:v>14469.3787700484</c:v>
                </c:pt>
                <c:pt idx="72">
                  <c:v>13896.3913707545</c:v>
                </c:pt>
                <c:pt idx="73">
                  <c:v>13346.0942724726</c:v>
                </c:pt>
                <c:pt idx="74">
                  <c:v>12817.5889392827</c:v>
                </c:pt>
                <c:pt idx="75">
                  <c:v>12310.0124172871</c:v>
                </c:pt>
                <c:pt idx="76">
                  <c:v>11822.5359255625</c:v>
                </c:pt>
                <c:pt idx="77">
                  <c:v>11354.3635029103</c:v>
                </c:pt>
                <c:pt idx="78">
                  <c:v>10904.730708195</c:v>
                </c:pt>
                <c:pt idx="79">
                  <c:v>10472.9033721505</c:v>
                </c:pt>
                <c:pt idx="80">
                  <c:v>10058.1763986133</c:v>
                </c:pt>
                <c:pt idx="81">
                  <c:v>9659.87261322824</c:v>
                </c:pt>
                <c:pt idx="82">
                  <c:v>9277.3416577444</c:v>
                </c:pt>
                <c:pt idx="83">
                  <c:v>8909.95892809772</c:v>
                </c:pt>
                <c:pt idx="84">
                  <c:v>8557.12455454505</c:v>
                </c:pt>
                <c:pt idx="85">
                  <c:v>8218.26242218507</c:v>
                </c:pt>
                <c:pt idx="86">
                  <c:v>7892.81923026654</c:v>
                </c:pt>
                <c:pt idx="87">
                  <c:v>7580.26358874798</c:v>
                </c:pt>
                <c:pt idx="88">
                  <c:v>7280.08515063356</c:v>
                </c:pt>
                <c:pt idx="89">
                  <c:v>6991.79377866847</c:v>
                </c:pt>
                <c:pt idx="90">
                  <c:v>6714.9187450332</c:v>
                </c:pt>
                <c:pt idx="91">
                  <c:v>6449.00796272989</c:v>
                </c:pt>
                <c:pt idx="92">
                  <c:v>6193.62724740578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'BNB_XXX Graph'!$U$7</c:f>
              <c:strCache>
                <c:ptCount val="1"/>
                <c:pt idx="0">
                  <c:v> HODL 1000 BNB&amp; 5330.237 UNI (at current fsn price) </c:v>
                </c:pt>
              </c:strCache>
            </c:strRef>
          </c:tx>
          <c:spPr>
            <a:solidFill>
              <a:srgbClr val="ffc000"/>
            </a:solidFill>
            <a:ln w="28440">
              <a:solidFill>
                <a:srgbClr val="ffc000"/>
              </a:solidFill>
              <a:round/>
            </a:ln>
          </c:spPr>
          <c:marker>
            <c:symbol val="none"/>
          </c:marker>
          <c:dLbls>
            <c:numFmt formatCode="_-* #,##0_-;\-* #,##0_-;_-* \-??_-;_-@_-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'BNB_XXX Graph'!$N$8:$N$100</c:f>
              <c:strCache>
                <c:ptCount val="93"/>
                <c:pt idx="0">
                  <c:v>0.91</c:v>
                </c:pt>
                <c:pt idx="1">
                  <c:v>0.88</c:v>
                </c:pt>
                <c:pt idx="2">
                  <c:v>0.85</c:v>
                </c:pt>
                <c:pt idx="3">
                  <c:v>0.81</c:v>
                </c:pt>
                <c:pt idx="4">
                  <c:v>0.78</c:v>
                </c:pt>
                <c:pt idx="5">
                  <c:v>0.75</c:v>
                </c:pt>
                <c:pt idx="6">
                  <c:v>0.72</c:v>
                </c:pt>
                <c:pt idx="7">
                  <c:v>0.69</c:v>
                </c:pt>
                <c:pt idx="8">
                  <c:v>0.67</c:v>
                </c:pt>
                <c:pt idx="9">
                  <c:v>0.64</c:v>
                </c:pt>
                <c:pt idx="10">
                  <c:v>0.62</c:v>
                </c:pt>
                <c:pt idx="11">
                  <c:v>0.59</c:v>
                </c:pt>
                <c:pt idx="12">
                  <c:v>0.57</c:v>
                </c:pt>
                <c:pt idx="13">
                  <c:v>0.55</c:v>
                </c:pt>
                <c:pt idx="14">
                  <c:v>0.53</c:v>
                </c:pt>
                <c:pt idx="15">
                  <c:v>0.50</c:v>
                </c:pt>
                <c:pt idx="16">
                  <c:v>0.49</c:v>
                </c:pt>
                <c:pt idx="17">
                  <c:v>0.47</c:v>
                </c:pt>
                <c:pt idx="18">
                  <c:v>0.45</c:v>
                </c:pt>
                <c:pt idx="19">
                  <c:v>0.43</c:v>
                </c:pt>
                <c:pt idx="20">
                  <c:v>0.41</c:v>
                </c:pt>
                <c:pt idx="21">
                  <c:v>0.40</c:v>
                </c:pt>
                <c:pt idx="22">
                  <c:v>0.38</c:v>
                </c:pt>
                <c:pt idx="23">
                  <c:v>0.37</c:v>
                </c:pt>
                <c:pt idx="24">
                  <c:v>0.35</c:v>
                </c:pt>
                <c:pt idx="25">
                  <c:v>0.34</c:v>
                </c:pt>
                <c:pt idx="26">
                  <c:v>0.33</c:v>
                </c:pt>
                <c:pt idx="27">
                  <c:v>0.31</c:v>
                </c:pt>
                <c:pt idx="28">
                  <c:v>0.30</c:v>
                </c:pt>
                <c:pt idx="29">
                  <c:v>0.29</c:v>
                </c:pt>
                <c:pt idx="30">
                  <c:v>0.28</c:v>
                </c:pt>
                <c:pt idx="31">
                  <c:v>0.27</c:v>
                </c:pt>
                <c:pt idx="32">
                  <c:v>0.26</c:v>
                </c:pt>
                <c:pt idx="33">
                  <c:v>0.25</c:v>
                </c:pt>
                <c:pt idx="34">
                  <c:v>0.24</c:v>
                </c:pt>
                <c:pt idx="35">
                  <c:v>0.23</c:v>
                </c:pt>
                <c:pt idx="36">
                  <c:v>0.22</c:v>
                </c:pt>
                <c:pt idx="37">
                  <c:v>0.21</c:v>
                </c:pt>
                <c:pt idx="38">
                  <c:v>0.20</c:v>
                </c:pt>
                <c:pt idx="39">
                  <c:v>0.20</c:v>
                </c:pt>
                <c:pt idx="40">
                  <c:v>0.19</c:v>
                </c:pt>
                <c:pt idx="41">
                  <c:v>0.18</c:v>
                </c:pt>
                <c:pt idx="42">
                  <c:v>0.17</c:v>
                </c:pt>
                <c:pt idx="43">
                  <c:v>0.17</c:v>
                </c:pt>
                <c:pt idx="44">
                  <c:v>0.16</c:v>
                </c:pt>
                <c:pt idx="45">
                  <c:v>0.15</c:v>
                </c:pt>
                <c:pt idx="46">
                  <c:v>0.15</c:v>
                </c:pt>
                <c:pt idx="47">
                  <c:v>0.14</c:v>
                </c:pt>
                <c:pt idx="48">
                  <c:v>0.14</c:v>
                </c:pt>
                <c:pt idx="49">
                  <c:v>0.13</c:v>
                </c:pt>
                <c:pt idx="50">
                  <c:v>0.13</c:v>
                </c:pt>
                <c:pt idx="51">
                  <c:v>0.12</c:v>
                </c:pt>
                <c:pt idx="52">
                  <c:v>0.12</c:v>
                </c:pt>
                <c:pt idx="53">
                  <c:v>0.11</c:v>
                </c:pt>
                <c:pt idx="54">
                  <c:v>0.11</c:v>
                </c:pt>
                <c:pt idx="55">
                  <c:v>0.10</c:v>
                </c:pt>
                <c:pt idx="56">
                  <c:v>0.10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0.07</c:v>
                </c:pt>
                <c:pt idx="64">
                  <c:v>0.07</c:v>
                </c:pt>
                <c:pt idx="65">
                  <c:v>0.07</c:v>
                </c:pt>
                <c:pt idx="66">
                  <c:v>0.07</c:v>
                </c:pt>
                <c:pt idx="67">
                  <c:v>0.06</c:v>
                </c:pt>
                <c:pt idx="68">
                  <c:v>0.06</c:v>
                </c:pt>
                <c:pt idx="69">
                  <c:v>0.06</c:v>
                </c:pt>
                <c:pt idx="70">
                  <c:v>0.06</c:v>
                </c:pt>
                <c:pt idx="71">
                  <c:v>0.05</c:v>
                </c:pt>
                <c:pt idx="72">
                  <c:v>0.05</c:v>
                </c:pt>
                <c:pt idx="73">
                  <c:v>0.05</c:v>
                </c:pt>
                <c:pt idx="74">
                  <c:v>0.05</c:v>
                </c:pt>
                <c:pt idx="75">
                  <c:v>0.05</c:v>
                </c:pt>
                <c:pt idx="76">
                  <c:v>0.04</c:v>
                </c:pt>
                <c:pt idx="77">
                  <c:v>0.04</c:v>
                </c:pt>
                <c:pt idx="78">
                  <c:v>0.04</c:v>
                </c:pt>
                <c:pt idx="79">
                  <c:v>0.04</c:v>
                </c:pt>
                <c:pt idx="80">
                  <c:v>0.04</c:v>
                </c:pt>
                <c:pt idx="81">
                  <c:v>0.04</c:v>
                </c:pt>
                <c:pt idx="82">
                  <c:v>0.03</c:v>
                </c:pt>
                <c:pt idx="83">
                  <c:v>0.03</c:v>
                </c:pt>
                <c:pt idx="84">
                  <c:v>0.03</c:v>
                </c:pt>
                <c:pt idx="85">
                  <c:v>0.03</c:v>
                </c:pt>
                <c:pt idx="86">
                  <c:v>0.03</c:v>
                </c:pt>
                <c:pt idx="87">
                  <c:v>0.03</c:v>
                </c:pt>
                <c:pt idx="88">
                  <c:v>0.03</c:v>
                </c:pt>
                <c:pt idx="89">
                  <c:v>0.03</c:v>
                </c:pt>
                <c:pt idx="90">
                  <c:v>0.02</c:v>
                </c:pt>
                <c:pt idx="91">
                  <c:v>0.02</c:v>
                </c:pt>
                <c:pt idx="92">
                  <c:v>0.02</c:v>
                </c:pt>
              </c:strCache>
            </c:strRef>
          </c:cat>
          <c:val>
            <c:numRef>
              <c:f>'BNB_XXX Graph'!$U$8:$U$100</c:f>
              <c:numCache>
                <c:formatCode>General</c:formatCode>
                <c:ptCount val="93"/>
                <c:pt idx="0">
                  <c:v>148745.395271433</c:v>
                </c:pt>
                <c:pt idx="1">
                  <c:v>143952.499779323</c:v>
                </c:pt>
                <c:pt idx="2">
                  <c:v>139345.718260571</c:v>
                </c:pt>
                <c:pt idx="3">
                  <c:v>134917.823682763</c:v>
                </c:pt>
                <c:pt idx="4">
                  <c:v>130661.86964796</c:v>
                </c:pt>
                <c:pt idx="5">
                  <c:v>126571.179495324</c:v>
                </c:pt>
                <c:pt idx="6">
                  <c:v>122639.335826893</c:v>
                </c:pt>
                <c:pt idx="7">
                  <c:v>118860.170440088</c:v>
                </c:pt>
                <c:pt idx="8">
                  <c:v>115227.754651157</c:v>
                </c:pt>
                <c:pt idx="9">
                  <c:v>111736.38999436</c:v>
                </c:pt>
                <c:pt idx="10">
                  <c:v>108380.599282329</c:v>
                </c:pt>
                <c:pt idx="11">
                  <c:v>105155.118013556</c:v>
                </c:pt>
                <c:pt idx="12">
                  <c:v>102054.886113544</c:v>
                </c:pt>
                <c:pt idx="13">
                  <c:v>99075.0399966542</c:v>
                </c:pt>
                <c:pt idx="14">
                  <c:v>96210.9049362066</c:v>
                </c:pt>
                <c:pt idx="15">
                  <c:v>93457.9877308552</c:v>
                </c:pt>
                <c:pt idx="16">
                  <c:v>90811.9696557384</c:v>
                </c:pt>
                <c:pt idx="17">
                  <c:v>88268.6996873448</c:v>
                </c:pt>
                <c:pt idx="18">
                  <c:v>85824.1879914647</c:v>
                </c:pt>
                <c:pt idx="19">
                  <c:v>83474.5996640136</c:v>
                </c:pt>
                <c:pt idx="20">
                  <c:v>81216.2487149065</c:v>
                </c:pt>
                <c:pt idx="21">
                  <c:v>79045.5922855456</c:v>
                </c:pt>
                <c:pt idx="22">
                  <c:v>76959.2250908503</c:v>
                </c:pt>
                <c:pt idx="23">
                  <c:v>74953.8740771101</c:v>
                </c:pt>
                <c:pt idx="24">
                  <c:v>73026.3932872792</c:v>
                </c:pt>
                <c:pt idx="25">
                  <c:v>71173.7589256577</c:v>
                </c:pt>
                <c:pt idx="26">
                  <c:v>69393.0646142184</c:v>
                </c:pt>
                <c:pt idx="27">
                  <c:v>67681.5168331348</c:v>
                </c:pt>
                <c:pt idx="28">
                  <c:v>66036.4305383602</c:v>
                </c:pt>
                <c:pt idx="29">
                  <c:v>64455.2249493803</c:v>
                </c:pt>
                <c:pt idx="30">
                  <c:v>62935.4195005338</c:v>
                </c:pt>
                <c:pt idx="31">
                  <c:v>61474.6299495472</c:v>
                </c:pt>
                <c:pt idx="32">
                  <c:v>60070.5646371802</c:v>
                </c:pt>
                <c:pt idx="33">
                  <c:v>58721.0208921139</c:v>
                </c:pt>
                <c:pt idx="34">
                  <c:v>57423.8815754412</c:v>
                </c:pt>
                <c:pt idx="35">
                  <c:v>56177.111759339</c:v>
                </c:pt>
                <c:pt idx="36">
                  <c:v>54978.7555347117</c:v>
                </c:pt>
                <c:pt idx="37">
                  <c:v>53826.9329427978</c:v>
                </c:pt>
                <c:pt idx="38">
                  <c:v>52719.8370259255</c:v>
                </c:pt>
                <c:pt idx="39">
                  <c:v>51655.7309927918</c:v>
                </c:pt>
                <c:pt idx="40">
                  <c:v>50632.9454938167</c:v>
                </c:pt>
                <c:pt idx="41">
                  <c:v>49630.4131730391</c:v>
                </c:pt>
                <c:pt idx="42">
                  <c:v>48667.5811321644</c:v>
                </c:pt>
                <c:pt idx="43">
                  <c:v>47742.8772401082</c:v>
                </c:pt>
                <c:pt idx="44">
                  <c:v>46854.7916221775</c:v>
                </c:pt>
                <c:pt idx="45">
                  <c:v>46001.8741947168</c:v>
                </c:pt>
                <c:pt idx="46">
                  <c:v>45182.7322973836</c:v>
                </c:pt>
                <c:pt idx="47">
                  <c:v>44396.0284191848</c:v>
                </c:pt>
                <c:pt idx="48">
                  <c:v>43640.4780145627</c:v>
                </c:pt>
                <c:pt idx="49">
                  <c:v>42914.8474059635</c:v>
                </c:pt>
                <c:pt idx="50">
                  <c:v>42217.951769465</c:v>
                </c:pt>
                <c:pt idx="51">
                  <c:v>41548.6532001717</c:v>
                </c:pt>
                <c:pt idx="52">
                  <c:v>40905.8588542225</c:v>
                </c:pt>
                <c:pt idx="53">
                  <c:v>40288.5191643728</c:v>
                </c:pt>
                <c:pt idx="54">
                  <c:v>39695.6261262412</c:v>
                </c:pt>
                <c:pt idx="55">
                  <c:v>39126.2116524197</c:v>
                </c:pt>
                <c:pt idx="56">
                  <c:v>38579.3459917614</c:v>
                </c:pt>
                <c:pt idx="57">
                  <c:v>38054.1362112652</c:v>
                </c:pt>
                <c:pt idx="58">
                  <c:v>37549.7247380767</c:v>
                </c:pt>
                <c:pt idx="59">
                  <c:v>37065.2879592264</c:v>
                </c:pt>
                <c:pt idx="60">
                  <c:v>36600.0348768186</c:v>
                </c:pt>
                <c:pt idx="61">
                  <c:v>36153.2058164742</c:v>
                </c:pt>
                <c:pt idx="62">
                  <c:v>35724.0711869194</c:v>
                </c:pt>
                <c:pt idx="63">
                  <c:v>35311.9302886949</c:v>
                </c:pt>
                <c:pt idx="64">
                  <c:v>34916.1101700402</c:v>
                </c:pt>
                <c:pt idx="65">
                  <c:v>34535.9645280842</c:v>
                </c:pt>
                <c:pt idx="66">
                  <c:v>34170.8726535496</c:v>
                </c:pt>
                <c:pt idx="67">
                  <c:v>33820.2384172466</c:v>
                </c:pt>
                <c:pt idx="68">
                  <c:v>33483.4892967012</c:v>
                </c:pt>
                <c:pt idx="69">
                  <c:v>33160.0754413294</c:v>
                </c:pt>
                <c:pt idx="70">
                  <c:v>32849.4687746303</c:v>
                </c:pt>
                <c:pt idx="71">
                  <c:v>32551.1621319326</c:v>
                </c:pt>
                <c:pt idx="72">
                  <c:v>32264.6684322856</c:v>
                </c:pt>
                <c:pt idx="73">
                  <c:v>31989.5198831447</c:v>
                </c:pt>
                <c:pt idx="74">
                  <c:v>31725.2672165497</c:v>
                </c:pt>
                <c:pt idx="75">
                  <c:v>31471.4789555519</c:v>
                </c:pt>
                <c:pt idx="76">
                  <c:v>31227.7407096896</c:v>
                </c:pt>
                <c:pt idx="77">
                  <c:v>30993.6544983635</c:v>
                </c:pt>
                <c:pt idx="78">
                  <c:v>30768.8381010059</c:v>
                </c:pt>
                <c:pt idx="79">
                  <c:v>30552.9244329836</c:v>
                </c:pt>
                <c:pt idx="80">
                  <c:v>30345.560946215</c:v>
                </c:pt>
                <c:pt idx="81">
                  <c:v>30146.4090535225</c:v>
                </c:pt>
                <c:pt idx="82">
                  <c:v>29955.1435757805</c:v>
                </c:pt>
                <c:pt idx="83">
                  <c:v>29771.4522109572</c:v>
                </c:pt>
                <c:pt idx="84">
                  <c:v>29595.0350241809</c:v>
                </c:pt>
                <c:pt idx="85">
                  <c:v>29425.6039580009</c:v>
                </c:pt>
                <c:pt idx="86">
                  <c:v>29262.8823620416</c:v>
                </c:pt>
                <c:pt idx="87">
                  <c:v>29106.6045412823</c:v>
                </c:pt>
                <c:pt idx="88">
                  <c:v>28956.5153222251</c:v>
                </c:pt>
                <c:pt idx="89">
                  <c:v>28812.3696362426</c:v>
                </c:pt>
                <c:pt idx="90">
                  <c:v>28673.932119425</c:v>
                </c:pt>
                <c:pt idx="91">
                  <c:v>28540.9767282733</c:v>
                </c:pt>
                <c:pt idx="92">
                  <c:v>28413.2863706112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46372292"/>
        <c:axId val="61193583"/>
      </c:lineChart>
      <c:catAx>
        <c:axId val="46372292"/>
        <c:scaling>
          <c:orientation val="maxMin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32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3200" spc="-1" strike="noStrike">
                    <a:solidFill>
                      <a:srgbClr val="595959"/>
                    </a:solidFill>
                    <a:latin typeface="Calibri"/>
                  </a:rPr>
                  <a:t>UNI:BNB Ratio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#,##0.00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16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1193583"/>
        <c:crosses val="autoZero"/>
        <c:auto val="1"/>
        <c:lblAlgn val="ctr"/>
        <c:lblOffset val="100"/>
      </c:catAx>
      <c:valAx>
        <c:axId val="61193583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1" sz="24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1" sz="2400" spc="-1" strike="noStrike">
                    <a:solidFill>
                      <a:srgbClr val="595959"/>
                    </a:solidFill>
                    <a:latin typeface="Calibri"/>
                  </a:rPr>
                  <a:t>Holdings Value (Based on current FSN Price)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\$#,##0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16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6372292"/>
        <c:crosses val="autoZero"/>
        <c:crossBetween val="midCat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24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2400" spc="-1" strike="noStrike">
                <a:solidFill>
                  <a:srgbClr val="595959"/>
                </a:solidFill>
                <a:latin typeface="Calibri"/>
              </a:defRPr>
            </a:pPr>
            <a:r>
              <a:rPr b="1" sz="2400" spc="-1" strike="noStrike">
                <a:solidFill>
                  <a:srgbClr val="595959"/>
                </a:solidFill>
                <a:latin typeface="Calibri"/>
              </a:rPr>
              <a:t> Starting Balance is 1000 BNB and 24431.8 aUSDT - equivalent of 2000 FSN or 48863.5 aUSDT 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BNB_aUSDT!$R$7</c:f>
              <c:strCache>
                <c:ptCount val="1"/>
                <c:pt idx="0">
                  <c:v> Equivalent USDT Pooling1000 BNB &amp; 25316 aUSDT </c:v>
                </c:pt>
              </c:strCache>
            </c:strRef>
          </c:tx>
          <c:spPr>
            <a:solidFill>
              <a:srgbClr val="4472c4"/>
            </a:solidFill>
            <a:ln w="28440">
              <a:solidFill>
                <a:srgbClr val="4472c4"/>
              </a:solidFill>
              <a:round/>
            </a:ln>
          </c:spPr>
          <c:marker>
            <c:symbol val="none"/>
          </c:marker>
          <c:dLbls>
            <c:numFmt formatCode="[$$-409]#,##0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BNB_aUSDT!$N$8:$N$100</c:f>
              <c:strCache>
                <c:ptCount val="93"/>
                <c:pt idx="0">
                  <c:v>$191.88</c:v>
                </c:pt>
                <c:pt idx="1">
                  <c:v>$182.41</c:v>
                </c:pt>
                <c:pt idx="2">
                  <c:v>$173.40</c:v>
                </c:pt>
                <c:pt idx="3">
                  <c:v>$164.84</c:v>
                </c:pt>
                <c:pt idx="4">
                  <c:v>$156.70</c:v>
                </c:pt>
                <c:pt idx="5">
                  <c:v>$148.96</c:v>
                </c:pt>
                <c:pt idx="6">
                  <c:v>$141.61</c:v>
                </c:pt>
                <c:pt idx="7">
                  <c:v>$134.62</c:v>
                </c:pt>
                <c:pt idx="8">
                  <c:v>$127.97</c:v>
                </c:pt>
                <c:pt idx="9">
                  <c:v>$121.65</c:v>
                </c:pt>
                <c:pt idx="10">
                  <c:v>$115.64</c:v>
                </c:pt>
                <c:pt idx="11">
                  <c:v>$109.93</c:v>
                </c:pt>
                <c:pt idx="12">
                  <c:v>$104.51</c:v>
                </c:pt>
                <c:pt idx="13">
                  <c:v>$99.35</c:v>
                </c:pt>
                <c:pt idx="14">
                  <c:v>$94.44</c:v>
                </c:pt>
                <c:pt idx="15">
                  <c:v>$89.78</c:v>
                </c:pt>
                <c:pt idx="16">
                  <c:v>$85.35</c:v>
                </c:pt>
                <c:pt idx="17">
                  <c:v>$81.13</c:v>
                </c:pt>
                <c:pt idx="18">
                  <c:v>$77.13</c:v>
                </c:pt>
                <c:pt idx="19">
                  <c:v>$73.32</c:v>
                </c:pt>
                <c:pt idx="20">
                  <c:v>$69.70</c:v>
                </c:pt>
                <c:pt idx="21">
                  <c:v>$66.26</c:v>
                </c:pt>
                <c:pt idx="22">
                  <c:v>$62.98</c:v>
                </c:pt>
                <c:pt idx="23">
                  <c:v>$59.88</c:v>
                </c:pt>
                <c:pt idx="24">
                  <c:v>$56.92</c:v>
                </c:pt>
                <c:pt idx="25">
                  <c:v>$54.11</c:v>
                </c:pt>
                <c:pt idx="26">
                  <c:v>$51.44</c:v>
                </c:pt>
                <c:pt idx="27">
                  <c:v>$48.90</c:v>
                </c:pt>
                <c:pt idx="28">
                  <c:v>$46.48</c:v>
                </c:pt>
                <c:pt idx="29">
                  <c:v>$44.19</c:v>
                </c:pt>
                <c:pt idx="30">
                  <c:v>$42.01</c:v>
                </c:pt>
                <c:pt idx="31">
                  <c:v>$39.93</c:v>
                </c:pt>
                <c:pt idx="32">
                  <c:v>$37.96</c:v>
                </c:pt>
                <c:pt idx="33">
                  <c:v>$36.09</c:v>
                </c:pt>
                <c:pt idx="34">
                  <c:v>$34.30</c:v>
                </c:pt>
                <c:pt idx="35">
                  <c:v>$32.61</c:v>
                </c:pt>
                <c:pt idx="36">
                  <c:v>$31.00</c:v>
                </c:pt>
                <c:pt idx="37">
                  <c:v>$29.47</c:v>
                </c:pt>
                <c:pt idx="38">
                  <c:v>$28.01</c:v>
                </c:pt>
                <c:pt idx="39">
                  <c:v>$26.63</c:v>
                </c:pt>
                <c:pt idx="40">
                  <c:v>$25.32</c:v>
                </c:pt>
                <c:pt idx="41">
                  <c:v>$24.10</c:v>
                </c:pt>
                <c:pt idx="42">
                  <c:v>$22.94</c:v>
                </c:pt>
                <c:pt idx="43">
                  <c:v>$21.83</c:v>
                </c:pt>
                <c:pt idx="44">
                  <c:v>$20.78</c:v>
                </c:pt>
                <c:pt idx="45">
                  <c:v>$19.78</c:v>
                </c:pt>
                <c:pt idx="46">
                  <c:v>$18.82</c:v>
                </c:pt>
                <c:pt idx="47">
                  <c:v>$17.92</c:v>
                </c:pt>
                <c:pt idx="48">
                  <c:v>$17.05</c:v>
                </c:pt>
                <c:pt idx="49">
                  <c:v>$16.23</c:v>
                </c:pt>
                <c:pt idx="50">
                  <c:v>$15.45</c:v>
                </c:pt>
                <c:pt idx="51">
                  <c:v>$14.71</c:v>
                </c:pt>
                <c:pt idx="52">
                  <c:v>$14.00</c:v>
                </c:pt>
                <c:pt idx="53">
                  <c:v>$13.32</c:v>
                </c:pt>
                <c:pt idx="54">
                  <c:v>$12.68</c:v>
                </c:pt>
                <c:pt idx="55">
                  <c:v>$12.07</c:v>
                </c:pt>
                <c:pt idx="56">
                  <c:v>$11.49</c:v>
                </c:pt>
                <c:pt idx="57">
                  <c:v>$10.93</c:v>
                </c:pt>
                <c:pt idx="58">
                  <c:v>$10.41</c:v>
                </c:pt>
                <c:pt idx="59">
                  <c:v>$9.91</c:v>
                </c:pt>
                <c:pt idx="60">
                  <c:v>$9.43</c:v>
                </c:pt>
                <c:pt idx="61">
                  <c:v>$8.97</c:v>
                </c:pt>
                <c:pt idx="62">
                  <c:v>$8.54</c:v>
                </c:pt>
                <c:pt idx="63">
                  <c:v>$8.13</c:v>
                </c:pt>
                <c:pt idx="64">
                  <c:v>$7.74</c:v>
                </c:pt>
                <c:pt idx="65">
                  <c:v>$7.37</c:v>
                </c:pt>
                <c:pt idx="66">
                  <c:v>$7.01</c:v>
                </c:pt>
                <c:pt idx="67">
                  <c:v>$6.67</c:v>
                </c:pt>
                <c:pt idx="68">
                  <c:v>$6.35</c:v>
                </c:pt>
                <c:pt idx="69">
                  <c:v>$6.05</c:v>
                </c:pt>
                <c:pt idx="70">
                  <c:v>$5.75</c:v>
                </c:pt>
                <c:pt idx="71">
                  <c:v>$5.48</c:v>
                </c:pt>
                <c:pt idx="72">
                  <c:v>$5.21</c:v>
                </c:pt>
                <c:pt idx="73">
                  <c:v>$4.96</c:v>
                </c:pt>
                <c:pt idx="74">
                  <c:v>$4.72</c:v>
                </c:pt>
                <c:pt idx="75">
                  <c:v>$4.50</c:v>
                </c:pt>
                <c:pt idx="76">
                  <c:v>$4.28</c:v>
                </c:pt>
                <c:pt idx="77">
                  <c:v>$4.07</c:v>
                </c:pt>
                <c:pt idx="78">
                  <c:v>$3.88</c:v>
                </c:pt>
                <c:pt idx="79">
                  <c:v>$3.69</c:v>
                </c:pt>
                <c:pt idx="80">
                  <c:v>$3.51</c:v>
                </c:pt>
                <c:pt idx="81">
                  <c:v>$3.34</c:v>
                </c:pt>
                <c:pt idx="82">
                  <c:v>$3.18</c:v>
                </c:pt>
                <c:pt idx="83">
                  <c:v>$3.03</c:v>
                </c:pt>
                <c:pt idx="84">
                  <c:v>$2.88</c:v>
                </c:pt>
                <c:pt idx="85">
                  <c:v>$2.74</c:v>
                </c:pt>
                <c:pt idx="86">
                  <c:v>$2.61</c:v>
                </c:pt>
                <c:pt idx="87">
                  <c:v>$2.49</c:v>
                </c:pt>
                <c:pt idx="88">
                  <c:v>$2.37</c:v>
                </c:pt>
                <c:pt idx="89">
                  <c:v>$2.25</c:v>
                </c:pt>
                <c:pt idx="90">
                  <c:v>$2.14</c:v>
                </c:pt>
                <c:pt idx="91">
                  <c:v>$2.04</c:v>
                </c:pt>
                <c:pt idx="92">
                  <c:v>$1.94</c:v>
                </c:pt>
              </c:strCache>
            </c:strRef>
          </c:cat>
          <c:val>
            <c:numRef>
              <c:f>BNB_aUSDT!$R$8:$R$100</c:f>
              <c:numCache>
                <c:formatCode>General</c:formatCode>
                <c:ptCount val="93"/>
                <c:pt idx="0">
                  <c:v>139395.439210897</c:v>
                </c:pt>
                <c:pt idx="1">
                  <c:v>135910.553230624</c:v>
                </c:pt>
                <c:pt idx="2">
                  <c:v>132512.789399859</c:v>
                </c:pt>
                <c:pt idx="3">
                  <c:v>129199.969664862</c:v>
                </c:pt>
                <c:pt idx="4">
                  <c:v>125969.970423241</c:v>
                </c:pt>
                <c:pt idx="5">
                  <c:v>122820.72116266</c:v>
                </c:pt>
                <c:pt idx="6">
                  <c:v>119750.203133593</c:v>
                </c:pt>
                <c:pt idx="7">
                  <c:v>116756.448055253</c:v>
                </c:pt>
                <c:pt idx="8">
                  <c:v>113837.536853872</c:v>
                </c:pt>
                <c:pt idx="9">
                  <c:v>110991.598432525</c:v>
                </c:pt>
                <c:pt idx="10">
                  <c:v>108216.808471712</c:v>
                </c:pt>
                <c:pt idx="11">
                  <c:v>105511.388259919</c:v>
                </c:pt>
                <c:pt idx="12">
                  <c:v>102873.603553421</c:v>
                </c:pt>
                <c:pt idx="13">
                  <c:v>100301.763464586</c:v>
                </c:pt>
                <c:pt idx="14">
                  <c:v>97794.2193779711</c:v>
                </c:pt>
                <c:pt idx="15">
                  <c:v>95349.3638935218</c:v>
                </c:pt>
                <c:pt idx="16">
                  <c:v>92965.6297961837</c:v>
                </c:pt>
                <c:pt idx="17">
                  <c:v>90641.4890512791</c:v>
                </c:pt>
                <c:pt idx="18">
                  <c:v>88375.4518249971</c:v>
                </c:pt>
                <c:pt idx="19">
                  <c:v>86166.0655293722</c:v>
                </c:pt>
                <c:pt idx="20">
                  <c:v>84011.9138911379</c:v>
                </c:pt>
                <c:pt idx="21">
                  <c:v>81911.6160438595</c:v>
                </c:pt>
                <c:pt idx="22">
                  <c:v>79863.825642763</c:v>
                </c:pt>
                <c:pt idx="23">
                  <c:v>77867.2300016939</c:v>
                </c:pt>
                <c:pt idx="24">
                  <c:v>75920.5492516516</c:v>
                </c:pt>
                <c:pt idx="25">
                  <c:v>74022.5355203603</c:v>
                </c:pt>
                <c:pt idx="26">
                  <c:v>72171.9721323513</c:v>
                </c:pt>
                <c:pt idx="27">
                  <c:v>70367.6728290425</c:v>
                </c:pt>
                <c:pt idx="28">
                  <c:v>68608.4810083164</c:v>
                </c:pt>
                <c:pt idx="29">
                  <c:v>66893.2689831085</c:v>
                </c:pt>
                <c:pt idx="30">
                  <c:v>65220.9372585308</c:v>
                </c:pt>
                <c:pt idx="31">
                  <c:v>63590.4138270675</c:v>
                </c:pt>
                <c:pt idx="32">
                  <c:v>62000.6534813908</c:v>
                </c:pt>
                <c:pt idx="33">
                  <c:v>60450.6371443561</c:v>
                </c:pt>
                <c:pt idx="34">
                  <c:v>58939.3712157472</c:v>
                </c:pt>
                <c:pt idx="35">
                  <c:v>57465.8869353535</c:v>
                </c:pt>
                <c:pt idx="36">
                  <c:v>56029.2397619696</c:v>
                </c:pt>
                <c:pt idx="37">
                  <c:v>54628.5087679204</c:v>
                </c:pt>
                <c:pt idx="38">
                  <c:v>53262.7960487224</c:v>
                </c:pt>
                <c:pt idx="39">
                  <c:v>51931.2261475043</c:v>
                </c:pt>
                <c:pt idx="40">
                  <c:v>50632.9454938167</c:v>
                </c:pt>
                <c:pt idx="41">
                  <c:v>49397.9956037236</c:v>
                </c:pt>
                <c:pt idx="42">
                  <c:v>48193.1664426572</c:v>
                </c:pt>
                <c:pt idx="43">
                  <c:v>47017.72335869</c:v>
                </c:pt>
                <c:pt idx="44">
                  <c:v>45870.9496182341</c:v>
                </c:pt>
                <c:pt idx="45">
                  <c:v>44752.1459690089</c:v>
                </c:pt>
                <c:pt idx="46">
                  <c:v>43660.6302136672</c:v>
                </c:pt>
                <c:pt idx="47">
                  <c:v>42595.7367938217</c:v>
                </c:pt>
                <c:pt idx="48">
                  <c:v>41556.8163842163</c:v>
                </c:pt>
                <c:pt idx="49">
                  <c:v>40543.2354967964</c:v>
                </c:pt>
                <c:pt idx="50">
                  <c:v>39554.3760944355</c:v>
                </c:pt>
                <c:pt idx="51">
                  <c:v>38589.6352140834</c:v>
                </c:pt>
                <c:pt idx="52">
                  <c:v>37648.4245991058</c:v>
                </c:pt>
                <c:pt idx="53">
                  <c:v>36730.170340591</c:v>
                </c:pt>
                <c:pt idx="54">
                  <c:v>35834.3125274059</c:v>
                </c:pt>
                <c:pt idx="55">
                  <c:v>34960.3049047862</c:v>
                </c:pt>
                <c:pt idx="56">
                  <c:v>34107.6145412548</c:v>
                </c:pt>
                <c:pt idx="57">
                  <c:v>33275.7215036633</c:v>
                </c:pt>
                <c:pt idx="58">
                  <c:v>32464.1185401593</c:v>
                </c:pt>
                <c:pt idx="59">
                  <c:v>31672.3107708871</c:v>
                </c:pt>
                <c:pt idx="60">
                  <c:v>30899.8153862313</c:v>
                </c:pt>
                <c:pt idx="61">
                  <c:v>30146.1613524208</c:v>
                </c:pt>
                <c:pt idx="62">
                  <c:v>29410.889124313</c:v>
                </c:pt>
                <c:pt idx="63">
                  <c:v>28693.5503651834</c:v>
                </c:pt>
                <c:pt idx="64">
                  <c:v>27993.7076733497</c:v>
                </c:pt>
                <c:pt idx="65">
                  <c:v>27310.9343154631</c:v>
                </c:pt>
                <c:pt idx="66">
                  <c:v>26644.8139663055</c:v>
                </c:pt>
                <c:pt idx="67">
                  <c:v>25994.9404549322</c:v>
                </c:pt>
                <c:pt idx="68">
                  <c:v>25360.917517007</c:v>
                </c:pt>
                <c:pt idx="69">
                  <c:v>24742.3585531775</c:v>
                </c:pt>
                <c:pt idx="70">
                  <c:v>24138.8863933439</c:v>
                </c:pt>
                <c:pt idx="71">
                  <c:v>23550.133066677</c:v>
                </c:pt>
                <c:pt idx="72">
                  <c:v>22975.7395772459</c:v>
                </c:pt>
                <c:pt idx="73">
                  <c:v>22415.3556851179</c:v>
                </c:pt>
                <c:pt idx="74">
                  <c:v>21868.639692798</c:v>
                </c:pt>
                <c:pt idx="75">
                  <c:v>21335.2582368761</c:v>
                </c:pt>
                <c:pt idx="76">
                  <c:v>20814.8860847572</c:v>
                </c:pt>
                <c:pt idx="77">
                  <c:v>20307.2059363484</c:v>
                </c:pt>
                <c:pt idx="78">
                  <c:v>19811.9082305839</c:v>
                </c:pt>
                <c:pt idx="79">
                  <c:v>19328.6909566672</c:v>
                </c:pt>
                <c:pt idx="80">
                  <c:v>18857.2594699192</c:v>
                </c:pt>
                <c:pt idx="81">
                  <c:v>18397.3263121163</c:v>
                </c:pt>
                <c:pt idx="82">
                  <c:v>17948.611036211</c:v>
                </c:pt>
                <c:pt idx="83">
                  <c:v>17510.8400353278</c:v>
                </c:pt>
                <c:pt idx="84">
                  <c:v>17083.7463759296</c:v>
                </c:pt>
                <c:pt idx="85">
                  <c:v>16667.0696350533</c:v>
                </c:pt>
                <c:pt idx="86">
                  <c:v>16260.5557415154</c:v>
                </c:pt>
                <c:pt idx="87">
                  <c:v>15863.9568209906</c:v>
                </c:pt>
                <c:pt idx="88">
                  <c:v>15477.0310448689</c:v>
                </c:pt>
                <c:pt idx="89">
                  <c:v>15099.5424827989</c:v>
                </c:pt>
                <c:pt idx="90">
                  <c:v>14731.2609588282</c:v>
                </c:pt>
                <c:pt idx="91">
                  <c:v>14371.9619110519</c:v>
                </c:pt>
                <c:pt idx="92">
                  <c:v>14021.4262546848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BNB_aUSDT!$T$7</c:f>
              <c:strCache>
                <c:ptCount val="1"/>
                <c:pt idx="0">
                  <c:v> HODL 2000 BNB </c:v>
                </c:pt>
              </c:strCache>
            </c:strRef>
          </c:tx>
          <c:spPr>
            <a:solidFill>
              <a:srgbClr val="ed7d31"/>
            </a:solidFill>
            <a:ln w="28440">
              <a:solidFill>
                <a:srgbClr val="ed7d31"/>
              </a:solidFill>
              <a:round/>
            </a:ln>
          </c:spPr>
          <c:marker>
            <c:symbol val="none"/>
          </c:marker>
          <c:dLbls>
            <c:numFmt formatCode="[$$-409]#,##0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BNB_aUSDT!$N$8:$N$100</c:f>
              <c:strCache>
                <c:ptCount val="93"/>
                <c:pt idx="0">
                  <c:v>$191.88</c:v>
                </c:pt>
                <c:pt idx="1">
                  <c:v>$182.41</c:v>
                </c:pt>
                <c:pt idx="2">
                  <c:v>$173.40</c:v>
                </c:pt>
                <c:pt idx="3">
                  <c:v>$164.84</c:v>
                </c:pt>
                <c:pt idx="4">
                  <c:v>$156.70</c:v>
                </c:pt>
                <c:pt idx="5">
                  <c:v>$148.96</c:v>
                </c:pt>
                <c:pt idx="6">
                  <c:v>$141.61</c:v>
                </c:pt>
                <c:pt idx="7">
                  <c:v>$134.62</c:v>
                </c:pt>
                <c:pt idx="8">
                  <c:v>$127.97</c:v>
                </c:pt>
                <c:pt idx="9">
                  <c:v>$121.65</c:v>
                </c:pt>
                <c:pt idx="10">
                  <c:v>$115.64</c:v>
                </c:pt>
                <c:pt idx="11">
                  <c:v>$109.93</c:v>
                </c:pt>
                <c:pt idx="12">
                  <c:v>$104.51</c:v>
                </c:pt>
                <c:pt idx="13">
                  <c:v>$99.35</c:v>
                </c:pt>
                <c:pt idx="14">
                  <c:v>$94.44</c:v>
                </c:pt>
                <c:pt idx="15">
                  <c:v>$89.78</c:v>
                </c:pt>
                <c:pt idx="16">
                  <c:v>$85.35</c:v>
                </c:pt>
                <c:pt idx="17">
                  <c:v>$81.13</c:v>
                </c:pt>
                <c:pt idx="18">
                  <c:v>$77.13</c:v>
                </c:pt>
                <c:pt idx="19">
                  <c:v>$73.32</c:v>
                </c:pt>
                <c:pt idx="20">
                  <c:v>$69.70</c:v>
                </c:pt>
                <c:pt idx="21">
                  <c:v>$66.26</c:v>
                </c:pt>
                <c:pt idx="22">
                  <c:v>$62.98</c:v>
                </c:pt>
                <c:pt idx="23">
                  <c:v>$59.88</c:v>
                </c:pt>
                <c:pt idx="24">
                  <c:v>$56.92</c:v>
                </c:pt>
                <c:pt idx="25">
                  <c:v>$54.11</c:v>
                </c:pt>
                <c:pt idx="26">
                  <c:v>$51.44</c:v>
                </c:pt>
                <c:pt idx="27">
                  <c:v>$48.90</c:v>
                </c:pt>
                <c:pt idx="28">
                  <c:v>$46.48</c:v>
                </c:pt>
                <c:pt idx="29">
                  <c:v>$44.19</c:v>
                </c:pt>
                <c:pt idx="30">
                  <c:v>$42.01</c:v>
                </c:pt>
                <c:pt idx="31">
                  <c:v>$39.93</c:v>
                </c:pt>
                <c:pt idx="32">
                  <c:v>$37.96</c:v>
                </c:pt>
                <c:pt idx="33">
                  <c:v>$36.09</c:v>
                </c:pt>
                <c:pt idx="34">
                  <c:v>$34.30</c:v>
                </c:pt>
                <c:pt idx="35">
                  <c:v>$32.61</c:v>
                </c:pt>
                <c:pt idx="36">
                  <c:v>$31.00</c:v>
                </c:pt>
                <c:pt idx="37">
                  <c:v>$29.47</c:v>
                </c:pt>
                <c:pt idx="38">
                  <c:v>$28.01</c:v>
                </c:pt>
                <c:pt idx="39">
                  <c:v>$26.63</c:v>
                </c:pt>
                <c:pt idx="40">
                  <c:v>$25.32</c:v>
                </c:pt>
                <c:pt idx="41">
                  <c:v>$24.10</c:v>
                </c:pt>
                <c:pt idx="42">
                  <c:v>$22.94</c:v>
                </c:pt>
                <c:pt idx="43">
                  <c:v>$21.83</c:v>
                </c:pt>
                <c:pt idx="44">
                  <c:v>$20.78</c:v>
                </c:pt>
                <c:pt idx="45">
                  <c:v>$19.78</c:v>
                </c:pt>
                <c:pt idx="46">
                  <c:v>$18.82</c:v>
                </c:pt>
                <c:pt idx="47">
                  <c:v>$17.92</c:v>
                </c:pt>
                <c:pt idx="48">
                  <c:v>$17.05</c:v>
                </c:pt>
                <c:pt idx="49">
                  <c:v>$16.23</c:v>
                </c:pt>
                <c:pt idx="50">
                  <c:v>$15.45</c:v>
                </c:pt>
                <c:pt idx="51">
                  <c:v>$14.71</c:v>
                </c:pt>
                <c:pt idx="52">
                  <c:v>$14.00</c:v>
                </c:pt>
                <c:pt idx="53">
                  <c:v>$13.32</c:v>
                </c:pt>
                <c:pt idx="54">
                  <c:v>$12.68</c:v>
                </c:pt>
                <c:pt idx="55">
                  <c:v>$12.07</c:v>
                </c:pt>
                <c:pt idx="56">
                  <c:v>$11.49</c:v>
                </c:pt>
                <c:pt idx="57">
                  <c:v>$10.93</c:v>
                </c:pt>
                <c:pt idx="58">
                  <c:v>$10.41</c:v>
                </c:pt>
                <c:pt idx="59">
                  <c:v>$9.91</c:v>
                </c:pt>
                <c:pt idx="60">
                  <c:v>$9.43</c:v>
                </c:pt>
                <c:pt idx="61">
                  <c:v>$8.97</c:v>
                </c:pt>
                <c:pt idx="62">
                  <c:v>$8.54</c:v>
                </c:pt>
                <c:pt idx="63">
                  <c:v>$8.13</c:v>
                </c:pt>
                <c:pt idx="64">
                  <c:v>$7.74</c:v>
                </c:pt>
                <c:pt idx="65">
                  <c:v>$7.37</c:v>
                </c:pt>
                <c:pt idx="66">
                  <c:v>$7.01</c:v>
                </c:pt>
                <c:pt idx="67">
                  <c:v>$6.67</c:v>
                </c:pt>
                <c:pt idx="68">
                  <c:v>$6.35</c:v>
                </c:pt>
                <c:pt idx="69">
                  <c:v>$6.05</c:v>
                </c:pt>
                <c:pt idx="70">
                  <c:v>$5.75</c:v>
                </c:pt>
                <c:pt idx="71">
                  <c:v>$5.48</c:v>
                </c:pt>
                <c:pt idx="72">
                  <c:v>$5.21</c:v>
                </c:pt>
                <c:pt idx="73">
                  <c:v>$4.96</c:v>
                </c:pt>
                <c:pt idx="74">
                  <c:v>$4.72</c:v>
                </c:pt>
                <c:pt idx="75">
                  <c:v>$4.50</c:v>
                </c:pt>
                <c:pt idx="76">
                  <c:v>$4.28</c:v>
                </c:pt>
                <c:pt idx="77">
                  <c:v>$4.07</c:v>
                </c:pt>
                <c:pt idx="78">
                  <c:v>$3.88</c:v>
                </c:pt>
                <c:pt idx="79">
                  <c:v>$3.69</c:v>
                </c:pt>
                <c:pt idx="80">
                  <c:v>$3.51</c:v>
                </c:pt>
                <c:pt idx="81">
                  <c:v>$3.34</c:v>
                </c:pt>
                <c:pt idx="82">
                  <c:v>$3.18</c:v>
                </c:pt>
                <c:pt idx="83">
                  <c:v>$3.03</c:v>
                </c:pt>
                <c:pt idx="84">
                  <c:v>$2.88</c:v>
                </c:pt>
                <c:pt idx="85">
                  <c:v>$2.74</c:v>
                </c:pt>
                <c:pt idx="86">
                  <c:v>$2.61</c:v>
                </c:pt>
                <c:pt idx="87">
                  <c:v>$2.49</c:v>
                </c:pt>
                <c:pt idx="88">
                  <c:v>$2.37</c:v>
                </c:pt>
                <c:pt idx="89">
                  <c:v>$2.25</c:v>
                </c:pt>
                <c:pt idx="90">
                  <c:v>$2.14</c:v>
                </c:pt>
                <c:pt idx="91">
                  <c:v>$2.04</c:v>
                </c:pt>
                <c:pt idx="92">
                  <c:v>$1.94</c:v>
                </c:pt>
              </c:strCache>
            </c:strRef>
          </c:cat>
          <c:val>
            <c:numRef>
              <c:f>BNB_aUSDT!$T$8:$T$100</c:f>
              <c:numCache>
                <c:formatCode>General</c:formatCode>
                <c:ptCount val="93"/>
                <c:pt idx="0">
                  <c:v>383763.738871793</c:v>
                </c:pt>
                <c:pt idx="1">
                  <c:v>364815.404264998</c:v>
                </c:pt>
                <c:pt idx="2">
                  <c:v>346802.643679414</c:v>
                </c:pt>
                <c:pt idx="3">
                  <c:v>329679.263147743</c:v>
                </c:pt>
                <c:pt idx="4">
                  <c:v>313401.349529823</c:v>
                </c:pt>
                <c:pt idx="5">
                  <c:v>297927.157896788</c:v>
                </c:pt>
                <c:pt idx="6">
                  <c:v>283217.004475634</c:v>
                </c:pt>
                <c:pt idx="7">
                  <c:v>269233.164879649</c:v>
                </c:pt>
                <c:pt idx="8">
                  <c:v>255939.777363717</c:v>
                </c:pt>
                <c:pt idx="9">
                  <c:v>243302.750856383</c:v>
                </c:pt>
                <c:pt idx="10">
                  <c:v>231289.677532849</c:v>
                </c:pt>
                <c:pt idx="11">
                  <c:v>219869.749704665</c:v>
                </c:pt>
                <c:pt idx="12">
                  <c:v>209013.680812997</c:v>
                </c:pt>
                <c:pt idx="13">
                  <c:v>198693.630322855</c:v>
                </c:pt>
                <c:pt idx="14">
                  <c:v>188883.132325664</c:v>
                </c:pt>
                <c:pt idx="15">
                  <c:v>179557.027667085</c:v>
                </c:pt>
                <c:pt idx="16">
                  <c:v>170691.399426022</c:v>
                </c:pt>
                <c:pt idx="17">
                  <c:v>162263.511579362</c:v>
                </c:pt>
                <c:pt idx="18">
                  <c:v>154251.750695131</c:v>
                </c:pt>
                <c:pt idx="19">
                  <c:v>146635.570504559</c:v>
                </c:pt>
                <c:pt idx="20">
                  <c:v>139395.439210897</c:v>
                </c:pt>
                <c:pt idx="21">
                  <c:v>132512.789399859</c:v>
                </c:pt>
                <c:pt idx="22">
                  <c:v>125969.970423241</c:v>
                </c:pt>
                <c:pt idx="23">
                  <c:v>119750.203133593</c:v>
                </c:pt>
                <c:pt idx="24">
                  <c:v>113837.536853872</c:v>
                </c:pt>
                <c:pt idx="25">
                  <c:v>108216.808471712</c:v>
                </c:pt>
                <c:pt idx="26">
                  <c:v>102873.603553421</c:v>
                </c:pt>
                <c:pt idx="27">
                  <c:v>97794.219377971</c:v>
                </c:pt>
                <c:pt idx="28">
                  <c:v>92965.6297961837</c:v>
                </c:pt>
                <c:pt idx="29">
                  <c:v>88375.4518249971</c:v>
                </c:pt>
                <c:pt idx="30">
                  <c:v>84011.9138911379</c:v>
                </c:pt>
                <c:pt idx="31">
                  <c:v>79863.825642763</c:v>
                </c:pt>
                <c:pt idx="32">
                  <c:v>75920.5492516516</c:v>
                </c:pt>
                <c:pt idx="33">
                  <c:v>72171.9721323513</c:v>
                </c:pt>
                <c:pt idx="34">
                  <c:v>68608.4810083164</c:v>
                </c:pt>
                <c:pt idx="35">
                  <c:v>65220.9372585308</c:v>
                </c:pt>
                <c:pt idx="36">
                  <c:v>62000.6534813908</c:v>
                </c:pt>
                <c:pt idx="37">
                  <c:v>58939.3712157471</c:v>
                </c:pt>
                <c:pt idx="38">
                  <c:v>56029.2397619696</c:v>
                </c:pt>
                <c:pt idx="39">
                  <c:v>53262.7960487224</c:v>
                </c:pt>
                <c:pt idx="40">
                  <c:v>50632.9454938167</c:v>
                </c:pt>
                <c:pt idx="41">
                  <c:v>48193.1664426572</c:v>
                </c:pt>
                <c:pt idx="42">
                  <c:v>45870.9496182341</c:v>
                </c:pt>
                <c:pt idx="43">
                  <c:v>43660.6302136672</c:v>
                </c:pt>
                <c:pt idx="44">
                  <c:v>41556.8163842163</c:v>
                </c:pt>
                <c:pt idx="45">
                  <c:v>39554.3760944355</c:v>
                </c:pt>
                <c:pt idx="46">
                  <c:v>37648.4245991058</c:v>
                </c:pt>
                <c:pt idx="47">
                  <c:v>35834.3125274059</c:v>
                </c:pt>
                <c:pt idx="48">
                  <c:v>34107.6145412548</c:v>
                </c:pt>
                <c:pt idx="49">
                  <c:v>32464.1185401593</c:v>
                </c:pt>
                <c:pt idx="50">
                  <c:v>30899.8153862313</c:v>
                </c:pt>
                <c:pt idx="51">
                  <c:v>29410.889124313</c:v>
                </c:pt>
                <c:pt idx="52">
                  <c:v>27993.7076733497</c:v>
                </c:pt>
                <c:pt idx="53">
                  <c:v>26644.8139663055</c:v>
                </c:pt>
                <c:pt idx="54">
                  <c:v>25360.917517007</c:v>
                </c:pt>
                <c:pt idx="55">
                  <c:v>24138.886393344</c:v>
                </c:pt>
                <c:pt idx="56">
                  <c:v>22975.7395772459</c:v>
                </c:pt>
                <c:pt idx="57">
                  <c:v>21868.639692798</c:v>
                </c:pt>
                <c:pt idx="58">
                  <c:v>20814.8860847572</c:v>
                </c:pt>
                <c:pt idx="59">
                  <c:v>19811.9082305839</c:v>
                </c:pt>
                <c:pt idx="60">
                  <c:v>18857.2594699192</c:v>
                </c:pt>
                <c:pt idx="61">
                  <c:v>17948.611036211</c:v>
                </c:pt>
                <c:pt idx="62">
                  <c:v>17083.7463759296</c:v>
                </c:pt>
                <c:pt idx="63">
                  <c:v>16260.5557415154</c:v>
                </c:pt>
                <c:pt idx="64">
                  <c:v>15477.0310448689</c:v>
                </c:pt>
                <c:pt idx="65">
                  <c:v>14731.2609588282</c:v>
                </c:pt>
                <c:pt idx="66">
                  <c:v>14021.4262546848</c:v>
                </c:pt>
                <c:pt idx="67">
                  <c:v>13345.7953643639</c:v>
                </c:pt>
                <c:pt idx="68">
                  <c:v>12702.7201564439</c:v>
                </c:pt>
                <c:pt idx="69">
                  <c:v>12090.631915711</c:v>
                </c:pt>
                <c:pt idx="70">
                  <c:v>11508.0375164412</c:v>
                </c:pt>
                <c:pt idx="71">
                  <c:v>10953.5157800749</c:v>
                </c:pt>
                <c:pt idx="72">
                  <c:v>10425.7140083997</c:v>
                </c:pt>
                <c:pt idx="73">
                  <c:v>9923.34468378316</c:v>
                </c:pt>
                <c:pt idx="74">
                  <c:v>9445.18232840753</c:v>
                </c:pt>
                <c:pt idx="75">
                  <c:v>8990.06051484358</c:v>
                </c:pt>
                <c:pt idx="76">
                  <c:v>8556.86902067206</c:v>
                </c:pt>
                <c:pt idx="77">
                  <c:v>8144.55112021136</c:v>
                </c:pt>
                <c:pt idx="78">
                  <c:v>7752.1010067449</c:v>
                </c:pt>
                <c:pt idx="79">
                  <c:v>7378.56133896005</c:v>
                </c:pt>
                <c:pt idx="80">
                  <c:v>7023.02090561337</c:v>
                </c:pt>
                <c:pt idx="81">
                  <c:v>6684.6124027254</c:v>
                </c:pt>
                <c:pt idx="82">
                  <c:v>6362.5103178826</c:v>
                </c:pt>
                <c:pt idx="83">
                  <c:v>6055.92891648552</c:v>
                </c:pt>
                <c:pt idx="84">
                  <c:v>5764.12032503083</c:v>
                </c:pt>
                <c:pt idx="85">
                  <c:v>5486.37270675154</c:v>
                </c:pt>
                <c:pt idx="86">
                  <c:v>5222.00852516506</c:v>
                </c:pt>
                <c:pt idx="87">
                  <c:v>4970.38289129333</c:v>
                </c:pt>
                <c:pt idx="88">
                  <c:v>4730.8819905231</c:v>
                </c:pt>
                <c:pt idx="89">
                  <c:v>4502.92158526886</c:v>
                </c:pt>
                <c:pt idx="90">
                  <c:v>4285.94558978595</c:v>
                </c:pt>
                <c:pt idx="91">
                  <c:v>4079.42471365706</c:v>
                </c:pt>
                <c:pt idx="92">
                  <c:v>3882.85517064325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BNB_aUSDT!$U$7</c:f>
              <c:strCache>
                <c:ptCount val="1"/>
                <c:pt idx="0">
                  <c:v> HODL 50633 aUSDT </c:v>
                </c:pt>
              </c:strCache>
            </c:strRef>
          </c:tx>
          <c:spPr>
            <a:solidFill>
              <a:srgbClr val="a5a5a5"/>
            </a:solidFill>
            <a:ln w="28440">
              <a:solidFill>
                <a:srgbClr val="a5a5a5"/>
              </a:solidFill>
              <a:round/>
            </a:ln>
          </c:spPr>
          <c:marker>
            <c:symbol val="none"/>
          </c:marker>
          <c:dLbls>
            <c:numFmt formatCode="[$$-409]#,##0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BNB_aUSDT!$N$8:$N$100</c:f>
              <c:strCache>
                <c:ptCount val="93"/>
                <c:pt idx="0">
                  <c:v>$191.88</c:v>
                </c:pt>
                <c:pt idx="1">
                  <c:v>$182.41</c:v>
                </c:pt>
                <c:pt idx="2">
                  <c:v>$173.40</c:v>
                </c:pt>
                <c:pt idx="3">
                  <c:v>$164.84</c:v>
                </c:pt>
                <c:pt idx="4">
                  <c:v>$156.70</c:v>
                </c:pt>
                <c:pt idx="5">
                  <c:v>$148.96</c:v>
                </c:pt>
                <c:pt idx="6">
                  <c:v>$141.61</c:v>
                </c:pt>
                <c:pt idx="7">
                  <c:v>$134.62</c:v>
                </c:pt>
                <c:pt idx="8">
                  <c:v>$127.97</c:v>
                </c:pt>
                <c:pt idx="9">
                  <c:v>$121.65</c:v>
                </c:pt>
                <c:pt idx="10">
                  <c:v>$115.64</c:v>
                </c:pt>
                <c:pt idx="11">
                  <c:v>$109.93</c:v>
                </c:pt>
                <c:pt idx="12">
                  <c:v>$104.51</c:v>
                </c:pt>
                <c:pt idx="13">
                  <c:v>$99.35</c:v>
                </c:pt>
                <c:pt idx="14">
                  <c:v>$94.44</c:v>
                </c:pt>
                <c:pt idx="15">
                  <c:v>$89.78</c:v>
                </c:pt>
                <c:pt idx="16">
                  <c:v>$85.35</c:v>
                </c:pt>
                <c:pt idx="17">
                  <c:v>$81.13</c:v>
                </c:pt>
                <c:pt idx="18">
                  <c:v>$77.13</c:v>
                </c:pt>
                <c:pt idx="19">
                  <c:v>$73.32</c:v>
                </c:pt>
                <c:pt idx="20">
                  <c:v>$69.70</c:v>
                </c:pt>
                <c:pt idx="21">
                  <c:v>$66.26</c:v>
                </c:pt>
                <c:pt idx="22">
                  <c:v>$62.98</c:v>
                </c:pt>
                <c:pt idx="23">
                  <c:v>$59.88</c:v>
                </c:pt>
                <c:pt idx="24">
                  <c:v>$56.92</c:v>
                </c:pt>
                <c:pt idx="25">
                  <c:v>$54.11</c:v>
                </c:pt>
                <c:pt idx="26">
                  <c:v>$51.44</c:v>
                </c:pt>
                <c:pt idx="27">
                  <c:v>$48.90</c:v>
                </c:pt>
                <c:pt idx="28">
                  <c:v>$46.48</c:v>
                </c:pt>
                <c:pt idx="29">
                  <c:v>$44.19</c:v>
                </c:pt>
                <c:pt idx="30">
                  <c:v>$42.01</c:v>
                </c:pt>
                <c:pt idx="31">
                  <c:v>$39.93</c:v>
                </c:pt>
                <c:pt idx="32">
                  <c:v>$37.96</c:v>
                </c:pt>
                <c:pt idx="33">
                  <c:v>$36.09</c:v>
                </c:pt>
                <c:pt idx="34">
                  <c:v>$34.30</c:v>
                </c:pt>
                <c:pt idx="35">
                  <c:v>$32.61</c:v>
                </c:pt>
                <c:pt idx="36">
                  <c:v>$31.00</c:v>
                </c:pt>
                <c:pt idx="37">
                  <c:v>$29.47</c:v>
                </c:pt>
                <c:pt idx="38">
                  <c:v>$28.01</c:v>
                </c:pt>
                <c:pt idx="39">
                  <c:v>$26.63</c:v>
                </c:pt>
                <c:pt idx="40">
                  <c:v>$25.32</c:v>
                </c:pt>
                <c:pt idx="41">
                  <c:v>$24.10</c:v>
                </c:pt>
                <c:pt idx="42">
                  <c:v>$22.94</c:v>
                </c:pt>
                <c:pt idx="43">
                  <c:v>$21.83</c:v>
                </c:pt>
                <c:pt idx="44">
                  <c:v>$20.78</c:v>
                </c:pt>
                <c:pt idx="45">
                  <c:v>$19.78</c:v>
                </c:pt>
                <c:pt idx="46">
                  <c:v>$18.82</c:v>
                </c:pt>
                <c:pt idx="47">
                  <c:v>$17.92</c:v>
                </c:pt>
                <c:pt idx="48">
                  <c:v>$17.05</c:v>
                </c:pt>
                <c:pt idx="49">
                  <c:v>$16.23</c:v>
                </c:pt>
                <c:pt idx="50">
                  <c:v>$15.45</c:v>
                </c:pt>
                <c:pt idx="51">
                  <c:v>$14.71</c:v>
                </c:pt>
                <c:pt idx="52">
                  <c:v>$14.00</c:v>
                </c:pt>
                <c:pt idx="53">
                  <c:v>$13.32</c:v>
                </c:pt>
                <c:pt idx="54">
                  <c:v>$12.68</c:v>
                </c:pt>
                <c:pt idx="55">
                  <c:v>$12.07</c:v>
                </c:pt>
                <c:pt idx="56">
                  <c:v>$11.49</c:v>
                </c:pt>
                <c:pt idx="57">
                  <c:v>$10.93</c:v>
                </c:pt>
                <c:pt idx="58">
                  <c:v>$10.41</c:v>
                </c:pt>
                <c:pt idx="59">
                  <c:v>$9.91</c:v>
                </c:pt>
                <c:pt idx="60">
                  <c:v>$9.43</c:v>
                </c:pt>
                <c:pt idx="61">
                  <c:v>$8.97</c:v>
                </c:pt>
                <c:pt idx="62">
                  <c:v>$8.54</c:v>
                </c:pt>
                <c:pt idx="63">
                  <c:v>$8.13</c:v>
                </c:pt>
                <c:pt idx="64">
                  <c:v>$7.74</c:v>
                </c:pt>
                <c:pt idx="65">
                  <c:v>$7.37</c:v>
                </c:pt>
                <c:pt idx="66">
                  <c:v>$7.01</c:v>
                </c:pt>
                <c:pt idx="67">
                  <c:v>$6.67</c:v>
                </c:pt>
                <c:pt idx="68">
                  <c:v>$6.35</c:v>
                </c:pt>
                <c:pt idx="69">
                  <c:v>$6.05</c:v>
                </c:pt>
                <c:pt idx="70">
                  <c:v>$5.75</c:v>
                </c:pt>
                <c:pt idx="71">
                  <c:v>$5.48</c:v>
                </c:pt>
                <c:pt idx="72">
                  <c:v>$5.21</c:v>
                </c:pt>
                <c:pt idx="73">
                  <c:v>$4.96</c:v>
                </c:pt>
                <c:pt idx="74">
                  <c:v>$4.72</c:v>
                </c:pt>
                <c:pt idx="75">
                  <c:v>$4.50</c:v>
                </c:pt>
                <c:pt idx="76">
                  <c:v>$4.28</c:v>
                </c:pt>
                <c:pt idx="77">
                  <c:v>$4.07</c:v>
                </c:pt>
                <c:pt idx="78">
                  <c:v>$3.88</c:v>
                </c:pt>
                <c:pt idx="79">
                  <c:v>$3.69</c:v>
                </c:pt>
                <c:pt idx="80">
                  <c:v>$3.51</c:v>
                </c:pt>
                <c:pt idx="81">
                  <c:v>$3.34</c:v>
                </c:pt>
                <c:pt idx="82">
                  <c:v>$3.18</c:v>
                </c:pt>
                <c:pt idx="83">
                  <c:v>$3.03</c:v>
                </c:pt>
                <c:pt idx="84">
                  <c:v>$2.88</c:v>
                </c:pt>
                <c:pt idx="85">
                  <c:v>$2.74</c:v>
                </c:pt>
                <c:pt idx="86">
                  <c:v>$2.61</c:v>
                </c:pt>
                <c:pt idx="87">
                  <c:v>$2.49</c:v>
                </c:pt>
                <c:pt idx="88">
                  <c:v>$2.37</c:v>
                </c:pt>
                <c:pt idx="89">
                  <c:v>$2.25</c:v>
                </c:pt>
                <c:pt idx="90">
                  <c:v>$2.14</c:v>
                </c:pt>
                <c:pt idx="91">
                  <c:v>$2.04</c:v>
                </c:pt>
                <c:pt idx="92">
                  <c:v>$1.94</c:v>
                </c:pt>
              </c:strCache>
            </c:strRef>
          </c:cat>
          <c:val>
            <c:numRef>
              <c:f>BNB_aUSDT!$U$8:$U$100</c:f>
              <c:numCache>
                <c:formatCode>General</c:formatCode>
                <c:ptCount val="93"/>
                <c:pt idx="0">
                  <c:v>50632.9454938167</c:v>
                </c:pt>
                <c:pt idx="1">
                  <c:v>50632.9454938167</c:v>
                </c:pt>
                <c:pt idx="2">
                  <c:v>50632.9454938167</c:v>
                </c:pt>
                <c:pt idx="3">
                  <c:v>50632.9454938167</c:v>
                </c:pt>
                <c:pt idx="4">
                  <c:v>50632.9454938167</c:v>
                </c:pt>
                <c:pt idx="5">
                  <c:v>50632.9454938167</c:v>
                </c:pt>
                <c:pt idx="6">
                  <c:v>50632.9454938167</c:v>
                </c:pt>
                <c:pt idx="7">
                  <c:v>50632.9454938167</c:v>
                </c:pt>
                <c:pt idx="8">
                  <c:v>50632.9454938167</c:v>
                </c:pt>
                <c:pt idx="9">
                  <c:v>50632.9454938167</c:v>
                </c:pt>
                <c:pt idx="10">
                  <c:v>50632.9454938167</c:v>
                </c:pt>
                <c:pt idx="11">
                  <c:v>50632.9454938167</c:v>
                </c:pt>
                <c:pt idx="12">
                  <c:v>50632.9454938167</c:v>
                </c:pt>
                <c:pt idx="13">
                  <c:v>50632.9454938167</c:v>
                </c:pt>
                <c:pt idx="14">
                  <c:v>50632.9454938167</c:v>
                </c:pt>
                <c:pt idx="15">
                  <c:v>50632.9454938167</c:v>
                </c:pt>
                <c:pt idx="16">
                  <c:v>50632.9454938167</c:v>
                </c:pt>
                <c:pt idx="17">
                  <c:v>50632.9454938167</c:v>
                </c:pt>
                <c:pt idx="18">
                  <c:v>50632.9454938167</c:v>
                </c:pt>
                <c:pt idx="19">
                  <c:v>50632.9454938167</c:v>
                </c:pt>
                <c:pt idx="20">
                  <c:v>50632.9454938167</c:v>
                </c:pt>
                <c:pt idx="21">
                  <c:v>50632.9454938167</c:v>
                </c:pt>
                <c:pt idx="22">
                  <c:v>50632.9454938167</c:v>
                </c:pt>
                <c:pt idx="23">
                  <c:v>50632.9454938167</c:v>
                </c:pt>
                <c:pt idx="24">
                  <c:v>50632.9454938167</c:v>
                </c:pt>
                <c:pt idx="25">
                  <c:v>50632.9454938167</c:v>
                </c:pt>
                <c:pt idx="26">
                  <c:v>50632.9454938167</c:v>
                </c:pt>
                <c:pt idx="27">
                  <c:v>50632.9454938167</c:v>
                </c:pt>
                <c:pt idx="28">
                  <c:v>50632.9454938167</c:v>
                </c:pt>
                <c:pt idx="29">
                  <c:v>50632.9454938167</c:v>
                </c:pt>
                <c:pt idx="30">
                  <c:v>50632.9454938167</c:v>
                </c:pt>
                <c:pt idx="31">
                  <c:v>50632.9454938167</c:v>
                </c:pt>
                <c:pt idx="32">
                  <c:v>50632.9454938167</c:v>
                </c:pt>
                <c:pt idx="33">
                  <c:v>50632.9454938167</c:v>
                </c:pt>
                <c:pt idx="34">
                  <c:v>50632.9454938167</c:v>
                </c:pt>
                <c:pt idx="35">
                  <c:v>50632.9454938167</c:v>
                </c:pt>
                <c:pt idx="36">
                  <c:v>50632.9454938167</c:v>
                </c:pt>
                <c:pt idx="37">
                  <c:v>50632.9454938167</c:v>
                </c:pt>
                <c:pt idx="38">
                  <c:v>50632.9454938167</c:v>
                </c:pt>
                <c:pt idx="39">
                  <c:v>50632.9454938167</c:v>
                </c:pt>
                <c:pt idx="40">
                  <c:v>50632.9454938167</c:v>
                </c:pt>
                <c:pt idx="41">
                  <c:v>50632.9454938167</c:v>
                </c:pt>
                <c:pt idx="42">
                  <c:v>50632.9454938167</c:v>
                </c:pt>
                <c:pt idx="43">
                  <c:v>50632.9454938167</c:v>
                </c:pt>
                <c:pt idx="44">
                  <c:v>50632.9454938167</c:v>
                </c:pt>
                <c:pt idx="45">
                  <c:v>50632.9454938167</c:v>
                </c:pt>
                <c:pt idx="46">
                  <c:v>50632.9454938167</c:v>
                </c:pt>
                <c:pt idx="47">
                  <c:v>50632.9454938167</c:v>
                </c:pt>
                <c:pt idx="48">
                  <c:v>50632.9454938167</c:v>
                </c:pt>
                <c:pt idx="49">
                  <c:v>50632.9454938167</c:v>
                </c:pt>
                <c:pt idx="50">
                  <c:v>50632.9454938167</c:v>
                </c:pt>
                <c:pt idx="51">
                  <c:v>50632.9454938167</c:v>
                </c:pt>
                <c:pt idx="52">
                  <c:v>50632.9454938167</c:v>
                </c:pt>
                <c:pt idx="53">
                  <c:v>50632.9454938167</c:v>
                </c:pt>
                <c:pt idx="54">
                  <c:v>50632.9454938167</c:v>
                </c:pt>
                <c:pt idx="55">
                  <c:v>50632.9454938167</c:v>
                </c:pt>
                <c:pt idx="56">
                  <c:v>50632.9454938167</c:v>
                </c:pt>
                <c:pt idx="57">
                  <c:v>50632.9454938167</c:v>
                </c:pt>
                <c:pt idx="58">
                  <c:v>50632.9454938167</c:v>
                </c:pt>
                <c:pt idx="59">
                  <c:v>50632.9454938167</c:v>
                </c:pt>
                <c:pt idx="60">
                  <c:v>50632.9454938167</c:v>
                </c:pt>
                <c:pt idx="61">
                  <c:v>50632.9454938167</c:v>
                </c:pt>
                <c:pt idx="62">
                  <c:v>50632.9454938167</c:v>
                </c:pt>
                <c:pt idx="63">
                  <c:v>50632.9454938167</c:v>
                </c:pt>
                <c:pt idx="64">
                  <c:v>50632.9454938167</c:v>
                </c:pt>
                <c:pt idx="65">
                  <c:v>50632.9454938167</c:v>
                </c:pt>
                <c:pt idx="66">
                  <c:v>50632.9454938167</c:v>
                </c:pt>
                <c:pt idx="67">
                  <c:v>50632.9454938167</c:v>
                </c:pt>
                <c:pt idx="68">
                  <c:v>50632.9454938167</c:v>
                </c:pt>
                <c:pt idx="69">
                  <c:v>50632.9454938167</c:v>
                </c:pt>
                <c:pt idx="70">
                  <c:v>50632.9454938167</c:v>
                </c:pt>
                <c:pt idx="71">
                  <c:v>50632.9454938167</c:v>
                </c:pt>
                <c:pt idx="72">
                  <c:v>50632.9454938167</c:v>
                </c:pt>
                <c:pt idx="73">
                  <c:v>50632.9454938167</c:v>
                </c:pt>
                <c:pt idx="74">
                  <c:v>50632.9454938167</c:v>
                </c:pt>
                <c:pt idx="75">
                  <c:v>50632.9454938167</c:v>
                </c:pt>
                <c:pt idx="76">
                  <c:v>50632.9454938167</c:v>
                </c:pt>
                <c:pt idx="77">
                  <c:v>50632.9454938167</c:v>
                </c:pt>
                <c:pt idx="78">
                  <c:v>50632.9454938167</c:v>
                </c:pt>
                <c:pt idx="79">
                  <c:v>50632.9454938167</c:v>
                </c:pt>
                <c:pt idx="80">
                  <c:v>50632.9454938167</c:v>
                </c:pt>
                <c:pt idx="81">
                  <c:v>50632.9454938167</c:v>
                </c:pt>
                <c:pt idx="82">
                  <c:v>50632.9454938167</c:v>
                </c:pt>
                <c:pt idx="83">
                  <c:v>50632.9454938167</c:v>
                </c:pt>
                <c:pt idx="84">
                  <c:v>50632.9454938167</c:v>
                </c:pt>
                <c:pt idx="85">
                  <c:v>50632.9454938167</c:v>
                </c:pt>
                <c:pt idx="86">
                  <c:v>50632.9454938167</c:v>
                </c:pt>
                <c:pt idx="87">
                  <c:v>50632.9454938167</c:v>
                </c:pt>
                <c:pt idx="88">
                  <c:v>50632.9454938167</c:v>
                </c:pt>
                <c:pt idx="89">
                  <c:v>50632.9454938167</c:v>
                </c:pt>
                <c:pt idx="90">
                  <c:v>50632.9454938167</c:v>
                </c:pt>
                <c:pt idx="91">
                  <c:v>50632.9454938167</c:v>
                </c:pt>
                <c:pt idx="92">
                  <c:v>50632.9454938167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BNB_aUSDT!$V$7</c:f>
              <c:strCache>
                <c:ptCount val="1"/>
                <c:pt idx="0">
                  <c:v> HODL 1000 BNB&amp; 25316 aUSDT </c:v>
                </c:pt>
              </c:strCache>
            </c:strRef>
          </c:tx>
          <c:spPr>
            <a:solidFill>
              <a:srgbClr val="ffc000"/>
            </a:solidFill>
            <a:ln w="28440">
              <a:solidFill>
                <a:srgbClr val="ffc000"/>
              </a:solidFill>
              <a:round/>
            </a:ln>
          </c:spPr>
          <c:marker>
            <c:symbol val="none"/>
          </c:marker>
          <c:dLbls>
            <c:numFmt formatCode="[$$-409]#,##0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BNB_aUSDT!$N$8:$N$100</c:f>
              <c:strCache>
                <c:ptCount val="93"/>
                <c:pt idx="0">
                  <c:v>$191.88</c:v>
                </c:pt>
                <c:pt idx="1">
                  <c:v>$182.41</c:v>
                </c:pt>
                <c:pt idx="2">
                  <c:v>$173.40</c:v>
                </c:pt>
                <c:pt idx="3">
                  <c:v>$164.84</c:v>
                </c:pt>
                <c:pt idx="4">
                  <c:v>$156.70</c:v>
                </c:pt>
                <c:pt idx="5">
                  <c:v>$148.96</c:v>
                </c:pt>
                <c:pt idx="6">
                  <c:v>$141.61</c:v>
                </c:pt>
                <c:pt idx="7">
                  <c:v>$134.62</c:v>
                </c:pt>
                <c:pt idx="8">
                  <c:v>$127.97</c:v>
                </c:pt>
                <c:pt idx="9">
                  <c:v>$121.65</c:v>
                </c:pt>
                <c:pt idx="10">
                  <c:v>$115.64</c:v>
                </c:pt>
                <c:pt idx="11">
                  <c:v>$109.93</c:v>
                </c:pt>
                <c:pt idx="12">
                  <c:v>$104.51</c:v>
                </c:pt>
                <c:pt idx="13">
                  <c:v>$99.35</c:v>
                </c:pt>
                <c:pt idx="14">
                  <c:v>$94.44</c:v>
                </c:pt>
                <c:pt idx="15">
                  <c:v>$89.78</c:v>
                </c:pt>
                <c:pt idx="16">
                  <c:v>$85.35</c:v>
                </c:pt>
                <c:pt idx="17">
                  <c:v>$81.13</c:v>
                </c:pt>
                <c:pt idx="18">
                  <c:v>$77.13</c:v>
                </c:pt>
                <c:pt idx="19">
                  <c:v>$73.32</c:v>
                </c:pt>
                <c:pt idx="20">
                  <c:v>$69.70</c:v>
                </c:pt>
                <c:pt idx="21">
                  <c:v>$66.26</c:v>
                </c:pt>
                <c:pt idx="22">
                  <c:v>$62.98</c:v>
                </c:pt>
                <c:pt idx="23">
                  <c:v>$59.88</c:v>
                </c:pt>
                <c:pt idx="24">
                  <c:v>$56.92</c:v>
                </c:pt>
                <c:pt idx="25">
                  <c:v>$54.11</c:v>
                </c:pt>
                <c:pt idx="26">
                  <c:v>$51.44</c:v>
                </c:pt>
                <c:pt idx="27">
                  <c:v>$48.90</c:v>
                </c:pt>
                <c:pt idx="28">
                  <c:v>$46.48</c:v>
                </c:pt>
                <c:pt idx="29">
                  <c:v>$44.19</c:v>
                </c:pt>
                <c:pt idx="30">
                  <c:v>$42.01</c:v>
                </c:pt>
                <c:pt idx="31">
                  <c:v>$39.93</c:v>
                </c:pt>
                <c:pt idx="32">
                  <c:v>$37.96</c:v>
                </c:pt>
                <c:pt idx="33">
                  <c:v>$36.09</c:v>
                </c:pt>
                <c:pt idx="34">
                  <c:v>$34.30</c:v>
                </c:pt>
                <c:pt idx="35">
                  <c:v>$32.61</c:v>
                </c:pt>
                <c:pt idx="36">
                  <c:v>$31.00</c:v>
                </c:pt>
                <c:pt idx="37">
                  <c:v>$29.47</c:v>
                </c:pt>
                <c:pt idx="38">
                  <c:v>$28.01</c:v>
                </c:pt>
                <c:pt idx="39">
                  <c:v>$26.63</c:v>
                </c:pt>
                <c:pt idx="40">
                  <c:v>$25.32</c:v>
                </c:pt>
                <c:pt idx="41">
                  <c:v>$24.10</c:v>
                </c:pt>
                <c:pt idx="42">
                  <c:v>$22.94</c:v>
                </c:pt>
                <c:pt idx="43">
                  <c:v>$21.83</c:v>
                </c:pt>
                <c:pt idx="44">
                  <c:v>$20.78</c:v>
                </c:pt>
                <c:pt idx="45">
                  <c:v>$19.78</c:v>
                </c:pt>
                <c:pt idx="46">
                  <c:v>$18.82</c:v>
                </c:pt>
                <c:pt idx="47">
                  <c:v>$17.92</c:v>
                </c:pt>
                <c:pt idx="48">
                  <c:v>$17.05</c:v>
                </c:pt>
                <c:pt idx="49">
                  <c:v>$16.23</c:v>
                </c:pt>
                <c:pt idx="50">
                  <c:v>$15.45</c:v>
                </c:pt>
                <c:pt idx="51">
                  <c:v>$14.71</c:v>
                </c:pt>
                <c:pt idx="52">
                  <c:v>$14.00</c:v>
                </c:pt>
                <c:pt idx="53">
                  <c:v>$13.32</c:v>
                </c:pt>
                <c:pt idx="54">
                  <c:v>$12.68</c:v>
                </c:pt>
                <c:pt idx="55">
                  <c:v>$12.07</c:v>
                </c:pt>
                <c:pt idx="56">
                  <c:v>$11.49</c:v>
                </c:pt>
                <c:pt idx="57">
                  <c:v>$10.93</c:v>
                </c:pt>
                <c:pt idx="58">
                  <c:v>$10.41</c:v>
                </c:pt>
                <c:pt idx="59">
                  <c:v>$9.91</c:v>
                </c:pt>
                <c:pt idx="60">
                  <c:v>$9.43</c:v>
                </c:pt>
                <c:pt idx="61">
                  <c:v>$8.97</c:v>
                </c:pt>
                <c:pt idx="62">
                  <c:v>$8.54</c:v>
                </c:pt>
                <c:pt idx="63">
                  <c:v>$8.13</c:v>
                </c:pt>
                <c:pt idx="64">
                  <c:v>$7.74</c:v>
                </c:pt>
                <c:pt idx="65">
                  <c:v>$7.37</c:v>
                </c:pt>
                <c:pt idx="66">
                  <c:v>$7.01</c:v>
                </c:pt>
                <c:pt idx="67">
                  <c:v>$6.67</c:v>
                </c:pt>
                <c:pt idx="68">
                  <c:v>$6.35</c:v>
                </c:pt>
                <c:pt idx="69">
                  <c:v>$6.05</c:v>
                </c:pt>
                <c:pt idx="70">
                  <c:v>$5.75</c:v>
                </c:pt>
                <c:pt idx="71">
                  <c:v>$5.48</c:v>
                </c:pt>
                <c:pt idx="72">
                  <c:v>$5.21</c:v>
                </c:pt>
                <c:pt idx="73">
                  <c:v>$4.96</c:v>
                </c:pt>
                <c:pt idx="74">
                  <c:v>$4.72</c:v>
                </c:pt>
                <c:pt idx="75">
                  <c:v>$4.50</c:v>
                </c:pt>
                <c:pt idx="76">
                  <c:v>$4.28</c:v>
                </c:pt>
                <c:pt idx="77">
                  <c:v>$4.07</c:v>
                </c:pt>
                <c:pt idx="78">
                  <c:v>$3.88</c:v>
                </c:pt>
                <c:pt idx="79">
                  <c:v>$3.69</c:v>
                </c:pt>
                <c:pt idx="80">
                  <c:v>$3.51</c:v>
                </c:pt>
                <c:pt idx="81">
                  <c:v>$3.34</c:v>
                </c:pt>
                <c:pt idx="82">
                  <c:v>$3.18</c:v>
                </c:pt>
                <c:pt idx="83">
                  <c:v>$3.03</c:v>
                </c:pt>
                <c:pt idx="84">
                  <c:v>$2.88</c:v>
                </c:pt>
                <c:pt idx="85">
                  <c:v>$2.74</c:v>
                </c:pt>
                <c:pt idx="86">
                  <c:v>$2.61</c:v>
                </c:pt>
                <c:pt idx="87">
                  <c:v>$2.49</c:v>
                </c:pt>
                <c:pt idx="88">
                  <c:v>$2.37</c:v>
                </c:pt>
                <c:pt idx="89">
                  <c:v>$2.25</c:v>
                </c:pt>
                <c:pt idx="90">
                  <c:v>$2.14</c:v>
                </c:pt>
                <c:pt idx="91">
                  <c:v>$2.04</c:v>
                </c:pt>
                <c:pt idx="92">
                  <c:v>$1.94</c:v>
                </c:pt>
              </c:strCache>
            </c:strRef>
          </c:cat>
          <c:val>
            <c:numRef>
              <c:f>BNB_aUSDT!$V$8:$V$100</c:f>
              <c:numCache>
                <c:formatCode>General</c:formatCode>
                <c:ptCount val="93"/>
                <c:pt idx="0">
                  <c:v>217198.342182805</c:v>
                </c:pt>
                <c:pt idx="1">
                  <c:v>207724.174879407</c:v>
                </c:pt>
                <c:pt idx="2">
                  <c:v>198717.794586615</c:v>
                </c:pt>
                <c:pt idx="3">
                  <c:v>190156.10432078</c:v>
                </c:pt>
                <c:pt idx="4">
                  <c:v>182017.14751182</c:v>
                </c:pt>
                <c:pt idx="5">
                  <c:v>174280.051695302</c:v>
                </c:pt>
                <c:pt idx="6">
                  <c:v>166924.974984725</c:v>
                </c:pt>
                <c:pt idx="7">
                  <c:v>159933.055186733</c:v>
                </c:pt>
                <c:pt idx="8">
                  <c:v>153286.361428767</c:v>
                </c:pt>
                <c:pt idx="9">
                  <c:v>146967.8481751</c:v>
                </c:pt>
                <c:pt idx="10">
                  <c:v>140961.311513333</c:v>
                </c:pt>
                <c:pt idx="11">
                  <c:v>135251.347599241</c:v>
                </c:pt>
                <c:pt idx="12">
                  <c:v>129823.313153407</c:v>
                </c:pt>
                <c:pt idx="13">
                  <c:v>124663.287908336</c:v>
                </c:pt>
                <c:pt idx="14">
                  <c:v>119758.03890974</c:v>
                </c:pt>
                <c:pt idx="15">
                  <c:v>115094.986580451</c:v>
                </c:pt>
                <c:pt idx="16">
                  <c:v>110662.172459919</c:v>
                </c:pt>
                <c:pt idx="17">
                  <c:v>106448.22853659</c:v>
                </c:pt>
                <c:pt idx="18">
                  <c:v>102442.348094474</c:v>
                </c:pt>
                <c:pt idx="19">
                  <c:v>98634.257999188</c:v>
                </c:pt>
                <c:pt idx="20">
                  <c:v>95014.1923523566</c:v>
                </c:pt>
                <c:pt idx="21">
                  <c:v>91572.8674468376</c:v>
                </c:pt>
                <c:pt idx="22">
                  <c:v>88301.4579585286</c:v>
                </c:pt>
                <c:pt idx="23">
                  <c:v>85191.5743137049</c:v>
                </c:pt>
                <c:pt idx="24">
                  <c:v>82235.2411738443</c:v>
                </c:pt>
                <c:pt idx="25">
                  <c:v>79424.8769827643</c:v>
                </c:pt>
                <c:pt idx="26">
                  <c:v>76753.2745236189</c:v>
                </c:pt>
                <c:pt idx="27">
                  <c:v>74213.5824358939</c:v>
                </c:pt>
                <c:pt idx="28">
                  <c:v>71799.2876450002</c:v>
                </c:pt>
                <c:pt idx="29">
                  <c:v>69504.1986594069</c:v>
                </c:pt>
                <c:pt idx="30">
                  <c:v>67322.4296924773</c:v>
                </c:pt>
                <c:pt idx="31">
                  <c:v>65248.3855682898</c:v>
                </c:pt>
                <c:pt idx="32">
                  <c:v>63276.7473727341</c:v>
                </c:pt>
                <c:pt idx="33">
                  <c:v>61402.458813084</c:v>
                </c:pt>
                <c:pt idx="34">
                  <c:v>59620.7132510666</c:v>
                </c:pt>
                <c:pt idx="35">
                  <c:v>57926.9413761737</c:v>
                </c:pt>
                <c:pt idx="36">
                  <c:v>56316.7994876038</c:v>
                </c:pt>
                <c:pt idx="37">
                  <c:v>54786.1583547819</c:v>
                </c:pt>
                <c:pt idx="38">
                  <c:v>53331.0926278932</c:v>
                </c:pt>
                <c:pt idx="39">
                  <c:v>51947.8707712695</c:v>
                </c:pt>
                <c:pt idx="40">
                  <c:v>50632.9454938167</c:v>
                </c:pt>
                <c:pt idx="41">
                  <c:v>49413.055968237</c:v>
                </c:pt>
                <c:pt idx="42">
                  <c:v>48251.9475560254</c:v>
                </c:pt>
                <c:pt idx="43">
                  <c:v>47146.787853742</c:v>
                </c:pt>
                <c:pt idx="44">
                  <c:v>46094.8809390165</c:v>
                </c:pt>
                <c:pt idx="45">
                  <c:v>45093.6607941261</c:v>
                </c:pt>
                <c:pt idx="46">
                  <c:v>44140.6850464612</c:v>
                </c:pt>
                <c:pt idx="47">
                  <c:v>43233.6290106113</c:v>
                </c:pt>
                <c:pt idx="48">
                  <c:v>42370.2800175358</c:v>
                </c:pt>
                <c:pt idx="49">
                  <c:v>41548.532016988</c:v>
                </c:pt>
                <c:pt idx="50">
                  <c:v>40766.380440024</c:v>
                </c:pt>
                <c:pt idx="51">
                  <c:v>40021.9173090648</c:v>
                </c:pt>
                <c:pt idx="52">
                  <c:v>39313.3265835832</c:v>
                </c:pt>
                <c:pt idx="53">
                  <c:v>38638.8797300611</c:v>
                </c:pt>
                <c:pt idx="54">
                  <c:v>37996.9315054118</c:v>
                </c:pt>
                <c:pt idx="55">
                  <c:v>37385.9159435803</c:v>
                </c:pt>
                <c:pt idx="56">
                  <c:v>36804.3425355313</c:v>
                </c:pt>
                <c:pt idx="57">
                  <c:v>36250.7925933073</c:v>
                </c:pt>
                <c:pt idx="58">
                  <c:v>35723.9157892869</c:v>
                </c:pt>
                <c:pt idx="59">
                  <c:v>35222.4268622003</c:v>
                </c:pt>
                <c:pt idx="60">
                  <c:v>34745.1024818679</c:v>
                </c:pt>
                <c:pt idx="61">
                  <c:v>34290.7782650139</c:v>
                </c:pt>
                <c:pt idx="62">
                  <c:v>33858.3459348731</c:v>
                </c:pt>
                <c:pt idx="63">
                  <c:v>33446.750617666</c:v>
                </c:pt>
                <c:pt idx="64">
                  <c:v>33054.9882693428</c:v>
                </c:pt>
                <c:pt idx="65">
                  <c:v>32682.1032263225</c:v>
                </c:pt>
                <c:pt idx="66">
                  <c:v>32327.1858742508</c:v>
                </c:pt>
                <c:pt idx="67">
                  <c:v>31989.3704290903</c:v>
                </c:pt>
                <c:pt idx="68">
                  <c:v>31667.8328251303</c:v>
                </c:pt>
                <c:pt idx="69">
                  <c:v>31361.7887047639</c:v>
                </c:pt>
                <c:pt idx="70">
                  <c:v>31070.491505129</c:v>
                </c:pt>
                <c:pt idx="71">
                  <c:v>30793.2306369458</c:v>
                </c:pt>
                <c:pt idx="72">
                  <c:v>30529.3297511082</c:v>
                </c:pt>
                <c:pt idx="73">
                  <c:v>30278.1450887999</c:v>
                </c:pt>
                <c:pt idx="74">
                  <c:v>30039.0639111121</c:v>
                </c:pt>
                <c:pt idx="75">
                  <c:v>29811.5030043301</c:v>
                </c:pt>
                <c:pt idx="76">
                  <c:v>29594.9072572444</c:v>
                </c:pt>
                <c:pt idx="77">
                  <c:v>29388.748307014</c:v>
                </c:pt>
                <c:pt idx="78">
                  <c:v>29192.5232502808</c:v>
                </c:pt>
                <c:pt idx="79">
                  <c:v>29005.7534163884</c:v>
                </c:pt>
                <c:pt idx="80">
                  <c:v>28827.983199715</c:v>
                </c:pt>
                <c:pt idx="81">
                  <c:v>28658.778948271</c:v>
                </c:pt>
                <c:pt idx="82">
                  <c:v>28497.7279058496</c:v>
                </c:pt>
                <c:pt idx="83">
                  <c:v>28344.4372051511</c:v>
                </c:pt>
                <c:pt idx="84">
                  <c:v>28198.5329094238</c:v>
                </c:pt>
                <c:pt idx="85">
                  <c:v>28059.6591002841</c:v>
                </c:pt>
                <c:pt idx="86">
                  <c:v>27927.4770094909</c:v>
                </c:pt>
                <c:pt idx="87">
                  <c:v>27801.664192555</c:v>
                </c:pt>
                <c:pt idx="88">
                  <c:v>27681.9137421699</c:v>
                </c:pt>
                <c:pt idx="89">
                  <c:v>27567.9335395428</c:v>
                </c:pt>
                <c:pt idx="90">
                  <c:v>27459.4455418013</c:v>
                </c:pt>
                <c:pt idx="91">
                  <c:v>27356.1851037369</c:v>
                </c:pt>
                <c:pt idx="92">
                  <c:v>27257.90033223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18806925"/>
        <c:axId val="40222303"/>
      </c:lineChart>
      <c:catAx>
        <c:axId val="18806925"/>
        <c:scaling>
          <c:orientation val="maxMin"/>
        </c:scaling>
        <c:delete val="0"/>
        <c:axPos val="b"/>
        <c:title>
          <c:tx>
            <c:rich>
              <a:bodyPr rot="0"/>
              <a:lstStyle/>
              <a:p>
                <a:pPr>
                  <a:defRPr b="1" sz="16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1" sz="1600" spc="-1" strike="noStrike">
                    <a:solidFill>
                      <a:srgbClr val="595959"/>
                    </a:solidFill>
                    <a:latin typeface="Calibri"/>
                  </a:rPr>
                  <a:t>FSN Price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[$$-409]#,##0.00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16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0222303"/>
        <c:crosses val="autoZero"/>
        <c:auto val="1"/>
        <c:lblAlgn val="ctr"/>
        <c:lblOffset val="100"/>
      </c:catAx>
      <c:valAx>
        <c:axId val="40222303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1" sz="24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1" sz="2400" spc="-1" strike="noStrike">
                    <a:solidFill>
                      <a:srgbClr val="595959"/>
                    </a:solidFill>
                    <a:latin typeface="Calibri"/>
                  </a:rPr>
                  <a:t>Holdings Value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[$$-409]#,##0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16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8806925"/>
        <c:crosses val="autoZero"/>
        <c:crossBetween val="midCat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24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6</xdr:col>
      <xdr:colOff>1769040</xdr:colOff>
      <xdr:row>1</xdr:row>
      <xdr:rowOff>54360</xdr:rowOff>
    </xdr:from>
    <xdr:to>
      <xdr:col>10</xdr:col>
      <xdr:colOff>993240</xdr:colOff>
      <xdr:row>6</xdr:row>
      <xdr:rowOff>176400</xdr:rowOff>
    </xdr:to>
    <xdr:sp>
      <xdr:nvSpPr>
        <xdr:cNvPr id="0" name="CustomShape 1"/>
        <xdr:cNvSpPr/>
      </xdr:nvSpPr>
      <xdr:spPr>
        <a:xfrm>
          <a:off x="15316560" y="244800"/>
          <a:ext cx="4354920" cy="1074600"/>
        </a:xfrm>
        <a:prstGeom prst="ellipse">
          <a:avLst/>
        </a:prstGeom>
        <a:solidFill>
          <a:schemeClr val="accent2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en-GB" sz="1800" spc="-1" strike="noStrike">
              <a:solidFill>
                <a:srgbClr val="ffffff"/>
              </a:solidFill>
              <a:latin typeface="Calibri"/>
            </a:rPr>
            <a:t>Copy Data From Impermanent Loss Tab</a:t>
          </a:r>
          <a:endParaRPr b="0" lang="en-GB" sz="1800" spc="-1" strike="noStrike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26</xdr:col>
      <xdr:colOff>964440</xdr:colOff>
      <xdr:row>5</xdr:row>
      <xdr:rowOff>36720</xdr:rowOff>
    </xdr:from>
    <xdr:to>
      <xdr:col>48</xdr:col>
      <xdr:colOff>408600</xdr:colOff>
      <xdr:row>55</xdr:row>
      <xdr:rowOff>138240</xdr:rowOff>
    </xdr:to>
    <xdr:graphicFrame>
      <xdr:nvGraphicFramePr>
        <xdr:cNvPr id="1" name="Chart 1"/>
        <xdr:cNvGraphicFramePr/>
      </xdr:nvGraphicFramePr>
      <xdr:xfrm>
        <a:off x="30154680" y="1941480"/>
        <a:ext cx="13548600" cy="9674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29</xdr:col>
      <xdr:colOff>66240</xdr:colOff>
      <xdr:row>8</xdr:row>
      <xdr:rowOff>132120</xdr:rowOff>
    </xdr:from>
    <xdr:to>
      <xdr:col>51</xdr:col>
      <xdr:colOff>82080</xdr:colOff>
      <xdr:row>59</xdr:row>
      <xdr:rowOff>42840</xdr:rowOff>
    </xdr:to>
    <xdr:graphicFrame>
      <xdr:nvGraphicFramePr>
        <xdr:cNvPr id="2" name="Chart 6"/>
        <xdr:cNvGraphicFramePr/>
      </xdr:nvGraphicFramePr>
      <xdr:xfrm>
        <a:off x="22750200" y="1779840"/>
        <a:ext cx="13482720" cy="9673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S100"/>
  <sheetViews>
    <sheetView showFormulas="false" showGridLines="true" showRowColHeaders="true" showZeros="true" rightToLeft="false" tabSelected="true" showOutlineSymbols="true" defaultGridColor="true" view="normal" topLeftCell="B1" colorId="64" zoomScale="100" zoomScaleNormal="100" zoomScalePageLayoutView="100" workbookViewId="0">
      <selection pane="topLeft" activeCell="K22" activeCellId="0" sqref="K22"/>
    </sheetView>
  </sheetViews>
  <sheetFormatPr defaultRowHeight="15" zeroHeight="false" outlineLevelRow="0" outlineLevelCol="0"/>
  <cols>
    <col collapsed="false" customWidth="true" hidden="false" outlineLevel="0" max="1" min="1" style="0" width="21.43"/>
    <col collapsed="false" customWidth="true" hidden="false" outlineLevel="0" max="2" min="2" style="0" width="10.71"/>
    <col collapsed="false" customWidth="true" hidden="false" outlineLevel="0" max="3" min="3" style="0" width="23.42"/>
    <col collapsed="false" customWidth="true" hidden="false" outlineLevel="0" max="4" min="4" style="0" width="10.85"/>
    <col collapsed="false" customWidth="true" hidden="false" outlineLevel="0" max="5" min="5" style="0" width="27"/>
    <col collapsed="false" customWidth="true" hidden="true" outlineLevel="0" max="6" min="6" style="0" width="15.71"/>
    <col collapsed="false" customWidth="true" hidden="true" outlineLevel="0" max="7" min="7" style="0" width="16.29"/>
    <col collapsed="false" customWidth="true" hidden="true" outlineLevel="0" max="8" min="8" style="0" width="16.71"/>
    <col collapsed="false" customWidth="true" hidden="true" outlineLevel="0" max="9" min="9" style="0" width="26.14"/>
    <col collapsed="false" customWidth="true" hidden="false" outlineLevel="0" max="11" min="10" style="0" width="26.14"/>
    <col collapsed="false" customWidth="true" hidden="false" outlineLevel="0" max="12" min="12" style="0" width="23.01"/>
    <col collapsed="false" customWidth="true" hidden="false" outlineLevel="0" max="13" min="13" style="0" width="26.14"/>
    <col collapsed="false" customWidth="true" hidden="false" outlineLevel="0" max="14" min="14" style="0" width="9.14"/>
    <col collapsed="false" customWidth="true" hidden="false" outlineLevel="0" max="15" min="15" style="0" width="18.42"/>
    <col collapsed="false" customWidth="true" hidden="false" outlineLevel="0" max="16" min="16" style="0" width="35.29"/>
    <col collapsed="false" customWidth="true" hidden="false" outlineLevel="0" max="17" min="17" style="0" width="15.57"/>
    <col collapsed="false" customWidth="true" hidden="false" outlineLevel="0" max="18" min="18" style="0" width="11.29"/>
    <col collapsed="false" customWidth="true" hidden="false" outlineLevel="0" max="19" min="19" style="0" width="9.14"/>
    <col collapsed="false" customWidth="true" hidden="false" outlineLevel="0" max="1025" min="20" style="0" width="8.67"/>
  </cols>
  <sheetData>
    <row r="1" customFormat="false" ht="15" hidden="false" customHeight="false" outlineLevel="0" collapsed="false">
      <c r="D1" s="1" t="s">
        <v>0</v>
      </c>
      <c r="J1" s="2" t="s">
        <v>1</v>
      </c>
    </row>
    <row r="2" customFormat="false" ht="15" hidden="false" customHeight="false" outlineLevel="0" collapsed="false">
      <c r="C2" s="3" t="s">
        <v>2</v>
      </c>
      <c r="D2" s="4" t="n">
        <v>0.003</v>
      </c>
    </row>
    <row r="3" customFormat="false" ht="15" hidden="false" customHeight="false" outlineLevel="0" collapsed="false">
      <c r="C3" s="3" t="s">
        <v>3</v>
      </c>
      <c r="D3" s="5" t="n">
        <v>10080</v>
      </c>
      <c r="E3" s="6" t="s">
        <v>4</v>
      </c>
    </row>
    <row r="4" customFormat="false" ht="15" hidden="false" customHeight="false" outlineLevel="0" collapsed="false">
      <c r="C4" s="3" t="s">
        <v>5</v>
      </c>
      <c r="D4" s="7" t="n">
        <f aca="false">G13/H13</f>
        <v>0.0367309588198991</v>
      </c>
    </row>
    <row r="5" customFormat="false" ht="15" hidden="false" customHeight="false" outlineLevel="0" collapsed="false">
      <c r="C5" s="8" t="s">
        <v>6</v>
      </c>
      <c r="D5" s="9" t="n">
        <f aca="false">H11/G11</f>
        <v>25.3164727469084</v>
      </c>
      <c r="E5" s="6" t="s">
        <v>7</v>
      </c>
    </row>
    <row r="6" customFormat="false" ht="15" hidden="false" customHeight="false" outlineLevel="0" collapsed="false">
      <c r="C6" s="10" t="s">
        <v>8</v>
      </c>
      <c r="D6" s="11" t="n">
        <f aca="false">SUM($G$11:$G$100)</f>
        <v>33611.94051</v>
      </c>
      <c r="F6" s="12"/>
    </row>
    <row r="7" customFormat="false" ht="15" hidden="false" customHeight="false" outlineLevel="0" collapsed="false">
      <c r="C7" s="10" t="s">
        <v>9</v>
      </c>
      <c r="D7" s="13" t="n">
        <f aca="false">1/SUMPRODUCT($G$11:$G$100,$B$11:$B$100)*DAILYANY</f>
        <v>0.129896175328547</v>
      </c>
      <c r="E7" s="14"/>
      <c r="O7" s="15"/>
      <c r="P7" s="15"/>
      <c r="Q7" s="15"/>
    </row>
    <row r="8" customFormat="false" ht="15" hidden="false" customHeight="false" outlineLevel="0" collapsed="false">
      <c r="C8" s="10" t="s">
        <v>10</v>
      </c>
      <c r="D8" s="16" t="n">
        <f aca="false">SUM($L$11:$L$100)</f>
        <v>0</v>
      </c>
      <c r="E8" s="14"/>
      <c r="G8" s="6" t="s">
        <v>11</v>
      </c>
      <c r="O8" s="15"/>
      <c r="P8" s="15"/>
      <c r="Q8" s="15"/>
    </row>
    <row r="9" customFormat="false" ht="15" hidden="false" customHeight="false" outlineLevel="0" collapsed="false">
      <c r="G9" s="1" t="s">
        <v>12</v>
      </c>
      <c r="H9" s="1" t="s">
        <v>13</v>
      </c>
      <c r="J9" s="1" t="s">
        <v>12</v>
      </c>
      <c r="K9" s="1" t="s">
        <v>13</v>
      </c>
    </row>
    <row r="10" customFormat="false" ht="15" hidden="false" customHeight="false" outlineLevel="0" collapsed="false">
      <c r="B10" s="1" t="s">
        <v>14</v>
      </c>
      <c r="C10" s="1" t="s">
        <v>15</v>
      </c>
      <c r="D10" s="1" t="s">
        <v>16</v>
      </c>
      <c r="E10" s="1" t="s">
        <v>17</v>
      </c>
      <c r="F10" s="1" t="s">
        <v>18</v>
      </c>
      <c r="G10" s="1" t="s">
        <v>19</v>
      </c>
      <c r="H10" s="1" t="s">
        <v>20</v>
      </c>
      <c r="I10" s="1" t="s">
        <v>21</v>
      </c>
      <c r="J10" s="1" t="s">
        <v>22</v>
      </c>
      <c r="K10" s="1" t="s">
        <v>23</v>
      </c>
      <c r="L10" s="1" t="s">
        <v>24</v>
      </c>
      <c r="O10" s="1" t="s">
        <v>25</v>
      </c>
      <c r="P10" s="1" t="s">
        <v>26</v>
      </c>
      <c r="Q10" s="1" t="s">
        <v>27</v>
      </c>
      <c r="R10" s="10" t="s">
        <v>28</v>
      </c>
      <c r="S10" s="1" t="s">
        <v>29</v>
      </c>
    </row>
    <row r="11" customFormat="false" ht="15" hidden="false" customHeight="false" outlineLevel="0" collapsed="false">
      <c r="A11" s="0" t="str">
        <f aca="false">C11&amp;"-"&amp;D11</f>
        <v>BNB-aUSDT</v>
      </c>
      <c r="B11" s="17" t="n">
        <f aca="false">IF(OR(C11="ANY",D11="ANY"),2,1)</f>
        <v>1</v>
      </c>
      <c r="C11" s="17" t="s">
        <v>12</v>
      </c>
      <c r="D11" s="17" t="s">
        <v>30</v>
      </c>
      <c r="E11" s="18" t="n">
        <f aca="false">B11*G11/SUMPRODUCT($G$11:$G$100,$B$11:$B$100)</f>
        <v>0.200085362714908</v>
      </c>
      <c r="F11" s="19" t="n">
        <f aca="false">IFERROR(J11/K11,0)</f>
        <v>0.0394999733966542</v>
      </c>
      <c r="G11" s="20" t="n">
        <f aca="false">IFERROR(IF(VLOOKUP($A11,'Your Pooling'!$A$12:$K$30,MATCH("Already In Pool?",'Your Pooling'!$A$12:$K$12,0),0)="Y",0,VLOOKUP($A11,'Your Pooling'!$A$12:$K$30,MATCH("Your BNB Pooled",'Your Pooling'!$A$12:$K$12,0),))+J11,J11)</f>
        <v>15526.71163</v>
      </c>
      <c r="H11" s="20" t="n">
        <f aca="false">IFERROR(IF(VLOOKUP($A11,'Your Pooling'!$A$12:$K$30,MATCH("Already In Pool?",'Your Pooling'!$A$12:$K$12,0),0)="Y",0,VLOOKUP($A11,'Your Pooling'!$A$12:$K$30,MATCH("Your XXX Pooled",'Your Pooling'!$A$12:$K$12,0),))+K11,K11)</f>
        <v>393081.57183</v>
      </c>
      <c r="I11" s="11" t="n">
        <f aca="false">G11*H11</f>
        <v>6103264212.87154</v>
      </c>
      <c r="J11" s="21" t="n">
        <v>15526.71163</v>
      </c>
      <c r="K11" s="21" t="n">
        <v>393081.57183</v>
      </c>
      <c r="L11" s="22" t="n">
        <v>0</v>
      </c>
      <c r="O11" s="16" t="n">
        <f aca="false">E11*DAILYANY</f>
        <v>2016.86045616627</v>
      </c>
      <c r="P11" s="1" t="n">
        <f aca="false">L11*FEEREWARDS</f>
        <v>0</v>
      </c>
      <c r="Q11" s="16" t="n">
        <f aca="false" t="array" ref="Q11:Q11">P11*BNBPRICE+O11*ANYBNB*BNBPRICE</f>
        <v>1875.47514569216</v>
      </c>
      <c r="R11" s="23" t="n">
        <f aca="false" t="array" ref="R11:R11">IFERROR((Q11/BNBPRICE)/(2*G11),0)</f>
        <v>0.00238560553342763</v>
      </c>
      <c r="S11" s="18" t="n">
        <f aca="false">R11*365</f>
        <v>0.870746019701086</v>
      </c>
    </row>
    <row r="12" customFormat="false" ht="15" hidden="false" customHeight="false" outlineLevel="0" collapsed="false">
      <c r="A12" s="0" t="str">
        <f aca="false">C12&amp;"-"&amp;D12</f>
        <v>BNB-BUSD</v>
      </c>
      <c r="B12" s="17" t="n">
        <f aca="false">IF(OR(C12="ANY",D12="ANY"),2,1)</f>
        <v>1</v>
      </c>
      <c r="C12" s="1" t="s">
        <v>12</v>
      </c>
      <c r="D12" s="17" t="s">
        <v>31</v>
      </c>
      <c r="E12" s="18" t="n">
        <f aca="false">B12*G12/SUMPRODUCT($G$11:$G$100,$B$11:$B$100)</f>
        <v>0.0391109815657929</v>
      </c>
      <c r="F12" s="19" t="n">
        <f aca="false">IFERROR(J12/K12,0)</f>
        <v>0.0403936977234647</v>
      </c>
      <c r="G12" s="20" t="n">
        <f aca="false">IFERROR(IF(VLOOKUP($A12,'Your Pooling'!$A$12:$K$30,MATCH("Already In Pool?",'Your Pooling'!$A$12:$K$12,0),0)="Y",0,VLOOKUP($A12,'Your Pooling'!$A$12:$K$30,MATCH("Your BNB Pooled",'Your Pooling'!$A$12:$K$12,0),))+J12,J12)</f>
        <v>3035.02927</v>
      </c>
      <c r="H12" s="20" t="n">
        <f aca="false">IFERROR(IF(VLOOKUP($A12,'Your Pooling'!$A$12:$K$30,MATCH("Already In Pool?",'Your Pooling'!$A$12:$K$12,0),0)="Y",0,VLOOKUP($A12,'Your Pooling'!$A$12:$K$30,MATCH("Your XXX Pooled",'Your Pooling'!$A$12:$K$12,0),))+K12,K12)</f>
        <v>75136.2079</v>
      </c>
      <c r="I12" s="11" t="n">
        <f aca="false">G12*H12</f>
        <v>228040590.213305</v>
      </c>
      <c r="J12" s="21" t="n">
        <v>3035.02927</v>
      </c>
      <c r="K12" s="21" t="n">
        <v>75136.2079</v>
      </c>
      <c r="L12" s="22" t="n">
        <v>0</v>
      </c>
      <c r="O12" s="16" t="n">
        <f aca="false">E12*DAILYANY</f>
        <v>394.238694183193</v>
      </c>
      <c r="P12" s="1" t="n">
        <f aca="false">L12*FEEREWARDS</f>
        <v>0</v>
      </c>
      <c r="Q12" s="16" t="n">
        <f aca="false" t="array" ref="Q12:Q12">P12*BNBPRICE+O12*ANYBNB*BNBPRICE</f>
        <v>366.601898584576</v>
      </c>
      <c r="R12" s="23" t="n">
        <f aca="false" t="array" ref="R12:R12">IFERROR((Q12/BNBPRICE)/(2*G12),0)</f>
        <v>0.00238560553342763</v>
      </c>
      <c r="S12" s="18" t="n">
        <f aca="false">R12*365</f>
        <v>0.870746019701086</v>
      </c>
    </row>
    <row r="13" customFormat="false" ht="15" hidden="false" customHeight="false" outlineLevel="0" collapsed="false">
      <c r="A13" s="0" t="str">
        <f aca="false">C13&amp;"-"&amp;D13</f>
        <v>BNB-ANY</v>
      </c>
      <c r="B13" s="17" t="n">
        <v>4</v>
      </c>
      <c r="C13" s="1" t="s">
        <v>12</v>
      </c>
      <c r="D13" s="17" t="s">
        <v>32</v>
      </c>
      <c r="E13" s="18" t="n">
        <f aca="false">B13*G13/SUMPRODUCT($G$11:$G$100,$B$11:$B$100)</f>
        <v>0.755811836293696</v>
      </c>
      <c r="F13" s="19" t="n">
        <f aca="false">IFERROR(J13/K13,0)</f>
        <v>0.0367309588198991</v>
      </c>
      <c r="G13" s="20" t="n">
        <f aca="false">IFERROR(IF(VLOOKUP($A13,'Your Pooling'!$A$12:$K$30,MATCH("Already In Pool?",'Your Pooling'!$A$12:$K$12,0),0)="Y",0,VLOOKUP($A13,'Your Pooling'!$A$12:$K$30,MATCH("Your BNB Pooled",'Your Pooling'!$A$12:$K$12,0),))+J13,J13)</f>
        <v>14662.83224</v>
      </c>
      <c r="H13" s="20" t="n">
        <f aca="false">IFERROR(IF(VLOOKUP($A13,'Your Pooling'!$A$12:$K$30,MATCH("Already In Pool?",'Your Pooling'!$A$12:$K$12,0),0)="Y",0,VLOOKUP($A13,'Your Pooling'!$A$12:$K$30,MATCH("Your XXX Pooled",'Your Pooling'!$A$12:$K$12,0),))+K13,K13)</f>
        <v>399195.46647</v>
      </c>
      <c r="I13" s="11" t="n">
        <f aca="false">G13*H13</f>
        <v>5853336155.81815</v>
      </c>
      <c r="J13" s="21" t="n">
        <v>14662.83224</v>
      </c>
      <c r="K13" s="21" t="n">
        <v>399195.46647</v>
      </c>
      <c r="L13" s="22" t="n">
        <v>0</v>
      </c>
      <c r="O13" s="16" t="n">
        <f aca="false">E13*DAILYANY</f>
        <v>7618.58330984046</v>
      </c>
      <c r="P13" s="1" t="n">
        <f aca="false">L13*FEEREWARDS</f>
        <v>0</v>
      </c>
      <c r="Q13" s="16" t="n">
        <f aca="false" t="array" ref="Q13:Q13">P13*BNBPRICE+O13*ANYBNB*BNBPRICE</f>
        <v>7084.50780484385</v>
      </c>
      <c r="R13" s="23" t="n">
        <f aca="false" t="array" ref="R13:R13">IFERROR((Q13/BNBPRICE)/(2*G13),0)</f>
        <v>0.00954242213371053</v>
      </c>
      <c r="S13" s="18" t="n">
        <f aca="false">R13*365</f>
        <v>3.48298407880434</v>
      </c>
    </row>
    <row r="14" customFormat="false" ht="15" hidden="false" customHeight="false" outlineLevel="0" collapsed="false">
      <c r="A14" s="0" t="str">
        <f aca="false">C14&amp;"-"&amp;D14</f>
        <v>BNB-UNI</v>
      </c>
      <c r="B14" s="17" t="n">
        <f aca="false">IF(OR(C14="ANY",D14="ANY"),2,1)</f>
        <v>1</v>
      </c>
      <c r="C14" s="1" t="s">
        <v>12</v>
      </c>
      <c r="D14" s="17" t="s">
        <v>33</v>
      </c>
      <c r="E14" s="18" t="n">
        <f aca="false">B14*G14/SUMPRODUCT($G$11:$G$100,$B$11:$B$100)</f>
        <v>0.000911232236880529</v>
      </c>
      <c r="F14" s="19" t="n">
        <f aca="false">IFERROR(J14/K14,0)</f>
        <v>0.187608901455104</v>
      </c>
      <c r="G14" s="20" t="n">
        <f aca="false">IFERROR(IF(VLOOKUP($A14,'Your Pooling'!$A$12:$K$30,MATCH("Already In Pool?",'Your Pooling'!$A$12:$K$12,0),0)="Y",0,VLOOKUP($A14,'Your Pooling'!$A$12:$K$30,MATCH("Your BNB Pooled",'Your Pooling'!$A$12:$K$12,0),))+J14,J14)</f>
        <v>70.71202</v>
      </c>
      <c r="H14" s="20" t="n">
        <f aca="false">IFERROR(IF(VLOOKUP($A14,'Your Pooling'!$A$12:$K$30,MATCH("Already In Pool?",'Your Pooling'!$A$12:$K$12,0),0)="Y",0,VLOOKUP($A14,'Your Pooling'!$A$12:$K$30,MATCH("Your XXX Pooled",'Your Pooling'!$A$12:$K$12,0),))+K14,K14)</f>
        <v>376.91186</v>
      </c>
      <c r="I14" s="11" t="n">
        <f aca="false">G14*H14</f>
        <v>26652.1989825572</v>
      </c>
      <c r="J14" s="21" t="n">
        <v>70.71202</v>
      </c>
      <c r="K14" s="21" t="n">
        <v>376.91186</v>
      </c>
      <c r="L14" s="22" t="n">
        <v>0</v>
      </c>
      <c r="O14" s="16" t="n">
        <f aca="false">E14*DAILYANY</f>
        <v>9.18522094775573</v>
      </c>
      <c r="P14" s="1" t="n">
        <f aca="false">L14*FEEREWARDS</f>
        <v>0</v>
      </c>
      <c r="Q14" s="16" t="n">
        <f aca="false" t="array" ref="Q14:Q14">P14*BNBPRICE+O14*ANYBNB*BNBPRICE</f>
        <v>8.54132150914989</v>
      </c>
      <c r="R14" s="23" t="n">
        <f aca="false" t="array" ref="R14:R14">IFERROR((Q14/BNBPRICE)/(2*G14),0)</f>
        <v>0.00238560553342763</v>
      </c>
      <c r="S14" s="18" t="n">
        <f aca="false">R14*365</f>
        <v>0.870746019701086</v>
      </c>
    </row>
    <row r="15" customFormat="false" ht="15" hidden="false" customHeight="false" outlineLevel="0" collapsed="false">
      <c r="A15" s="0" t="str">
        <f aca="false">C15&amp;"-"&amp;D15</f>
        <v>BNB-BURGER</v>
      </c>
      <c r="B15" s="17" t="n">
        <f aca="false">IF(OR(C15="ANY",D15="ANY"),2,1)</f>
        <v>1</v>
      </c>
      <c r="C15" s="1" t="s">
        <v>12</v>
      </c>
      <c r="D15" s="17" t="s">
        <v>34</v>
      </c>
      <c r="E15" s="18" t="n">
        <f aca="false">B15*G15/SUMPRODUCT($G$11:$G$100,$B$11:$B$100)</f>
        <v>7.89694004150651E-005</v>
      </c>
      <c r="F15" s="19" t="n">
        <f aca="false">IFERROR(J15/K15,0)</f>
        <v>0.0314694055462846</v>
      </c>
      <c r="G15" s="20" t="n">
        <f aca="false">IFERROR(IF(VLOOKUP($A15,'Your Pooling'!$A$12:$K$30,MATCH("Already In Pool?",'Your Pooling'!$A$12:$K$12,0),0)="Y",0,VLOOKUP($A15,'Your Pooling'!$A$12:$K$30,MATCH("Your BNB Pooled",'Your Pooling'!$A$12:$K$12,0),))+J15,J15)</f>
        <v>6.12806</v>
      </c>
      <c r="H15" s="20" t="n">
        <f aca="false">IFERROR(IF(VLOOKUP($A15,'Your Pooling'!$A$12:$K$30,MATCH("Already In Pool?",'Your Pooling'!$A$12:$K$12,0),0)="Y",0,VLOOKUP($A15,'Your Pooling'!$A$12:$K$30,MATCH("Your XXX Pooled",'Your Pooling'!$A$12:$K$12,0),))+K15,K15)</f>
        <v>194.73072</v>
      </c>
      <c r="I15" s="11" t="n">
        <f aca="false">G15*H15</f>
        <v>1193.3215360032</v>
      </c>
      <c r="J15" s="21" t="n">
        <v>6.12806</v>
      </c>
      <c r="K15" s="21" t="n">
        <v>194.73072</v>
      </c>
      <c r="L15" s="22" t="n">
        <v>0</v>
      </c>
      <c r="O15" s="16" t="n">
        <f aca="false">E15*DAILYANY</f>
        <v>0.796011556183857</v>
      </c>
      <c r="P15" s="1" t="n">
        <f aca="false">L15*FEEREWARDS</f>
        <v>0</v>
      </c>
      <c r="Q15" s="16" t="n">
        <f aca="false" t="array" ref="Q15:Q15">P15*BNBPRICE+O15*ANYBNB*BNBPRICE</f>
        <v>0.740209807149635</v>
      </c>
      <c r="R15" s="23" t="n">
        <f aca="false" t="array" ref="R15:R15">IFERROR((Q15/BNBPRICE)/(2*G15),0)</f>
        <v>0.00238560553342763</v>
      </c>
      <c r="S15" s="18" t="n">
        <f aca="false">R15*365</f>
        <v>0.870746019701086</v>
      </c>
    </row>
    <row r="16" customFormat="false" ht="15" hidden="false" customHeight="false" outlineLevel="0" collapsed="false">
      <c r="A16" s="0" t="str">
        <f aca="false">C16&amp;"-"&amp;D16</f>
        <v>BNB-SPARTAN</v>
      </c>
      <c r="B16" s="17" t="n">
        <f aca="false">IF(OR(C16="ANY",D16="ANY"),2,1)</f>
        <v>1</v>
      </c>
      <c r="C16" s="1" t="s">
        <v>12</v>
      </c>
      <c r="D16" s="17" t="s">
        <v>35</v>
      </c>
      <c r="E16" s="18" t="n">
        <f aca="false">B16*G16/SUMPRODUCT($G$11:$G$100,$B$11:$B$100)</f>
        <v>0.00205723467158872</v>
      </c>
      <c r="F16" s="19" t="n">
        <f aca="false">IFERROR(J16/K16,0)</f>
        <v>0.00707434091290519</v>
      </c>
      <c r="G16" s="20" t="n">
        <f aca="false">IFERROR(IF(VLOOKUP($A16,'Your Pooling'!$A$12:$K$30,MATCH("Already In Pool?",'Your Pooling'!$A$12:$K$12,0),0)="Y",0,VLOOKUP($A16,'Your Pooling'!$A$12:$K$30,MATCH("Your BNB Pooled",'Your Pooling'!$A$12:$K$12,0),))+J16,J16)</f>
        <v>159.64231</v>
      </c>
      <c r="H16" s="20" t="n">
        <f aca="false">IFERROR(IF(VLOOKUP($A16,'Your Pooling'!$A$12:$K$30,MATCH("Already In Pool?",'Your Pooling'!$A$12:$K$12,0),0)="Y",0,VLOOKUP($A16,'Your Pooling'!$A$12:$K$30,MATCH("Your XXX Pooled",'Your Pooling'!$A$12:$K$12,0),))+K16,K16)</f>
        <v>22566.38632</v>
      </c>
      <c r="I16" s="11" t="n">
        <f aca="false">G16*H16</f>
        <v>3602550.0404772</v>
      </c>
      <c r="J16" s="21" t="n">
        <v>159.64231</v>
      </c>
      <c r="K16" s="21" t="n">
        <v>22566.38632</v>
      </c>
      <c r="L16" s="22" t="n">
        <v>0</v>
      </c>
      <c r="O16" s="16" t="n">
        <f aca="false">E16*DAILYANY</f>
        <v>20.7369254896143</v>
      </c>
      <c r="P16" s="1" t="n">
        <f aca="false">L16*FEEREWARDS</f>
        <v>0</v>
      </c>
      <c r="Q16" s="16" t="n">
        <f aca="false" t="array" ref="Q16:Q16">P16*BNBPRICE+O16*ANYBNB*BNBPRICE</f>
        <v>19.2832321318692</v>
      </c>
      <c r="R16" s="23" t="n">
        <f aca="false" t="array" ref="R16:R16">IFERROR((Q16/BNBPRICE)/(2*G16),0)</f>
        <v>0.00238560553342763</v>
      </c>
      <c r="S16" s="18" t="n">
        <f aca="false">R16*365</f>
        <v>0.870746019701086</v>
      </c>
    </row>
    <row r="17" customFormat="false" ht="15" hidden="false" customHeight="false" outlineLevel="0" collapsed="false">
      <c r="A17" s="0" t="str">
        <f aca="false">C17&amp;"-"&amp;D17</f>
        <v>BNB-FOR</v>
      </c>
      <c r="B17" s="17" t="n">
        <f aca="false">IF(OR(C17="ANY",D17="ANY"),2,1)</f>
        <v>1</v>
      </c>
      <c r="C17" s="1" t="s">
        <v>12</v>
      </c>
      <c r="D17" s="17" t="s">
        <v>36</v>
      </c>
      <c r="E17" s="18" t="n">
        <f aca="false">B17*G17/SUMPRODUCT($G$11:$G$100,$B$11:$B$100)</f>
        <v>0.00171297449788866</v>
      </c>
      <c r="F17" s="19" t="n">
        <f aca="false">IFERROR(J17/K17,0)</f>
        <v>0.00159700013069714</v>
      </c>
      <c r="G17" s="20" t="n">
        <f aca="false">IFERROR(IF(VLOOKUP($A17,'Your Pooling'!$A$12:$K$30,MATCH("Already In Pool?",'Your Pooling'!$A$12:$K$12,0),0)="Y",0,VLOOKUP($A17,'Your Pooling'!$A$12:$K$30,MATCH("Your BNB Pooled",'Your Pooling'!$A$12:$K$12,0),))+J17,J17)</f>
        <v>132.92757</v>
      </c>
      <c r="H17" s="20" t="n">
        <f aca="false">IFERROR(IF(VLOOKUP($A17,'Your Pooling'!$A$12:$K$30,MATCH("Already In Pool?",'Your Pooling'!$A$12:$K$12,0),0)="Y",0,VLOOKUP($A17,'Your Pooling'!$A$12:$K$30,MATCH("Your XXX Pooled",'Your Pooling'!$A$12:$K$12,0),))+K17,K17)</f>
        <v>83235.79156</v>
      </c>
      <c r="I17" s="11" t="n">
        <f aca="false">G17*H17</f>
        <v>11064331.5090973</v>
      </c>
      <c r="J17" s="21" t="n">
        <v>132.92757</v>
      </c>
      <c r="K17" s="21" t="n">
        <v>83235.79156</v>
      </c>
      <c r="L17" s="22" t="n">
        <v>0</v>
      </c>
      <c r="O17" s="16" t="n">
        <f aca="false">E17*DAILYANY</f>
        <v>17.2667829387177</v>
      </c>
      <c r="P17" s="1" t="n">
        <f aca="false">L17*FEEREWARDS</f>
        <v>0</v>
      </c>
      <c r="Q17" s="16" t="n">
        <f aca="false" t="array" ref="Q17:Q17">P17*BNBPRICE+O17*ANYBNB*BNBPRICE</f>
        <v>16.0563524108069</v>
      </c>
      <c r="R17" s="23" t="n">
        <f aca="false" t="array" ref="R17:R17">IFERROR((Q17/BNBPRICE)/(2*G17),0)</f>
        <v>0.00238560553342763</v>
      </c>
      <c r="S17" s="18" t="n">
        <f aca="false">R17*365</f>
        <v>0.870746019701086</v>
      </c>
    </row>
    <row r="18" customFormat="false" ht="15" hidden="false" customHeight="false" outlineLevel="0" collapsed="false">
      <c r="A18" s="0" t="str">
        <f aca="false">C18&amp;"-"&amp;D18</f>
        <v>BNB-BAKE</v>
      </c>
      <c r="B18" s="17" t="n">
        <f aca="false">IF(OR(C18="ANY",D18="ANY"),2,1)</f>
        <v>1</v>
      </c>
      <c r="C18" s="1" t="s">
        <v>12</v>
      </c>
      <c r="D18" s="17" t="s">
        <v>37</v>
      </c>
      <c r="E18" s="18" t="n">
        <f aca="false">B18*G18/SUMPRODUCT($G$11:$G$100,$B$11:$B$100)</f>
        <v>1.16164293936672E-005</v>
      </c>
      <c r="F18" s="19" t="n">
        <f aca="false">IFERROR(J18/K18,0)</f>
        <v>0.00314328331885025</v>
      </c>
      <c r="G18" s="20" t="n">
        <f aca="false">IFERROR(IF(VLOOKUP($A18,'Your Pooling'!$A$12:$K$30,MATCH("Already In Pool?",'Your Pooling'!$A$12:$K$12,0),0)="Y",0,VLOOKUP($A18,'Your Pooling'!$A$12:$K$30,MATCH("Your BNB Pooled",'Your Pooling'!$A$12:$K$12,0),))+J18,J18)</f>
        <v>0.90144</v>
      </c>
      <c r="H18" s="20" t="n">
        <f aca="false">IFERROR(IF(VLOOKUP($A18,'Your Pooling'!$A$12:$K$30,MATCH("Already In Pool?",'Your Pooling'!$A$12:$K$12,0),0)="Y",0,VLOOKUP($A18,'Your Pooling'!$A$12:$K$30,MATCH("Your XXX Pooled",'Your Pooling'!$A$12:$K$12,0),))+K18,K18)</f>
        <v>286.78293</v>
      </c>
      <c r="I18" s="11" t="n">
        <f aca="false">G18*H18</f>
        <v>258.5176044192</v>
      </c>
      <c r="J18" s="21" t="n">
        <v>0.90144</v>
      </c>
      <c r="K18" s="21" t="n">
        <v>286.78293</v>
      </c>
      <c r="L18" s="22" t="n">
        <v>0</v>
      </c>
      <c r="O18" s="16" t="n">
        <f aca="false">E18*DAILYANY</f>
        <v>0.117093608288166</v>
      </c>
      <c r="P18" s="1" t="n">
        <f aca="false">L18*FEEREWARDS</f>
        <v>0</v>
      </c>
      <c r="Q18" s="16" t="n">
        <f aca="false" t="array" ref="Q18:Q18">P18*BNBPRICE+O18*ANYBNB*BNBPRICE</f>
        <v>0.108885149387729</v>
      </c>
      <c r="R18" s="23" t="n">
        <f aca="false" t="array" ref="R18:R18">IFERROR((Q18/BNBPRICE)/(2*G18),0)</f>
        <v>0.00238560553342763</v>
      </c>
      <c r="S18" s="18" t="n">
        <f aca="false">R18*365</f>
        <v>0.870746019701086</v>
      </c>
    </row>
    <row r="19" customFormat="false" ht="15" hidden="false" customHeight="false" outlineLevel="0" collapsed="false">
      <c r="A19" s="0" t="str">
        <f aca="false">C19&amp;"-"&amp;D19</f>
        <v>BNB-PEACH</v>
      </c>
      <c r="B19" s="17" t="n">
        <f aca="false">IF(OR(C19="ANY",D19="ANY"),2,1)</f>
        <v>1</v>
      </c>
      <c r="C19" s="1" t="s">
        <v>12</v>
      </c>
      <c r="D19" s="17" t="s">
        <v>38</v>
      </c>
      <c r="E19" s="18" t="n">
        <f aca="false">B19*G19/SUMPRODUCT($G$11:$G$100,$B$11:$B$100)</f>
        <v>0.000103367201092251</v>
      </c>
      <c r="F19" s="19" t="n">
        <f aca="false">IFERROR(J19/K19,0)</f>
        <v>0.26605014373263</v>
      </c>
      <c r="G19" s="20" t="n">
        <f aca="false">IFERROR(IF(VLOOKUP($A19,'Your Pooling'!$A$12:$K$30,MATCH("Already In Pool?",'Your Pooling'!$A$12:$K$12,0),0)="Y",0,VLOOKUP($A19,'Your Pooling'!$A$12:$K$30,MATCH("Your BNB Pooled",'Your Pooling'!$A$12:$K$12,0),))+J19,J19)</f>
        <v>8.02134</v>
      </c>
      <c r="H19" s="20" t="n">
        <f aca="false">IFERROR(IF(VLOOKUP($A19,'Your Pooling'!$A$12:$K$30,MATCH("Already In Pool?",'Your Pooling'!$A$12:$K$12,0),0)="Y",0,VLOOKUP($A19,'Your Pooling'!$A$12:$K$30,MATCH("Your XXX Pooled",'Your Pooling'!$A$12:$K$12,0),))+K19,K19)</f>
        <v>30.14973</v>
      </c>
      <c r="I19" s="11" t="n">
        <f aca="false">G19*H19</f>
        <v>241.8412352382</v>
      </c>
      <c r="J19" s="21" t="n">
        <v>8.02134</v>
      </c>
      <c r="K19" s="21" t="n">
        <v>30.14973</v>
      </c>
      <c r="L19" s="22" t="n">
        <v>0</v>
      </c>
      <c r="O19" s="16" t="n">
        <f aca="false">E19*DAILYANY</f>
        <v>1.04194138700989</v>
      </c>
      <c r="P19" s="1" t="n">
        <f aca="false">L19*FEEREWARDS</f>
        <v>0</v>
      </c>
      <c r="Q19" s="16" t="n">
        <f aca="false" t="array" ref="Q19:Q19">P19*BNBPRICE+O19*ANYBNB*BNBPRICE</f>
        <v>0.968899543164011</v>
      </c>
      <c r="R19" s="23" t="n">
        <f aca="false" t="array" ref="R19:R19">IFERROR((Q19/BNBPRICE)/(2*G19),0)</f>
        <v>0.00238560553342763</v>
      </c>
      <c r="S19" s="18" t="n">
        <f aca="false">R19*365</f>
        <v>0.870746019701086</v>
      </c>
    </row>
    <row r="20" customFormat="false" ht="15" hidden="false" customHeight="false" outlineLevel="0" collapsed="false">
      <c r="A20" s="0" t="str">
        <f aca="false">C20&amp;"-"&amp;D20</f>
        <v>BNB-MILK</v>
      </c>
      <c r="B20" s="17" t="n">
        <f aca="false">IF(OR(C20="ANY",D20="ANY"),2,1)</f>
        <v>1</v>
      </c>
      <c r="C20" s="1" t="s">
        <v>12</v>
      </c>
      <c r="D20" s="17" t="s">
        <v>39</v>
      </c>
      <c r="E20" s="18" t="n">
        <f aca="false">B20*G20/SUMPRODUCT($G$11:$G$100,$B$11:$B$100)</f>
        <v>0.00010872683584234</v>
      </c>
      <c r="F20" s="19" t="n">
        <f aca="false">IFERROR(J20/K20,0)</f>
        <v>1.75616888861136</v>
      </c>
      <c r="G20" s="20" t="n">
        <f aca="false">IFERROR(IF(VLOOKUP($A20,'Your Pooling'!$A$12:$K$30,MATCH("Already In Pool?",'Your Pooling'!$A$12:$K$12,0),0)="Y",0,VLOOKUP($A20,'Your Pooling'!$A$12:$K$30,MATCH("Your BNB Pooled",'Your Pooling'!$A$12:$K$12,0),))+J20,J20)</f>
        <v>8.43725</v>
      </c>
      <c r="H20" s="20" t="n">
        <f aca="false">IFERROR(IF(VLOOKUP($A20,'Your Pooling'!$A$12:$K$30,MATCH("Already In Pool?",'Your Pooling'!$A$12:$K$12,0),0)="Y",0,VLOOKUP($A20,'Your Pooling'!$A$12:$K$30,MATCH("Your XXX Pooled",'Your Pooling'!$A$12:$K$12,0),))+K20,K20)</f>
        <v>4.80435</v>
      </c>
      <c r="I20" s="11" t="n">
        <f aca="false">G20*H20</f>
        <v>40.5355020375</v>
      </c>
      <c r="J20" s="21" t="n">
        <v>8.43725</v>
      </c>
      <c r="K20" s="21" t="n">
        <v>4.80435</v>
      </c>
      <c r="L20" s="22" t="n">
        <v>0</v>
      </c>
      <c r="O20" s="16" t="n">
        <f aca="false">E20*DAILYANY</f>
        <v>1.09596650529078</v>
      </c>
      <c r="P20" s="1" t="n">
        <f aca="false">L20*FEEREWARDS</f>
        <v>0</v>
      </c>
      <c r="Q20" s="16" t="n">
        <f aca="false" t="array" ref="Q20:Q20">P20*BNBPRICE+O20*ANYBNB*BNBPRICE</f>
        <v>1.01913740977948</v>
      </c>
      <c r="R20" s="23" t="n">
        <f aca="false" t="array" ref="R20:R20">IFERROR((Q20/BNBPRICE)/(2*G20),0)</f>
        <v>0.00238560553342763</v>
      </c>
      <c r="S20" s="18" t="n">
        <f aca="false">R20*365</f>
        <v>0.870746019701086</v>
      </c>
    </row>
    <row r="21" customFormat="false" ht="15" hidden="false" customHeight="false" outlineLevel="0" collapsed="false">
      <c r="A21" s="0" t="str">
        <f aca="false">C21&amp;"-"&amp;D21</f>
        <v>BNB-TUNA</v>
      </c>
      <c r="B21" s="17" t="n">
        <f aca="false">IF(OR(C21="ANY",D21="ANY"),2,1)</f>
        <v>1</v>
      </c>
      <c r="C21" s="1" t="s">
        <v>12</v>
      </c>
      <c r="D21" s="17" t="s">
        <v>40</v>
      </c>
      <c r="E21" s="18" t="n">
        <f aca="false">B21*G21/SUMPRODUCT($G$11:$G$100,$B$11:$B$100)</f>
        <v>6.71400856229428E-006</v>
      </c>
      <c r="F21" s="19" t="n">
        <f aca="false">IFERROR(J21/K21,0)</f>
        <v>2.48268620713296E-006</v>
      </c>
      <c r="G21" s="20" t="n">
        <f aca="false">IFERROR(IF(VLOOKUP($A21,'Your Pooling'!$A$12:$K$30,MATCH("Already In Pool?",'Your Pooling'!$A$12:$K$12,0),0)="Y",0,VLOOKUP($A21,'Your Pooling'!$A$12:$K$30,MATCH("Your BNB Pooled",'Your Pooling'!$A$12:$K$12,0),))+J21,J21)</f>
        <v>0.52101</v>
      </c>
      <c r="H21" s="20" t="n">
        <f aca="false">IFERROR(IF(VLOOKUP($A21,'Your Pooling'!$A$12:$K$30,MATCH("Already In Pool?",'Your Pooling'!$A$12:$K$12,0),0)="Y",0,VLOOKUP($A21,'Your Pooling'!$A$12:$K$30,MATCH("Your XXX Pooled",'Your Pooling'!$A$12:$K$12,0),))+K21,K21)</f>
        <v>209857.37082</v>
      </c>
      <c r="I21" s="11" t="n">
        <f aca="false">G21*H21</f>
        <v>109337.788770928</v>
      </c>
      <c r="J21" s="21" t="n">
        <v>0.52101</v>
      </c>
      <c r="K21" s="21" t="n">
        <v>209857.37082</v>
      </c>
      <c r="L21" s="22" t="n">
        <v>0</v>
      </c>
      <c r="O21" s="16" t="n">
        <f aca="false">E21*DAILYANY</f>
        <v>0.0676772063079264</v>
      </c>
      <c r="P21" s="1" t="n">
        <f aca="false">L21*FEEREWARDS</f>
        <v>0</v>
      </c>
      <c r="Q21" s="16" t="n">
        <f aca="false" t="array" ref="Q21:Q21">P21*BNBPRICE+O21*ANYBNB*BNBPRICE</f>
        <v>0.0629329203080634</v>
      </c>
      <c r="R21" s="23" t="n">
        <f aca="false" t="array" ref="R21:R21">IFERROR((Q21/BNBPRICE)/(2*G21),0)</f>
        <v>0.00238560553342763</v>
      </c>
      <c r="S21" s="18" t="n">
        <f aca="false">R21*365</f>
        <v>0.870746019701086</v>
      </c>
    </row>
    <row r="22" customFormat="false" ht="15" hidden="false" customHeight="false" outlineLevel="0" collapsed="false">
      <c r="A22" s="0" t="str">
        <f aca="false">C22&amp;"-"&amp;D22</f>
        <v>BNB-PROM</v>
      </c>
      <c r="B22" s="17" t="n">
        <f aca="false">IF(OR(C22="ANY",D22="ANY"),2,1)</f>
        <v>1</v>
      </c>
      <c r="C22" s="1" t="s">
        <v>12</v>
      </c>
      <c r="D22" s="17" t="s">
        <v>41</v>
      </c>
      <c r="E22" s="18" t="n">
        <f aca="false">B22*G22/SUMPRODUCT($G$11:$G$100,$B$11:$B$100)</f>
        <v>9.84143939468368E-007</v>
      </c>
      <c r="F22" s="19" t="n">
        <f aca="false">IFERROR(J22/K22,0)</f>
        <v>0.0900281743271759</v>
      </c>
      <c r="G22" s="20" t="n">
        <f aca="false">IFERROR(IF(VLOOKUP($A22,'Your Pooling'!$A$12:$K$30,MATCH("Already In Pool?",'Your Pooling'!$A$12:$K$12,0),0)="Y",0,VLOOKUP($A22,'Your Pooling'!$A$12:$K$30,MATCH("Your BNB Pooled",'Your Pooling'!$A$12:$K$12,0),))+J22,J22)</f>
        <v>0.07637</v>
      </c>
      <c r="H22" s="20" t="n">
        <f aca="false">IFERROR(IF(VLOOKUP($A22,'Your Pooling'!$A$12:$K$30,MATCH("Already In Pool?",'Your Pooling'!$A$12:$K$12,0),0)="Y",0,VLOOKUP($A22,'Your Pooling'!$A$12:$K$30,MATCH("Your XXX Pooled",'Your Pooling'!$A$12:$K$12,0),))+K22,K22)</f>
        <v>0.84829</v>
      </c>
      <c r="I22" s="11" t="n">
        <f aca="false">G22*H22</f>
        <v>0.0647839073</v>
      </c>
      <c r="J22" s="21" t="n">
        <v>0.07637</v>
      </c>
      <c r="K22" s="21" t="n">
        <v>0.84829</v>
      </c>
      <c r="L22" s="22" t="n">
        <v>0</v>
      </c>
      <c r="O22" s="16" t="n">
        <f aca="false">E22*DAILYANY</f>
        <v>0.00992017090984115</v>
      </c>
      <c r="P22" s="1" t="n">
        <f aca="false">L22*FEEREWARDS</f>
        <v>0</v>
      </c>
      <c r="Q22" s="16" t="n">
        <f aca="false" t="array" ref="Q22:Q22">P22*BNBPRICE+O22*ANYBNB*BNBPRICE</f>
        <v>0.00922475024265716</v>
      </c>
      <c r="R22" s="23" t="n">
        <f aca="false" t="array" ref="R22:R22">IFERROR((Q22/BNBPRICE)/(2*G22),0)</f>
        <v>0.00238560553342763</v>
      </c>
      <c r="S22" s="18" t="n">
        <f aca="false">R22*365</f>
        <v>0.870746019701086</v>
      </c>
    </row>
    <row r="23" customFormat="false" ht="15" hidden="false" customHeight="false" outlineLevel="0" collapsed="false">
      <c r="A23" s="0" t="str">
        <f aca="false">C23&amp;"-"&amp;D23</f>
        <v>-</v>
      </c>
      <c r="B23" s="17" t="n">
        <f aca="false">IF(OR(C23="ANY",D23="ANY"),2,1)</f>
        <v>1</v>
      </c>
      <c r="C23" s="17"/>
      <c r="D23" s="17"/>
      <c r="E23" s="18" t="n">
        <f aca="false">B23*G23/SUMPRODUCT($G$11:$G$100,$B$11:$B$100)</f>
        <v>0</v>
      </c>
      <c r="F23" s="19" t="n">
        <f aca="false">IFERROR(J23/K23,0)</f>
        <v>0</v>
      </c>
      <c r="G23" s="20" t="n">
        <f aca="false">IFERROR(IF(VLOOKUP($A23,'Your Pooling'!$A$12:$K$30,MATCH("Already In Pool?",'Your Pooling'!$A$12:$K$12,0),0)="Y",0,VLOOKUP($A23,'Your Pooling'!$A$12:$K$30,MATCH("Your BNB Pooled",'Your Pooling'!$A$12:$K$12,0),))+J23,J23)</f>
        <v>0</v>
      </c>
      <c r="H23" s="20" t="n">
        <f aca="false">IFERROR(IF(VLOOKUP($A23,'Your Pooling'!$A$12:$K$30,MATCH("Already In Pool?",'Your Pooling'!$A$12:$K$12,0),0)="Y",0,VLOOKUP($A23,'Your Pooling'!$A$12:$K$30,MATCH("Your XXX Pooled",'Your Pooling'!$A$12:$K$12,0),))+K23,K23)</f>
        <v>0</v>
      </c>
      <c r="I23" s="11" t="n">
        <f aca="false">G23*H23</f>
        <v>0</v>
      </c>
      <c r="J23" s="22"/>
      <c r="K23" s="22"/>
      <c r="L23" s="22"/>
      <c r="O23" s="16" t="n">
        <f aca="false">E23*DAILYANY</f>
        <v>0</v>
      </c>
      <c r="P23" s="1" t="n">
        <f aca="false">L23*FEEREWARDS</f>
        <v>0</v>
      </c>
      <c r="Q23" s="16" t="n">
        <f aca="false" t="array" ref="Q23:Q23">P23*BNBPRICE+O23*ANYBNB*BNBPRICE</f>
        <v>0</v>
      </c>
      <c r="R23" s="23" t="n">
        <f aca="false" t="array" ref="R23:R23">IFERROR((Q23/BNBPRICE)/(2*G23),0)</f>
        <v>0</v>
      </c>
      <c r="S23" s="18" t="n">
        <f aca="false">R23*365</f>
        <v>0</v>
      </c>
    </row>
    <row r="24" customFormat="false" ht="15" hidden="false" customHeight="false" outlineLevel="0" collapsed="false">
      <c r="A24" s="0" t="str">
        <f aca="false">C24&amp;"-"&amp;D24</f>
        <v>-</v>
      </c>
      <c r="B24" s="17" t="n">
        <f aca="false">IF(OR(C24="ANY",D24="ANY"),2,1)</f>
        <v>1</v>
      </c>
      <c r="C24" s="17"/>
      <c r="D24" s="17"/>
      <c r="E24" s="18" t="n">
        <f aca="false">B24*G24/SUMPRODUCT($G$11:$G$100,$B$11:$B$100)</f>
        <v>0</v>
      </c>
      <c r="F24" s="19" t="n">
        <f aca="false">IFERROR(J24/K24,0)</f>
        <v>0</v>
      </c>
      <c r="G24" s="20" t="n">
        <f aca="false">IFERROR(IF(VLOOKUP($A24,'Your Pooling'!$A$12:$K$30,MATCH("Already In Pool?",'Your Pooling'!$A$12:$K$12,0),0)="Y",0,VLOOKUP($A24,'Your Pooling'!$A$12:$K$30,MATCH("Your BNB Pooled",'Your Pooling'!$A$12:$K$12,0),))+J24,J24)</f>
        <v>0</v>
      </c>
      <c r="H24" s="20" t="n">
        <f aca="false">IFERROR(IF(VLOOKUP($A24,'Your Pooling'!$A$12:$K$30,MATCH("Already In Pool?",'Your Pooling'!$A$12:$K$12,0),0)="Y",0,VLOOKUP($A24,'Your Pooling'!$A$12:$K$30,MATCH("Your XXX Pooled",'Your Pooling'!$A$12:$K$12,0),))+K24,K24)</f>
        <v>0</v>
      </c>
      <c r="I24" s="11" t="n">
        <f aca="false">G24*H24</f>
        <v>0</v>
      </c>
      <c r="J24" s="22"/>
      <c r="K24" s="22"/>
      <c r="L24" s="22"/>
      <c r="O24" s="16" t="n">
        <f aca="false">E24*DAILYANY</f>
        <v>0</v>
      </c>
      <c r="P24" s="1" t="n">
        <f aca="false">L24*FEEREWARDS</f>
        <v>0</v>
      </c>
      <c r="Q24" s="16" t="n">
        <f aca="false" t="array" ref="Q24:Q24">P24*BNBPRICE+O24*ANYBNB*BNBPRICE</f>
        <v>0</v>
      </c>
      <c r="R24" s="23" t="n">
        <f aca="false" t="array" ref="R24:R24">IFERROR((Q24/BNBPRICE)/(2*G24),0)</f>
        <v>0</v>
      </c>
      <c r="S24" s="18" t="n">
        <f aca="false">R24*365</f>
        <v>0</v>
      </c>
    </row>
    <row r="25" customFormat="false" ht="15" hidden="false" customHeight="false" outlineLevel="0" collapsed="false">
      <c r="A25" s="0" t="str">
        <f aca="false">C25&amp;"-"&amp;D25</f>
        <v>-</v>
      </c>
      <c r="B25" s="17" t="n">
        <f aca="false">IF(OR(C25="ANY",D25="ANY"),2,1)</f>
        <v>1</v>
      </c>
      <c r="C25" s="17"/>
      <c r="D25" s="17"/>
      <c r="E25" s="18" t="n">
        <f aca="false">B25*G25/SUMPRODUCT($G$11:$G$100,$B$11:$B$100)</f>
        <v>0</v>
      </c>
      <c r="F25" s="19" t="n">
        <f aca="false">IFERROR(J25/K25,0)</f>
        <v>0</v>
      </c>
      <c r="G25" s="20" t="n">
        <f aca="false">IFERROR(IF(VLOOKUP($A25,'Your Pooling'!$A$12:$K$30,MATCH("Already In Pool?",'Your Pooling'!$A$12:$K$12,0),0)="Y",0,VLOOKUP($A25,'Your Pooling'!$A$12:$K$30,MATCH("Your BNB Pooled",'Your Pooling'!$A$12:$K$12,0),))+J25,J25)</f>
        <v>0</v>
      </c>
      <c r="H25" s="20" t="n">
        <f aca="false">IFERROR(IF(VLOOKUP($A25,'Your Pooling'!$A$12:$K$30,MATCH("Already In Pool?",'Your Pooling'!$A$12:$K$12,0),0)="Y",0,VLOOKUP($A25,'Your Pooling'!$A$12:$K$30,MATCH("Your XXX Pooled",'Your Pooling'!$A$12:$K$12,0),))+K25,K25)</f>
        <v>0</v>
      </c>
      <c r="I25" s="11" t="n">
        <f aca="false">G25*H25</f>
        <v>0</v>
      </c>
      <c r="J25" s="22"/>
      <c r="K25" s="22"/>
      <c r="L25" s="22"/>
      <c r="O25" s="16" t="n">
        <f aca="false">E25*DAILYANY</f>
        <v>0</v>
      </c>
      <c r="P25" s="1" t="n">
        <f aca="false">L25*FEEREWARDS</f>
        <v>0</v>
      </c>
      <c r="Q25" s="16" t="n">
        <f aca="false" t="array" ref="Q25:Q25">P25*BNBPRICE+O25*ANYBNB*BNBPRICE</f>
        <v>0</v>
      </c>
      <c r="R25" s="23" t="n">
        <f aca="false" t="array" ref="R25:R25">IFERROR((Q25/BNBPRICE)/(2*G25),0)</f>
        <v>0</v>
      </c>
      <c r="S25" s="18" t="n">
        <f aca="false">R25*365</f>
        <v>0</v>
      </c>
    </row>
    <row r="26" customFormat="false" ht="15" hidden="false" customHeight="false" outlineLevel="0" collapsed="false">
      <c r="A26" s="0" t="str">
        <f aca="false">C26&amp;"-"&amp;D26</f>
        <v>-</v>
      </c>
      <c r="B26" s="17" t="n">
        <f aca="false">IF(OR(C26="ANY",D26="ANY"),2,1)</f>
        <v>1</v>
      </c>
      <c r="C26" s="17"/>
      <c r="D26" s="17"/>
      <c r="E26" s="18" t="n">
        <f aca="false">B26*G26/SUMPRODUCT($G$11:$G$100,$B$11:$B$100)</f>
        <v>0</v>
      </c>
      <c r="F26" s="19" t="n">
        <f aca="false">IFERROR(J26/K26,0)</f>
        <v>0</v>
      </c>
      <c r="G26" s="20" t="n">
        <f aca="false">IFERROR(IF(VLOOKUP($A26,'Your Pooling'!$A$12:$K$30,MATCH("Already In Pool?",'Your Pooling'!$A$12:$K$12,0),0)="Y",0,VLOOKUP($A26,'Your Pooling'!$A$12:$K$30,MATCH("Your BNB Pooled",'Your Pooling'!$A$12:$K$12,0),))+J26,J26)</f>
        <v>0</v>
      </c>
      <c r="H26" s="20" t="n">
        <f aca="false">IFERROR(IF(VLOOKUP($A26,'Your Pooling'!$A$12:$K$30,MATCH("Already In Pool?",'Your Pooling'!$A$12:$K$12,0),0)="Y",0,VLOOKUP($A26,'Your Pooling'!$A$12:$K$30,MATCH("Your XXX Pooled",'Your Pooling'!$A$12:$K$12,0),))+K26,K26)</f>
        <v>0</v>
      </c>
      <c r="I26" s="11" t="n">
        <f aca="false">G26*H26</f>
        <v>0</v>
      </c>
      <c r="J26" s="22"/>
      <c r="K26" s="22"/>
      <c r="L26" s="22"/>
      <c r="O26" s="16" t="n">
        <f aca="false">E26*DAILYANY</f>
        <v>0</v>
      </c>
      <c r="P26" s="1" t="n">
        <f aca="false">L26*FEEREWARDS</f>
        <v>0</v>
      </c>
      <c r="Q26" s="16" t="n">
        <f aca="false" t="array" ref="Q26:Q26">P26*BNBPRICE+O26*ANYBNB*BNBPRICE</f>
        <v>0</v>
      </c>
      <c r="R26" s="23" t="n">
        <f aca="false" t="array" ref="R26:R26">IFERROR((Q26/BNBPRICE)/(2*G26),0)</f>
        <v>0</v>
      </c>
      <c r="S26" s="18" t="n">
        <f aca="false">R26*365</f>
        <v>0</v>
      </c>
    </row>
    <row r="27" customFormat="false" ht="15" hidden="false" customHeight="false" outlineLevel="0" collapsed="false">
      <c r="A27" s="0" t="str">
        <f aca="false">C27&amp;"-"&amp;D27</f>
        <v>-</v>
      </c>
      <c r="B27" s="17" t="n">
        <f aca="false">IF(OR(C27="ANY",D27="ANY"),2,1)</f>
        <v>1</v>
      </c>
      <c r="C27" s="17"/>
      <c r="D27" s="17"/>
      <c r="E27" s="18" t="n">
        <f aca="false">B27*G27/SUMPRODUCT($G$11:$G$100,$B$11:$B$100)</f>
        <v>0</v>
      </c>
      <c r="F27" s="19" t="n">
        <f aca="false">IFERROR(J27/K27,0)</f>
        <v>0</v>
      </c>
      <c r="G27" s="20" t="n">
        <f aca="false">IFERROR(IF(VLOOKUP($A27,'Your Pooling'!$A$12:$K$30,MATCH("Already In Pool?",'Your Pooling'!$A$12:$K$12,0),0)="Y",0,VLOOKUP($A27,'Your Pooling'!$A$12:$K$30,MATCH("Your BNB Pooled",'Your Pooling'!$A$12:$K$12,0),))+J27,J27)</f>
        <v>0</v>
      </c>
      <c r="H27" s="20" t="n">
        <f aca="false">IFERROR(IF(VLOOKUP($A27,'Your Pooling'!$A$12:$K$30,MATCH("Already In Pool?",'Your Pooling'!$A$12:$K$12,0),0)="Y",0,VLOOKUP($A27,'Your Pooling'!$A$12:$K$30,MATCH("Your XXX Pooled",'Your Pooling'!$A$12:$K$12,0),))+K27,K27)</f>
        <v>0</v>
      </c>
      <c r="I27" s="11" t="n">
        <f aca="false">G27*H27</f>
        <v>0</v>
      </c>
      <c r="J27" s="22"/>
      <c r="K27" s="22"/>
      <c r="L27" s="22"/>
      <c r="O27" s="16" t="n">
        <f aca="false">E27*DAILYANY</f>
        <v>0</v>
      </c>
      <c r="P27" s="1" t="n">
        <f aca="false">L27*FEEREWARDS</f>
        <v>0</v>
      </c>
      <c r="Q27" s="16" t="n">
        <f aca="false" t="array" ref="Q27:Q27">P27*BNBPRICE+O27*ANYBNB*BNBPRICE</f>
        <v>0</v>
      </c>
      <c r="R27" s="23" t="n">
        <f aca="false" t="array" ref="R27:R27">IFERROR((Q27/BNBPRICE)/(2*G27),0)</f>
        <v>0</v>
      </c>
      <c r="S27" s="18" t="n">
        <f aca="false">R27*365</f>
        <v>0</v>
      </c>
    </row>
    <row r="28" customFormat="false" ht="15" hidden="false" customHeight="false" outlineLevel="0" collapsed="false">
      <c r="A28" s="0" t="str">
        <f aca="false">C28&amp;"-"&amp;D28</f>
        <v>-</v>
      </c>
      <c r="B28" s="17" t="n">
        <f aca="false">IF(OR(C28="ANY",D28="ANY"),2,1)</f>
        <v>1</v>
      </c>
      <c r="C28" s="17"/>
      <c r="D28" s="17"/>
      <c r="E28" s="18" t="n">
        <f aca="false">B28*G28/SUMPRODUCT($G$11:$G$100,$B$11:$B$100)</f>
        <v>0</v>
      </c>
      <c r="F28" s="19" t="n">
        <f aca="false">IFERROR(J28/K28,0)</f>
        <v>0</v>
      </c>
      <c r="G28" s="20" t="n">
        <f aca="false">IFERROR(IF(VLOOKUP($A28,'Your Pooling'!$A$12:$K$30,MATCH("Already In Pool?",'Your Pooling'!$A$12:$K$12,0),0)="Y",0,VLOOKUP($A28,'Your Pooling'!$A$12:$K$30,MATCH("Your BNB Pooled",'Your Pooling'!$A$12:$K$12,0),))+J28,J28)</f>
        <v>0</v>
      </c>
      <c r="H28" s="20" t="n">
        <f aca="false">IFERROR(IF(VLOOKUP($A28,'Your Pooling'!$A$12:$K$30,MATCH("Already In Pool?",'Your Pooling'!$A$12:$K$12,0),0)="Y",0,VLOOKUP($A28,'Your Pooling'!$A$12:$K$30,MATCH("Your XXX Pooled",'Your Pooling'!$A$12:$K$12,0),))+K28,K28)</f>
        <v>0</v>
      </c>
      <c r="I28" s="11" t="n">
        <f aca="false">G28*H28</f>
        <v>0</v>
      </c>
      <c r="J28" s="22"/>
      <c r="K28" s="22"/>
      <c r="L28" s="22"/>
      <c r="O28" s="16" t="n">
        <f aca="false">E28*DAILYANY</f>
        <v>0</v>
      </c>
      <c r="P28" s="1" t="n">
        <f aca="false">L28*FEEREWARDS</f>
        <v>0</v>
      </c>
      <c r="Q28" s="16" t="n">
        <f aca="false" t="array" ref="Q28:Q28">P28*BNBPRICE+O28*ANYBNB*BNBPRICE</f>
        <v>0</v>
      </c>
      <c r="R28" s="23" t="n">
        <f aca="false" t="array" ref="R28:R28">IFERROR((Q28/BNBPRICE)/(2*G28),0)</f>
        <v>0</v>
      </c>
      <c r="S28" s="18" t="n">
        <f aca="false">R28*365</f>
        <v>0</v>
      </c>
    </row>
    <row r="29" customFormat="false" ht="15" hidden="false" customHeight="false" outlineLevel="0" collapsed="false">
      <c r="A29" s="0" t="str">
        <f aca="false">C29&amp;"-"&amp;D29</f>
        <v>-</v>
      </c>
      <c r="B29" s="17" t="n">
        <f aca="false">IF(OR(C29="ANY",D29="ANY"),2,1)</f>
        <v>1</v>
      </c>
      <c r="C29" s="17"/>
      <c r="D29" s="17"/>
      <c r="E29" s="18" t="n">
        <f aca="false">B29*G29/SUMPRODUCT($G$11:$G$100,$B$11:$B$100)</f>
        <v>0</v>
      </c>
      <c r="F29" s="19" t="n">
        <f aca="false">IFERROR(J29/K29,0)</f>
        <v>0</v>
      </c>
      <c r="G29" s="20" t="n">
        <f aca="false">IFERROR(IF(VLOOKUP($A29,'Your Pooling'!$A$12:$K$30,MATCH("Already In Pool?",'Your Pooling'!$A$12:$K$12,0),0)="Y",0,VLOOKUP($A29,'Your Pooling'!$A$12:$K$30,MATCH("Your BNB Pooled",'Your Pooling'!$A$12:$K$12,0),))+J29,J29)</f>
        <v>0</v>
      </c>
      <c r="H29" s="20" t="n">
        <f aca="false">IFERROR(IF(VLOOKUP($A29,'Your Pooling'!$A$12:$K$30,MATCH("Already In Pool?",'Your Pooling'!$A$12:$K$12,0),0)="Y",0,VLOOKUP($A29,'Your Pooling'!$A$12:$K$30,MATCH("Your XXX Pooled",'Your Pooling'!$A$12:$K$12,0),))+K29,K29)</f>
        <v>0</v>
      </c>
      <c r="I29" s="11" t="n">
        <f aca="false">G29*H29</f>
        <v>0</v>
      </c>
      <c r="J29" s="22"/>
      <c r="K29" s="22"/>
      <c r="L29" s="22"/>
      <c r="O29" s="16" t="n">
        <f aca="false">E29*DAILYANY</f>
        <v>0</v>
      </c>
      <c r="P29" s="1" t="n">
        <f aca="false">L29*FEEREWARDS</f>
        <v>0</v>
      </c>
      <c r="Q29" s="16" t="n">
        <f aca="false" t="array" ref="Q29:Q29">P29*BNBPRICE+O29*ANYBNB*BNBPRICE</f>
        <v>0</v>
      </c>
      <c r="R29" s="23" t="n">
        <f aca="false" t="array" ref="R29:R29">IFERROR((Q29/BNBPRICE)/(2*G29),0)</f>
        <v>0</v>
      </c>
      <c r="S29" s="18" t="n">
        <f aca="false">R29*365</f>
        <v>0</v>
      </c>
    </row>
    <row r="30" customFormat="false" ht="15" hidden="false" customHeight="false" outlineLevel="0" collapsed="false">
      <c r="A30" s="0" t="str">
        <f aca="false">C30&amp;"-"&amp;D30</f>
        <v>-</v>
      </c>
      <c r="B30" s="17" t="n">
        <f aca="false">IF(OR(C30="ANY",D30="ANY"),2,1)</f>
        <v>1</v>
      </c>
      <c r="C30" s="17"/>
      <c r="D30" s="17"/>
      <c r="E30" s="18" t="n">
        <f aca="false">B30*G30/SUMPRODUCT($G$11:$G$100,$B$11:$B$100)</f>
        <v>0</v>
      </c>
      <c r="F30" s="19" t="n">
        <f aca="false">IFERROR(J30/K30,0)</f>
        <v>0</v>
      </c>
      <c r="G30" s="20" t="n">
        <f aca="false">IFERROR(IF(VLOOKUP($A30,'Your Pooling'!$A$12:$K$30,MATCH("Already In Pool?",'Your Pooling'!$A$12:$K$12,0),0)="Y",0,VLOOKUP($A30,'Your Pooling'!$A$12:$K$30,MATCH("Your BNB Pooled",'Your Pooling'!$A$12:$K$12,0),))+J30,J30)</f>
        <v>0</v>
      </c>
      <c r="H30" s="20" t="n">
        <f aca="false">IFERROR(IF(VLOOKUP($A30,'Your Pooling'!$A$12:$K$30,MATCH("Already In Pool?",'Your Pooling'!$A$12:$K$12,0),0)="Y",0,VLOOKUP($A30,'Your Pooling'!$A$12:$K$30,MATCH("Your XXX Pooled",'Your Pooling'!$A$12:$K$12,0),))+K30,K30)</f>
        <v>0</v>
      </c>
      <c r="I30" s="11" t="n">
        <f aca="false">G30*H30</f>
        <v>0</v>
      </c>
      <c r="J30" s="22"/>
      <c r="K30" s="22"/>
      <c r="L30" s="22"/>
      <c r="O30" s="16" t="n">
        <f aca="false">E30*DAILYANY</f>
        <v>0</v>
      </c>
      <c r="P30" s="1" t="n">
        <f aca="false">L30*FEEREWARDS</f>
        <v>0</v>
      </c>
      <c r="Q30" s="16" t="n">
        <f aca="false" t="array" ref="Q30:Q30">P30*BNBPRICE+O30*ANYBNB*BNBPRICE</f>
        <v>0</v>
      </c>
      <c r="R30" s="23" t="n">
        <f aca="false" t="array" ref="R30:R30">IFERROR((Q30/BNBPRICE)/(2*G30),0)</f>
        <v>0</v>
      </c>
      <c r="S30" s="18" t="n">
        <f aca="false">R30*365</f>
        <v>0</v>
      </c>
    </row>
    <row r="31" customFormat="false" ht="15" hidden="false" customHeight="false" outlineLevel="0" collapsed="false">
      <c r="A31" s="0" t="str">
        <f aca="false">C31&amp;"-"&amp;D31</f>
        <v>-</v>
      </c>
      <c r="B31" s="17" t="n">
        <f aca="false">IF(OR(C31="ANY",D31="ANY"),2,1)</f>
        <v>1</v>
      </c>
      <c r="C31" s="17"/>
      <c r="D31" s="17"/>
      <c r="E31" s="18" t="n">
        <f aca="false">B31*G31/SUMPRODUCT($G$11:$G$100,$B$11:$B$100)</f>
        <v>0</v>
      </c>
      <c r="F31" s="19" t="n">
        <f aca="false">IFERROR(J31/K31,0)</f>
        <v>0</v>
      </c>
      <c r="G31" s="20" t="n">
        <f aca="false">IFERROR(IF(VLOOKUP($A31,'Your Pooling'!$A$12:$K$30,MATCH("Already In Pool?",'Your Pooling'!$A$12:$K$12,0),0)="Y",0,VLOOKUP($A31,'Your Pooling'!$A$12:$K$30,MATCH("Your BNB Pooled",'Your Pooling'!$A$12:$K$12,0),))+J31,J31)</f>
        <v>0</v>
      </c>
      <c r="H31" s="20" t="n">
        <f aca="false">IFERROR(IF(VLOOKUP($A31,'Your Pooling'!$A$12:$K$30,MATCH("Already In Pool?",'Your Pooling'!$A$12:$K$12,0),0)="Y",0,VLOOKUP($A31,'Your Pooling'!$A$12:$K$30,MATCH("Your XXX Pooled",'Your Pooling'!$A$12:$K$12,0),))+K31,K31)</f>
        <v>0</v>
      </c>
      <c r="I31" s="11" t="n">
        <f aca="false">G31*H31</f>
        <v>0</v>
      </c>
      <c r="J31" s="22"/>
      <c r="K31" s="22"/>
      <c r="L31" s="22"/>
      <c r="O31" s="16" t="n">
        <f aca="false">E31*DAILYANY</f>
        <v>0</v>
      </c>
      <c r="P31" s="1" t="n">
        <f aca="false">L31*FEEREWARDS</f>
        <v>0</v>
      </c>
      <c r="Q31" s="16" t="n">
        <f aca="false" t="array" ref="Q31:Q31">P31*BNBPRICE+O31*ANYBNB*BNBPRICE</f>
        <v>0</v>
      </c>
      <c r="R31" s="23" t="n">
        <f aca="false" t="array" ref="R31:R31">IFERROR((Q31/BNBPRICE)/(2*G31),0)</f>
        <v>0</v>
      </c>
      <c r="S31" s="18" t="n">
        <f aca="false">R31*365</f>
        <v>0</v>
      </c>
    </row>
    <row r="32" customFormat="false" ht="15" hidden="false" customHeight="false" outlineLevel="0" collapsed="false">
      <c r="A32" s="0" t="str">
        <f aca="false">C32&amp;"-"&amp;D32</f>
        <v>-</v>
      </c>
      <c r="B32" s="17" t="n">
        <f aca="false">IF(OR(C32="ANY",D32="ANY"),2,1)</f>
        <v>1</v>
      </c>
      <c r="C32" s="17"/>
      <c r="D32" s="17"/>
      <c r="E32" s="18" t="n">
        <f aca="false">B32*G32/SUMPRODUCT($G$11:$G$100,$B$11:$B$100)</f>
        <v>0</v>
      </c>
      <c r="F32" s="19" t="n">
        <f aca="false">IFERROR(J32/K32,0)</f>
        <v>0</v>
      </c>
      <c r="G32" s="20" t="n">
        <f aca="false">IFERROR(IF(VLOOKUP($A32,'Your Pooling'!$A$12:$K$30,MATCH("Already In Pool?",'Your Pooling'!$A$12:$K$12,0),0)="Y",0,VLOOKUP($A32,'Your Pooling'!$A$12:$K$30,MATCH("Your BNB Pooled",'Your Pooling'!$A$12:$K$12,0),))+J32,J32)</f>
        <v>0</v>
      </c>
      <c r="H32" s="20" t="n">
        <f aca="false">IFERROR(IF(VLOOKUP($A32,'Your Pooling'!$A$12:$K$30,MATCH("Already In Pool?",'Your Pooling'!$A$12:$K$12,0),0)="Y",0,VLOOKUP($A32,'Your Pooling'!$A$12:$K$30,MATCH("Your XXX Pooled",'Your Pooling'!$A$12:$K$12,0),))+K32,K32)</f>
        <v>0</v>
      </c>
      <c r="I32" s="11" t="n">
        <f aca="false">G32*H32</f>
        <v>0</v>
      </c>
      <c r="J32" s="22"/>
      <c r="K32" s="22"/>
      <c r="L32" s="22"/>
      <c r="O32" s="16" t="n">
        <f aca="false">E32*DAILYANY</f>
        <v>0</v>
      </c>
      <c r="P32" s="1" t="n">
        <f aca="false">L32*FEEREWARDS</f>
        <v>0</v>
      </c>
      <c r="Q32" s="16" t="n">
        <f aca="false" t="array" ref="Q32:Q32">P32*BNBPRICE+O32*ANYBNB*BNBPRICE</f>
        <v>0</v>
      </c>
      <c r="R32" s="23" t="n">
        <f aca="false" t="array" ref="R32:R32">IFERROR((Q32/BNBPRICE)/(2*G32),0)</f>
        <v>0</v>
      </c>
      <c r="S32" s="18" t="n">
        <f aca="false">R32*365</f>
        <v>0</v>
      </c>
    </row>
    <row r="33" customFormat="false" ht="15" hidden="false" customHeight="false" outlineLevel="0" collapsed="false">
      <c r="A33" s="0" t="str">
        <f aca="false">C33&amp;"-"&amp;D33</f>
        <v>-</v>
      </c>
      <c r="B33" s="17" t="n">
        <f aca="false">IF(OR(C33="ANY",D33="ANY"),2,1)</f>
        <v>1</v>
      </c>
      <c r="C33" s="17"/>
      <c r="D33" s="17"/>
      <c r="E33" s="18" t="n">
        <f aca="false">B33*G33/SUMPRODUCT($G$11:$G$100,$B$11:$B$100)</f>
        <v>0</v>
      </c>
      <c r="F33" s="19" t="n">
        <f aca="false">IFERROR(J33/K33,0)</f>
        <v>0</v>
      </c>
      <c r="G33" s="20" t="n">
        <f aca="false">IFERROR(IF(VLOOKUP($A33,'Your Pooling'!$A$12:$K$30,MATCH("Already In Pool?",'Your Pooling'!$A$12:$K$12,0),0)="Y",0,VLOOKUP($A33,'Your Pooling'!$A$12:$K$30,MATCH("Your BNB Pooled",'Your Pooling'!$A$12:$K$12,0),))+J33,J33)</f>
        <v>0</v>
      </c>
      <c r="H33" s="20" t="n">
        <f aca="false">IFERROR(IF(VLOOKUP($A33,'Your Pooling'!$A$12:$K$30,MATCH("Already In Pool?",'Your Pooling'!$A$12:$K$12,0),0)="Y",0,VLOOKUP($A33,'Your Pooling'!$A$12:$K$30,MATCH("Your XXX Pooled",'Your Pooling'!$A$12:$K$12,0),))+K33,K33)</f>
        <v>0</v>
      </c>
      <c r="I33" s="11" t="n">
        <f aca="false">G33*H33</f>
        <v>0</v>
      </c>
      <c r="J33" s="22"/>
      <c r="K33" s="22"/>
      <c r="L33" s="22"/>
      <c r="O33" s="16" t="n">
        <f aca="false">E33*DAILYANY</f>
        <v>0</v>
      </c>
      <c r="P33" s="1" t="n">
        <f aca="false">L33*FEEREWARDS</f>
        <v>0</v>
      </c>
      <c r="Q33" s="16" t="n">
        <f aca="false" t="array" ref="Q33:Q33">P33*BNBPRICE+O33*ANYBNB*BNBPRICE</f>
        <v>0</v>
      </c>
      <c r="R33" s="23" t="n">
        <f aca="false" t="array" ref="R33:R33">IFERROR((Q33/BNBPRICE)/(2*G33),0)</f>
        <v>0</v>
      </c>
      <c r="S33" s="18" t="n">
        <f aca="false">R33*365</f>
        <v>0</v>
      </c>
    </row>
    <row r="34" customFormat="false" ht="15" hidden="false" customHeight="false" outlineLevel="0" collapsed="false">
      <c r="A34" s="0" t="str">
        <f aca="false">C34&amp;"-"&amp;D34</f>
        <v>-</v>
      </c>
      <c r="B34" s="17" t="n">
        <f aca="false">IF(OR(C34="ANY",D34="ANY"),2,1)</f>
        <v>1</v>
      </c>
      <c r="C34" s="17"/>
      <c r="D34" s="17"/>
      <c r="E34" s="18" t="n">
        <f aca="false">B34*G34/SUMPRODUCT($G$11:$G$100,$B$11:$B$100)</f>
        <v>0</v>
      </c>
      <c r="F34" s="19" t="n">
        <f aca="false">IFERROR(J34/K34,0)</f>
        <v>0</v>
      </c>
      <c r="G34" s="20" t="n">
        <f aca="false">IFERROR(IF(VLOOKUP($A34,'Your Pooling'!$A$12:$K$30,MATCH("Already In Pool?",'Your Pooling'!$A$12:$K$12,0),0)="Y",0,VLOOKUP($A34,'Your Pooling'!$A$12:$K$30,MATCH("Your BNB Pooled",'Your Pooling'!$A$12:$K$12,0),))+J34,J34)</f>
        <v>0</v>
      </c>
      <c r="H34" s="20" t="n">
        <f aca="false">IFERROR(IF(VLOOKUP($A34,'Your Pooling'!$A$12:$K$30,MATCH("Already In Pool?",'Your Pooling'!$A$12:$K$12,0),0)="Y",0,VLOOKUP($A34,'Your Pooling'!$A$12:$K$30,MATCH("Your XXX Pooled",'Your Pooling'!$A$12:$K$12,0),))+K34,K34)</f>
        <v>0</v>
      </c>
      <c r="I34" s="11" t="n">
        <f aca="false">G34*H34</f>
        <v>0</v>
      </c>
      <c r="J34" s="22"/>
      <c r="K34" s="22"/>
      <c r="L34" s="22"/>
      <c r="O34" s="16" t="n">
        <f aca="false">E34*DAILYANY</f>
        <v>0</v>
      </c>
      <c r="P34" s="1" t="n">
        <f aca="false">L34*FEEREWARDS</f>
        <v>0</v>
      </c>
      <c r="Q34" s="16" t="n">
        <f aca="false" t="array" ref="Q34:Q34">P34*BNBPRICE+O34*ANYBNB*BNBPRICE</f>
        <v>0</v>
      </c>
      <c r="R34" s="23" t="n">
        <f aca="false" t="array" ref="R34:R34">IFERROR((Q34/BNBPRICE)/(2*G34),0)</f>
        <v>0</v>
      </c>
      <c r="S34" s="18" t="n">
        <f aca="false">R34*365</f>
        <v>0</v>
      </c>
    </row>
    <row r="35" customFormat="false" ht="15" hidden="false" customHeight="false" outlineLevel="0" collapsed="false">
      <c r="A35" s="0" t="str">
        <f aca="false">C35&amp;"-"&amp;D35</f>
        <v>-</v>
      </c>
      <c r="B35" s="17" t="n">
        <f aca="false">IF(OR(C35="ANY",D35="ANY"),2,1)</f>
        <v>1</v>
      </c>
      <c r="C35" s="17"/>
      <c r="D35" s="17"/>
      <c r="E35" s="18" t="n">
        <f aca="false">B35*G35/SUMPRODUCT($G$11:$G$100,$B$11:$B$100)</f>
        <v>0</v>
      </c>
      <c r="F35" s="19" t="n">
        <f aca="false">IFERROR(J35/K35,0)</f>
        <v>0</v>
      </c>
      <c r="G35" s="20" t="n">
        <f aca="false">IFERROR(IF(VLOOKUP($A35,'Your Pooling'!$A$12:$K$30,MATCH("Already In Pool?",'Your Pooling'!$A$12:$K$12,0),0)="Y",0,VLOOKUP($A35,'Your Pooling'!$A$12:$K$30,MATCH("Your BNB Pooled",'Your Pooling'!$A$12:$K$12,0),))+J35,J35)</f>
        <v>0</v>
      </c>
      <c r="H35" s="20" t="n">
        <f aca="false">IFERROR(IF(VLOOKUP($A35,'Your Pooling'!$A$12:$K$30,MATCH("Already In Pool?",'Your Pooling'!$A$12:$K$12,0),0)="Y",0,VLOOKUP($A35,'Your Pooling'!$A$12:$K$30,MATCH("Your XXX Pooled",'Your Pooling'!$A$12:$K$12,0),))+K35,K35)</f>
        <v>0</v>
      </c>
      <c r="I35" s="11" t="n">
        <f aca="false">G35*H35</f>
        <v>0</v>
      </c>
      <c r="J35" s="22"/>
      <c r="K35" s="22"/>
      <c r="L35" s="22"/>
      <c r="O35" s="16" t="n">
        <f aca="false">E35*DAILYANY</f>
        <v>0</v>
      </c>
      <c r="P35" s="1" t="n">
        <f aca="false">L35*FEEREWARDS</f>
        <v>0</v>
      </c>
      <c r="Q35" s="16" t="n">
        <f aca="false" t="array" ref="Q35:Q35">P35*BNBPRICE+O35*ANYBNB*BNBPRICE</f>
        <v>0</v>
      </c>
      <c r="R35" s="23" t="n">
        <f aca="false" t="array" ref="R35:R35">IFERROR((Q35/BNBPRICE)/(2*G35),0)</f>
        <v>0</v>
      </c>
      <c r="S35" s="18" t="n">
        <f aca="false">R35*365</f>
        <v>0</v>
      </c>
    </row>
    <row r="36" customFormat="false" ht="15" hidden="false" customHeight="false" outlineLevel="0" collapsed="false">
      <c r="A36" s="0" t="str">
        <f aca="false">C36&amp;"-"&amp;D36</f>
        <v>-</v>
      </c>
      <c r="B36" s="17" t="n">
        <f aca="false">IF(OR(C36="ANY",D36="ANY"),2,1)</f>
        <v>1</v>
      </c>
      <c r="C36" s="17"/>
      <c r="D36" s="17"/>
      <c r="E36" s="18" t="n">
        <f aca="false">B36*G36/SUMPRODUCT($G$11:$G$100,$B$11:$B$100)</f>
        <v>0</v>
      </c>
      <c r="F36" s="19" t="n">
        <f aca="false">IFERROR(J36/K36,0)</f>
        <v>0</v>
      </c>
      <c r="G36" s="20" t="n">
        <f aca="false">IFERROR(IF(VLOOKUP($A36,'Your Pooling'!$A$12:$K$30,MATCH("Already In Pool?",'Your Pooling'!$A$12:$K$12,0),0)="Y",0,VLOOKUP($A36,'Your Pooling'!$A$12:$K$30,MATCH("Your BNB Pooled",'Your Pooling'!$A$12:$K$12,0),))+J36,J36)</f>
        <v>0</v>
      </c>
      <c r="H36" s="20" t="n">
        <f aca="false">IFERROR(IF(VLOOKUP($A36,'Your Pooling'!$A$12:$K$30,MATCH("Already In Pool?",'Your Pooling'!$A$12:$K$12,0),0)="Y",0,VLOOKUP($A36,'Your Pooling'!$A$12:$K$30,MATCH("Your XXX Pooled",'Your Pooling'!$A$12:$K$12,0),))+K36,K36)</f>
        <v>0</v>
      </c>
      <c r="I36" s="11" t="n">
        <f aca="false">G36*H36</f>
        <v>0</v>
      </c>
      <c r="J36" s="22"/>
      <c r="K36" s="22"/>
      <c r="L36" s="22"/>
      <c r="O36" s="16" t="n">
        <f aca="false">E36*DAILYANY</f>
        <v>0</v>
      </c>
      <c r="P36" s="1" t="n">
        <f aca="false">L36*FEEREWARDS</f>
        <v>0</v>
      </c>
      <c r="Q36" s="16" t="n">
        <f aca="false" t="array" ref="Q36:Q36">P36*BNBPRICE+O36*ANYBNB*BNBPRICE</f>
        <v>0</v>
      </c>
      <c r="R36" s="23" t="n">
        <f aca="false" t="array" ref="R36:R36">IFERROR((Q36/BNBPRICE)/(2*G36),0)</f>
        <v>0</v>
      </c>
      <c r="S36" s="18" t="n">
        <f aca="false">R36*365</f>
        <v>0</v>
      </c>
    </row>
    <row r="37" customFormat="false" ht="15" hidden="false" customHeight="false" outlineLevel="0" collapsed="false">
      <c r="A37" s="0" t="str">
        <f aca="false">C37&amp;"-"&amp;D37</f>
        <v>-</v>
      </c>
      <c r="B37" s="17" t="n">
        <f aca="false">IF(OR(C37="ANY",D37="ANY"),2,1)</f>
        <v>1</v>
      </c>
      <c r="C37" s="17"/>
      <c r="D37" s="17"/>
      <c r="E37" s="18" t="n">
        <f aca="false">B37*G37/SUMPRODUCT($G$11:$G$100,$B$11:$B$100)</f>
        <v>0</v>
      </c>
      <c r="F37" s="19" t="n">
        <f aca="false">IFERROR(J37/K37,0)</f>
        <v>0</v>
      </c>
      <c r="G37" s="20" t="n">
        <f aca="false">IFERROR(IF(VLOOKUP($A37,'Your Pooling'!$A$12:$K$30,MATCH("Already In Pool?",'Your Pooling'!$A$12:$K$12,0),0)="Y",0,VLOOKUP($A37,'Your Pooling'!$A$12:$K$30,MATCH("Your BNB Pooled",'Your Pooling'!$A$12:$K$12,0),))+J37,J37)</f>
        <v>0</v>
      </c>
      <c r="H37" s="20" t="n">
        <f aca="false">IFERROR(IF(VLOOKUP($A37,'Your Pooling'!$A$12:$K$30,MATCH("Already In Pool?",'Your Pooling'!$A$12:$K$12,0),0)="Y",0,VLOOKUP($A37,'Your Pooling'!$A$12:$K$30,MATCH("Your XXX Pooled",'Your Pooling'!$A$12:$K$12,0),))+K37,K37)</f>
        <v>0</v>
      </c>
      <c r="I37" s="11" t="n">
        <f aca="false">G37*H37</f>
        <v>0</v>
      </c>
      <c r="J37" s="22"/>
      <c r="K37" s="22"/>
      <c r="L37" s="22"/>
      <c r="O37" s="16" t="n">
        <f aca="false">E37*DAILYANY</f>
        <v>0</v>
      </c>
      <c r="P37" s="1" t="n">
        <f aca="false">L37*FEEREWARDS</f>
        <v>0</v>
      </c>
      <c r="Q37" s="16" t="n">
        <f aca="false" t="array" ref="Q37:Q37">P37*BNBPRICE+O37*ANYBNB*BNBPRICE</f>
        <v>0</v>
      </c>
      <c r="R37" s="23" t="n">
        <f aca="false" t="array" ref="R37:R37">IFERROR((Q37/BNBPRICE)/(2*G37),0)</f>
        <v>0</v>
      </c>
      <c r="S37" s="18" t="n">
        <f aca="false">R37*365</f>
        <v>0</v>
      </c>
    </row>
    <row r="38" customFormat="false" ht="15" hidden="false" customHeight="false" outlineLevel="0" collapsed="false">
      <c r="A38" s="0" t="str">
        <f aca="false">C38&amp;"-"&amp;D38</f>
        <v>-</v>
      </c>
      <c r="B38" s="17" t="n">
        <f aca="false">IF(OR(C38="ANY",D38="ANY"),2,1)</f>
        <v>1</v>
      </c>
      <c r="C38" s="17"/>
      <c r="D38" s="17"/>
      <c r="E38" s="18" t="n">
        <f aca="false">B38*G38/SUMPRODUCT($G$11:$G$100,$B$11:$B$100)</f>
        <v>0</v>
      </c>
      <c r="F38" s="19" t="n">
        <f aca="false">IFERROR(J38/K38,0)</f>
        <v>0</v>
      </c>
      <c r="G38" s="20" t="n">
        <f aca="false">IFERROR(IF(VLOOKUP($A38,'Your Pooling'!$A$12:$K$30,MATCH("Already In Pool?",'Your Pooling'!$A$12:$K$12,0),0)="Y",0,VLOOKUP($A38,'Your Pooling'!$A$12:$K$30,MATCH("Your BNB Pooled",'Your Pooling'!$A$12:$K$12,0),))+J38,J38)</f>
        <v>0</v>
      </c>
      <c r="H38" s="20" t="n">
        <f aca="false">IFERROR(IF(VLOOKUP($A38,'Your Pooling'!$A$12:$K$30,MATCH("Already In Pool?",'Your Pooling'!$A$12:$K$12,0),0)="Y",0,VLOOKUP($A38,'Your Pooling'!$A$12:$K$30,MATCH("Your XXX Pooled",'Your Pooling'!$A$12:$K$12,0),))+K38,K38)</f>
        <v>0</v>
      </c>
      <c r="I38" s="11" t="n">
        <f aca="false">G38*H38</f>
        <v>0</v>
      </c>
      <c r="J38" s="22"/>
      <c r="K38" s="22"/>
      <c r="L38" s="22"/>
      <c r="O38" s="16" t="n">
        <f aca="false">E38*DAILYANY</f>
        <v>0</v>
      </c>
      <c r="P38" s="1" t="n">
        <f aca="false">L38*FEEREWARDS</f>
        <v>0</v>
      </c>
      <c r="Q38" s="16" t="n">
        <f aca="false" t="array" ref="Q38:Q38">P38*BNBPRICE+O38*ANYBNB*BNBPRICE</f>
        <v>0</v>
      </c>
      <c r="R38" s="23" t="n">
        <f aca="false" t="array" ref="R38:R38">IFERROR((Q38/BNBPRICE)/(2*G38),0)</f>
        <v>0</v>
      </c>
      <c r="S38" s="18" t="n">
        <f aca="false">R38*365</f>
        <v>0</v>
      </c>
    </row>
    <row r="39" customFormat="false" ht="15" hidden="false" customHeight="false" outlineLevel="0" collapsed="false">
      <c r="A39" s="0" t="str">
        <f aca="false">C39&amp;"-"&amp;D39</f>
        <v>-</v>
      </c>
      <c r="B39" s="17" t="n">
        <f aca="false">IF(OR(C39="ANY",D39="ANY"),2,1)</f>
        <v>1</v>
      </c>
      <c r="C39" s="17"/>
      <c r="D39" s="17"/>
      <c r="E39" s="18" t="n">
        <f aca="false">B39*G39/SUMPRODUCT($G$11:$G$100,$B$11:$B$100)</f>
        <v>0</v>
      </c>
      <c r="F39" s="19" t="n">
        <f aca="false">IFERROR(J39/K39,0)</f>
        <v>0</v>
      </c>
      <c r="G39" s="20" t="n">
        <f aca="false">IFERROR(IF(VLOOKUP($A39,'Your Pooling'!$A$12:$K$30,MATCH("Already In Pool?",'Your Pooling'!$A$12:$K$12,0),0)="Y",0,VLOOKUP($A39,'Your Pooling'!$A$12:$K$30,MATCH("Your BNB Pooled",'Your Pooling'!$A$12:$K$12,0),))+J39,J39)</f>
        <v>0</v>
      </c>
      <c r="H39" s="20" t="n">
        <f aca="false">IFERROR(IF(VLOOKUP($A39,'Your Pooling'!$A$12:$K$30,MATCH("Already In Pool?",'Your Pooling'!$A$12:$K$12,0),0)="Y",0,VLOOKUP($A39,'Your Pooling'!$A$12:$K$30,MATCH("Your XXX Pooled",'Your Pooling'!$A$12:$K$12,0),))+K39,K39)</f>
        <v>0</v>
      </c>
      <c r="I39" s="11" t="n">
        <f aca="false">G39*H39</f>
        <v>0</v>
      </c>
      <c r="J39" s="11"/>
      <c r="K39" s="11"/>
      <c r="L39" s="22"/>
      <c r="O39" s="16" t="n">
        <f aca="false">E39*DAILYANY</f>
        <v>0</v>
      </c>
      <c r="P39" s="1" t="n">
        <f aca="false">L39*FEEREWARDS</f>
        <v>0</v>
      </c>
      <c r="Q39" s="16" t="n">
        <f aca="false" t="array" ref="Q39:Q39">P39*BNBPRICE+O39*ANYBNB*BNBPRICE</f>
        <v>0</v>
      </c>
      <c r="R39" s="23" t="n">
        <f aca="false" t="array" ref="R39:R39">IFERROR((Q39/BNBPRICE)/(2*G39),0)</f>
        <v>0</v>
      </c>
      <c r="S39" s="18" t="n">
        <f aca="false">R39*365</f>
        <v>0</v>
      </c>
    </row>
    <row r="40" customFormat="false" ht="15" hidden="false" customHeight="false" outlineLevel="0" collapsed="false">
      <c r="A40" s="0" t="str">
        <f aca="false">C40&amp;"-"&amp;D40</f>
        <v>-</v>
      </c>
      <c r="B40" s="17" t="n">
        <f aca="false">IF(OR(C40="ANY",D40="ANY"),2,1)</f>
        <v>1</v>
      </c>
      <c r="C40" s="17"/>
      <c r="D40" s="17"/>
      <c r="E40" s="18" t="n">
        <f aca="false">B40*G40/SUMPRODUCT($G$11:$G$100,$B$11:$B$100)</f>
        <v>0</v>
      </c>
      <c r="F40" s="19" t="n">
        <f aca="false">IFERROR(J40/K40,0)</f>
        <v>0</v>
      </c>
      <c r="G40" s="20" t="n">
        <f aca="false">IFERROR(IF(VLOOKUP($A40,'Your Pooling'!$A$12:$K$30,MATCH("Already In Pool?",'Your Pooling'!$A$12:$K$12,0),0)="Y",0,VLOOKUP($A40,'Your Pooling'!$A$12:$K$30,MATCH("Your BNB Pooled",'Your Pooling'!$A$12:$K$12,0),))+J40,J40)</f>
        <v>0</v>
      </c>
      <c r="H40" s="20" t="n">
        <f aca="false">IFERROR(IF(VLOOKUP($A40,'Your Pooling'!$A$12:$K$30,MATCH("Already In Pool?",'Your Pooling'!$A$12:$K$12,0),0)="Y",0,VLOOKUP($A40,'Your Pooling'!$A$12:$K$30,MATCH("Your XXX Pooled",'Your Pooling'!$A$12:$K$12,0),))+K40,K40)</f>
        <v>0</v>
      </c>
      <c r="I40" s="11" t="n">
        <f aca="false">G40*H40</f>
        <v>0</v>
      </c>
      <c r="J40" s="11"/>
      <c r="K40" s="11"/>
      <c r="L40" s="22"/>
      <c r="O40" s="16" t="n">
        <f aca="false">E40*DAILYANY</f>
        <v>0</v>
      </c>
      <c r="P40" s="1" t="n">
        <f aca="false">L40*FEEREWARDS</f>
        <v>0</v>
      </c>
      <c r="Q40" s="16" t="n">
        <f aca="false" t="array" ref="Q40:Q40">P40*BNBPRICE+O40*ANYBNB*BNBPRICE</f>
        <v>0</v>
      </c>
      <c r="R40" s="23" t="n">
        <f aca="false" t="array" ref="R40:R40">IFERROR((Q40/BNBPRICE)/(2*G40),0)</f>
        <v>0</v>
      </c>
      <c r="S40" s="18" t="n">
        <f aca="false">R40*365</f>
        <v>0</v>
      </c>
    </row>
    <row r="41" customFormat="false" ht="15" hidden="false" customHeight="false" outlineLevel="0" collapsed="false">
      <c r="A41" s="0" t="str">
        <f aca="false">C41&amp;"-"&amp;D41</f>
        <v>-</v>
      </c>
      <c r="B41" s="17" t="n">
        <f aca="false">IF(OR(C41="ANY",D41="ANY"),2,1)</f>
        <v>1</v>
      </c>
      <c r="C41" s="17"/>
      <c r="D41" s="17"/>
      <c r="E41" s="18" t="n">
        <f aca="false">B41*G41/SUMPRODUCT($G$11:$G$100,$B$11:$B$100)</f>
        <v>0</v>
      </c>
      <c r="F41" s="19" t="n">
        <f aca="false">IFERROR(J41/K41,0)</f>
        <v>0</v>
      </c>
      <c r="G41" s="20" t="n">
        <f aca="false">IFERROR(IF(VLOOKUP($A41,'Your Pooling'!$A$12:$K$30,MATCH("Already In Pool?",'Your Pooling'!$A$12:$K$12,0),0)="Y",0,VLOOKUP($A41,'Your Pooling'!$A$12:$K$30,MATCH("Your BNB Pooled",'Your Pooling'!$A$12:$K$12,0),))+J41,J41)</f>
        <v>0</v>
      </c>
      <c r="H41" s="20" t="n">
        <f aca="false">IFERROR(IF(VLOOKUP($A41,'Your Pooling'!$A$12:$K$30,MATCH("Already In Pool?",'Your Pooling'!$A$12:$K$12,0),0)="Y",0,VLOOKUP($A41,'Your Pooling'!$A$12:$K$30,MATCH("Your XXX Pooled",'Your Pooling'!$A$12:$K$12,0),))+K41,K41)</f>
        <v>0</v>
      </c>
      <c r="I41" s="11" t="n">
        <f aca="false">G41*H41</f>
        <v>0</v>
      </c>
      <c r="J41" s="11"/>
      <c r="K41" s="11"/>
      <c r="L41" s="22"/>
      <c r="O41" s="16" t="n">
        <f aca="false">E41*DAILYANY</f>
        <v>0</v>
      </c>
      <c r="P41" s="1" t="n">
        <f aca="false">L41*FEEREWARDS</f>
        <v>0</v>
      </c>
      <c r="Q41" s="16" t="n">
        <f aca="false" t="array" ref="Q41:Q41">P41*BNBPRICE+O41*ANYBNB*BNBPRICE</f>
        <v>0</v>
      </c>
      <c r="R41" s="23" t="n">
        <f aca="false" t="array" ref="R41:R41">IFERROR((Q41/BNBPRICE)/(2*G41),0)</f>
        <v>0</v>
      </c>
      <c r="S41" s="18" t="n">
        <f aca="false">R41*365</f>
        <v>0</v>
      </c>
    </row>
    <row r="42" customFormat="false" ht="15" hidden="false" customHeight="false" outlineLevel="0" collapsed="false">
      <c r="A42" s="0" t="str">
        <f aca="false">C42&amp;"-"&amp;D42</f>
        <v>-</v>
      </c>
      <c r="B42" s="17" t="n">
        <f aca="false">IF(OR(C42="ANY",D42="ANY"),2,1)</f>
        <v>1</v>
      </c>
      <c r="C42" s="17"/>
      <c r="D42" s="17"/>
      <c r="E42" s="18" t="n">
        <f aca="false">B42*G42/SUMPRODUCT($G$11:$G$100,$B$11:$B$100)</f>
        <v>0</v>
      </c>
      <c r="F42" s="19" t="n">
        <f aca="false">IFERROR(J42/K42,0)</f>
        <v>0</v>
      </c>
      <c r="G42" s="20" t="n">
        <f aca="false">IFERROR(IF(VLOOKUP($A42,'Your Pooling'!$A$12:$K$30,MATCH("Already In Pool?",'Your Pooling'!$A$12:$K$12,0),0)="Y",0,VLOOKUP($A42,'Your Pooling'!$A$12:$K$30,MATCH("Your BNB Pooled",'Your Pooling'!$A$12:$K$12,0),))+J42,J42)</f>
        <v>0</v>
      </c>
      <c r="H42" s="20" t="n">
        <f aca="false">IFERROR(IF(VLOOKUP($A42,'Your Pooling'!$A$12:$K$30,MATCH("Already In Pool?",'Your Pooling'!$A$12:$K$12,0),0)="Y",0,VLOOKUP($A42,'Your Pooling'!$A$12:$K$30,MATCH("Your XXX Pooled",'Your Pooling'!$A$12:$K$12,0),))+K42,K42)</f>
        <v>0</v>
      </c>
      <c r="I42" s="11" t="n">
        <f aca="false">G42*H42</f>
        <v>0</v>
      </c>
      <c r="J42" s="11"/>
      <c r="K42" s="11"/>
      <c r="L42" s="22"/>
      <c r="O42" s="16" t="n">
        <f aca="false">E42*DAILYANY</f>
        <v>0</v>
      </c>
      <c r="P42" s="1" t="n">
        <f aca="false">L42*FEEREWARDS</f>
        <v>0</v>
      </c>
      <c r="Q42" s="16" t="n">
        <f aca="false" t="array" ref="Q42:Q42">P42*BNBPRICE+O42*ANYBNB*BNBPRICE</f>
        <v>0</v>
      </c>
      <c r="R42" s="23" t="n">
        <f aca="false" t="array" ref="R42:R42">IFERROR((Q42/BNBPRICE)/(2*G42),0)</f>
        <v>0</v>
      </c>
      <c r="S42" s="18" t="n">
        <f aca="false">R42*365</f>
        <v>0</v>
      </c>
    </row>
    <row r="43" customFormat="false" ht="15" hidden="false" customHeight="false" outlineLevel="0" collapsed="false">
      <c r="A43" s="0" t="str">
        <f aca="false">C43&amp;"-"&amp;D43</f>
        <v>-</v>
      </c>
      <c r="B43" s="17" t="n">
        <f aca="false">IF(OR(C43="ANY",D43="ANY"),2,1)</f>
        <v>1</v>
      </c>
      <c r="C43" s="17"/>
      <c r="D43" s="17"/>
      <c r="E43" s="18" t="n">
        <f aca="false">B43*G43/SUMPRODUCT($G$11:$G$100,$B$11:$B$100)</f>
        <v>0</v>
      </c>
      <c r="F43" s="19" t="n">
        <f aca="false">IFERROR(J43/K43,0)</f>
        <v>0</v>
      </c>
      <c r="G43" s="20" t="n">
        <f aca="false">IFERROR(IF(VLOOKUP($A43,'Your Pooling'!$A$12:$K$30,MATCH("Already In Pool?",'Your Pooling'!$A$12:$K$12,0),0)="Y",0,VLOOKUP($A43,'Your Pooling'!$A$12:$K$30,MATCH("Your BNB Pooled",'Your Pooling'!$A$12:$K$12,0),))+J43,J43)</f>
        <v>0</v>
      </c>
      <c r="H43" s="20" t="n">
        <f aca="false">IFERROR(IF(VLOOKUP($A43,'Your Pooling'!$A$12:$K$30,MATCH("Already In Pool?",'Your Pooling'!$A$12:$K$12,0),0)="Y",0,VLOOKUP($A43,'Your Pooling'!$A$12:$K$30,MATCH("Your XXX Pooled",'Your Pooling'!$A$12:$K$12,0),))+K43,K43)</f>
        <v>0</v>
      </c>
      <c r="I43" s="11" t="n">
        <f aca="false">G43*H43</f>
        <v>0</v>
      </c>
      <c r="J43" s="11"/>
      <c r="K43" s="11"/>
      <c r="L43" s="22"/>
      <c r="O43" s="16" t="n">
        <f aca="false">E43*DAILYANY</f>
        <v>0</v>
      </c>
      <c r="P43" s="1" t="n">
        <f aca="false">L43*FEEREWARDS</f>
        <v>0</v>
      </c>
      <c r="Q43" s="16" t="n">
        <f aca="false" t="array" ref="Q43:Q43">P43*BNBPRICE+O43*ANYBNB*BNBPRICE</f>
        <v>0</v>
      </c>
      <c r="R43" s="23" t="n">
        <f aca="false" t="array" ref="R43:R43">IFERROR((Q43/BNBPRICE)/(2*G43),0)</f>
        <v>0</v>
      </c>
      <c r="S43" s="18" t="n">
        <f aca="false">R43*365</f>
        <v>0</v>
      </c>
    </row>
    <row r="44" customFormat="false" ht="15" hidden="false" customHeight="false" outlineLevel="0" collapsed="false">
      <c r="A44" s="0" t="str">
        <f aca="false">C44&amp;"-"&amp;D44</f>
        <v>-</v>
      </c>
      <c r="B44" s="17" t="n">
        <f aca="false">IF(OR(C44="ANY",D44="ANY"),2,1)</f>
        <v>1</v>
      </c>
      <c r="C44" s="17"/>
      <c r="D44" s="17"/>
      <c r="E44" s="18" t="n">
        <f aca="false">B44*G44/SUMPRODUCT($G$11:$G$100,$B$11:$B$100)</f>
        <v>0</v>
      </c>
      <c r="F44" s="19" t="n">
        <f aca="false">IFERROR(J44/K44,0)</f>
        <v>0</v>
      </c>
      <c r="G44" s="20" t="n">
        <f aca="false">IFERROR(IF(VLOOKUP($A44,'Your Pooling'!$A$12:$K$30,MATCH("Already In Pool?",'Your Pooling'!$A$12:$K$12,0),0)="Y",0,VLOOKUP($A44,'Your Pooling'!$A$12:$K$30,MATCH("Your BNB Pooled",'Your Pooling'!$A$12:$K$12,0),))+J44,J44)</f>
        <v>0</v>
      </c>
      <c r="H44" s="20" t="n">
        <f aca="false">IFERROR(IF(VLOOKUP($A44,'Your Pooling'!$A$12:$K$30,MATCH("Already In Pool?",'Your Pooling'!$A$12:$K$12,0),0)="Y",0,VLOOKUP($A44,'Your Pooling'!$A$12:$K$30,MATCH("Your XXX Pooled",'Your Pooling'!$A$12:$K$12,0),))+K44,K44)</f>
        <v>0</v>
      </c>
      <c r="I44" s="11" t="n">
        <f aca="false">G44*H44</f>
        <v>0</v>
      </c>
      <c r="J44" s="11"/>
      <c r="K44" s="11"/>
      <c r="L44" s="22"/>
      <c r="O44" s="16" t="n">
        <f aca="false">E44*DAILYANY</f>
        <v>0</v>
      </c>
      <c r="P44" s="1" t="n">
        <f aca="false">L44*FEEREWARDS</f>
        <v>0</v>
      </c>
      <c r="Q44" s="16" t="n">
        <f aca="false" t="array" ref="Q44:Q44">P44*BNBPRICE+O44*ANYBNB*BNBPRICE</f>
        <v>0</v>
      </c>
      <c r="R44" s="23" t="n">
        <f aca="false" t="array" ref="R44:R44">IFERROR((Q44/BNBPRICE)/(2*G44),0)</f>
        <v>0</v>
      </c>
      <c r="S44" s="18" t="n">
        <f aca="false">R44*365</f>
        <v>0</v>
      </c>
    </row>
    <row r="45" customFormat="false" ht="15" hidden="false" customHeight="false" outlineLevel="0" collapsed="false">
      <c r="A45" s="0" t="str">
        <f aca="false">C45&amp;"-"&amp;D45</f>
        <v>-</v>
      </c>
      <c r="B45" s="17" t="n">
        <f aca="false">IF(OR(C45="ANY",D45="ANY"),2,1)</f>
        <v>1</v>
      </c>
      <c r="C45" s="17"/>
      <c r="D45" s="17"/>
      <c r="E45" s="18" t="n">
        <f aca="false">B45*G45/SUMPRODUCT($G$11:$G$100,$B$11:$B$100)</f>
        <v>0</v>
      </c>
      <c r="F45" s="19" t="n">
        <f aca="false">IFERROR(J45/K45,0)</f>
        <v>0</v>
      </c>
      <c r="G45" s="20" t="n">
        <f aca="false">IFERROR(IF(VLOOKUP($A45,'Your Pooling'!$A$12:$K$30,MATCH("Already In Pool?",'Your Pooling'!$A$12:$K$12,0),0)="Y",0,VLOOKUP($A45,'Your Pooling'!$A$12:$K$30,MATCH("Your BNB Pooled",'Your Pooling'!$A$12:$K$12,0),))+J45,J45)</f>
        <v>0</v>
      </c>
      <c r="H45" s="20" t="n">
        <f aca="false">IFERROR(IF(VLOOKUP($A45,'Your Pooling'!$A$12:$K$30,MATCH("Already In Pool?",'Your Pooling'!$A$12:$K$12,0),0)="Y",0,VLOOKUP($A45,'Your Pooling'!$A$12:$K$30,MATCH("Your XXX Pooled",'Your Pooling'!$A$12:$K$12,0),))+K45,K45)</f>
        <v>0</v>
      </c>
      <c r="I45" s="11" t="n">
        <f aca="false">G45*H45</f>
        <v>0</v>
      </c>
      <c r="J45" s="11"/>
      <c r="K45" s="11"/>
      <c r="L45" s="22"/>
      <c r="O45" s="16" t="n">
        <f aca="false">E45*DAILYANY</f>
        <v>0</v>
      </c>
      <c r="P45" s="1" t="n">
        <f aca="false">L45*FEEREWARDS</f>
        <v>0</v>
      </c>
      <c r="Q45" s="16" t="n">
        <f aca="false" t="array" ref="Q45:Q45">P45*BNBPRICE+O45*ANYBNB*BNBPRICE</f>
        <v>0</v>
      </c>
      <c r="R45" s="23" t="n">
        <f aca="false" t="array" ref="R45:R45">IFERROR((Q45/BNBPRICE)/(2*G45),0)</f>
        <v>0</v>
      </c>
      <c r="S45" s="18" t="n">
        <f aca="false">R45*365</f>
        <v>0</v>
      </c>
    </row>
    <row r="46" customFormat="false" ht="15" hidden="false" customHeight="false" outlineLevel="0" collapsed="false">
      <c r="A46" s="0" t="str">
        <f aca="false">C46&amp;"-"&amp;D46</f>
        <v>-</v>
      </c>
      <c r="B46" s="17" t="n">
        <f aca="false">IF(OR(C46="ANY",D46="ANY"),2,1)</f>
        <v>1</v>
      </c>
      <c r="C46" s="17"/>
      <c r="D46" s="17"/>
      <c r="E46" s="18" t="n">
        <f aca="false">B46*G46/SUMPRODUCT($G$11:$G$100,$B$11:$B$100)</f>
        <v>0</v>
      </c>
      <c r="F46" s="19" t="n">
        <f aca="false">IFERROR(J46/K46,0)</f>
        <v>0</v>
      </c>
      <c r="G46" s="20" t="n">
        <f aca="false">IFERROR(IF(VLOOKUP($A46,'Your Pooling'!$A$12:$K$30,MATCH("Already In Pool?",'Your Pooling'!$A$12:$K$12,0),0)="Y",0,VLOOKUP($A46,'Your Pooling'!$A$12:$K$30,MATCH("Your BNB Pooled",'Your Pooling'!$A$12:$K$12,0),))+J46,J46)</f>
        <v>0</v>
      </c>
      <c r="H46" s="20" t="n">
        <f aca="false">IFERROR(IF(VLOOKUP($A46,'Your Pooling'!$A$12:$K$30,MATCH("Already In Pool?",'Your Pooling'!$A$12:$K$12,0),0)="Y",0,VLOOKUP($A46,'Your Pooling'!$A$12:$K$30,MATCH("Your XXX Pooled",'Your Pooling'!$A$12:$K$12,0),))+K46,K46)</f>
        <v>0</v>
      </c>
      <c r="I46" s="11" t="n">
        <f aca="false">G46*H46</f>
        <v>0</v>
      </c>
      <c r="J46" s="11"/>
      <c r="K46" s="11"/>
      <c r="L46" s="22"/>
      <c r="O46" s="16" t="n">
        <f aca="false">E46*DAILYANY</f>
        <v>0</v>
      </c>
      <c r="P46" s="1" t="n">
        <f aca="false">L46*FEEREWARDS</f>
        <v>0</v>
      </c>
      <c r="Q46" s="16" t="n">
        <f aca="false" t="array" ref="Q46:Q46">P46*BNBPRICE+O46*ANYBNB*BNBPRICE</f>
        <v>0</v>
      </c>
      <c r="R46" s="23" t="n">
        <f aca="false" t="array" ref="R46:R46">IFERROR((Q46/BNBPRICE)/(2*G46),0)</f>
        <v>0</v>
      </c>
      <c r="S46" s="18" t="n">
        <f aca="false">R46*365</f>
        <v>0</v>
      </c>
    </row>
    <row r="47" customFormat="false" ht="15" hidden="false" customHeight="false" outlineLevel="0" collapsed="false">
      <c r="A47" s="0" t="str">
        <f aca="false">C47&amp;"-"&amp;D47</f>
        <v>-</v>
      </c>
      <c r="B47" s="17" t="n">
        <f aca="false">IF(OR(C47="ANY",D47="ANY"),2,1)</f>
        <v>1</v>
      </c>
      <c r="C47" s="17"/>
      <c r="D47" s="17"/>
      <c r="E47" s="18" t="n">
        <f aca="false">B47*G47/SUMPRODUCT($G$11:$G$100,$B$11:$B$100)</f>
        <v>0</v>
      </c>
      <c r="F47" s="19" t="n">
        <f aca="false">IFERROR(J47/K47,0)</f>
        <v>0</v>
      </c>
      <c r="G47" s="20" t="n">
        <f aca="false">IFERROR(IF(VLOOKUP($A47,'Your Pooling'!$A$12:$K$30,MATCH("Already In Pool?",'Your Pooling'!$A$12:$K$12,0),0)="Y",0,VLOOKUP($A47,'Your Pooling'!$A$12:$K$30,MATCH("Your BNB Pooled",'Your Pooling'!$A$12:$K$12,0),))+J47,J47)</f>
        <v>0</v>
      </c>
      <c r="H47" s="20" t="n">
        <f aca="false">IFERROR(IF(VLOOKUP($A47,'Your Pooling'!$A$12:$K$30,MATCH("Already In Pool?",'Your Pooling'!$A$12:$K$12,0),0)="Y",0,VLOOKUP($A47,'Your Pooling'!$A$12:$K$30,MATCH("Your XXX Pooled",'Your Pooling'!$A$12:$K$12,0),))+K47,K47)</f>
        <v>0</v>
      </c>
      <c r="I47" s="11" t="n">
        <f aca="false">G47*H47</f>
        <v>0</v>
      </c>
      <c r="J47" s="11"/>
      <c r="K47" s="11"/>
      <c r="L47" s="22"/>
      <c r="O47" s="16" t="n">
        <f aca="false">E47*DAILYANY</f>
        <v>0</v>
      </c>
      <c r="P47" s="1" t="n">
        <f aca="false">L47*FEEREWARDS</f>
        <v>0</v>
      </c>
      <c r="Q47" s="16" t="n">
        <f aca="false" t="array" ref="Q47:Q47">P47*BNBPRICE+O47*ANYBNB*BNBPRICE</f>
        <v>0</v>
      </c>
      <c r="R47" s="23" t="n">
        <f aca="false" t="array" ref="R47:R47">IFERROR((Q47/BNBPRICE)/(2*G47),0)</f>
        <v>0</v>
      </c>
      <c r="S47" s="18" t="n">
        <f aca="false">R47*365</f>
        <v>0</v>
      </c>
    </row>
    <row r="48" customFormat="false" ht="15" hidden="false" customHeight="false" outlineLevel="0" collapsed="false">
      <c r="A48" s="0" t="str">
        <f aca="false">C48&amp;"-"&amp;D48</f>
        <v>-</v>
      </c>
      <c r="B48" s="17" t="n">
        <f aca="false">IF(OR(C48="ANY",D48="ANY"),2,1)</f>
        <v>1</v>
      </c>
      <c r="C48" s="17"/>
      <c r="D48" s="17"/>
      <c r="E48" s="18" t="n">
        <f aca="false">B48*G48/SUMPRODUCT($G$11:$G$100,$B$11:$B$100)</f>
        <v>0</v>
      </c>
      <c r="F48" s="19" t="n">
        <f aca="false">IFERROR(J48/K48,0)</f>
        <v>0</v>
      </c>
      <c r="G48" s="20" t="n">
        <f aca="false">IFERROR(IF(VLOOKUP($A48,'Your Pooling'!$A$12:$K$30,MATCH("Already In Pool?",'Your Pooling'!$A$12:$K$12,0),0)="Y",0,VLOOKUP($A48,'Your Pooling'!$A$12:$K$30,MATCH("Your BNB Pooled",'Your Pooling'!$A$12:$K$12,0),))+J48,J48)</f>
        <v>0</v>
      </c>
      <c r="H48" s="20" t="n">
        <f aca="false">IFERROR(IF(VLOOKUP($A48,'Your Pooling'!$A$12:$K$30,MATCH("Already In Pool?",'Your Pooling'!$A$12:$K$12,0),0)="Y",0,VLOOKUP($A48,'Your Pooling'!$A$12:$K$30,MATCH("Your XXX Pooled",'Your Pooling'!$A$12:$K$12,0),))+K48,K48)</f>
        <v>0</v>
      </c>
      <c r="I48" s="11" t="n">
        <f aca="false">G48*H48</f>
        <v>0</v>
      </c>
      <c r="J48" s="11"/>
      <c r="K48" s="11"/>
      <c r="L48" s="22"/>
      <c r="O48" s="16" t="n">
        <f aca="false">E48*DAILYANY</f>
        <v>0</v>
      </c>
      <c r="P48" s="1" t="n">
        <f aca="false">L48*FEEREWARDS</f>
        <v>0</v>
      </c>
      <c r="Q48" s="16" t="n">
        <f aca="false" t="array" ref="Q48:Q48">P48*BNBPRICE+O48*ANYBNB*BNBPRICE</f>
        <v>0</v>
      </c>
      <c r="R48" s="23" t="n">
        <f aca="false" t="array" ref="R48:R48">IFERROR((Q48/BNBPRICE)/(2*G48),0)</f>
        <v>0</v>
      </c>
      <c r="S48" s="18" t="n">
        <f aca="false">R48*365</f>
        <v>0</v>
      </c>
    </row>
    <row r="49" customFormat="false" ht="15" hidden="false" customHeight="false" outlineLevel="0" collapsed="false">
      <c r="A49" s="0" t="str">
        <f aca="false">C49&amp;"-"&amp;D49</f>
        <v>-</v>
      </c>
      <c r="B49" s="17" t="n">
        <f aca="false">IF(OR(C49="ANY",D49="ANY"),2,1)</f>
        <v>1</v>
      </c>
      <c r="C49" s="17"/>
      <c r="D49" s="17"/>
      <c r="E49" s="18" t="n">
        <f aca="false">B49*G49/SUMPRODUCT($G$11:$G$100,$B$11:$B$100)</f>
        <v>0</v>
      </c>
      <c r="F49" s="19" t="n">
        <f aca="false">IFERROR(J49/K49,0)</f>
        <v>0</v>
      </c>
      <c r="G49" s="20" t="n">
        <f aca="false">IFERROR(IF(VLOOKUP($A49,'Your Pooling'!$A$12:$K$30,MATCH("Already In Pool?",'Your Pooling'!$A$12:$K$12,0),0)="Y",0,VLOOKUP($A49,'Your Pooling'!$A$12:$K$30,MATCH("Your BNB Pooled",'Your Pooling'!$A$12:$K$12,0),))+J49,J49)</f>
        <v>0</v>
      </c>
      <c r="H49" s="20" t="n">
        <f aca="false">IFERROR(IF(VLOOKUP($A49,'Your Pooling'!$A$12:$K$30,MATCH("Already In Pool?",'Your Pooling'!$A$12:$K$12,0),0)="Y",0,VLOOKUP($A49,'Your Pooling'!$A$12:$K$30,MATCH("Your XXX Pooled",'Your Pooling'!$A$12:$K$12,0),))+K49,K49)</f>
        <v>0</v>
      </c>
      <c r="I49" s="11" t="n">
        <f aca="false">G49*H49</f>
        <v>0</v>
      </c>
      <c r="J49" s="11"/>
      <c r="K49" s="11"/>
      <c r="L49" s="22"/>
      <c r="O49" s="16" t="n">
        <f aca="false">E49*DAILYANY</f>
        <v>0</v>
      </c>
      <c r="P49" s="1" t="n">
        <f aca="false">L49*FEEREWARDS</f>
        <v>0</v>
      </c>
      <c r="Q49" s="16" t="n">
        <f aca="false" t="array" ref="Q49:Q49">P49*BNBPRICE+O49*ANYBNB*BNBPRICE</f>
        <v>0</v>
      </c>
      <c r="R49" s="23" t="n">
        <f aca="false" t="array" ref="R49:R49">IFERROR((Q49/BNBPRICE)/(2*G49),0)</f>
        <v>0</v>
      </c>
      <c r="S49" s="18" t="n">
        <f aca="false">R49*365</f>
        <v>0</v>
      </c>
    </row>
    <row r="50" customFormat="false" ht="15" hidden="false" customHeight="false" outlineLevel="0" collapsed="false">
      <c r="A50" s="0" t="str">
        <f aca="false">C50&amp;"-"&amp;D50</f>
        <v>-</v>
      </c>
      <c r="B50" s="17" t="n">
        <f aca="false">IF(OR(C50="ANY",D50="ANY"),2,1)</f>
        <v>1</v>
      </c>
      <c r="C50" s="17"/>
      <c r="D50" s="17"/>
      <c r="E50" s="18" t="n">
        <f aca="false">B50*G50/SUMPRODUCT($G$11:$G$100,$B$11:$B$100)</f>
        <v>0</v>
      </c>
      <c r="F50" s="19" t="n">
        <f aca="false">IFERROR(J50/K50,0)</f>
        <v>0</v>
      </c>
      <c r="G50" s="20" t="n">
        <f aca="false">IFERROR(IF(VLOOKUP($A50,'Your Pooling'!$A$12:$K$30,MATCH("Already In Pool?",'Your Pooling'!$A$12:$K$12,0),0)="Y",0,VLOOKUP($A50,'Your Pooling'!$A$12:$K$30,MATCH("Your BNB Pooled",'Your Pooling'!$A$12:$K$12,0),))+J50,J50)</f>
        <v>0</v>
      </c>
      <c r="H50" s="20" t="n">
        <f aca="false">IFERROR(IF(VLOOKUP($A50,'Your Pooling'!$A$12:$K$30,MATCH("Already In Pool?",'Your Pooling'!$A$12:$K$12,0),0)="Y",0,VLOOKUP($A50,'Your Pooling'!$A$12:$K$30,MATCH("Your XXX Pooled",'Your Pooling'!$A$12:$K$12,0),))+K50,K50)</f>
        <v>0</v>
      </c>
      <c r="I50" s="11" t="n">
        <f aca="false">G50*H50</f>
        <v>0</v>
      </c>
      <c r="J50" s="11"/>
      <c r="K50" s="11"/>
      <c r="L50" s="22"/>
      <c r="O50" s="16" t="n">
        <f aca="false">E50*DAILYANY</f>
        <v>0</v>
      </c>
      <c r="P50" s="1" t="n">
        <f aca="false">L50*FEEREWARDS</f>
        <v>0</v>
      </c>
      <c r="Q50" s="16" t="n">
        <f aca="false" t="array" ref="Q50:Q50">P50*BNBPRICE+O50*ANYBNB*BNBPRICE</f>
        <v>0</v>
      </c>
      <c r="R50" s="23" t="n">
        <f aca="false" t="array" ref="R50:R50">IFERROR((Q50/BNBPRICE)/(2*G50),0)</f>
        <v>0</v>
      </c>
      <c r="S50" s="18" t="n">
        <f aca="false">R50*365</f>
        <v>0</v>
      </c>
    </row>
    <row r="51" customFormat="false" ht="15" hidden="false" customHeight="false" outlineLevel="0" collapsed="false">
      <c r="A51" s="0" t="str">
        <f aca="false">C51&amp;"-"&amp;D51</f>
        <v>-</v>
      </c>
      <c r="B51" s="17" t="n">
        <f aca="false">IF(OR(C51="ANY",D51="ANY"),2,1)</f>
        <v>1</v>
      </c>
      <c r="C51" s="17"/>
      <c r="D51" s="17"/>
      <c r="E51" s="18" t="n">
        <f aca="false">B51*G51/SUMPRODUCT($G$11:$G$100,$B$11:$B$100)</f>
        <v>0</v>
      </c>
      <c r="F51" s="19" t="n">
        <f aca="false">IFERROR(J51/K51,0)</f>
        <v>0</v>
      </c>
      <c r="G51" s="20" t="n">
        <f aca="false">IFERROR(IF(VLOOKUP($A51,'Your Pooling'!$A$12:$K$30,MATCH("Already In Pool?",'Your Pooling'!$A$12:$K$12,0),0)="Y",0,VLOOKUP($A51,'Your Pooling'!$A$12:$K$30,MATCH("Your BNB Pooled",'Your Pooling'!$A$12:$K$12,0),))+J51,J51)</f>
        <v>0</v>
      </c>
      <c r="H51" s="20" t="n">
        <f aca="false">IFERROR(IF(VLOOKUP($A51,'Your Pooling'!$A$12:$K$30,MATCH("Already In Pool?",'Your Pooling'!$A$12:$K$12,0),0)="Y",0,VLOOKUP($A51,'Your Pooling'!$A$12:$K$30,MATCH("Your XXX Pooled",'Your Pooling'!$A$12:$K$12,0),))+K51,K51)</f>
        <v>0</v>
      </c>
      <c r="I51" s="11" t="n">
        <f aca="false">G51*H51</f>
        <v>0</v>
      </c>
      <c r="J51" s="11"/>
      <c r="K51" s="11"/>
      <c r="L51" s="22"/>
      <c r="O51" s="16" t="n">
        <f aca="false">E51*DAILYANY</f>
        <v>0</v>
      </c>
      <c r="P51" s="1" t="n">
        <f aca="false">L51*FEEREWARDS</f>
        <v>0</v>
      </c>
      <c r="Q51" s="16" t="n">
        <f aca="false" t="array" ref="Q51:Q51">P51*BNBPRICE+O51*ANYBNB*BNBPRICE</f>
        <v>0</v>
      </c>
      <c r="R51" s="23" t="n">
        <f aca="false" t="array" ref="R51:R51">IFERROR((Q51/BNBPRICE)/(2*G51),0)</f>
        <v>0</v>
      </c>
      <c r="S51" s="18" t="n">
        <f aca="false">R51*365</f>
        <v>0</v>
      </c>
    </row>
    <row r="52" customFormat="false" ht="15" hidden="false" customHeight="false" outlineLevel="0" collapsed="false">
      <c r="A52" s="0" t="str">
        <f aca="false">C52&amp;"-"&amp;D52</f>
        <v>-</v>
      </c>
      <c r="B52" s="17" t="n">
        <f aca="false">IF(OR(C52="ANY",D52="ANY"),2,1)</f>
        <v>1</v>
      </c>
      <c r="C52" s="17"/>
      <c r="D52" s="17"/>
      <c r="E52" s="18" t="n">
        <f aca="false">B52*G52/SUMPRODUCT($G$11:$G$100,$B$11:$B$100)</f>
        <v>0</v>
      </c>
      <c r="F52" s="19" t="n">
        <f aca="false">IFERROR(J52/K52,0)</f>
        <v>0</v>
      </c>
      <c r="G52" s="20" t="n">
        <f aca="false">IFERROR(IF(VLOOKUP($A52,'Your Pooling'!$A$12:$K$30,MATCH("Already In Pool?",'Your Pooling'!$A$12:$K$12,0),0)="Y",0,VLOOKUP($A52,'Your Pooling'!$A$12:$K$30,MATCH("Your BNB Pooled",'Your Pooling'!$A$12:$K$12,0),))+J52,J52)</f>
        <v>0</v>
      </c>
      <c r="H52" s="20" t="n">
        <f aca="false">IFERROR(IF(VLOOKUP($A52,'Your Pooling'!$A$12:$K$30,MATCH("Already In Pool?",'Your Pooling'!$A$12:$K$12,0),0)="Y",0,VLOOKUP($A52,'Your Pooling'!$A$12:$K$30,MATCH("Your XXX Pooled",'Your Pooling'!$A$12:$K$12,0),))+K52,K52)</f>
        <v>0</v>
      </c>
      <c r="I52" s="11" t="n">
        <f aca="false">G52*H52</f>
        <v>0</v>
      </c>
      <c r="J52" s="11"/>
      <c r="K52" s="11"/>
      <c r="L52" s="22"/>
      <c r="O52" s="16" t="n">
        <f aca="false">E52*DAILYANY</f>
        <v>0</v>
      </c>
      <c r="P52" s="1" t="n">
        <f aca="false">L52*FEEREWARDS</f>
        <v>0</v>
      </c>
      <c r="Q52" s="16" t="n">
        <f aca="false" t="array" ref="Q52:Q52">P52*BNBPRICE+O52*ANYBNB*BNBPRICE</f>
        <v>0</v>
      </c>
      <c r="R52" s="23" t="n">
        <f aca="false" t="array" ref="R52:R52">IFERROR((Q52/BNBPRICE)/(2*G52),0)</f>
        <v>0</v>
      </c>
      <c r="S52" s="18" t="n">
        <f aca="false">R52*365</f>
        <v>0</v>
      </c>
    </row>
    <row r="53" customFormat="false" ht="15" hidden="false" customHeight="false" outlineLevel="0" collapsed="false">
      <c r="A53" s="0" t="str">
        <f aca="false">C53&amp;"-"&amp;D53</f>
        <v>-</v>
      </c>
      <c r="B53" s="17" t="n">
        <f aca="false">IF(OR(C53="ANY",D53="ANY"),2,1)</f>
        <v>1</v>
      </c>
      <c r="C53" s="17"/>
      <c r="D53" s="17"/>
      <c r="E53" s="18" t="n">
        <f aca="false">B53*G53/SUMPRODUCT($G$11:$G$100,$B$11:$B$100)</f>
        <v>0</v>
      </c>
      <c r="F53" s="19" t="n">
        <f aca="false">IFERROR(J53/K53,0)</f>
        <v>0</v>
      </c>
      <c r="G53" s="20" t="n">
        <f aca="false">IFERROR(IF(VLOOKUP($A53,'Your Pooling'!$A$12:$K$30,MATCH("Already In Pool?",'Your Pooling'!$A$12:$K$12,0),0)="Y",0,VLOOKUP($A53,'Your Pooling'!$A$12:$K$30,MATCH("Your BNB Pooled",'Your Pooling'!$A$12:$K$12,0),))+J53,J53)</f>
        <v>0</v>
      </c>
      <c r="H53" s="20" t="n">
        <f aca="false">IFERROR(IF(VLOOKUP($A53,'Your Pooling'!$A$12:$K$30,MATCH("Already In Pool?",'Your Pooling'!$A$12:$K$12,0),0)="Y",0,VLOOKUP($A53,'Your Pooling'!$A$12:$K$30,MATCH("Your XXX Pooled",'Your Pooling'!$A$12:$K$12,0),))+K53,K53)</f>
        <v>0</v>
      </c>
      <c r="I53" s="11" t="n">
        <f aca="false">G53*H53</f>
        <v>0</v>
      </c>
      <c r="J53" s="11"/>
      <c r="K53" s="11"/>
      <c r="L53" s="22"/>
      <c r="O53" s="16" t="n">
        <f aca="false">E53*DAILYANY</f>
        <v>0</v>
      </c>
      <c r="P53" s="1" t="n">
        <f aca="false">L53*FEEREWARDS</f>
        <v>0</v>
      </c>
      <c r="Q53" s="16" t="n">
        <f aca="false" t="array" ref="Q53:Q53">P53*BNBPRICE+O53*ANYBNB*BNBPRICE</f>
        <v>0</v>
      </c>
      <c r="R53" s="23" t="n">
        <f aca="false" t="array" ref="R53:R53">IFERROR((Q53/BNBPRICE)/(2*G53),0)</f>
        <v>0</v>
      </c>
      <c r="S53" s="18" t="n">
        <f aca="false">R53*365</f>
        <v>0</v>
      </c>
    </row>
    <row r="54" customFormat="false" ht="15" hidden="false" customHeight="false" outlineLevel="0" collapsed="false">
      <c r="A54" s="0" t="str">
        <f aca="false">C54&amp;"-"&amp;D54</f>
        <v>-</v>
      </c>
      <c r="B54" s="17" t="n">
        <f aca="false">IF(OR(C54="ANY",D54="ANY"),2,1)</f>
        <v>1</v>
      </c>
      <c r="C54" s="17"/>
      <c r="D54" s="17"/>
      <c r="E54" s="18" t="n">
        <f aca="false">B54*G54/SUMPRODUCT($G$11:$G$100,$B$11:$B$100)</f>
        <v>0</v>
      </c>
      <c r="F54" s="19" t="n">
        <f aca="false">IFERROR(J54/K54,0)</f>
        <v>0</v>
      </c>
      <c r="G54" s="20" t="n">
        <f aca="false">IFERROR(IF(VLOOKUP($A54,'Your Pooling'!$A$12:$K$30,MATCH("Already In Pool?",'Your Pooling'!$A$12:$K$12,0),0)="Y",0,VLOOKUP($A54,'Your Pooling'!$A$12:$K$30,MATCH("Your BNB Pooled",'Your Pooling'!$A$12:$K$12,0),))+J54,J54)</f>
        <v>0</v>
      </c>
      <c r="H54" s="20" t="n">
        <f aca="false">IFERROR(IF(VLOOKUP($A54,'Your Pooling'!$A$12:$K$30,MATCH("Already In Pool?",'Your Pooling'!$A$12:$K$12,0),0)="Y",0,VLOOKUP($A54,'Your Pooling'!$A$12:$K$30,MATCH("Your XXX Pooled",'Your Pooling'!$A$12:$K$12,0),))+K54,K54)</f>
        <v>0</v>
      </c>
      <c r="I54" s="11" t="n">
        <f aca="false">G54*H54</f>
        <v>0</v>
      </c>
      <c r="J54" s="11"/>
      <c r="K54" s="11"/>
      <c r="L54" s="22"/>
      <c r="O54" s="16" t="n">
        <f aca="false">E54*DAILYANY</f>
        <v>0</v>
      </c>
      <c r="P54" s="1" t="n">
        <f aca="false">L54*FEEREWARDS</f>
        <v>0</v>
      </c>
      <c r="Q54" s="16" t="n">
        <f aca="false" t="array" ref="Q54:Q54">P54*BNBPRICE+O54*ANYBNB*BNBPRICE</f>
        <v>0</v>
      </c>
      <c r="R54" s="23" t="n">
        <f aca="false" t="array" ref="R54:R54">IFERROR((Q54/BNBPRICE)/(2*G54),0)</f>
        <v>0</v>
      </c>
      <c r="S54" s="18" t="n">
        <f aca="false">R54*365</f>
        <v>0</v>
      </c>
    </row>
    <row r="55" customFormat="false" ht="15" hidden="false" customHeight="false" outlineLevel="0" collapsed="false">
      <c r="A55" s="0" t="str">
        <f aca="false">C55&amp;"-"&amp;D55</f>
        <v>-</v>
      </c>
      <c r="B55" s="17" t="n">
        <f aca="false">IF(OR(C55="ANY",D55="ANY"),2,1)</f>
        <v>1</v>
      </c>
      <c r="C55" s="17"/>
      <c r="D55" s="17"/>
      <c r="E55" s="18" t="n">
        <f aca="false">B55*G55/SUMPRODUCT($G$11:$G$100,$B$11:$B$100)</f>
        <v>0</v>
      </c>
      <c r="F55" s="19" t="n">
        <f aca="false">IFERROR(J55/K55,0)</f>
        <v>0</v>
      </c>
      <c r="G55" s="20" t="n">
        <f aca="false">IFERROR(IF(VLOOKUP($A55,'Your Pooling'!$A$12:$K$30,MATCH("Already In Pool?",'Your Pooling'!$A$12:$K$12,0),0)="Y",0,VLOOKUP($A55,'Your Pooling'!$A$12:$K$30,MATCH("Your BNB Pooled",'Your Pooling'!$A$12:$K$12,0),))+J55,J55)</f>
        <v>0</v>
      </c>
      <c r="H55" s="20" t="n">
        <f aca="false">IFERROR(IF(VLOOKUP($A55,'Your Pooling'!$A$12:$K$30,MATCH("Already In Pool?",'Your Pooling'!$A$12:$K$12,0),0)="Y",0,VLOOKUP($A55,'Your Pooling'!$A$12:$K$30,MATCH("Your XXX Pooled",'Your Pooling'!$A$12:$K$12,0),))+K55,K55)</f>
        <v>0</v>
      </c>
      <c r="I55" s="11" t="n">
        <f aca="false">G55*H55</f>
        <v>0</v>
      </c>
      <c r="J55" s="11"/>
      <c r="K55" s="11"/>
      <c r="L55" s="22"/>
      <c r="O55" s="16" t="n">
        <f aca="false">E55*DAILYANY</f>
        <v>0</v>
      </c>
      <c r="P55" s="1" t="n">
        <f aca="false">L55*FEEREWARDS</f>
        <v>0</v>
      </c>
      <c r="Q55" s="16" t="n">
        <f aca="false" t="array" ref="Q55:Q55">P55*BNBPRICE+O55*ANYBNB*BNBPRICE</f>
        <v>0</v>
      </c>
      <c r="R55" s="23" t="n">
        <f aca="false" t="array" ref="R55:R55">IFERROR((Q55/BNBPRICE)/(2*G55),0)</f>
        <v>0</v>
      </c>
      <c r="S55" s="18" t="n">
        <f aca="false">R55*365</f>
        <v>0</v>
      </c>
    </row>
    <row r="56" customFormat="false" ht="15" hidden="false" customHeight="false" outlineLevel="0" collapsed="false">
      <c r="A56" s="0" t="str">
        <f aca="false">C56&amp;"-"&amp;D56</f>
        <v>-</v>
      </c>
      <c r="B56" s="17" t="n">
        <f aca="false">IF(OR(C56="ANY",D56="ANY"),2,1)</f>
        <v>1</v>
      </c>
      <c r="C56" s="17"/>
      <c r="D56" s="17"/>
      <c r="E56" s="18" t="n">
        <f aca="false">B56*G56/SUMPRODUCT($G$11:$G$100,$B$11:$B$100)</f>
        <v>0</v>
      </c>
      <c r="F56" s="19" t="n">
        <f aca="false">IFERROR(J56/K56,0)</f>
        <v>0</v>
      </c>
      <c r="G56" s="20" t="n">
        <f aca="false">IFERROR(IF(VLOOKUP($A56,'Your Pooling'!$A$12:$K$30,MATCH("Already In Pool?",'Your Pooling'!$A$12:$K$12,0),0)="Y",0,VLOOKUP($A56,'Your Pooling'!$A$12:$K$30,MATCH("Your BNB Pooled",'Your Pooling'!$A$12:$K$12,0),))+J56,J56)</f>
        <v>0</v>
      </c>
      <c r="H56" s="20" t="n">
        <f aca="false">IFERROR(IF(VLOOKUP($A56,'Your Pooling'!$A$12:$K$30,MATCH("Already In Pool?",'Your Pooling'!$A$12:$K$12,0),0)="Y",0,VLOOKUP($A56,'Your Pooling'!$A$12:$K$30,MATCH("Your XXX Pooled",'Your Pooling'!$A$12:$K$12,0),))+K56,K56)</f>
        <v>0</v>
      </c>
      <c r="I56" s="11" t="n">
        <f aca="false">G56*H56</f>
        <v>0</v>
      </c>
      <c r="J56" s="11"/>
      <c r="K56" s="11"/>
      <c r="L56" s="22"/>
      <c r="O56" s="16" t="n">
        <f aca="false">E56*DAILYANY</f>
        <v>0</v>
      </c>
      <c r="P56" s="1" t="n">
        <f aca="false">L56*FEEREWARDS</f>
        <v>0</v>
      </c>
      <c r="Q56" s="16" t="n">
        <f aca="false" t="array" ref="Q56:Q56">P56*BNBPRICE+O56*ANYBNB*BNBPRICE</f>
        <v>0</v>
      </c>
      <c r="R56" s="23" t="n">
        <f aca="false" t="array" ref="R56:R56">IFERROR((Q56/BNBPRICE)/(2*G56),0)</f>
        <v>0</v>
      </c>
      <c r="S56" s="18" t="n">
        <f aca="false">R56*365</f>
        <v>0</v>
      </c>
    </row>
    <row r="57" customFormat="false" ht="15" hidden="false" customHeight="false" outlineLevel="0" collapsed="false">
      <c r="A57" s="0" t="str">
        <f aca="false">C57&amp;"-"&amp;D57</f>
        <v>-</v>
      </c>
      <c r="B57" s="17" t="n">
        <f aca="false">IF(OR(C57="ANY",D57="ANY"),2,1)</f>
        <v>1</v>
      </c>
      <c r="C57" s="17"/>
      <c r="D57" s="17"/>
      <c r="E57" s="18" t="n">
        <f aca="false">B57*G57/SUMPRODUCT($G$11:$G$100,$B$11:$B$100)</f>
        <v>0</v>
      </c>
      <c r="F57" s="19" t="n">
        <f aca="false">IFERROR(J57/K57,0)</f>
        <v>0</v>
      </c>
      <c r="G57" s="20" t="n">
        <f aca="false">IFERROR(IF(VLOOKUP($A57,'Your Pooling'!$A$12:$K$30,MATCH("Already In Pool?",'Your Pooling'!$A$12:$K$12,0),0)="Y",0,VLOOKUP($A57,'Your Pooling'!$A$12:$K$30,MATCH("Your BNB Pooled",'Your Pooling'!$A$12:$K$12,0),))+J57,J57)</f>
        <v>0</v>
      </c>
      <c r="H57" s="20" t="n">
        <f aca="false">IFERROR(IF(VLOOKUP($A57,'Your Pooling'!$A$12:$K$30,MATCH("Already In Pool?",'Your Pooling'!$A$12:$K$12,0),0)="Y",0,VLOOKUP($A57,'Your Pooling'!$A$12:$K$30,MATCH("Your XXX Pooled",'Your Pooling'!$A$12:$K$12,0),))+K57,K57)</f>
        <v>0</v>
      </c>
      <c r="I57" s="11" t="n">
        <f aca="false">G57*H57</f>
        <v>0</v>
      </c>
      <c r="J57" s="11"/>
      <c r="K57" s="11"/>
      <c r="L57" s="22"/>
      <c r="O57" s="16" t="n">
        <f aca="false">E57*DAILYANY</f>
        <v>0</v>
      </c>
      <c r="P57" s="1" t="n">
        <f aca="false">L57*FEEREWARDS</f>
        <v>0</v>
      </c>
      <c r="Q57" s="16" t="n">
        <f aca="false" t="array" ref="Q57:Q57">P57*BNBPRICE+O57*ANYBNB*BNBPRICE</f>
        <v>0</v>
      </c>
      <c r="R57" s="23" t="n">
        <f aca="false" t="array" ref="R57:R57">IFERROR((Q57/BNBPRICE)/(2*G57),0)</f>
        <v>0</v>
      </c>
      <c r="S57" s="18" t="n">
        <f aca="false">R57*365</f>
        <v>0</v>
      </c>
    </row>
    <row r="58" customFormat="false" ht="15" hidden="false" customHeight="false" outlineLevel="0" collapsed="false">
      <c r="A58" s="0" t="str">
        <f aca="false">C58&amp;"-"&amp;D58</f>
        <v>-</v>
      </c>
      <c r="B58" s="17" t="n">
        <f aca="false">IF(OR(C58="ANY",D58="ANY"),2,1)</f>
        <v>1</v>
      </c>
      <c r="C58" s="17"/>
      <c r="D58" s="17"/>
      <c r="E58" s="18" t="n">
        <f aca="false">B58*G58/SUMPRODUCT($G$11:$G$100,$B$11:$B$100)</f>
        <v>0</v>
      </c>
      <c r="F58" s="19" t="n">
        <f aca="false">IFERROR(J58/K58,0)</f>
        <v>0</v>
      </c>
      <c r="G58" s="20" t="n">
        <f aca="false">IFERROR(IF(VLOOKUP($A58,'Your Pooling'!$A$12:$K$30,MATCH("Already In Pool?",'Your Pooling'!$A$12:$K$12,0),0)="Y",0,VLOOKUP($A58,'Your Pooling'!$A$12:$K$30,MATCH("Your BNB Pooled",'Your Pooling'!$A$12:$K$12,0),))+J58,J58)</f>
        <v>0</v>
      </c>
      <c r="H58" s="20" t="n">
        <f aca="false">IFERROR(IF(VLOOKUP($A58,'Your Pooling'!$A$12:$K$30,MATCH("Already In Pool?",'Your Pooling'!$A$12:$K$12,0),0)="Y",0,VLOOKUP($A58,'Your Pooling'!$A$12:$K$30,MATCH("Your XXX Pooled",'Your Pooling'!$A$12:$K$12,0),))+K58,K58)</f>
        <v>0</v>
      </c>
      <c r="I58" s="11" t="n">
        <f aca="false">G58*H58</f>
        <v>0</v>
      </c>
      <c r="J58" s="11"/>
      <c r="K58" s="11"/>
      <c r="L58" s="22"/>
      <c r="O58" s="16" t="n">
        <f aca="false">E58*DAILYANY</f>
        <v>0</v>
      </c>
      <c r="P58" s="1" t="n">
        <f aca="false">L58*FEEREWARDS</f>
        <v>0</v>
      </c>
      <c r="Q58" s="16" t="n">
        <f aca="false" t="array" ref="Q58:Q58">P58*BNBPRICE+O58*ANYBNB*BNBPRICE</f>
        <v>0</v>
      </c>
      <c r="R58" s="23" t="n">
        <f aca="false" t="array" ref="R58:R58">IFERROR((Q58/BNBPRICE)/(2*G58),0)</f>
        <v>0</v>
      </c>
      <c r="S58" s="18" t="n">
        <f aca="false">R58*365</f>
        <v>0</v>
      </c>
    </row>
    <row r="59" customFormat="false" ht="15" hidden="false" customHeight="false" outlineLevel="0" collapsed="false">
      <c r="A59" s="0" t="str">
        <f aca="false">C59&amp;"-"&amp;D59</f>
        <v>-</v>
      </c>
      <c r="B59" s="17" t="n">
        <f aca="false">IF(OR(C59="ANY",D59="ANY"),2,1)</f>
        <v>1</v>
      </c>
      <c r="C59" s="17"/>
      <c r="D59" s="17"/>
      <c r="E59" s="18" t="n">
        <f aca="false">B59*G59/SUMPRODUCT($G$11:$G$100,$B$11:$B$100)</f>
        <v>0</v>
      </c>
      <c r="F59" s="19" t="n">
        <f aca="false">IFERROR(J59/K59,0)</f>
        <v>0</v>
      </c>
      <c r="G59" s="20" t="n">
        <f aca="false">IFERROR(IF(VLOOKUP($A59,'Your Pooling'!$A$12:$K$30,MATCH("Already In Pool?",'Your Pooling'!$A$12:$K$12,0),0)="Y",0,VLOOKUP($A59,'Your Pooling'!$A$12:$K$30,MATCH("Your BNB Pooled",'Your Pooling'!$A$12:$K$12,0),))+J59,J59)</f>
        <v>0</v>
      </c>
      <c r="H59" s="20" t="n">
        <f aca="false">IFERROR(IF(VLOOKUP($A59,'Your Pooling'!$A$12:$K$30,MATCH("Already In Pool?",'Your Pooling'!$A$12:$K$12,0),0)="Y",0,VLOOKUP($A59,'Your Pooling'!$A$12:$K$30,MATCH("Your XXX Pooled",'Your Pooling'!$A$12:$K$12,0),))+K59,K59)</f>
        <v>0</v>
      </c>
      <c r="I59" s="11" t="n">
        <f aca="false">G59*H59</f>
        <v>0</v>
      </c>
      <c r="J59" s="11"/>
      <c r="K59" s="11"/>
      <c r="L59" s="22"/>
      <c r="O59" s="16" t="n">
        <f aca="false">E59*DAILYANY</f>
        <v>0</v>
      </c>
      <c r="P59" s="1" t="n">
        <f aca="false">L59*FEEREWARDS</f>
        <v>0</v>
      </c>
      <c r="Q59" s="16" t="n">
        <f aca="false" t="array" ref="Q59:Q59">P59*BNBPRICE+O59*ANYBNB*BNBPRICE</f>
        <v>0</v>
      </c>
      <c r="R59" s="23" t="n">
        <f aca="false" t="array" ref="R59:R59">IFERROR((Q59/BNBPRICE)/(2*G59),0)</f>
        <v>0</v>
      </c>
      <c r="S59" s="18" t="n">
        <f aca="false">R59*365</f>
        <v>0</v>
      </c>
    </row>
    <row r="60" customFormat="false" ht="15" hidden="false" customHeight="false" outlineLevel="0" collapsed="false">
      <c r="A60" s="0" t="str">
        <f aca="false">C60&amp;"-"&amp;D60</f>
        <v>-</v>
      </c>
      <c r="B60" s="17" t="n">
        <f aca="false">IF(OR(C60="ANY",D60="ANY"),2,1)</f>
        <v>1</v>
      </c>
      <c r="C60" s="17"/>
      <c r="D60" s="17"/>
      <c r="E60" s="18" t="n">
        <f aca="false">B60*G60/SUMPRODUCT($G$11:$G$100,$B$11:$B$100)</f>
        <v>0</v>
      </c>
      <c r="F60" s="19" t="n">
        <f aca="false">IFERROR(J60/K60,0)</f>
        <v>0</v>
      </c>
      <c r="G60" s="20" t="n">
        <f aca="false">IFERROR(IF(VLOOKUP($A60,'Your Pooling'!$A$12:$K$30,MATCH("Already In Pool?",'Your Pooling'!$A$12:$K$12,0),0)="Y",0,VLOOKUP($A60,'Your Pooling'!$A$12:$K$30,MATCH("Your BNB Pooled",'Your Pooling'!$A$12:$K$12,0),))+J60,J60)</f>
        <v>0</v>
      </c>
      <c r="H60" s="20" t="n">
        <f aca="false">IFERROR(IF(VLOOKUP($A60,'Your Pooling'!$A$12:$K$30,MATCH("Already In Pool?",'Your Pooling'!$A$12:$K$12,0),0)="Y",0,VLOOKUP($A60,'Your Pooling'!$A$12:$K$30,MATCH("Your XXX Pooled",'Your Pooling'!$A$12:$K$12,0),))+K60,K60)</f>
        <v>0</v>
      </c>
      <c r="I60" s="11" t="n">
        <f aca="false">G60*H60</f>
        <v>0</v>
      </c>
      <c r="J60" s="11"/>
      <c r="K60" s="11"/>
      <c r="L60" s="22"/>
      <c r="O60" s="16" t="n">
        <f aca="false">E60*DAILYANY</f>
        <v>0</v>
      </c>
      <c r="P60" s="1" t="n">
        <f aca="false">L60*FEEREWARDS</f>
        <v>0</v>
      </c>
      <c r="Q60" s="16" t="n">
        <f aca="false" t="array" ref="Q60:Q60">P60*BNBPRICE+O60*ANYBNB*BNBPRICE</f>
        <v>0</v>
      </c>
      <c r="R60" s="23" t="n">
        <f aca="false" t="array" ref="R60:R60">IFERROR((Q60/BNBPRICE)/(2*G60),0)</f>
        <v>0</v>
      </c>
      <c r="S60" s="18" t="n">
        <f aca="false">R60*365</f>
        <v>0</v>
      </c>
    </row>
    <row r="61" customFormat="false" ht="15" hidden="false" customHeight="false" outlineLevel="0" collapsed="false">
      <c r="A61" s="0" t="str">
        <f aca="false">C61&amp;"-"&amp;D61</f>
        <v>-</v>
      </c>
      <c r="B61" s="17" t="n">
        <f aca="false">IF(OR(C61="ANY",D61="ANY"),2,1)</f>
        <v>1</v>
      </c>
      <c r="C61" s="17"/>
      <c r="D61" s="17"/>
      <c r="E61" s="18" t="n">
        <f aca="false">B61*G61/SUMPRODUCT($G$11:$G$100,$B$11:$B$100)</f>
        <v>0</v>
      </c>
      <c r="F61" s="19" t="n">
        <f aca="false">IFERROR(J61/K61,0)</f>
        <v>0</v>
      </c>
      <c r="G61" s="20" t="n">
        <f aca="false">IFERROR(IF(VLOOKUP($A61,'Your Pooling'!$A$12:$K$30,MATCH("Already In Pool?",'Your Pooling'!$A$12:$K$12,0),0)="Y",0,VLOOKUP($A61,'Your Pooling'!$A$12:$K$30,MATCH("Your BNB Pooled",'Your Pooling'!$A$12:$K$12,0),))+J61,J61)</f>
        <v>0</v>
      </c>
      <c r="H61" s="20" t="n">
        <f aca="false">IFERROR(IF(VLOOKUP($A61,'Your Pooling'!$A$12:$K$30,MATCH("Already In Pool?",'Your Pooling'!$A$12:$K$12,0),0)="Y",0,VLOOKUP($A61,'Your Pooling'!$A$12:$K$30,MATCH("Your XXX Pooled",'Your Pooling'!$A$12:$K$12,0),))+K61,K61)</f>
        <v>0</v>
      </c>
      <c r="I61" s="11" t="n">
        <f aca="false">G61*H61</f>
        <v>0</v>
      </c>
      <c r="J61" s="11"/>
      <c r="K61" s="11"/>
      <c r="L61" s="22"/>
      <c r="O61" s="16" t="n">
        <f aca="false">E61*DAILYANY</f>
        <v>0</v>
      </c>
      <c r="P61" s="1" t="n">
        <f aca="false">L61*FEEREWARDS</f>
        <v>0</v>
      </c>
      <c r="Q61" s="16" t="n">
        <f aca="false" t="array" ref="Q61:Q61">P61*BNBPRICE+O61*ANYBNB*BNBPRICE</f>
        <v>0</v>
      </c>
      <c r="R61" s="23" t="n">
        <f aca="false" t="array" ref="R61:R61">IFERROR((Q61/BNBPRICE)/(2*G61),0)</f>
        <v>0</v>
      </c>
      <c r="S61" s="18" t="n">
        <f aca="false">R61*365</f>
        <v>0</v>
      </c>
    </row>
    <row r="62" customFormat="false" ht="15" hidden="false" customHeight="false" outlineLevel="0" collapsed="false">
      <c r="A62" s="0" t="str">
        <f aca="false">C62&amp;"-"&amp;D62</f>
        <v>-</v>
      </c>
      <c r="B62" s="17" t="n">
        <f aca="false">IF(OR(C62="ANY",D62="ANY"),2,1)</f>
        <v>1</v>
      </c>
      <c r="C62" s="17"/>
      <c r="D62" s="17"/>
      <c r="E62" s="18" t="n">
        <f aca="false">B62*G62/SUMPRODUCT($G$11:$G$100,$B$11:$B$100)</f>
        <v>0</v>
      </c>
      <c r="F62" s="19" t="n">
        <f aca="false">IFERROR(J62/K62,0)</f>
        <v>0</v>
      </c>
      <c r="G62" s="20" t="n">
        <f aca="false">IFERROR(IF(VLOOKUP($A62,'Your Pooling'!$A$12:$K$30,MATCH("Already In Pool?",'Your Pooling'!$A$12:$K$12,0),0)="Y",0,VLOOKUP($A62,'Your Pooling'!$A$12:$K$30,MATCH("Your BNB Pooled",'Your Pooling'!$A$12:$K$12,0),))+J62,J62)</f>
        <v>0</v>
      </c>
      <c r="H62" s="20" t="n">
        <f aca="false">IFERROR(IF(VLOOKUP($A62,'Your Pooling'!$A$12:$K$30,MATCH("Already In Pool?",'Your Pooling'!$A$12:$K$12,0),0)="Y",0,VLOOKUP($A62,'Your Pooling'!$A$12:$K$30,MATCH("Your XXX Pooled",'Your Pooling'!$A$12:$K$12,0),))+K62,K62)</f>
        <v>0</v>
      </c>
      <c r="I62" s="11" t="n">
        <f aca="false">G62*H62</f>
        <v>0</v>
      </c>
      <c r="J62" s="11"/>
      <c r="K62" s="11"/>
      <c r="L62" s="22"/>
      <c r="O62" s="16" t="n">
        <f aca="false">E62*DAILYANY</f>
        <v>0</v>
      </c>
      <c r="P62" s="1" t="n">
        <f aca="false">L62*FEEREWARDS</f>
        <v>0</v>
      </c>
      <c r="Q62" s="16" t="n">
        <f aca="false" t="array" ref="Q62:Q62">P62*BNBPRICE+O62*ANYBNB*BNBPRICE</f>
        <v>0</v>
      </c>
      <c r="R62" s="23" t="n">
        <f aca="false" t="array" ref="R62:R62">IFERROR((Q62/BNBPRICE)/(2*G62),0)</f>
        <v>0</v>
      </c>
      <c r="S62" s="18" t="n">
        <f aca="false">R62*365</f>
        <v>0</v>
      </c>
    </row>
    <row r="63" customFormat="false" ht="15" hidden="false" customHeight="false" outlineLevel="0" collapsed="false">
      <c r="A63" s="0" t="str">
        <f aca="false">C63&amp;"-"&amp;D63</f>
        <v>-</v>
      </c>
      <c r="B63" s="17" t="n">
        <f aca="false">IF(OR(C63="ANY",D63="ANY"),2,1)</f>
        <v>1</v>
      </c>
      <c r="C63" s="17"/>
      <c r="D63" s="17"/>
      <c r="E63" s="18" t="n">
        <f aca="false">B63*G63/SUMPRODUCT($G$11:$G$100,$B$11:$B$100)</f>
        <v>0</v>
      </c>
      <c r="F63" s="19" t="n">
        <f aca="false">IFERROR(J63/K63,0)</f>
        <v>0</v>
      </c>
      <c r="G63" s="20" t="n">
        <f aca="false">IFERROR(IF(VLOOKUP($A63,'Your Pooling'!$A$12:$K$30,MATCH("Already In Pool?",'Your Pooling'!$A$12:$K$12,0),0)="Y",0,VLOOKUP($A63,'Your Pooling'!$A$12:$K$30,MATCH("Your BNB Pooled",'Your Pooling'!$A$12:$K$12,0),))+J63,J63)</f>
        <v>0</v>
      </c>
      <c r="H63" s="20" t="n">
        <f aca="false">IFERROR(IF(VLOOKUP($A63,'Your Pooling'!$A$12:$K$30,MATCH("Already In Pool?",'Your Pooling'!$A$12:$K$12,0),0)="Y",0,VLOOKUP($A63,'Your Pooling'!$A$12:$K$30,MATCH("Your XXX Pooled",'Your Pooling'!$A$12:$K$12,0),))+K63,K63)</f>
        <v>0</v>
      </c>
      <c r="I63" s="11" t="n">
        <f aca="false">G63*H63</f>
        <v>0</v>
      </c>
      <c r="J63" s="11"/>
      <c r="K63" s="11"/>
      <c r="L63" s="22"/>
      <c r="O63" s="16" t="n">
        <f aca="false">E63*DAILYANY</f>
        <v>0</v>
      </c>
      <c r="P63" s="1" t="n">
        <f aca="false">L63*FEEREWARDS</f>
        <v>0</v>
      </c>
      <c r="Q63" s="16" t="n">
        <f aca="false" t="array" ref="Q63:Q63">P63*BNBPRICE+O63*ANYBNB*BNBPRICE</f>
        <v>0</v>
      </c>
      <c r="R63" s="23" t="n">
        <f aca="false" t="array" ref="R63:R63">IFERROR((Q63/BNBPRICE)/(2*G63),0)</f>
        <v>0</v>
      </c>
      <c r="S63" s="18" t="n">
        <f aca="false">R63*365</f>
        <v>0</v>
      </c>
    </row>
    <row r="64" customFormat="false" ht="15" hidden="false" customHeight="false" outlineLevel="0" collapsed="false">
      <c r="A64" s="0" t="str">
        <f aca="false">C64&amp;"-"&amp;D64</f>
        <v>-</v>
      </c>
      <c r="B64" s="17" t="n">
        <f aca="false">IF(OR(C64="ANY",D64="ANY"),2,1)</f>
        <v>1</v>
      </c>
      <c r="C64" s="17"/>
      <c r="D64" s="17"/>
      <c r="E64" s="18" t="n">
        <f aca="false">B64*G64/SUMPRODUCT($G$11:$G$100,$B$11:$B$100)</f>
        <v>0</v>
      </c>
      <c r="F64" s="19" t="n">
        <f aca="false">IFERROR(J64/K64,0)</f>
        <v>0</v>
      </c>
      <c r="G64" s="20" t="n">
        <f aca="false">IFERROR(IF(VLOOKUP($A64,'Your Pooling'!$A$12:$K$30,MATCH("Already In Pool?",'Your Pooling'!$A$12:$K$12,0),0)="Y",0,VLOOKUP($A64,'Your Pooling'!$A$12:$K$30,MATCH("Your BNB Pooled",'Your Pooling'!$A$12:$K$12,0),))+J64,J64)</f>
        <v>0</v>
      </c>
      <c r="H64" s="20" t="n">
        <f aca="false">IFERROR(IF(VLOOKUP($A64,'Your Pooling'!$A$12:$K$30,MATCH("Already In Pool?",'Your Pooling'!$A$12:$K$12,0),0)="Y",0,VLOOKUP($A64,'Your Pooling'!$A$12:$K$30,MATCH("Your XXX Pooled",'Your Pooling'!$A$12:$K$12,0),))+K64,K64)</f>
        <v>0</v>
      </c>
      <c r="I64" s="11" t="n">
        <f aca="false">G64*H64</f>
        <v>0</v>
      </c>
      <c r="J64" s="11"/>
      <c r="K64" s="11"/>
      <c r="L64" s="22"/>
      <c r="O64" s="16" t="n">
        <f aca="false">E64*DAILYANY</f>
        <v>0</v>
      </c>
      <c r="P64" s="1" t="n">
        <f aca="false">L64*FEEREWARDS</f>
        <v>0</v>
      </c>
      <c r="Q64" s="16" t="n">
        <f aca="false" t="array" ref="Q64:Q64">P64*BNBPRICE+O64*ANYBNB*BNBPRICE</f>
        <v>0</v>
      </c>
      <c r="R64" s="23" t="n">
        <f aca="false" t="array" ref="R64:R64">IFERROR((Q64/BNBPRICE)/(2*G64),0)</f>
        <v>0</v>
      </c>
      <c r="S64" s="18" t="n">
        <f aca="false">R64*365</f>
        <v>0</v>
      </c>
    </row>
    <row r="65" customFormat="false" ht="15" hidden="false" customHeight="false" outlineLevel="0" collapsed="false">
      <c r="A65" s="0" t="str">
        <f aca="false">C65&amp;"-"&amp;D65</f>
        <v>-</v>
      </c>
      <c r="B65" s="17" t="n">
        <f aca="false">IF(OR(C65="ANY",D65="ANY"),2,1)</f>
        <v>1</v>
      </c>
      <c r="C65" s="17"/>
      <c r="D65" s="17"/>
      <c r="E65" s="18" t="n">
        <f aca="false">B65*G65/SUMPRODUCT($G$11:$G$100,$B$11:$B$100)</f>
        <v>0</v>
      </c>
      <c r="F65" s="19" t="n">
        <f aca="false">IFERROR(J65/K65,0)</f>
        <v>0</v>
      </c>
      <c r="G65" s="20" t="n">
        <f aca="false">IFERROR(IF(VLOOKUP($A65,'Your Pooling'!$A$12:$K$30,MATCH("Already In Pool?",'Your Pooling'!$A$12:$K$12,0),0)="Y",0,VLOOKUP($A65,'Your Pooling'!$A$12:$K$30,MATCH("Your BNB Pooled",'Your Pooling'!$A$12:$K$12,0),))+J65,J65)</f>
        <v>0</v>
      </c>
      <c r="H65" s="20" t="n">
        <f aca="false">IFERROR(IF(VLOOKUP($A65,'Your Pooling'!$A$12:$K$30,MATCH("Already In Pool?",'Your Pooling'!$A$12:$K$12,0),0)="Y",0,VLOOKUP($A65,'Your Pooling'!$A$12:$K$30,MATCH("Your XXX Pooled",'Your Pooling'!$A$12:$K$12,0),))+K65,K65)</f>
        <v>0</v>
      </c>
      <c r="I65" s="11" t="n">
        <f aca="false">G65*H65</f>
        <v>0</v>
      </c>
      <c r="J65" s="11"/>
      <c r="K65" s="11"/>
      <c r="L65" s="22"/>
      <c r="O65" s="16" t="n">
        <f aca="false">E65*DAILYANY</f>
        <v>0</v>
      </c>
      <c r="P65" s="1" t="n">
        <f aca="false">L65*FEEREWARDS</f>
        <v>0</v>
      </c>
      <c r="Q65" s="16" t="n">
        <f aca="false" t="array" ref="Q65:Q65">P65*BNBPRICE+O65*ANYBNB*BNBPRICE</f>
        <v>0</v>
      </c>
      <c r="R65" s="23" t="n">
        <f aca="false" t="array" ref="R65:R65">IFERROR((Q65/BNBPRICE)/(2*G65),0)</f>
        <v>0</v>
      </c>
      <c r="S65" s="18" t="n">
        <f aca="false">R65*365</f>
        <v>0</v>
      </c>
    </row>
    <row r="66" customFormat="false" ht="15" hidden="false" customHeight="false" outlineLevel="0" collapsed="false">
      <c r="A66" s="0" t="str">
        <f aca="false">C66&amp;"-"&amp;D66</f>
        <v>-</v>
      </c>
      <c r="B66" s="17" t="n">
        <f aca="false">IF(OR(C66="ANY",D66="ANY"),2,1)</f>
        <v>1</v>
      </c>
      <c r="C66" s="17"/>
      <c r="D66" s="17"/>
      <c r="E66" s="18" t="n">
        <f aca="false">B66*G66/SUMPRODUCT($G$11:$G$100,$B$11:$B$100)</f>
        <v>0</v>
      </c>
      <c r="F66" s="19" t="n">
        <f aca="false">IFERROR(J66/K66,0)</f>
        <v>0</v>
      </c>
      <c r="G66" s="20" t="n">
        <f aca="false">IFERROR(IF(VLOOKUP($A66,'Your Pooling'!$A$12:$K$30,MATCH("Already In Pool?",'Your Pooling'!$A$12:$K$12,0),0)="Y",0,VLOOKUP($A66,'Your Pooling'!$A$12:$K$30,MATCH("Your BNB Pooled",'Your Pooling'!$A$12:$K$12,0),))+J66,J66)</f>
        <v>0</v>
      </c>
      <c r="H66" s="20" t="n">
        <f aca="false">IFERROR(IF(VLOOKUP($A66,'Your Pooling'!$A$12:$K$30,MATCH("Already In Pool?",'Your Pooling'!$A$12:$K$12,0),0)="Y",0,VLOOKUP($A66,'Your Pooling'!$A$12:$K$30,MATCH("Your XXX Pooled",'Your Pooling'!$A$12:$K$12,0),))+K66,K66)</f>
        <v>0</v>
      </c>
      <c r="I66" s="11" t="n">
        <f aca="false">G66*H66</f>
        <v>0</v>
      </c>
      <c r="J66" s="11"/>
      <c r="K66" s="11"/>
      <c r="L66" s="22"/>
      <c r="O66" s="16" t="n">
        <f aca="false">E66*DAILYANY</f>
        <v>0</v>
      </c>
      <c r="P66" s="1" t="n">
        <f aca="false">L66*FEEREWARDS</f>
        <v>0</v>
      </c>
      <c r="Q66" s="16" t="n">
        <f aca="false" t="array" ref="Q66:Q66">P66*BNBPRICE+O66*ANYBNB*BNBPRICE</f>
        <v>0</v>
      </c>
      <c r="R66" s="23" t="n">
        <f aca="false" t="array" ref="R66:R66">IFERROR((Q66/BNBPRICE)/(2*G66),0)</f>
        <v>0</v>
      </c>
      <c r="S66" s="18" t="n">
        <f aca="false">R66*365</f>
        <v>0</v>
      </c>
    </row>
    <row r="67" customFormat="false" ht="15" hidden="false" customHeight="false" outlineLevel="0" collapsed="false">
      <c r="A67" s="0" t="str">
        <f aca="false">C67&amp;"-"&amp;D67</f>
        <v>-</v>
      </c>
      <c r="B67" s="17" t="n">
        <f aca="false">IF(OR(C67="ANY",D67="ANY"),2,1)</f>
        <v>1</v>
      </c>
      <c r="C67" s="17"/>
      <c r="D67" s="17"/>
      <c r="E67" s="18" t="n">
        <f aca="false">B67*G67/SUMPRODUCT($G$11:$G$100,$B$11:$B$100)</f>
        <v>0</v>
      </c>
      <c r="F67" s="19" t="n">
        <f aca="false">IFERROR(J67/K67,0)</f>
        <v>0</v>
      </c>
      <c r="G67" s="20" t="n">
        <f aca="false">IFERROR(IF(VLOOKUP($A67,'Your Pooling'!$A$12:$K$30,MATCH("Already In Pool?",'Your Pooling'!$A$12:$K$12,0),0)="Y",0,VLOOKUP($A67,'Your Pooling'!$A$12:$K$30,MATCH("Your BNB Pooled",'Your Pooling'!$A$12:$K$12,0),))+J67,J67)</f>
        <v>0</v>
      </c>
      <c r="H67" s="20" t="n">
        <f aca="false">IFERROR(IF(VLOOKUP($A67,'Your Pooling'!$A$12:$K$30,MATCH("Already In Pool?",'Your Pooling'!$A$12:$K$12,0),0)="Y",0,VLOOKUP($A67,'Your Pooling'!$A$12:$K$30,MATCH("Your XXX Pooled",'Your Pooling'!$A$12:$K$12,0),))+K67,K67)</f>
        <v>0</v>
      </c>
      <c r="I67" s="11" t="n">
        <f aca="false">G67*H67</f>
        <v>0</v>
      </c>
      <c r="J67" s="11"/>
      <c r="K67" s="11"/>
      <c r="L67" s="22"/>
      <c r="O67" s="16" t="n">
        <f aca="false">E67*DAILYANY</f>
        <v>0</v>
      </c>
      <c r="P67" s="1" t="n">
        <f aca="false">L67*FEEREWARDS</f>
        <v>0</v>
      </c>
      <c r="Q67" s="16" t="n">
        <f aca="false" t="array" ref="Q67:Q67">P67*BNBPRICE+O67*ANYBNB*BNBPRICE</f>
        <v>0</v>
      </c>
      <c r="R67" s="23" t="n">
        <f aca="false" t="array" ref="R67:R67">IFERROR((Q67/BNBPRICE)/(2*G67),0)</f>
        <v>0</v>
      </c>
      <c r="S67" s="18" t="n">
        <f aca="false">R67*365</f>
        <v>0</v>
      </c>
    </row>
    <row r="68" customFormat="false" ht="15" hidden="false" customHeight="false" outlineLevel="0" collapsed="false">
      <c r="A68" s="0" t="str">
        <f aca="false">C68&amp;"-"&amp;D68</f>
        <v>-</v>
      </c>
      <c r="B68" s="17" t="n">
        <f aca="false">IF(OR(C68="ANY",D68="ANY"),2,1)</f>
        <v>1</v>
      </c>
      <c r="C68" s="17"/>
      <c r="D68" s="17"/>
      <c r="E68" s="18" t="n">
        <f aca="false">B68*G68/SUMPRODUCT($G$11:$G$100,$B$11:$B$100)</f>
        <v>0</v>
      </c>
      <c r="F68" s="19" t="n">
        <f aca="false">IFERROR(J68/K68,0)</f>
        <v>0</v>
      </c>
      <c r="G68" s="20" t="n">
        <f aca="false">IFERROR(IF(VLOOKUP($A68,'Your Pooling'!$A$12:$K$30,MATCH("Already In Pool?",'Your Pooling'!$A$12:$K$12,0),0)="Y",0,VLOOKUP($A68,'Your Pooling'!$A$12:$K$30,MATCH("Your BNB Pooled",'Your Pooling'!$A$12:$K$12,0),))+J68,J68)</f>
        <v>0</v>
      </c>
      <c r="H68" s="20" t="n">
        <f aca="false">IFERROR(IF(VLOOKUP($A68,'Your Pooling'!$A$12:$K$30,MATCH("Already In Pool?",'Your Pooling'!$A$12:$K$12,0),0)="Y",0,VLOOKUP($A68,'Your Pooling'!$A$12:$K$30,MATCH("Your XXX Pooled",'Your Pooling'!$A$12:$K$12,0),))+K68,K68)</f>
        <v>0</v>
      </c>
      <c r="I68" s="11" t="n">
        <f aca="false">G68*H68</f>
        <v>0</v>
      </c>
      <c r="J68" s="11"/>
      <c r="K68" s="11"/>
      <c r="L68" s="22"/>
      <c r="O68" s="16" t="n">
        <f aca="false">E68*DAILYANY</f>
        <v>0</v>
      </c>
      <c r="P68" s="1" t="n">
        <f aca="false">L68*FEEREWARDS</f>
        <v>0</v>
      </c>
      <c r="Q68" s="16" t="n">
        <f aca="false" t="array" ref="Q68:Q68">P68*BNBPRICE+O68*ANYBNB*BNBPRICE</f>
        <v>0</v>
      </c>
      <c r="R68" s="23" t="n">
        <f aca="false" t="array" ref="R68:R68">IFERROR((Q68/BNBPRICE)/(2*G68),0)</f>
        <v>0</v>
      </c>
      <c r="S68" s="18" t="n">
        <f aca="false">R68*365</f>
        <v>0</v>
      </c>
    </row>
    <row r="69" customFormat="false" ht="15" hidden="false" customHeight="false" outlineLevel="0" collapsed="false">
      <c r="A69" s="0" t="str">
        <f aca="false">C69&amp;"-"&amp;D69</f>
        <v>-</v>
      </c>
      <c r="B69" s="17" t="n">
        <f aca="false">IF(OR(C69="ANY",D69="ANY"),2,1)</f>
        <v>1</v>
      </c>
      <c r="C69" s="17"/>
      <c r="D69" s="17"/>
      <c r="E69" s="18" t="n">
        <f aca="false">B69*G69/SUMPRODUCT($G$11:$G$100,$B$11:$B$100)</f>
        <v>0</v>
      </c>
      <c r="F69" s="19" t="n">
        <f aca="false">IFERROR(J69/K69,0)</f>
        <v>0</v>
      </c>
      <c r="G69" s="20" t="n">
        <f aca="false">IFERROR(IF(VLOOKUP($A69,'Your Pooling'!$A$12:$K$30,MATCH("Already In Pool?",'Your Pooling'!$A$12:$K$12,0),0)="Y",0,VLOOKUP($A69,'Your Pooling'!$A$12:$K$30,MATCH("Your BNB Pooled",'Your Pooling'!$A$12:$K$12,0),))+J69,J69)</f>
        <v>0</v>
      </c>
      <c r="H69" s="20" t="n">
        <f aca="false">IFERROR(IF(VLOOKUP($A69,'Your Pooling'!$A$12:$K$30,MATCH("Already In Pool?",'Your Pooling'!$A$12:$K$12,0),0)="Y",0,VLOOKUP($A69,'Your Pooling'!$A$12:$K$30,MATCH("Your XXX Pooled",'Your Pooling'!$A$12:$K$12,0),))+K69,K69)</f>
        <v>0</v>
      </c>
      <c r="I69" s="11" t="n">
        <f aca="false">G69*H69</f>
        <v>0</v>
      </c>
      <c r="J69" s="11"/>
      <c r="K69" s="11"/>
      <c r="L69" s="22"/>
      <c r="O69" s="16" t="n">
        <f aca="false">E69*DAILYANY</f>
        <v>0</v>
      </c>
      <c r="P69" s="1" t="n">
        <f aca="false">L69*FEEREWARDS</f>
        <v>0</v>
      </c>
      <c r="Q69" s="16" t="n">
        <f aca="false" t="array" ref="Q69:Q69">P69*BNBPRICE+O69*ANYBNB*BNBPRICE</f>
        <v>0</v>
      </c>
      <c r="R69" s="23" t="n">
        <f aca="false" t="array" ref="R69:R69">IFERROR((Q69/BNBPRICE)/(2*G69),0)</f>
        <v>0</v>
      </c>
      <c r="S69" s="18" t="n">
        <f aca="false">R69*365</f>
        <v>0</v>
      </c>
    </row>
    <row r="70" customFormat="false" ht="15" hidden="false" customHeight="false" outlineLevel="0" collapsed="false">
      <c r="A70" s="0" t="str">
        <f aca="false">C70&amp;"-"&amp;D70</f>
        <v>-</v>
      </c>
      <c r="B70" s="17" t="n">
        <f aca="false">IF(OR(C70="ANY",D70="ANY"),2,1)</f>
        <v>1</v>
      </c>
      <c r="C70" s="17"/>
      <c r="D70" s="17"/>
      <c r="E70" s="18" t="n">
        <f aca="false">B70*G70/SUMPRODUCT($G$11:$G$100,$B$11:$B$100)</f>
        <v>0</v>
      </c>
      <c r="F70" s="19" t="n">
        <f aca="false">IFERROR(J70/K70,0)</f>
        <v>0</v>
      </c>
      <c r="G70" s="20" t="n">
        <f aca="false">IFERROR(IF(VLOOKUP($A70,'Your Pooling'!$A$12:$K$30,MATCH("Already In Pool?",'Your Pooling'!$A$12:$K$12,0),0)="Y",0,VLOOKUP($A70,'Your Pooling'!$A$12:$K$30,MATCH("Your BNB Pooled",'Your Pooling'!$A$12:$K$12,0),))+J70,J70)</f>
        <v>0</v>
      </c>
      <c r="H70" s="20" t="n">
        <f aca="false">IFERROR(IF(VLOOKUP($A70,'Your Pooling'!$A$12:$K$30,MATCH("Already In Pool?",'Your Pooling'!$A$12:$K$12,0),0)="Y",0,VLOOKUP($A70,'Your Pooling'!$A$12:$K$30,MATCH("Your XXX Pooled",'Your Pooling'!$A$12:$K$12,0),))+K70,K70)</f>
        <v>0</v>
      </c>
      <c r="I70" s="11" t="n">
        <f aca="false">G70*H70</f>
        <v>0</v>
      </c>
      <c r="J70" s="11"/>
      <c r="K70" s="11"/>
      <c r="L70" s="22"/>
      <c r="O70" s="16" t="n">
        <f aca="false">E70*DAILYANY</f>
        <v>0</v>
      </c>
      <c r="P70" s="1" t="n">
        <f aca="false">L70*FEEREWARDS</f>
        <v>0</v>
      </c>
      <c r="Q70" s="16" t="n">
        <f aca="false" t="array" ref="Q70:Q70">P70*BNBPRICE+O70*ANYBNB*BNBPRICE</f>
        <v>0</v>
      </c>
      <c r="R70" s="23" t="n">
        <f aca="false" t="array" ref="R70:R70">IFERROR((Q70/BNBPRICE)/(2*G70),0)</f>
        <v>0</v>
      </c>
      <c r="S70" s="18" t="n">
        <f aca="false">R70*365</f>
        <v>0</v>
      </c>
    </row>
    <row r="71" customFormat="false" ht="15" hidden="false" customHeight="false" outlineLevel="0" collapsed="false">
      <c r="A71" s="0" t="str">
        <f aca="false">C71&amp;"-"&amp;D71</f>
        <v>-</v>
      </c>
      <c r="B71" s="17" t="n">
        <f aca="false">IF(OR(C71="ANY",D71="ANY"),2,1)</f>
        <v>1</v>
      </c>
      <c r="C71" s="17"/>
      <c r="D71" s="17"/>
      <c r="E71" s="18" t="n">
        <f aca="false">B71*G71/SUMPRODUCT($G$11:$G$100,$B$11:$B$100)</f>
        <v>0</v>
      </c>
      <c r="F71" s="19" t="n">
        <f aca="false">IFERROR(J71/K71,0)</f>
        <v>0</v>
      </c>
      <c r="G71" s="20" t="n">
        <f aca="false">IFERROR(IF(VLOOKUP($A71,'Your Pooling'!$A$12:$K$30,MATCH("Already In Pool?",'Your Pooling'!$A$12:$K$12,0),0)="Y",0,VLOOKUP($A71,'Your Pooling'!$A$12:$K$30,MATCH("Your BNB Pooled",'Your Pooling'!$A$12:$K$12,0),))+J71,J71)</f>
        <v>0</v>
      </c>
      <c r="H71" s="20" t="n">
        <f aca="false">IFERROR(IF(VLOOKUP($A71,'Your Pooling'!$A$12:$K$30,MATCH("Already In Pool?",'Your Pooling'!$A$12:$K$12,0),0)="Y",0,VLOOKUP($A71,'Your Pooling'!$A$12:$K$30,MATCH("Your XXX Pooled",'Your Pooling'!$A$12:$K$12,0),))+K71,K71)</f>
        <v>0</v>
      </c>
      <c r="I71" s="11" t="n">
        <f aca="false">G71*H71</f>
        <v>0</v>
      </c>
      <c r="J71" s="11"/>
      <c r="K71" s="11"/>
      <c r="L71" s="22"/>
      <c r="O71" s="16" t="n">
        <f aca="false">E71*DAILYANY</f>
        <v>0</v>
      </c>
      <c r="P71" s="1" t="n">
        <f aca="false">L71*FEEREWARDS</f>
        <v>0</v>
      </c>
      <c r="Q71" s="16" t="n">
        <f aca="false" t="array" ref="Q71:Q71">P71*BNBPRICE+O71*ANYBNB*BNBPRICE</f>
        <v>0</v>
      </c>
      <c r="R71" s="23" t="n">
        <f aca="false" t="array" ref="R71:R71">IFERROR((Q71/BNBPRICE)/(2*G71),0)</f>
        <v>0</v>
      </c>
      <c r="S71" s="18" t="n">
        <f aca="false">R71*365</f>
        <v>0</v>
      </c>
    </row>
    <row r="72" customFormat="false" ht="15" hidden="false" customHeight="false" outlineLevel="0" collapsed="false">
      <c r="A72" s="0" t="str">
        <f aca="false">C72&amp;"-"&amp;D72</f>
        <v>-</v>
      </c>
      <c r="B72" s="17" t="n">
        <f aca="false">IF(OR(C72="ANY",D72="ANY"),2,1)</f>
        <v>1</v>
      </c>
      <c r="C72" s="17"/>
      <c r="D72" s="17"/>
      <c r="E72" s="18" t="n">
        <f aca="false">B72*G72/SUMPRODUCT($G$11:$G$100,$B$11:$B$100)</f>
        <v>0</v>
      </c>
      <c r="F72" s="19" t="n">
        <f aca="false">IFERROR(J72/K72,0)</f>
        <v>0</v>
      </c>
      <c r="G72" s="20" t="n">
        <f aca="false">IFERROR(IF(VLOOKUP($A72,'Your Pooling'!$A$12:$K$30,MATCH("Already In Pool?",'Your Pooling'!$A$12:$K$12,0),0)="Y",0,VLOOKUP($A72,'Your Pooling'!$A$12:$K$30,MATCH("Your BNB Pooled",'Your Pooling'!$A$12:$K$12,0),))+J72,J72)</f>
        <v>0</v>
      </c>
      <c r="H72" s="20" t="n">
        <f aca="false">IFERROR(IF(VLOOKUP($A72,'Your Pooling'!$A$12:$K$30,MATCH("Already In Pool?",'Your Pooling'!$A$12:$K$12,0),0)="Y",0,VLOOKUP($A72,'Your Pooling'!$A$12:$K$30,MATCH("Your XXX Pooled",'Your Pooling'!$A$12:$K$12,0),))+K72,K72)</f>
        <v>0</v>
      </c>
      <c r="I72" s="11" t="n">
        <f aca="false">G72*H72</f>
        <v>0</v>
      </c>
      <c r="J72" s="11"/>
      <c r="K72" s="11"/>
      <c r="L72" s="22"/>
      <c r="O72" s="16" t="n">
        <f aca="false">E72*DAILYANY</f>
        <v>0</v>
      </c>
      <c r="P72" s="1" t="n">
        <f aca="false">L72*FEEREWARDS</f>
        <v>0</v>
      </c>
      <c r="Q72" s="16" t="n">
        <f aca="false" t="array" ref="Q72:Q72">P72*BNBPRICE+O72*ANYBNB*BNBPRICE</f>
        <v>0</v>
      </c>
      <c r="R72" s="23" t="n">
        <f aca="false" t="array" ref="R72:R72">IFERROR((Q72/BNBPRICE)/(2*G72),0)</f>
        <v>0</v>
      </c>
      <c r="S72" s="18" t="n">
        <f aca="false">R72*365</f>
        <v>0</v>
      </c>
    </row>
    <row r="73" customFormat="false" ht="15" hidden="false" customHeight="false" outlineLevel="0" collapsed="false">
      <c r="A73" s="0" t="str">
        <f aca="false">C73&amp;"-"&amp;D73</f>
        <v>-</v>
      </c>
      <c r="B73" s="17" t="n">
        <f aca="false">IF(OR(C73="ANY",D73="ANY"),2,1)</f>
        <v>1</v>
      </c>
      <c r="C73" s="17"/>
      <c r="D73" s="17"/>
      <c r="E73" s="18" t="n">
        <f aca="false">B73*G73/SUMPRODUCT($G$11:$G$100,$B$11:$B$100)</f>
        <v>0</v>
      </c>
      <c r="F73" s="19" t="n">
        <f aca="false">IFERROR(J73/K73,0)</f>
        <v>0</v>
      </c>
      <c r="G73" s="20" t="n">
        <f aca="false">IFERROR(IF(VLOOKUP($A73,'Your Pooling'!$A$12:$K$30,MATCH("Already In Pool?",'Your Pooling'!$A$12:$K$12,0),0)="Y",0,VLOOKUP($A73,'Your Pooling'!$A$12:$K$30,MATCH("Your BNB Pooled",'Your Pooling'!$A$12:$K$12,0),))+J73,J73)</f>
        <v>0</v>
      </c>
      <c r="H73" s="20" t="n">
        <f aca="false">IFERROR(IF(VLOOKUP($A73,'Your Pooling'!$A$12:$K$30,MATCH("Already In Pool?",'Your Pooling'!$A$12:$K$12,0),0)="Y",0,VLOOKUP($A73,'Your Pooling'!$A$12:$K$30,MATCH("Your XXX Pooled",'Your Pooling'!$A$12:$K$12,0),))+K73,K73)</f>
        <v>0</v>
      </c>
      <c r="I73" s="11" t="n">
        <f aca="false">G73*H73</f>
        <v>0</v>
      </c>
      <c r="J73" s="11"/>
      <c r="K73" s="11"/>
      <c r="L73" s="22"/>
      <c r="O73" s="16" t="n">
        <f aca="false">E73*DAILYANY</f>
        <v>0</v>
      </c>
      <c r="P73" s="1" t="n">
        <f aca="false">L73*FEEREWARDS</f>
        <v>0</v>
      </c>
      <c r="Q73" s="16" t="n">
        <f aca="false" t="array" ref="Q73:Q73">P73*BNBPRICE+O73*ANYBNB*BNBPRICE</f>
        <v>0</v>
      </c>
      <c r="R73" s="23" t="n">
        <f aca="false" t="array" ref="R73:R73">IFERROR((Q73/BNBPRICE)/(2*G73),0)</f>
        <v>0</v>
      </c>
      <c r="S73" s="18" t="n">
        <f aca="false">R73*365</f>
        <v>0</v>
      </c>
    </row>
    <row r="74" customFormat="false" ht="15" hidden="false" customHeight="false" outlineLevel="0" collapsed="false">
      <c r="A74" s="0" t="str">
        <f aca="false">C74&amp;"-"&amp;D74</f>
        <v>-</v>
      </c>
      <c r="B74" s="17" t="n">
        <f aca="false">IF(OR(C74="ANY",D74="ANY"),2,1)</f>
        <v>1</v>
      </c>
      <c r="C74" s="17"/>
      <c r="D74" s="17"/>
      <c r="E74" s="18" t="n">
        <f aca="false">B74*G74/SUMPRODUCT($G$11:$G$100,$B$11:$B$100)</f>
        <v>0</v>
      </c>
      <c r="F74" s="19" t="n">
        <f aca="false">IFERROR(J74/K74,0)</f>
        <v>0</v>
      </c>
      <c r="G74" s="20" t="n">
        <f aca="false">IFERROR(IF(VLOOKUP($A74,'Your Pooling'!$A$12:$K$30,MATCH("Already In Pool?",'Your Pooling'!$A$12:$K$12,0),0)="Y",0,VLOOKUP($A74,'Your Pooling'!$A$12:$K$30,MATCH("Your BNB Pooled",'Your Pooling'!$A$12:$K$12,0),))+J74,J74)</f>
        <v>0</v>
      </c>
      <c r="H74" s="20" t="n">
        <f aca="false">IFERROR(IF(VLOOKUP($A74,'Your Pooling'!$A$12:$K$30,MATCH("Already In Pool?",'Your Pooling'!$A$12:$K$12,0),0)="Y",0,VLOOKUP($A74,'Your Pooling'!$A$12:$K$30,MATCH("Your XXX Pooled",'Your Pooling'!$A$12:$K$12,0),))+K74,K74)</f>
        <v>0</v>
      </c>
      <c r="I74" s="11" t="n">
        <f aca="false">G74*H74</f>
        <v>0</v>
      </c>
      <c r="J74" s="11"/>
      <c r="K74" s="11"/>
      <c r="L74" s="22"/>
      <c r="O74" s="16" t="n">
        <f aca="false">E74*DAILYANY</f>
        <v>0</v>
      </c>
      <c r="P74" s="1" t="n">
        <f aca="false">L74*FEEREWARDS</f>
        <v>0</v>
      </c>
      <c r="Q74" s="16" t="n">
        <f aca="false" t="array" ref="Q74:Q74">P74*BNBPRICE+O74*ANYBNB*BNBPRICE</f>
        <v>0</v>
      </c>
      <c r="R74" s="23" t="n">
        <f aca="false" t="array" ref="R74:R74">IFERROR((Q74/BNBPRICE)/(2*G74),0)</f>
        <v>0</v>
      </c>
      <c r="S74" s="18" t="n">
        <f aca="false">R74*365</f>
        <v>0</v>
      </c>
    </row>
    <row r="75" customFormat="false" ht="15" hidden="false" customHeight="false" outlineLevel="0" collapsed="false">
      <c r="A75" s="0" t="str">
        <f aca="false">C75&amp;"-"&amp;D75</f>
        <v>-</v>
      </c>
      <c r="B75" s="17" t="n">
        <f aca="false">IF(OR(C75="ANY",D75="ANY"),2,1)</f>
        <v>1</v>
      </c>
      <c r="C75" s="17"/>
      <c r="D75" s="17"/>
      <c r="E75" s="18" t="n">
        <f aca="false">B75*G75/SUMPRODUCT($G$11:$G$100,$B$11:$B$100)</f>
        <v>0</v>
      </c>
      <c r="F75" s="19" t="n">
        <f aca="false">IFERROR(J75/K75,0)</f>
        <v>0</v>
      </c>
      <c r="G75" s="20" t="n">
        <f aca="false">IFERROR(IF(VLOOKUP($A75,'Your Pooling'!$A$12:$K$30,MATCH("Already In Pool?",'Your Pooling'!$A$12:$K$12,0),0)="Y",0,VLOOKUP($A75,'Your Pooling'!$A$12:$K$30,MATCH("Your BNB Pooled",'Your Pooling'!$A$12:$K$12,0),))+J75,J75)</f>
        <v>0</v>
      </c>
      <c r="H75" s="20" t="n">
        <f aca="false">IFERROR(IF(VLOOKUP($A75,'Your Pooling'!$A$12:$K$30,MATCH("Already In Pool?",'Your Pooling'!$A$12:$K$12,0),0)="Y",0,VLOOKUP($A75,'Your Pooling'!$A$12:$K$30,MATCH("Your XXX Pooled",'Your Pooling'!$A$12:$K$12,0),))+K75,K75)</f>
        <v>0</v>
      </c>
      <c r="I75" s="11" t="n">
        <f aca="false">G75*H75</f>
        <v>0</v>
      </c>
      <c r="J75" s="11"/>
      <c r="K75" s="11"/>
      <c r="L75" s="22"/>
      <c r="O75" s="16" t="n">
        <f aca="false">E75*DAILYANY</f>
        <v>0</v>
      </c>
      <c r="P75" s="1" t="n">
        <f aca="false">L75*FEEREWARDS</f>
        <v>0</v>
      </c>
      <c r="Q75" s="16" t="n">
        <f aca="false" t="array" ref="Q75:Q75">P75*BNBPRICE+O75*ANYBNB*BNBPRICE</f>
        <v>0</v>
      </c>
      <c r="R75" s="23" t="n">
        <f aca="false" t="array" ref="R75:R75">IFERROR((Q75/BNBPRICE)/(2*G75),0)</f>
        <v>0</v>
      </c>
      <c r="S75" s="18" t="n">
        <f aca="false">R75*365</f>
        <v>0</v>
      </c>
    </row>
    <row r="76" customFormat="false" ht="15" hidden="false" customHeight="false" outlineLevel="0" collapsed="false">
      <c r="A76" s="0" t="str">
        <f aca="false">C76&amp;"-"&amp;D76</f>
        <v>-</v>
      </c>
      <c r="B76" s="17" t="n">
        <f aca="false">IF(OR(C76="ANY",D76="ANY"),2,1)</f>
        <v>1</v>
      </c>
      <c r="C76" s="17"/>
      <c r="D76" s="17"/>
      <c r="E76" s="18" t="n">
        <f aca="false">B76*G76/SUMPRODUCT($G$11:$G$100,$B$11:$B$100)</f>
        <v>0</v>
      </c>
      <c r="F76" s="19" t="n">
        <f aca="false">IFERROR(J76/K76,0)</f>
        <v>0</v>
      </c>
      <c r="G76" s="20" t="n">
        <f aca="false">IFERROR(IF(VLOOKUP($A76,'Your Pooling'!$A$12:$K$30,MATCH("Already In Pool?",'Your Pooling'!$A$12:$K$12,0),0)="Y",0,VLOOKUP($A76,'Your Pooling'!$A$12:$K$30,MATCH("Your BNB Pooled",'Your Pooling'!$A$12:$K$12,0),))+J76,J76)</f>
        <v>0</v>
      </c>
      <c r="H76" s="20" t="n">
        <f aca="false">IFERROR(IF(VLOOKUP($A76,'Your Pooling'!$A$12:$K$30,MATCH("Already In Pool?",'Your Pooling'!$A$12:$K$12,0),0)="Y",0,VLOOKUP($A76,'Your Pooling'!$A$12:$K$30,MATCH("Your XXX Pooled",'Your Pooling'!$A$12:$K$12,0),))+K76,K76)</f>
        <v>0</v>
      </c>
      <c r="I76" s="11" t="n">
        <f aca="false">G76*H76</f>
        <v>0</v>
      </c>
      <c r="J76" s="11"/>
      <c r="K76" s="11"/>
      <c r="L76" s="22"/>
      <c r="O76" s="16" t="n">
        <f aca="false">E76*DAILYANY</f>
        <v>0</v>
      </c>
      <c r="P76" s="1" t="n">
        <f aca="false">L76*FEEREWARDS</f>
        <v>0</v>
      </c>
      <c r="Q76" s="16" t="n">
        <f aca="false" t="array" ref="Q76:Q76">P76*BNBPRICE+O76*ANYBNB*BNBPRICE</f>
        <v>0</v>
      </c>
      <c r="R76" s="23" t="n">
        <f aca="false" t="array" ref="R76:R76">IFERROR((Q76/BNBPRICE)/(2*G76),0)</f>
        <v>0</v>
      </c>
      <c r="S76" s="18" t="n">
        <f aca="false">R76*365</f>
        <v>0</v>
      </c>
    </row>
    <row r="77" customFormat="false" ht="15" hidden="false" customHeight="false" outlineLevel="0" collapsed="false">
      <c r="A77" s="0" t="str">
        <f aca="false">C77&amp;"-"&amp;D77</f>
        <v>-</v>
      </c>
      <c r="B77" s="17" t="n">
        <f aca="false">IF(OR(C77="ANY",D77="ANY"),2,1)</f>
        <v>1</v>
      </c>
      <c r="C77" s="17"/>
      <c r="D77" s="17"/>
      <c r="E77" s="18" t="n">
        <f aca="false">B77*G77/SUMPRODUCT($G$11:$G$100,$B$11:$B$100)</f>
        <v>0</v>
      </c>
      <c r="F77" s="19" t="n">
        <f aca="false">IFERROR(J77/K77,0)</f>
        <v>0</v>
      </c>
      <c r="G77" s="20" t="n">
        <f aca="false">IFERROR(IF(VLOOKUP($A77,'Your Pooling'!$A$12:$K$30,MATCH("Already In Pool?",'Your Pooling'!$A$12:$K$12,0),0)="Y",0,VLOOKUP($A77,'Your Pooling'!$A$12:$K$30,MATCH("Your BNB Pooled",'Your Pooling'!$A$12:$K$12,0),))+J77,J77)</f>
        <v>0</v>
      </c>
      <c r="H77" s="20" t="n">
        <f aca="false">IFERROR(IF(VLOOKUP($A77,'Your Pooling'!$A$12:$K$30,MATCH("Already In Pool?",'Your Pooling'!$A$12:$K$12,0),0)="Y",0,VLOOKUP($A77,'Your Pooling'!$A$12:$K$30,MATCH("Your XXX Pooled",'Your Pooling'!$A$12:$K$12,0),))+K77,K77)</f>
        <v>0</v>
      </c>
      <c r="I77" s="11" t="n">
        <f aca="false">G77*H77</f>
        <v>0</v>
      </c>
      <c r="J77" s="11"/>
      <c r="K77" s="11"/>
      <c r="L77" s="22"/>
      <c r="O77" s="16" t="n">
        <f aca="false">E77*DAILYANY</f>
        <v>0</v>
      </c>
      <c r="P77" s="1" t="n">
        <f aca="false">L77*FEEREWARDS</f>
        <v>0</v>
      </c>
      <c r="Q77" s="16" t="n">
        <f aca="false" t="array" ref="Q77:Q77">P77*BNBPRICE+O77*ANYBNB*BNBPRICE</f>
        <v>0</v>
      </c>
      <c r="R77" s="23" t="n">
        <f aca="false" t="array" ref="R77:R77">IFERROR((Q77/BNBPRICE)/(2*G77),0)</f>
        <v>0</v>
      </c>
      <c r="S77" s="18" t="n">
        <f aca="false">R77*365</f>
        <v>0</v>
      </c>
    </row>
    <row r="78" customFormat="false" ht="15" hidden="false" customHeight="false" outlineLevel="0" collapsed="false">
      <c r="A78" s="0" t="str">
        <f aca="false">C78&amp;"-"&amp;D78</f>
        <v>-</v>
      </c>
      <c r="B78" s="17" t="n">
        <f aca="false">IF(OR(C78="ANY",D78="ANY"),2,1)</f>
        <v>1</v>
      </c>
      <c r="C78" s="17"/>
      <c r="D78" s="17"/>
      <c r="E78" s="18" t="n">
        <f aca="false">B78*G78/SUMPRODUCT($G$11:$G$100,$B$11:$B$100)</f>
        <v>0</v>
      </c>
      <c r="F78" s="19" t="n">
        <f aca="false">IFERROR(J78/K78,0)</f>
        <v>0</v>
      </c>
      <c r="G78" s="20" t="n">
        <f aca="false">IFERROR(IF(VLOOKUP($A78,'Your Pooling'!$A$12:$K$30,MATCH("Already In Pool?",'Your Pooling'!$A$12:$K$12,0),0)="Y",0,VLOOKUP($A78,'Your Pooling'!$A$12:$K$30,MATCH("Your BNB Pooled",'Your Pooling'!$A$12:$K$12,0),))+J78,J78)</f>
        <v>0</v>
      </c>
      <c r="H78" s="20" t="n">
        <f aca="false">IFERROR(IF(VLOOKUP($A78,'Your Pooling'!$A$12:$K$30,MATCH("Already In Pool?",'Your Pooling'!$A$12:$K$12,0),0)="Y",0,VLOOKUP($A78,'Your Pooling'!$A$12:$K$30,MATCH("Your XXX Pooled",'Your Pooling'!$A$12:$K$12,0),))+K78,K78)</f>
        <v>0</v>
      </c>
      <c r="I78" s="11" t="n">
        <f aca="false">G78*H78</f>
        <v>0</v>
      </c>
      <c r="J78" s="11"/>
      <c r="K78" s="11"/>
      <c r="L78" s="22"/>
      <c r="O78" s="16" t="n">
        <f aca="false">E78*DAILYANY</f>
        <v>0</v>
      </c>
      <c r="P78" s="1" t="n">
        <f aca="false">L78*FEEREWARDS</f>
        <v>0</v>
      </c>
      <c r="Q78" s="16" t="n">
        <f aca="false" t="array" ref="Q78:Q78">P78*BNBPRICE+O78*ANYBNB*BNBPRICE</f>
        <v>0</v>
      </c>
      <c r="R78" s="23" t="n">
        <f aca="false" t="array" ref="R78:R78">IFERROR((Q78/BNBPRICE)/(2*G78),0)</f>
        <v>0</v>
      </c>
      <c r="S78" s="18" t="n">
        <f aca="false">R78*365</f>
        <v>0</v>
      </c>
    </row>
    <row r="79" customFormat="false" ht="15" hidden="false" customHeight="false" outlineLevel="0" collapsed="false">
      <c r="A79" s="0" t="str">
        <f aca="false">C79&amp;"-"&amp;D79</f>
        <v>-</v>
      </c>
      <c r="B79" s="17" t="n">
        <f aca="false">IF(OR(C79="ANY",D79="ANY"),2,1)</f>
        <v>1</v>
      </c>
      <c r="C79" s="17"/>
      <c r="D79" s="17"/>
      <c r="E79" s="18" t="n">
        <f aca="false">B79*G79/SUMPRODUCT($G$11:$G$100,$B$11:$B$100)</f>
        <v>0</v>
      </c>
      <c r="F79" s="19" t="n">
        <f aca="false">IFERROR(J79/K79,0)</f>
        <v>0</v>
      </c>
      <c r="G79" s="20" t="n">
        <f aca="false">IFERROR(IF(VLOOKUP($A79,'Your Pooling'!$A$12:$K$30,MATCH("Already In Pool?",'Your Pooling'!$A$12:$K$12,0),0)="Y",0,VLOOKUP($A79,'Your Pooling'!$A$12:$K$30,MATCH("Your BNB Pooled",'Your Pooling'!$A$12:$K$12,0),))+J79,J79)</f>
        <v>0</v>
      </c>
      <c r="H79" s="20" t="n">
        <f aca="false">IFERROR(IF(VLOOKUP($A79,'Your Pooling'!$A$12:$K$30,MATCH("Already In Pool?",'Your Pooling'!$A$12:$K$12,0),0)="Y",0,VLOOKUP($A79,'Your Pooling'!$A$12:$K$30,MATCH("Your XXX Pooled",'Your Pooling'!$A$12:$K$12,0),))+K79,K79)</f>
        <v>0</v>
      </c>
      <c r="I79" s="11" t="n">
        <f aca="false">G79*H79</f>
        <v>0</v>
      </c>
      <c r="J79" s="11"/>
      <c r="K79" s="11"/>
      <c r="L79" s="22"/>
      <c r="O79" s="16" t="n">
        <f aca="false">E79*DAILYANY</f>
        <v>0</v>
      </c>
      <c r="P79" s="1" t="n">
        <f aca="false">L79*FEEREWARDS</f>
        <v>0</v>
      </c>
      <c r="Q79" s="16" t="n">
        <f aca="false" t="array" ref="Q79:Q79">P79*BNBPRICE+O79*ANYBNB*BNBPRICE</f>
        <v>0</v>
      </c>
      <c r="R79" s="23" t="n">
        <f aca="false" t="array" ref="R79:R79">IFERROR((Q79/BNBPRICE)/(2*G79),0)</f>
        <v>0</v>
      </c>
      <c r="S79" s="18" t="n">
        <f aca="false">R79*365</f>
        <v>0</v>
      </c>
    </row>
    <row r="80" customFormat="false" ht="15" hidden="false" customHeight="false" outlineLevel="0" collapsed="false">
      <c r="A80" s="0" t="str">
        <f aca="false">C80&amp;"-"&amp;D80</f>
        <v>-</v>
      </c>
      <c r="B80" s="17" t="n">
        <f aca="false">IF(OR(C80="ANY",D80="ANY"),2,1)</f>
        <v>1</v>
      </c>
      <c r="C80" s="17"/>
      <c r="D80" s="17"/>
      <c r="E80" s="18" t="n">
        <f aca="false">B80*G80/SUMPRODUCT($G$11:$G$100,$B$11:$B$100)</f>
        <v>0</v>
      </c>
      <c r="F80" s="19" t="n">
        <f aca="false">IFERROR(J80/K80,0)</f>
        <v>0</v>
      </c>
      <c r="G80" s="20" t="n">
        <f aca="false">IFERROR(IF(VLOOKUP($A80,'Your Pooling'!$A$12:$K$30,MATCH("Already In Pool?",'Your Pooling'!$A$12:$K$12,0),0)="Y",0,VLOOKUP($A80,'Your Pooling'!$A$12:$K$30,MATCH("Your BNB Pooled",'Your Pooling'!$A$12:$K$12,0),))+J80,J80)</f>
        <v>0</v>
      </c>
      <c r="H80" s="20" t="n">
        <f aca="false">IFERROR(IF(VLOOKUP($A80,'Your Pooling'!$A$12:$K$30,MATCH("Already In Pool?",'Your Pooling'!$A$12:$K$12,0),0)="Y",0,VLOOKUP($A80,'Your Pooling'!$A$12:$K$30,MATCH("Your XXX Pooled",'Your Pooling'!$A$12:$K$12,0),))+K80,K80)</f>
        <v>0</v>
      </c>
      <c r="I80" s="11" t="n">
        <f aca="false">G80*H80</f>
        <v>0</v>
      </c>
      <c r="J80" s="11"/>
      <c r="K80" s="11"/>
      <c r="L80" s="22"/>
      <c r="O80" s="16" t="n">
        <f aca="false">E80*DAILYANY</f>
        <v>0</v>
      </c>
      <c r="P80" s="1" t="n">
        <f aca="false">L80*FEEREWARDS</f>
        <v>0</v>
      </c>
      <c r="Q80" s="16" t="n">
        <f aca="false" t="array" ref="Q80:Q80">P80*BNBPRICE+O80*ANYBNB*BNBPRICE</f>
        <v>0</v>
      </c>
      <c r="R80" s="23" t="n">
        <f aca="false" t="array" ref="R80:R80">IFERROR((Q80/BNBPRICE)/(2*G80),0)</f>
        <v>0</v>
      </c>
      <c r="S80" s="18" t="n">
        <f aca="false">R80*365</f>
        <v>0</v>
      </c>
    </row>
    <row r="81" customFormat="false" ht="15" hidden="false" customHeight="false" outlineLevel="0" collapsed="false">
      <c r="A81" s="0" t="str">
        <f aca="false">C81&amp;"-"&amp;D81</f>
        <v>-</v>
      </c>
      <c r="B81" s="17" t="n">
        <f aca="false">IF(OR(C81="ANY",D81="ANY"),2,1)</f>
        <v>1</v>
      </c>
      <c r="C81" s="17"/>
      <c r="D81" s="17"/>
      <c r="E81" s="18" t="n">
        <f aca="false">B81*G81/SUMPRODUCT($G$11:$G$100,$B$11:$B$100)</f>
        <v>0</v>
      </c>
      <c r="F81" s="19" t="n">
        <f aca="false">IFERROR(J81/K81,0)</f>
        <v>0</v>
      </c>
      <c r="G81" s="20" t="n">
        <f aca="false">IFERROR(IF(VLOOKUP($A81,'Your Pooling'!$A$12:$K$30,MATCH("Already In Pool?",'Your Pooling'!$A$12:$K$12,0),0)="Y",0,VLOOKUP($A81,'Your Pooling'!$A$12:$K$30,MATCH("Your BNB Pooled",'Your Pooling'!$A$12:$K$12,0),))+J81,J81)</f>
        <v>0</v>
      </c>
      <c r="H81" s="20" t="n">
        <f aca="false">IFERROR(IF(VLOOKUP($A81,'Your Pooling'!$A$12:$K$30,MATCH("Already In Pool?",'Your Pooling'!$A$12:$K$12,0),0)="Y",0,VLOOKUP($A81,'Your Pooling'!$A$12:$K$30,MATCH("Your XXX Pooled",'Your Pooling'!$A$12:$K$12,0),))+K81,K81)</f>
        <v>0</v>
      </c>
      <c r="I81" s="11" t="n">
        <f aca="false">G81*H81</f>
        <v>0</v>
      </c>
      <c r="J81" s="11"/>
      <c r="K81" s="11"/>
      <c r="L81" s="22"/>
      <c r="O81" s="16" t="n">
        <f aca="false">E81*DAILYANY</f>
        <v>0</v>
      </c>
      <c r="P81" s="1" t="n">
        <f aca="false">L81*FEEREWARDS</f>
        <v>0</v>
      </c>
      <c r="Q81" s="16" t="n">
        <f aca="false" t="array" ref="Q81:Q81">P81*BNBPRICE+O81*ANYBNB*BNBPRICE</f>
        <v>0</v>
      </c>
      <c r="R81" s="23" t="n">
        <f aca="false" t="array" ref="R81:R81">IFERROR((Q81/BNBPRICE)/(2*G81),0)</f>
        <v>0</v>
      </c>
      <c r="S81" s="18" t="n">
        <f aca="false">R81*365</f>
        <v>0</v>
      </c>
    </row>
    <row r="82" customFormat="false" ht="15" hidden="false" customHeight="false" outlineLevel="0" collapsed="false">
      <c r="A82" s="0" t="str">
        <f aca="false">C82&amp;"-"&amp;D82</f>
        <v>-</v>
      </c>
      <c r="B82" s="17" t="n">
        <f aca="false">IF(OR(C82="ANY",D82="ANY"),2,1)</f>
        <v>1</v>
      </c>
      <c r="C82" s="17"/>
      <c r="D82" s="17"/>
      <c r="E82" s="18" t="n">
        <f aca="false">B82*G82/SUMPRODUCT($G$11:$G$100,$B$11:$B$100)</f>
        <v>0</v>
      </c>
      <c r="F82" s="19" t="n">
        <f aca="false">IFERROR(J82/K82,0)</f>
        <v>0</v>
      </c>
      <c r="G82" s="20" t="n">
        <f aca="false">IFERROR(IF(VLOOKUP($A82,'Your Pooling'!$A$12:$K$30,MATCH("Already In Pool?",'Your Pooling'!$A$12:$K$12,0),0)="Y",0,VLOOKUP($A82,'Your Pooling'!$A$12:$K$30,MATCH("Your BNB Pooled",'Your Pooling'!$A$12:$K$12,0),))+J82,J82)</f>
        <v>0</v>
      </c>
      <c r="H82" s="20" t="n">
        <f aca="false">IFERROR(IF(VLOOKUP($A82,'Your Pooling'!$A$12:$K$30,MATCH("Already In Pool?",'Your Pooling'!$A$12:$K$12,0),0)="Y",0,VLOOKUP($A82,'Your Pooling'!$A$12:$K$30,MATCH("Your XXX Pooled",'Your Pooling'!$A$12:$K$12,0),))+K82,K82)</f>
        <v>0</v>
      </c>
      <c r="I82" s="11" t="n">
        <f aca="false">G82*H82</f>
        <v>0</v>
      </c>
      <c r="J82" s="11"/>
      <c r="K82" s="11"/>
      <c r="L82" s="22"/>
      <c r="O82" s="16" t="n">
        <f aca="false">E82*DAILYANY</f>
        <v>0</v>
      </c>
      <c r="P82" s="1" t="n">
        <f aca="false">L82*FEEREWARDS</f>
        <v>0</v>
      </c>
      <c r="Q82" s="16" t="n">
        <f aca="false" t="array" ref="Q82:Q82">P82*BNBPRICE+O82*ANYBNB*BNBPRICE</f>
        <v>0</v>
      </c>
      <c r="R82" s="23" t="n">
        <f aca="false" t="array" ref="R82:R82">IFERROR((Q82/BNBPRICE)/(2*G82),0)</f>
        <v>0</v>
      </c>
      <c r="S82" s="18" t="n">
        <f aca="false">R82*365</f>
        <v>0</v>
      </c>
    </row>
    <row r="83" customFormat="false" ht="15" hidden="false" customHeight="false" outlineLevel="0" collapsed="false">
      <c r="A83" s="0" t="str">
        <f aca="false">C83&amp;"-"&amp;D83</f>
        <v>-</v>
      </c>
      <c r="B83" s="17" t="n">
        <f aca="false">IF(OR(C83="ANY",D83="ANY"),2,1)</f>
        <v>1</v>
      </c>
      <c r="C83" s="17"/>
      <c r="D83" s="17"/>
      <c r="E83" s="18" t="n">
        <f aca="false">B83*G83/SUMPRODUCT($G$11:$G$100,$B$11:$B$100)</f>
        <v>0</v>
      </c>
      <c r="F83" s="19" t="n">
        <f aca="false">IFERROR(J83/K83,0)</f>
        <v>0</v>
      </c>
      <c r="G83" s="20" t="n">
        <f aca="false">IFERROR(IF(VLOOKUP($A83,'Your Pooling'!$A$12:$K$30,MATCH("Already In Pool?",'Your Pooling'!$A$12:$K$12,0),0)="Y",0,VLOOKUP($A83,'Your Pooling'!$A$12:$K$30,MATCH("Your BNB Pooled",'Your Pooling'!$A$12:$K$12,0),))+J83,J83)</f>
        <v>0</v>
      </c>
      <c r="H83" s="20" t="n">
        <f aca="false">IFERROR(IF(VLOOKUP($A83,'Your Pooling'!$A$12:$K$30,MATCH("Already In Pool?",'Your Pooling'!$A$12:$K$12,0),0)="Y",0,VLOOKUP($A83,'Your Pooling'!$A$12:$K$30,MATCH("Your XXX Pooled",'Your Pooling'!$A$12:$K$12,0),))+K83,K83)</f>
        <v>0</v>
      </c>
      <c r="I83" s="11" t="n">
        <f aca="false">G83*H83</f>
        <v>0</v>
      </c>
      <c r="J83" s="11"/>
      <c r="K83" s="11"/>
      <c r="L83" s="22"/>
      <c r="O83" s="16" t="n">
        <f aca="false">E83*DAILYANY</f>
        <v>0</v>
      </c>
      <c r="P83" s="1" t="n">
        <f aca="false">L83*FEEREWARDS</f>
        <v>0</v>
      </c>
      <c r="Q83" s="16" t="n">
        <f aca="false" t="array" ref="Q83:Q83">P83*BNBPRICE+O83*ANYBNB*BNBPRICE</f>
        <v>0</v>
      </c>
      <c r="R83" s="23" t="n">
        <f aca="false" t="array" ref="R83:R83">IFERROR((Q83/BNBPRICE)/(2*G83),0)</f>
        <v>0</v>
      </c>
      <c r="S83" s="18" t="n">
        <f aca="false">R83*365</f>
        <v>0</v>
      </c>
    </row>
    <row r="84" customFormat="false" ht="15" hidden="false" customHeight="false" outlineLevel="0" collapsed="false">
      <c r="A84" s="0" t="str">
        <f aca="false">C84&amp;"-"&amp;D84</f>
        <v>-</v>
      </c>
      <c r="B84" s="17" t="n">
        <f aca="false">IF(OR(C84="ANY",D84="ANY"),2,1)</f>
        <v>1</v>
      </c>
      <c r="C84" s="17"/>
      <c r="D84" s="17"/>
      <c r="E84" s="18" t="n">
        <f aca="false">B84*G84/SUMPRODUCT($G$11:$G$100,$B$11:$B$100)</f>
        <v>0</v>
      </c>
      <c r="F84" s="19" t="n">
        <f aca="false">IFERROR(J84/K84,0)</f>
        <v>0</v>
      </c>
      <c r="G84" s="20" t="n">
        <f aca="false">IFERROR(IF(VLOOKUP($A84,'Your Pooling'!$A$12:$K$30,MATCH("Already In Pool?",'Your Pooling'!$A$12:$K$12,0),0)="Y",0,VLOOKUP($A84,'Your Pooling'!$A$12:$K$30,MATCH("Your BNB Pooled",'Your Pooling'!$A$12:$K$12,0),))+J84,J84)</f>
        <v>0</v>
      </c>
      <c r="H84" s="20" t="n">
        <f aca="false">IFERROR(IF(VLOOKUP($A84,'Your Pooling'!$A$12:$K$30,MATCH("Already In Pool?",'Your Pooling'!$A$12:$K$12,0),0)="Y",0,VLOOKUP($A84,'Your Pooling'!$A$12:$K$30,MATCH("Your XXX Pooled",'Your Pooling'!$A$12:$K$12,0),))+K84,K84)</f>
        <v>0</v>
      </c>
      <c r="I84" s="11" t="n">
        <f aca="false">G84*H84</f>
        <v>0</v>
      </c>
      <c r="J84" s="11"/>
      <c r="K84" s="11"/>
      <c r="L84" s="22"/>
      <c r="O84" s="16" t="n">
        <f aca="false">E84*DAILYANY</f>
        <v>0</v>
      </c>
      <c r="P84" s="1" t="n">
        <f aca="false">L84*FEEREWARDS</f>
        <v>0</v>
      </c>
      <c r="Q84" s="16" t="n">
        <f aca="false" t="array" ref="Q84:Q84">P84*BNBPRICE+O84*ANYBNB*BNBPRICE</f>
        <v>0</v>
      </c>
      <c r="R84" s="23" t="n">
        <f aca="false" t="array" ref="R84:R84">IFERROR((Q84/BNBPRICE)/(2*G84),0)</f>
        <v>0</v>
      </c>
      <c r="S84" s="18" t="n">
        <f aca="false">R84*365</f>
        <v>0</v>
      </c>
    </row>
    <row r="85" customFormat="false" ht="15" hidden="false" customHeight="false" outlineLevel="0" collapsed="false">
      <c r="A85" s="0" t="str">
        <f aca="false">C85&amp;"-"&amp;D85</f>
        <v>-</v>
      </c>
      <c r="B85" s="17" t="n">
        <f aca="false">IF(OR(C85="ANY",D85="ANY"),2,1)</f>
        <v>1</v>
      </c>
      <c r="C85" s="17"/>
      <c r="D85" s="17"/>
      <c r="E85" s="18" t="n">
        <f aca="false">B85*G85/SUMPRODUCT($G$11:$G$100,$B$11:$B$100)</f>
        <v>0</v>
      </c>
      <c r="F85" s="19" t="n">
        <f aca="false">IFERROR(J85/K85,0)</f>
        <v>0</v>
      </c>
      <c r="G85" s="20" t="n">
        <f aca="false">IFERROR(IF(VLOOKUP($A85,'Your Pooling'!$A$12:$K$30,MATCH("Already In Pool?",'Your Pooling'!$A$12:$K$12,0),0)="Y",0,VLOOKUP($A85,'Your Pooling'!$A$12:$K$30,MATCH("Your BNB Pooled",'Your Pooling'!$A$12:$K$12,0),))+J85,J85)</f>
        <v>0</v>
      </c>
      <c r="H85" s="20" t="n">
        <f aca="false">IFERROR(IF(VLOOKUP($A85,'Your Pooling'!$A$12:$K$30,MATCH("Already In Pool?",'Your Pooling'!$A$12:$K$12,0),0)="Y",0,VLOOKUP($A85,'Your Pooling'!$A$12:$K$30,MATCH("Your XXX Pooled",'Your Pooling'!$A$12:$K$12,0),))+K85,K85)</f>
        <v>0</v>
      </c>
      <c r="I85" s="11" t="n">
        <f aca="false">G85*H85</f>
        <v>0</v>
      </c>
      <c r="J85" s="11"/>
      <c r="K85" s="11"/>
      <c r="L85" s="22"/>
      <c r="O85" s="16" t="n">
        <f aca="false">E85*DAILYANY</f>
        <v>0</v>
      </c>
      <c r="P85" s="1" t="n">
        <f aca="false">L85*FEEREWARDS</f>
        <v>0</v>
      </c>
      <c r="Q85" s="16" t="n">
        <f aca="false" t="array" ref="Q85:Q85">P85*BNBPRICE+O85*ANYBNB*BNBPRICE</f>
        <v>0</v>
      </c>
      <c r="R85" s="23" t="n">
        <f aca="false" t="array" ref="R85:R85">IFERROR((Q85/BNBPRICE)/(2*G85),0)</f>
        <v>0</v>
      </c>
      <c r="S85" s="18" t="n">
        <f aca="false">R85*365</f>
        <v>0</v>
      </c>
    </row>
    <row r="86" customFormat="false" ht="15" hidden="false" customHeight="false" outlineLevel="0" collapsed="false">
      <c r="A86" s="0" t="str">
        <f aca="false">C86&amp;"-"&amp;D86</f>
        <v>-</v>
      </c>
      <c r="B86" s="17" t="n">
        <f aca="false">IF(OR(C86="ANY",D86="ANY"),2,1)</f>
        <v>1</v>
      </c>
      <c r="C86" s="17"/>
      <c r="D86" s="17"/>
      <c r="E86" s="18" t="n">
        <f aca="false">B86*G86/SUMPRODUCT($G$11:$G$100,$B$11:$B$100)</f>
        <v>0</v>
      </c>
      <c r="F86" s="19" t="n">
        <f aca="false">IFERROR(J86/K86,0)</f>
        <v>0</v>
      </c>
      <c r="G86" s="20" t="n">
        <f aca="false">IFERROR(IF(VLOOKUP($A86,'Your Pooling'!$A$12:$K$30,MATCH("Already In Pool?",'Your Pooling'!$A$12:$K$12,0),0)="Y",0,VLOOKUP($A86,'Your Pooling'!$A$12:$K$30,MATCH("Your BNB Pooled",'Your Pooling'!$A$12:$K$12,0),))+J86,J86)</f>
        <v>0</v>
      </c>
      <c r="H86" s="20" t="n">
        <f aca="false">IFERROR(IF(VLOOKUP($A86,'Your Pooling'!$A$12:$K$30,MATCH("Already In Pool?",'Your Pooling'!$A$12:$K$12,0),0)="Y",0,VLOOKUP($A86,'Your Pooling'!$A$12:$K$30,MATCH("Your XXX Pooled",'Your Pooling'!$A$12:$K$12,0),))+K86,K86)</f>
        <v>0</v>
      </c>
      <c r="I86" s="11" t="n">
        <f aca="false">G86*H86</f>
        <v>0</v>
      </c>
      <c r="J86" s="11"/>
      <c r="K86" s="11"/>
      <c r="L86" s="22"/>
      <c r="O86" s="16" t="n">
        <f aca="false">E86*DAILYANY</f>
        <v>0</v>
      </c>
      <c r="P86" s="1" t="n">
        <f aca="false">L86*FEEREWARDS</f>
        <v>0</v>
      </c>
      <c r="Q86" s="16" t="n">
        <f aca="false" t="array" ref="Q86:Q86">P86*BNBPRICE+O86*ANYBNB*BNBPRICE</f>
        <v>0</v>
      </c>
      <c r="R86" s="23" t="n">
        <f aca="false" t="array" ref="R86:R86">IFERROR((Q86/BNBPRICE)/(2*G86),0)</f>
        <v>0</v>
      </c>
      <c r="S86" s="18" t="n">
        <f aca="false">R86*365</f>
        <v>0</v>
      </c>
    </row>
    <row r="87" customFormat="false" ht="15" hidden="false" customHeight="false" outlineLevel="0" collapsed="false">
      <c r="A87" s="0" t="str">
        <f aca="false">C87&amp;"-"&amp;D87</f>
        <v>-</v>
      </c>
      <c r="B87" s="17" t="n">
        <f aca="false">IF(OR(C87="ANY",D87="ANY"),2,1)</f>
        <v>1</v>
      </c>
      <c r="C87" s="17"/>
      <c r="D87" s="17"/>
      <c r="E87" s="18" t="n">
        <f aca="false">B87*G87/SUMPRODUCT($G$11:$G$100,$B$11:$B$100)</f>
        <v>0</v>
      </c>
      <c r="F87" s="19" t="n">
        <f aca="false">IFERROR(J87/K87,0)</f>
        <v>0</v>
      </c>
      <c r="G87" s="20" t="n">
        <f aca="false">IFERROR(IF(VLOOKUP($A87,'Your Pooling'!$A$12:$K$30,MATCH("Already In Pool?",'Your Pooling'!$A$12:$K$12,0),0)="Y",0,VLOOKUP($A87,'Your Pooling'!$A$12:$K$30,MATCH("Your BNB Pooled",'Your Pooling'!$A$12:$K$12,0),))+J87,J87)</f>
        <v>0</v>
      </c>
      <c r="H87" s="20" t="n">
        <f aca="false">IFERROR(IF(VLOOKUP($A87,'Your Pooling'!$A$12:$K$30,MATCH("Already In Pool?",'Your Pooling'!$A$12:$K$12,0),0)="Y",0,VLOOKUP($A87,'Your Pooling'!$A$12:$K$30,MATCH("Your XXX Pooled",'Your Pooling'!$A$12:$K$12,0),))+K87,K87)</f>
        <v>0</v>
      </c>
      <c r="I87" s="11" t="n">
        <f aca="false">G87*H87</f>
        <v>0</v>
      </c>
      <c r="J87" s="11"/>
      <c r="K87" s="11"/>
      <c r="L87" s="22"/>
      <c r="O87" s="16" t="n">
        <f aca="false">E87*DAILYANY</f>
        <v>0</v>
      </c>
      <c r="P87" s="1" t="n">
        <f aca="false">L87*FEEREWARDS</f>
        <v>0</v>
      </c>
      <c r="Q87" s="16" t="n">
        <f aca="false" t="array" ref="Q87:Q87">P87*BNBPRICE+O87*ANYBNB*BNBPRICE</f>
        <v>0</v>
      </c>
      <c r="R87" s="23" t="n">
        <f aca="false" t="array" ref="R87:R87">IFERROR((Q87/BNBPRICE)/(2*G87),0)</f>
        <v>0</v>
      </c>
      <c r="S87" s="18" t="n">
        <f aca="false">R87*365</f>
        <v>0</v>
      </c>
    </row>
    <row r="88" customFormat="false" ht="15" hidden="false" customHeight="false" outlineLevel="0" collapsed="false">
      <c r="A88" s="0" t="str">
        <f aca="false">C88&amp;"-"&amp;D88</f>
        <v>-</v>
      </c>
      <c r="B88" s="17" t="n">
        <f aca="false">IF(OR(C88="ANY",D88="ANY"),2,1)</f>
        <v>1</v>
      </c>
      <c r="C88" s="17"/>
      <c r="D88" s="17"/>
      <c r="E88" s="18" t="n">
        <f aca="false">B88*G88/SUMPRODUCT($G$11:$G$100,$B$11:$B$100)</f>
        <v>0</v>
      </c>
      <c r="F88" s="19" t="n">
        <f aca="false">IFERROR(J88/K88,0)</f>
        <v>0</v>
      </c>
      <c r="G88" s="20" t="n">
        <f aca="false">IFERROR(IF(VLOOKUP($A88,'Your Pooling'!$A$12:$K$30,MATCH("Already In Pool?",'Your Pooling'!$A$12:$K$12,0),0)="Y",0,VLOOKUP($A88,'Your Pooling'!$A$12:$K$30,MATCH("Your BNB Pooled",'Your Pooling'!$A$12:$K$12,0),))+J88,J88)</f>
        <v>0</v>
      </c>
      <c r="H88" s="20" t="n">
        <f aca="false">IFERROR(IF(VLOOKUP($A88,'Your Pooling'!$A$12:$K$30,MATCH("Already In Pool?",'Your Pooling'!$A$12:$K$12,0),0)="Y",0,VLOOKUP($A88,'Your Pooling'!$A$12:$K$30,MATCH("Your XXX Pooled",'Your Pooling'!$A$12:$K$12,0),))+K88,K88)</f>
        <v>0</v>
      </c>
      <c r="I88" s="11" t="n">
        <f aca="false">G88*H88</f>
        <v>0</v>
      </c>
      <c r="J88" s="11"/>
      <c r="K88" s="11"/>
      <c r="L88" s="22"/>
      <c r="O88" s="16" t="n">
        <f aca="false">E88*DAILYANY</f>
        <v>0</v>
      </c>
      <c r="P88" s="1" t="n">
        <f aca="false">L88*FEEREWARDS</f>
        <v>0</v>
      </c>
      <c r="Q88" s="16" t="n">
        <f aca="false" t="array" ref="Q88:Q88">P88*BNBPRICE+O88*ANYBNB*BNBPRICE</f>
        <v>0</v>
      </c>
      <c r="R88" s="23" t="n">
        <f aca="false" t="array" ref="R88:R88">IFERROR((Q88/BNBPRICE)/(2*G88),0)</f>
        <v>0</v>
      </c>
      <c r="S88" s="18" t="n">
        <f aca="false">R88*365</f>
        <v>0</v>
      </c>
    </row>
    <row r="89" customFormat="false" ht="15" hidden="false" customHeight="false" outlineLevel="0" collapsed="false">
      <c r="A89" s="0" t="str">
        <f aca="false">C89&amp;"-"&amp;D89</f>
        <v>-</v>
      </c>
      <c r="B89" s="17" t="n">
        <f aca="false">IF(OR(C89="ANY",D89="ANY"),2,1)</f>
        <v>1</v>
      </c>
      <c r="C89" s="17"/>
      <c r="D89" s="17"/>
      <c r="E89" s="18" t="n">
        <f aca="false">B89*G89/SUMPRODUCT($G$11:$G$100,$B$11:$B$100)</f>
        <v>0</v>
      </c>
      <c r="F89" s="19" t="n">
        <f aca="false">IFERROR(J89/K89,0)</f>
        <v>0</v>
      </c>
      <c r="G89" s="20" t="n">
        <f aca="false">IFERROR(IF(VLOOKUP($A89,'Your Pooling'!$A$12:$K$30,MATCH("Already In Pool?",'Your Pooling'!$A$12:$K$12,0),0)="Y",0,VLOOKUP($A89,'Your Pooling'!$A$12:$K$30,MATCH("Your BNB Pooled",'Your Pooling'!$A$12:$K$12,0),))+J89,J89)</f>
        <v>0</v>
      </c>
      <c r="H89" s="20" t="n">
        <f aca="false">IFERROR(IF(VLOOKUP($A89,'Your Pooling'!$A$12:$K$30,MATCH("Already In Pool?",'Your Pooling'!$A$12:$K$12,0),0)="Y",0,VLOOKUP($A89,'Your Pooling'!$A$12:$K$30,MATCH("Your XXX Pooled",'Your Pooling'!$A$12:$K$12,0),))+K89,K89)</f>
        <v>0</v>
      </c>
      <c r="I89" s="11" t="n">
        <f aca="false">G89*H89</f>
        <v>0</v>
      </c>
      <c r="J89" s="11"/>
      <c r="K89" s="11"/>
      <c r="L89" s="22"/>
      <c r="O89" s="16" t="n">
        <f aca="false">E89*DAILYANY</f>
        <v>0</v>
      </c>
      <c r="P89" s="1" t="n">
        <f aca="false">L89*FEEREWARDS</f>
        <v>0</v>
      </c>
      <c r="Q89" s="16" t="n">
        <f aca="false" t="array" ref="Q89:Q89">P89*BNBPRICE+O89*ANYBNB*BNBPRICE</f>
        <v>0</v>
      </c>
      <c r="R89" s="23" t="n">
        <f aca="false" t="array" ref="R89:R89">IFERROR((Q89/BNBPRICE)/(2*G89),0)</f>
        <v>0</v>
      </c>
      <c r="S89" s="18" t="n">
        <f aca="false">R89*365</f>
        <v>0</v>
      </c>
    </row>
    <row r="90" customFormat="false" ht="15" hidden="false" customHeight="false" outlineLevel="0" collapsed="false">
      <c r="A90" s="0" t="str">
        <f aca="false">C90&amp;"-"&amp;D90</f>
        <v>-</v>
      </c>
      <c r="B90" s="17" t="n">
        <f aca="false">IF(OR(C90="ANY",D90="ANY"),2,1)</f>
        <v>1</v>
      </c>
      <c r="C90" s="17"/>
      <c r="D90" s="17"/>
      <c r="E90" s="18" t="n">
        <f aca="false">B90*G90/SUMPRODUCT($G$11:$G$100,$B$11:$B$100)</f>
        <v>0</v>
      </c>
      <c r="F90" s="19" t="n">
        <f aca="false">IFERROR(J90/K90,0)</f>
        <v>0</v>
      </c>
      <c r="G90" s="20" t="n">
        <f aca="false">IFERROR(IF(VLOOKUP($A90,'Your Pooling'!$A$12:$K$30,MATCH("Already In Pool?",'Your Pooling'!$A$12:$K$12,0),0)="Y",0,VLOOKUP($A90,'Your Pooling'!$A$12:$K$30,MATCH("Your BNB Pooled",'Your Pooling'!$A$12:$K$12,0),))+J90,J90)</f>
        <v>0</v>
      </c>
      <c r="H90" s="20" t="n">
        <f aca="false">IFERROR(IF(VLOOKUP($A90,'Your Pooling'!$A$12:$K$30,MATCH("Already In Pool?",'Your Pooling'!$A$12:$K$12,0),0)="Y",0,VLOOKUP($A90,'Your Pooling'!$A$12:$K$30,MATCH("Your XXX Pooled",'Your Pooling'!$A$12:$K$12,0),))+K90,K90)</f>
        <v>0</v>
      </c>
      <c r="I90" s="11" t="n">
        <f aca="false">G90*H90</f>
        <v>0</v>
      </c>
      <c r="J90" s="11"/>
      <c r="K90" s="11"/>
      <c r="L90" s="22"/>
      <c r="O90" s="16" t="n">
        <f aca="false">E90*DAILYANY</f>
        <v>0</v>
      </c>
      <c r="P90" s="1" t="n">
        <f aca="false">L90*FEEREWARDS</f>
        <v>0</v>
      </c>
      <c r="Q90" s="16" t="n">
        <f aca="false" t="array" ref="Q90:Q90">P90*BNBPRICE+O90*ANYBNB*BNBPRICE</f>
        <v>0</v>
      </c>
      <c r="R90" s="23" t="n">
        <f aca="false" t="array" ref="R90:R90">IFERROR((Q90/BNBPRICE)/(2*G90),0)</f>
        <v>0</v>
      </c>
      <c r="S90" s="18" t="n">
        <f aca="false">R90*365</f>
        <v>0</v>
      </c>
    </row>
    <row r="91" customFormat="false" ht="15" hidden="false" customHeight="false" outlineLevel="0" collapsed="false">
      <c r="A91" s="0" t="str">
        <f aca="false">C91&amp;"-"&amp;D91</f>
        <v>-</v>
      </c>
      <c r="B91" s="17" t="n">
        <f aca="false">IF(OR(C91="ANY",D91="ANY"),2,1)</f>
        <v>1</v>
      </c>
      <c r="C91" s="17"/>
      <c r="D91" s="17"/>
      <c r="E91" s="18" t="n">
        <f aca="false">B91*G91/SUMPRODUCT($G$11:$G$100,$B$11:$B$100)</f>
        <v>0</v>
      </c>
      <c r="F91" s="19" t="n">
        <f aca="false">IFERROR(J91/K91,0)</f>
        <v>0</v>
      </c>
      <c r="G91" s="20" t="n">
        <f aca="false">IFERROR(IF(VLOOKUP($A91,'Your Pooling'!$A$12:$K$30,MATCH("Already In Pool?",'Your Pooling'!$A$12:$K$12,0),0)="Y",0,VLOOKUP($A91,'Your Pooling'!$A$12:$K$30,MATCH("Your BNB Pooled",'Your Pooling'!$A$12:$K$12,0),))+J91,J91)</f>
        <v>0</v>
      </c>
      <c r="H91" s="20" t="n">
        <f aca="false">IFERROR(IF(VLOOKUP($A91,'Your Pooling'!$A$12:$K$30,MATCH("Already In Pool?",'Your Pooling'!$A$12:$K$12,0),0)="Y",0,VLOOKUP($A91,'Your Pooling'!$A$12:$K$30,MATCH("Your XXX Pooled",'Your Pooling'!$A$12:$K$12,0),))+K91,K91)</f>
        <v>0</v>
      </c>
      <c r="I91" s="11" t="n">
        <f aca="false">G91*H91</f>
        <v>0</v>
      </c>
      <c r="J91" s="11"/>
      <c r="K91" s="11"/>
      <c r="L91" s="22"/>
      <c r="O91" s="16" t="n">
        <f aca="false">E91*DAILYANY</f>
        <v>0</v>
      </c>
      <c r="P91" s="1" t="n">
        <f aca="false">L91*FEEREWARDS</f>
        <v>0</v>
      </c>
      <c r="Q91" s="16" t="n">
        <f aca="false" t="array" ref="Q91:Q91">P91*BNBPRICE+O91*ANYBNB*BNBPRICE</f>
        <v>0</v>
      </c>
      <c r="R91" s="23" t="n">
        <f aca="false" t="array" ref="R91:R91">IFERROR((Q91/BNBPRICE)/(2*G91),0)</f>
        <v>0</v>
      </c>
      <c r="S91" s="18" t="n">
        <f aca="false">R91*365</f>
        <v>0</v>
      </c>
    </row>
    <row r="92" customFormat="false" ht="15" hidden="false" customHeight="false" outlineLevel="0" collapsed="false">
      <c r="A92" s="0" t="str">
        <f aca="false">C92&amp;"-"&amp;D92</f>
        <v>-</v>
      </c>
      <c r="B92" s="17" t="n">
        <f aca="false">IF(OR(C92="ANY",D92="ANY"),2,1)</f>
        <v>1</v>
      </c>
      <c r="C92" s="17"/>
      <c r="D92" s="17"/>
      <c r="E92" s="18" t="n">
        <f aca="false">B92*G92/SUMPRODUCT($G$11:$G$100,$B$11:$B$100)</f>
        <v>0</v>
      </c>
      <c r="F92" s="19" t="n">
        <f aca="false">IFERROR(J92/K92,0)</f>
        <v>0</v>
      </c>
      <c r="G92" s="20" t="n">
        <f aca="false">IFERROR(IF(VLOOKUP($A92,'Your Pooling'!$A$12:$K$30,MATCH("Already In Pool?",'Your Pooling'!$A$12:$K$12,0),0)="Y",0,VLOOKUP($A92,'Your Pooling'!$A$12:$K$30,MATCH("Your BNB Pooled",'Your Pooling'!$A$12:$K$12,0),))+J92,J92)</f>
        <v>0</v>
      </c>
      <c r="H92" s="20" t="n">
        <f aca="false">IFERROR(IF(VLOOKUP($A92,'Your Pooling'!$A$12:$K$30,MATCH("Already In Pool?",'Your Pooling'!$A$12:$K$12,0),0)="Y",0,VLOOKUP($A92,'Your Pooling'!$A$12:$K$30,MATCH("Your XXX Pooled",'Your Pooling'!$A$12:$K$12,0),))+K92,K92)</f>
        <v>0</v>
      </c>
      <c r="I92" s="11" t="n">
        <f aca="false">G92*H92</f>
        <v>0</v>
      </c>
      <c r="J92" s="11"/>
      <c r="K92" s="11"/>
      <c r="L92" s="22"/>
      <c r="O92" s="16" t="n">
        <f aca="false">E92*DAILYANY</f>
        <v>0</v>
      </c>
      <c r="P92" s="1" t="n">
        <f aca="false">L92*FEEREWARDS</f>
        <v>0</v>
      </c>
      <c r="Q92" s="16" t="n">
        <f aca="false" t="array" ref="Q92:Q92">P92*BNBPRICE+O92*ANYBNB*BNBPRICE</f>
        <v>0</v>
      </c>
      <c r="R92" s="23" t="n">
        <f aca="false" t="array" ref="R92:R92">IFERROR((Q92/BNBPRICE)/(2*G92),0)</f>
        <v>0</v>
      </c>
      <c r="S92" s="18" t="n">
        <f aca="false">R92*365</f>
        <v>0</v>
      </c>
    </row>
    <row r="93" customFormat="false" ht="15" hidden="false" customHeight="false" outlineLevel="0" collapsed="false">
      <c r="A93" s="0" t="str">
        <f aca="false">C93&amp;"-"&amp;D93</f>
        <v>-</v>
      </c>
      <c r="B93" s="17" t="n">
        <f aca="false">IF(OR(C93="ANY",D93="ANY"),2,1)</f>
        <v>1</v>
      </c>
      <c r="C93" s="17"/>
      <c r="D93" s="17"/>
      <c r="E93" s="18" t="n">
        <f aca="false">B93*G93/SUMPRODUCT($G$11:$G$100,$B$11:$B$100)</f>
        <v>0</v>
      </c>
      <c r="F93" s="19" t="n">
        <f aca="false">IFERROR(J93/K93,0)</f>
        <v>0</v>
      </c>
      <c r="G93" s="20" t="n">
        <f aca="false">IFERROR(IF(VLOOKUP($A93,'Your Pooling'!$A$12:$K$30,MATCH("Already In Pool?",'Your Pooling'!$A$12:$K$12,0),0)="Y",0,VLOOKUP($A93,'Your Pooling'!$A$12:$K$30,MATCH("Your BNB Pooled",'Your Pooling'!$A$12:$K$12,0),))+J93,J93)</f>
        <v>0</v>
      </c>
      <c r="H93" s="20" t="n">
        <f aca="false">IFERROR(IF(VLOOKUP($A93,'Your Pooling'!$A$12:$K$30,MATCH("Already In Pool?",'Your Pooling'!$A$12:$K$12,0),0)="Y",0,VLOOKUP($A93,'Your Pooling'!$A$12:$K$30,MATCH("Your XXX Pooled",'Your Pooling'!$A$12:$K$12,0),))+K93,K93)</f>
        <v>0</v>
      </c>
      <c r="I93" s="11" t="n">
        <f aca="false">G93*H93</f>
        <v>0</v>
      </c>
      <c r="J93" s="11"/>
      <c r="K93" s="11"/>
      <c r="L93" s="22"/>
      <c r="O93" s="16" t="n">
        <f aca="false">E93*DAILYANY</f>
        <v>0</v>
      </c>
      <c r="P93" s="1" t="n">
        <f aca="false">L93*FEEREWARDS</f>
        <v>0</v>
      </c>
      <c r="Q93" s="16" t="n">
        <f aca="false" t="array" ref="Q93:Q93">P93*BNBPRICE+O93*ANYBNB*BNBPRICE</f>
        <v>0</v>
      </c>
      <c r="R93" s="23" t="n">
        <f aca="false" t="array" ref="R93:R93">IFERROR((Q93/BNBPRICE)/(2*G93),0)</f>
        <v>0</v>
      </c>
      <c r="S93" s="18" t="n">
        <f aca="false">R93*365</f>
        <v>0</v>
      </c>
    </row>
    <row r="94" customFormat="false" ht="15" hidden="false" customHeight="false" outlineLevel="0" collapsed="false">
      <c r="A94" s="0" t="str">
        <f aca="false">C94&amp;"-"&amp;D94</f>
        <v>-</v>
      </c>
      <c r="B94" s="17" t="n">
        <f aca="false">IF(OR(C94="ANY",D94="ANY"),2,1)</f>
        <v>1</v>
      </c>
      <c r="C94" s="17"/>
      <c r="D94" s="17"/>
      <c r="E94" s="18" t="n">
        <f aca="false">B94*G94/SUMPRODUCT($G$11:$G$100,$B$11:$B$100)</f>
        <v>0</v>
      </c>
      <c r="F94" s="19" t="n">
        <f aca="false">IFERROR(J94/K94,0)</f>
        <v>0</v>
      </c>
      <c r="G94" s="20" t="n">
        <f aca="false">IFERROR(IF(VLOOKUP($A94,'Your Pooling'!$A$12:$K$30,MATCH("Already In Pool?",'Your Pooling'!$A$12:$K$12,0),0)="Y",0,VLOOKUP($A94,'Your Pooling'!$A$12:$K$30,MATCH("Your BNB Pooled",'Your Pooling'!$A$12:$K$12,0),))+J94,J94)</f>
        <v>0</v>
      </c>
      <c r="H94" s="20" t="n">
        <f aca="false">IFERROR(IF(VLOOKUP($A94,'Your Pooling'!$A$12:$K$30,MATCH("Already In Pool?",'Your Pooling'!$A$12:$K$12,0),0)="Y",0,VLOOKUP($A94,'Your Pooling'!$A$12:$K$30,MATCH("Your XXX Pooled",'Your Pooling'!$A$12:$K$12,0),))+K94,K94)</f>
        <v>0</v>
      </c>
      <c r="I94" s="11" t="n">
        <f aca="false">G94*H94</f>
        <v>0</v>
      </c>
      <c r="J94" s="11"/>
      <c r="K94" s="11"/>
      <c r="L94" s="22"/>
      <c r="O94" s="16" t="n">
        <f aca="false">E94*DAILYANY</f>
        <v>0</v>
      </c>
      <c r="P94" s="1" t="n">
        <f aca="false">L94*FEEREWARDS</f>
        <v>0</v>
      </c>
      <c r="Q94" s="16" t="n">
        <f aca="false" t="array" ref="Q94:Q94">P94*BNBPRICE+O94*ANYBNB*BNBPRICE</f>
        <v>0</v>
      </c>
      <c r="R94" s="23" t="n">
        <f aca="false" t="array" ref="R94:R94">IFERROR((Q94/BNBPRICE)/(2*G94),0)</f>
        <v>0</v>
      </c>
      <c r="S94" s="18" t="n">
        <f aca="false">R94*365</f>
        <v>0</v>
      </c>
    </row>
    <row r="95" customFormat="false" ht="15" hidden="false" customHeight="false" outlineLevel="0" collapsed="false">
      <c r="A95" s="0" t="str">
        <f aca="false">C95&amp;"-"&amp;D95</f>
        <v>-</v>
      </c>
      <c r="B95" s="17" t="n">
        <f aca="false">IF(OR(C95="ANY",D95="ANY"),2,1)</f>
        <v>1</v>
      </c>
      <c r="C95" s="17"/>
      <c r="D95" s="17"/>
      <c r="E95" s="18" t="n">
        <f aca="false">B95*G95/SUMPRODUCT($G$11:$G$100,$B$11:$B$100)</f>
        <v>0</v>
      </c>
      <c r="F95" s="19" t="n">
        <f aca="false">IFERROR(J95/K95,0)</f>
        <v>0</v>
      </c>
      <c r="G95" s="20" t="n">
        <f aca="false">IFERROR(IF(VLOOKUP($A95,'Your Pooling'!$A$12:$K$30,MATCH("Already In Pool?",'Your Pooling'!$A$12:$K$12,0),0)="Y",0,VLOOKUP($A95,'Your Pooling'!$A$12:$K$30,MATCH("Your BNB Pooled",'Your Pooling'!$A$12:$K$12,0),))+J95,J95)</f>
        <v>0</v>
      </c>
      <c r="H95" s="20" t="n">
        <f aca="false">IFERROR(IF(VLOOKUP($A95,'Your Pooling'!$A$12:$K$30,MATCH("Already In Pool?",'Your Pooling'!$A$12:$K$12,0),0)="Y",0,VLOOKUP($A95,'Your Pooling'!$A$12:$K$30,MATCH("Your XXX Pooled",'Your Pooling'!$A$12:$K$12,0),))+K95,K95)</f>
        <v>0</v>
      </c>
      <c r="I95" s="11" t="n">
        <f aca="false">G95*H95</f>
        <v>0</v>
      </c>
      <c r="J95" s="11"/>
      <c r="K95" s="11"/>
      <c r="L95" s="22"/>
      <c r="O95" s="16" t="n">
        <f aca="false">E95*DAILYANY</f>
        <v>0</v>
      </c>
      <c r="P95" s="1" t="n">
        <f aca="false">L95*FEEREWARDS</f>
        <v>0</v>
      </c>
      <c r="Q95" s="16" t="n">
        <f aca="false" t="array" ref="Q95:Q95">P95*BNBPRICE+O95*ANYBNB*BNBPRICE</f>
        <v>0</v>
      </c>
      <c r="R95" s="23" t="n">
        <f aca="false" t="array" ref="R95:R95">IFERROR((Q95/BNBPRICE)/(2*G95),0)</f>
        <v>0</v>
      </c>
      <c r="S95" s="18" t="n">
        <f aca="false">R95*365</f>
        <v>0</v>
      </c>
    </row>
    <row r="96" customFormat="false" ht="15" hidden="false" customHeight="false" outlineLevel="0" collapsed="false">
      <c r="A96" s="0" t="str">
        <f aca="false">C96&amp;"-"&amp;D96</f>
        <v>-</v>
      </c>
      <c r="B96" s="17" t="n">
        <f aca="false">IF(OR(C96="ANY",D96="ANY"),2,1)</f>
        <v>1</v>
      </c>
      <c r="C96" s="17"/>
      <c r="D96" s="17"/>
      <c r="E96" s="18" t="n">
        <f aca="false">B96*G96/SUMPRODUCT($G$11:$G$100,$B$11:$B$100)</f>
        <v>0</v>
      </c>
      <c r="F96" s="19" t="n">
        <f aca="false">IFERROR(J96/K96,0)</f>
        <v>0</v>
      </c>
      <c r="G96" s="20" t="n">
        <f aca="false">IFERROR(IF(VLOOKUP($A96,'Your Pooling'!$A$12:$K$30,MATCH("Already In Pool?",'Your Pooling'!$A$12:$K$12,0),0)="Y",0,VLOOKUP($A96,'Your Pooling'!$A$12:$K$30,MATCH("Your BNB Pooled",'Your Pooling'!$A$12:$K$12,0),))+J96,J96)</f>
        <v>0</v>
      </c>
      <c r="H96" s="20" t="n">
        <f aca="false">IFERROR(IF(VLOOKUP($A96,'Your Pooling'!$A$12:$K$30,MATCH("Already In Pool?",'Your Pooling'!$A$12:$K$12,0),0)="Y",0,VLOOKUP($A96,'Your Pooling'!$A$12:$K$30,MATCH("Your XXX Pooled",'Your Pooling'!$A$12:$K$12,0),))+K96,K96)</f>
        <v>0</v>
      </c>
      <c r="I96" s="11" t="n">
        <f aca="false">G96*H96</f>
        <v>0</v>
      </c>
      <c r="J96" s="11"/>
      <c r="K96" s="11"/>
      <c r="L96" s="22"/>
      <c r="O96" s="16" t="n">
        <f aca="false">E96*DAILYANY</f>
        <v>0</v>
      </c>
      <c r="P96" s="1" t="n">
        <f aca="false">L96*FEEREWARDS</f>
        <v>0</v>
      </c>
      <c r="Q96" s="16" t="n">
        <f aca="false" t="array" ref="Q96:Q96">P96*BNBPRICE+O96*ANYBNB*BNBPRICE</f>
        <v>0</v>
      </c>
      <c r="R96" s="23" t="n">
        <f aca="false" t="array" ref="R96:R96">IFERROR((Q96/BNBPRICE)/(2*G96),0)</f>
        <v>0</v>
      </c>
      <c r="S96" s="18" t="n">
        <f aca="false">R96*365</f>
        <v>0</v>
      </c>
    </row>
    <row r="97" customFormat="false" ht="15" hidden="false" customHeight="false" outlineLevel="0" collapsed="false">
      <c r="A97" s="0" t="str">
        <f aca="false">C97&amp;"-"&amp;D97</f>
        <v>-</v>
      </c>
      <c r="B97" s="17" t="n">
        <f aca="false">IF(OR(C97="ANY",D97="ANY"),2,1)</f>
        <v>1</v>
      </c>
      <c r="C97" s="17"/>
      <c r="D97" s="17"/>
      <c r="E97" s="18" t="n">
        <f aca="false">B97*G97/SUMPRODUCT($G$11:$G$100,$B$11:$B$100)</f>
        <v>0</v>
      </c>
      <c r="F97" s="19" t="n">
        <f aca="false">IFERROR(J97/K97,0)</f>
        <v>0</v>
      </c>
      <c r="G97" s="20" t="n">
        <f aca="false">IFERROR(IF(VLOOKUP($A97,'Your Pooling'!$A$12:$K$30,MATCH("Already In Pool?",'Your Pooling'!$A$12:$K$12,0),0)="Y",0,VLOOKUP($A97,'Your Pooling'!$A$12:$K$30,MATCH("Your BNB Pooled",'Your Pooling'!$A$12:$K$12,0),))+J97,J97)</f>
        <v>0</v>
      </c>
      <c r="H97" s="20" t="n">
        <f aca="false">IFERROR(IF(VLOOKUP($A97,'Your Pooling'!$A$12:$K$30,MATCH("Already In Pool?",'Your Pooling'!$A$12:$K$12,0),0)="Y",0,VLOOKUP($A97,'Your Pooling'!$A$12:$K$30,MATCH("Your XXX Pooled",'Your Pooling'!$A$12:$K$12,0),))+K97,K97)</f>
        <v>0</v>
      </c>
      <c r="I97" s="11" t="n">
        <f aca="false">G97*H97</f>
        <v>0</v>
      </c>
      <c r="J97" s="11"/>
      <c r="K97" s="11"/>
      <c r="L97" s="22"/>
      <c r="O97" s="16" t="n">
        <f aca="false">E97*DAILYANY</f>
        <v>0</v>
      </c>
      <c r="P97" s="1" t="n">
        <f aca="false">L97*FEEREWARDS</f>
        <v>0</v>
      </c>
      <c r="Q97" s="16" t="n">
        <f aca="false" t="array" ref="Q97:Q97">P97*BNBPRICE+O97*ANYBNB*BNBPRICE</f>
        <v>0</v>
      </c>
      <c r="R97" s="23" t="n">
        <f aca="false" t="array" ref="R97:R97">IFERROR((Q97/BNBPRICE)/(2*G97),0)</f>
        <v>0</v>
      </c>
      <c r="S97" s="18" t="n">
        <f aca="false">R97*365</f>
        <v>0</v>
      </c>
    </row>
    <row r="98" customFormat="false" ht="15" hidden="false" customHeight="false" outlineLevel="0" collapsed="false">
      <c r="A98" s="0" t="str">
        <f aca="false">C98&amp;"-"&amp;D98</f>
        <v>-</v>
      </c>
      <c r="B98" s="17" t="n">
        <f aca="false">IF(OR(C98="ANY",D98="ANY"),2,1)</f>
        <v>1</v>
      </c>
      <c r="C98" s="17"/>
      <c r="D98" s="17"/>
      <c r="E98" s="18" t="n">
        <f aca="false">B98*G98/SUMPRODUCT($G$11:$G$100,$B$11:$B$100)</f>
        <v>0</v>
      </c>
      <c r="F98" s="19" t="n">
        <f aca="false">IFERROR(J98/K98,0)</f>
        <v>0</v>
      </c>
      <c r="G98" s="20" t="n">
        <f aca="false">IFERROR(IF(VLOOKUP($A98,'Your Pooling'!$A$12:$K$30,MATCH("Already In Pool?",'Your Pooling'!$A$12:$K$12,0),0)="Y",0,VLOOKUP($A98,'Your Pooling'!$A$12:$K$30,MATCH("Your BNB Pooled",'Your Pooling'!$A$12:$K$12,0),))+J98,J98)</f>
        <v>0</v>
      </c>
      <c r="H98" s="20" t="n">
        <f aca="false">IFERROR(IF(VLOOKUP($A98,'Your Pooling'!$A$12:$K$30,MATCH("Already In Pool?",'Your Pooling'!$A$12:$K$12,0),0)="Y",0,VLOOKUP($A98,'Your Pooling'!$A$12:$K$30,MATCH("Your XXX Pooled",'Your Pooling'!$A$12:$K$12,0),))+K98,K98)</f>
        <v>0</v>
      </c>
      <c r="I98" s="11" t="n">
        <f aca="false">G98*H98</f>
        <v>0</v>
      </c>
      <c r="J98" s="11"/>
      <c r="K98" s="11"/>
      <c r="L98" s="22"/>
      <c r="O98" s="16" t="n">
        <f aca="false">E98*DAILYANY</f>
        <v>0</v>
      </c>
      <c r="P98" s="1" t="n">
        <f aca="false">L98*FEEREWARDS</f>
        <v>0</v>
      </c>
      <c r="Q98" s="16" t="n">
        <f aca="false" t="array" ref="Q98:Q98">P98*BNBPRICE+O98*ANYBNB*BNBPRICE</f>
        <v>0</v>
      </c>
      <c r="R98" s="23" t="n">
        <f aca="false" t="array" ref="R98:R98">IFERROR((Q98/BNBPRICE)/(2*G98),0)</f>
        <v>0</v>
      </c>
      <c r="S98" s="18" t="n">
        <f aca="false">R98*365</f>
        <v>0</v>
      </c>
    </row>
    <row r="99" customFormat="false" ht="15" hidden="false" customHeight="false" outlineLevel="0" collapsed="false">
      <c r="A99" s="0" t="str">
        <f aca="false">C99&amp;"-"&amp;D99</f>
        <v>-</v>
      </c>
      <c r="B99" s="17" t="n">
        <f aca="false">IF(OR(C99="ANY",D99="ANY"),2,1)</f>
        <v>1</v>
      </c>
      <c r="C99" s="17"/>
      <c r="D99" s="17"/>
      <c r="E99" s="18" t="n">
        <f aca="false">B99*G99/SUMPRODUCT($G$11:$G$100,$B$11:$B$100)</f>
        <v>0</v>
      </c>
      <c r="F99" s="19" t="n">
        <f aca="false">IFERROR(J99/K99,0)</f>
        <v>0</v>
      </c>
      <c r="G99" s="20" t="n">
        <f aca="false">IFERROR(IF(VLOOKUP($A99,'Your Pooling'!$A$12:$K$30,MATCH("Already In Pool?",'Your Pooling'!$A$12:$K$12,0),0)="Y",0,VLOOKUP($A99,'Your Pooling'!$A$12:$K$30,MATCH("Your BNB Pooled",'Your Pooling'!$A$12:$K$12,0),))+J99,J99)</f>
        <v>0</v>
      </c>
      <c r="H99" s="20" t="n">
        <f aca="false">IFERROR(IF(VLOOKUP($A99,'Your Pooling'!$A$12:$K$30,MATCH("Already In Pool?",'Your Pooling'!$A$12:$K$12,0),0)="Y",0,VLOOKUP($A99,'Your Pooling'!$A$12:$K$30,MATCH("Your XXX Pooled",'Your Pooling'!$A$12:$K$12,0),))+K99,K99)</f>
        <v>0</v>
      </c>
      <c r="I99" s="11" t="n">
        <f aca="false">G99*H99</f>
        <v>0</v>
      </c>
      <c r="J99" s="11"/>
      <c r="K99" s="11"/>
      <c r="L99" s="22"/>
      <c r="O99" s="16" t="n">
        <f aca="false">E99*DAILYANY</f>
        <v>0</v>
      </c>
      <c r="P99" s="1" t="n">
        <f aca="false">L99*FEEREWARDS</f>
        <v>0</v>
      </c>
      <c r="Q99" s="16" t="n">
        <f aca="false" t="array" ref="Q99:Q99">P99*BNBPRICE+O99*ANYBNB*BNBPRICE</f>
        <v>0</v>
      </c>
      <c r="R99" s="23" t="n">
        <f aca="false" t="array" ref="R99:R99">IFERROR((Q99/BNBPRICE)/(2*G99),0)</f>
        <v>0</v>
      </c>
      <c r="S99" s="18" t="n">
        <f aca="false">R99*365</f>
        <v>0</v>
      </c>
    </row>
    <row r="100" customFormat="false" ht="15" hidden="false" customHeight="false" outlineLevel="0" collapsed="false">
      <c r="A100" s="0" t="str">
        <f aca="false">C100&amp;"-"&amp;D100</f>
        <v>-</v>
      </c>
      <c r="B100" s="17" t="n">
        <f aca="false">IF(OR(C100="ANY",D100="ANY"),2,1)</f>
        <v>1</v>
      </c>
      <c r="C100" s="17"/>
      <c r="D100" s="17"/>
      <c r="E100" s="18" t="n">
        <f aca="false">B100*G100/SUMPRODUCT($G$11:$G$100,$B$11:$B$100)</f>
        <v>0</v>
      </c>
      <c r="F100" s="19" t="n">
        <f aca="false">IFERROR(J100/K100,0)</f>
        <v>0</v>
      </c>
      <c r="G100" s="20" t="n">
        <f aca="false">IFERROR(IF(VLOOKUP($A100,'Your Pooling'!$A$12:$K$30,MATCH("Already In Pool?",'Your Pooling'!$A$12:$K$12,0),0)="Y",0,VLOOKUP($A100,'Your Pooling'!$A$12:$K$30,MATCH("Your BNB Pooled",'Your Pooling'!$A$12:$K$12,0),))+J100,J100)</f>
        <v>0</v>
      </c>
      <c r="H100" s="20" t="n">
        <f aca="false">IFERROR(IF(VLOOKUP($A100,'Your Pooling'!$A$12:$K$30,MATCH("Already In Pool?",'Your Pooling'!$A$12:$K$12,0),0)="Y",0,VLOOKUP($A100,'Your Pooling'!$A$12:$K$30,MATCH("Your XXX Pooled",'Your Pooling'!$A$12:$K$12,0),))+K100,K100)</f>
        <v>0</v>
      </c>
      <c r="I100" s="11" t="n">
        <f aca="false">G100*H100</f>
        <v>0</v>
      </c>
      <c r="J100" s="11"/>
      <c r="K100" s="11"/>
      <c r="L100" s="22"/>
      <c r="O100" s="16" t="n">
        <f aca="false">E100*DAILYANY</f>
        <v>0</v>
      </c>
      <c r="P100" s="1" t="n">
        <f aca="false">L100*FEEREWARDS</f>
        <v>0</v>
      </c>
      <c r="Q100" s="16" t="n">
        <f aca="false" t="array" ref="Q100:Q100">P100*BNBPRICE+O100*ANYBNB*BNBPRICE</f>
        <v>0</v>
      </c>
      <c r="R100" s="23" t="n">
        <f aca="false" t="array" ref="R100:R100">IFERROR((Q100/BNBPRICE)/(2*G100),0)</f>
        <v>0</v>
      </c>
      <c r="S100" s="18" t="n">
        <f aca="false">R100*365</f>
        <v>0</v>
      </c>
    </row>
  </sheetData>
  <conditionalFormatting sqref="A11:I11 F12:H100 L11:L22">
    <cfRule type="expression" priority="2" aboveAverage="0" equalAverage="0" bottom="0" percent="0" rank="0" text="" dxfId="0">
      <formula>$C$11=""</formula>
    </cfRule>
  </conditionalFormatting>
  <conditionalFormatting sqref="A23:L100 A11:I22 L11:L22">
    <cfRule type="expression" priority="3" aboveAverage="0" equalAverage="0" bottom="0" percent="0" rank="0" text="" dxfId="1">
      <formula>$C11=""</formula>
    </cfRule>
    <cfRule type="expression" priority="4" aboveAverage="0" equalAverage="0" bottom="0" percent="0" rank="0" text="" dxfId="2">
      <formula>$C$11=""</formula>
    </cfRule>
  </conditionalFormatting>
  <conditionalFormatting sqref="H12">
    <cfRule type="expression" priority="5" aboveAverage="0" equalAverage="0" bottom="0" percent="0" rank="0" text="" dxfId="3">
      <formula>$C$11=""</formula>
    </cfRule>
  </conditionalFormatting>
  <conditionalFormatting sqref="H13:H100">
    <cfRule type="expression" priority="6" aboveAverage="0" equalAverage="0" bottom="0" percent="0" rank="0" text="" dxfId="4">
      <formula>$C$11=""</formula>
    </cfRule>
  </conditionalFormatting>
  <conditionalFormatting sqref="G12">
    <cfRule type="expression" priority="7" aboveAverage="0" equalAverage="0" bottom="0" percent="0" rank="0" text="" dxfId="5">
      <formula>$C$11=""</formula>
    </cfRule>
  </conditionalFormatting>
  <conditionalFormatting sqref="G13:G100">
    <cfRule type="expression" priority="8" aboveAverage="0" equalAverage="0" bottom="0" percent="0" rank="0" text="" dxfId="6">
      <formula>$C$11=""</formula>
    </cfRule>
  </conditionalFormatting>
  <conditionalFormatting sqref="L13">
    <cfRule type="expression" priority="9" aboveAverage="0" equalAverage="0" bottom="0" percent="0" rank="0" text="" dxfId="7">
      <formula>$C$11=""</formula>
    </cfRule>
  </conditionalFormatting>
  <conditionalFormatting sqref="C12">
    <cfRule type="expression" priority="10" aboveAverage="0" equalAverage="0" bottom="0" percent="0" rank="0" text="" dxfId="8">
      <formula>$C$11=""</formula>
    </cfRule>
  </conditionalFormatting>
  <conditionalFormatting sqref="C13">
    <cfRule type="expression" priority="11" aboveAverage="0" equalAverage="0" bottom="0" percent="0" rank="0" text="" dxfId="9">
      <formula>$C$11=""</formula>
    </cfRule>
  </conditionalFormatting>
  <conditionalFormatting sqref="C14">
    <cfRule type="expression" priority="12" aboveAverage="0" equalAverage="0" bottom="0" percent="0" rank="0" text="" dxfId="10">
      <formula>$C$11=""</formula>
    </cfRule>
  </conditionalFormatting>
  <conditionalFormatting sqref="C15:C22">
    <cfRule type="expression" priority="13" aboveAverage="0" equalAverage="0" bottom="0" percent="0" rank="0" text="" dxfId="11">
      <formula>$C$11=""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C000"/>
    <pageSetUpPr fitToPage="false"/>
  </sheetPr>
  <dimension ref="A1:P100"/>
  <sheetViews>
    <sheetView showFormulas="false" showGridLines="fals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H7" activeCellId="0" sqref="H7"/>
    </sheetView>
  </sheetViews>
  <sheetFormatPr defaultRowHeight="15" zeroHeight="false" outlineLevelRow="0" outlineLevelCol="0"/>
  <cols>
    <col collapsed="false" customWidth="true" hidden="false" outlineLevel="0" max="1" min="1" style="0" width="15.15"/>
    <col collapsed="false" customWidth="true" hidden="false" outlineLevel="0" max="2" min="2" style="0" width="28.86"/>
    <col collapsed="false" customWidth="true" hidden="false" outlineLevel="0" max="3" min="3" style="0" width="15.57"/>
    <col collapsed="false" customWidth="true" hidden="false" outlineLevel="0" max="4" min="4" style="24" width="5.7"/>
    <col collapsed="false" customWidth="true" hidden="false" outlineLevel="0" max="5" min="5" style="0" width="52.71"/>
    <col collapsed="false" customWidth="true" hidden="false" outlineLevel="0" max="6" min="6" style="0" width="35"/>
    <col collapsed="false" customWidth="true" hidden="false" outlineLevel="0" max="7" min="7" style="0" width="7.15"/>
    <col collapsed="false" customWidth="true" hidden="false" outlineLevel="0" max="8" min="8" style="0" width="26.85"/>
    <col collapsed="false" customWidth="true" hidden="false" outlineLevel="0" max="12" min="9" style="0" width="8.67"/>
    <col collapsed="false" customWidth="true" hidden="false" outlineLevel="0" max="13" min="13" style="0" width="39.01"/>
    <col collapsed="false" customWidth="true" hidden="false" outlineLevel="0" max="15" min="14" style="0" width="8.67"/>
    <col collapsed="false" customWidth="true" hidden="false" outlineLevel="0" max="16" min="16" style="0" width="28.57"/>
    <col collapsed="false" customWidth="true" hidden="false" outlineLevel="0" max="1025" min="17" style="0" width="8.67"/>
  </cols>
  <sheetData>
    <row r="1" customFormat="false" ht="15" hidden="false" customHeight="false" outlineLevel="0" collapsed="false">
      <c r="E1" s="25" t="s">
        <v>42</v>
      </c>
      <c r="F1" s="1" t="str">
        <f aca="false">INDEX($A$14:$A$31,MATCH(G1,$J$14:$J$31,0))</f>
        <v>BNB-ANY</v>
      </c>
      <c r="G1" s="26" t="n">
        <f aca="false">MAX(J14:J31)</f>
        <v>3.48298407880434</v>
      </c>
      <c r="H1" s="1" t="s">
        <v>29</v>
      </c>
    </row>
    <row r="2" customFormat="false" ht="15" hidden="false" customHeight="false" outlineLevel="0" collapsed="false">
      <c r="D2" s="27"/>
      <c r="E2" s="6" t="s">
        <v>43</v>
      </c>
    </row>
    <row r="3" customFormat="false" ht="15" hidden="false" customHeight="false" outlineLevel="0" collapsed="false">
      <c r="E3" s="1" t="s">
        <v>44</v>
      </c>
      <c r="F3" s="9" t="n">
        <f aca="false">'Impermanent Loss'!B1</f>
        <v>25.3164727469084</v>
      </c>
    </row>
    <row r="4" customFormat="false" ht="15" hidden="false" customHeight="false" outlineLevel="0" collapsed="false">
      <c r="E4" s="1" t="s">
        <v>45</v>
      </c>
      <c r="F4" s="7" t="n">
        <f aca="false" t="array" ref="F4:F4">ANYBNB</f>
        <v>0.0367309588198991</v>
      </c>
    </row>
    <row r="5" customFormat="false" ht="15" hidden="false" customHeight="false" outlineLevel="0" collapsed="false">
      <c r="E5" s="28" t="s">
        <v>46</v>
      </c>
      <c r="F5" s="1" t="s">
        <v>32</v>
      </c>
      <c r="G5" s="29"/>
    </row>
    <row r="6" customFormat="false" ht="15" hidden="false" customHeight="false" outlineLevel="0" collapsed="false">
      <c r="E6" s="1" t="s">
        <v>47</v>
      </c>
      <c r="F6" s="30" t="n">
        <f aca="false">PoolData!D7*100</f>
        <v>12.9896175328547</v>
      </c>
      <c r="G6" s="31" t="n">
        <f aca="false">F6*$F$4/100*365/2</f>
        <v>0.870746019701086</v>
      </c>
      <c r="M6" s="28" t="s">
        <v>48</v>
      </c>
      <c r="N6" s="32" t="s">
        <v>29</v>
      </c>
      <c r="P6" s="33" t="s">
        <v>49</v>
      </c>
    </row>
    <row r="7" customFormat="false" ht="15" hidden="false" customHeight="false" outlineLevel="0" collapsed="false">
      <c r="E7" s="1" t="s">
        <v>50</v>
      </c>
      <c r="F7" s="30" t="n">
        <f aca="false">F6*4</f>
        <v>51.9584701314189</v>
      </c>
      <c r="G7" s="31" t="n">
        <f aca="false">F7*$F$4/100*365/2</f>
        <v>3.48298407880434</v>
      </c>
      <c r="M7" s="1" t="s">
        <v>51</v>
      </c>
      <c r="N7" s="34" t="n">
        <f aca="false">G6</f>
        <v>0.870746019701086</v>
      </c>
      <c r="P7" s="35" t="n">
        <f aca="false">F6</f>
        <v>12.9896175328547</v>
      </c>
    </row>
    <row r="8" customFormat="false" ht="15" hidden="false" customHeight="false" outlineLevel="0" collapsed="false">
      <c r="M8" s="1" t="s">
        <v>52</v>
      </c>
      <c r="N8" s="34" t="n">
        <f aca="false">G7</f>
        <v>3.48298407880434</v>
      </c>
      <c r="P8" s="35" t="n">
        <f aca="false">F7</f>
        <v>51.9584701314189</v>
      </c>
    </row>
    <row r="9" customFormat="false" ht="15" hidden="true" customHeight="false" outlineLevel="0" collapsed="false">
      <c r="E9" s="35" t="s">
        <v>53</v>
      </c>
      <c r="F9" s="35" t="e">
        <f aca="false">100/SUM(PoolData!L11:L33)*16500</f>
        <v>#DIV/0!</v>
      </c>
      <c r="G9" s="36" t="s">
        <v>54</v>
      </c>
    </row>
    <row r="11" customFormat="false" ht="15" hidden="false" customHeight="false" outlineLevel="0" collapsed="false">
      <c r="E11" s="37" t="s">
        <v>55</v>
      </c>
      <c r="F11" s="37"/>
      <c r="H11" s="38" t="s">
        <v>56</v>
      </c>
    </row>
    <row r="12" customFormat="false" ht="15" hidden="false" customHeight="false" outlineLevel="0" collapsed="false">
      <c r="E12" s="39" t="str">
        <f aca="false">SUM(E14:E31)&amp;" ANY"</f>
        <v>10080 ANY</v>
      </c>
      <c r="F12" s="39" t="str">
        <f aca="false">SUM(F14:F31)&amp;" BNB equivalent"</f>
        <v>0 BNB equivalent</v>
      </c>
      <c r="H12" s="40" t="n">
        <f aca="false">SUM(H14:H31)</f>
        <v>9373.37504475244</v>
      </c>
    </row>
    <row r="13" customFormat="false" ht="15" hidden="false" customHeight="true" outlineLevel="0" collapsed="false">
      <c r="A13" s="41" t="s">
        <v>57</v>
      </c>
      <c r="B13" s="41"/>
      <c r="C13" s="41"/>
      <c r="D13" s="42"/>
      <c r="E13" s="32" t="s">
        <v>25</v>
      </c>
      <c r="F13" s="32" t="s">
        <v>26</v>
      </c>
      <c r="H13" s="43" t="s">
        <v>27</v>
      </c>
      <c r="J13" s="32" t="s">
        <v>29</v>
      </c>
      <c r="M13" s="44" t="s">
        <v>58</v>
      </c>
      <c r="N13" s="32" t="s">
        <v>29</v>
      </c>
    </row>
    <row r="14" customFormat="false" ht="15" hidden="false" customHeight="false" outlineLevel="0" collapsed="false">
      <c r="A14" s="1" t="str">
        <f aca="false">PoolData!A11</f>
        <v>BNB-aUSDT</v>
      </c>
      <c r="B14" s="1" t="str">
        <f aca="false">PoolData!C11</f>
        <v>BNB</v>
      </c>
      <c r="C14" s="1" t="str">
        <f aca="false">PoolData!D11</f>
        <v>aUSDT</v>
      </c>
      <c r="D14" s="45"/>
      <c r="E14" s="16" t="n">
        <f aca="false">VLOOKUP($A14,PoolData!$A$10:$U$32,MATCH(E$13,PoolData!$A$10:$U$10,0),0)</f>
        <v>2016.86045616627</v>
      </c>
      <c r="F14" s="16" t="n">
        <f aca="false">VLOOKUP($A14,PoolData!$A$10:$U$32,MATCH(F$13,PoolData!$A$10:$U$10,0),0)</f>
        <v>0</v>
      </c>
      <c r="H14" s="46" t="n">
        <f aca="false">VLOOKUP($A14,PoolData!$A$10:$U$32,MATCH(H$13,PoolData!$A$10:$U$10,0),0)</f>
        <v>1875.47514569216</v>
      </c>
      <c r="J14" s="18" t="n">
        <f aca="false">VLOOKUP($A14,PoolData!$A$10:$U$32,MATCH(J$13,PoolData!$A$10:$U$10,0),0)</f>
        <v>0.870746019701086</v>
      </c>
      <c r="M14" s="1" t="str">
        <f aca="false">A14</f>
        <v>BNB-aUSDT</v>
      </c>
      <c r="N14" s="26" t="n">
        <f aca="false">J14</f>
        <v>0.870746019701086</v>
      </c>
    </row>
    <row r="15" customFormat="false" ht="15" hidden="false" customHeight="false" outlineLevel="0" collapsed="false">
      <c r="A15" s="1" t="str">
        <f aca="false">PoolData!A12</f>
        <v>BNB-BUSD</v>
      </c>
      <c r="B15" s="1" t="str">
        <f aca="false">PoolData!C12</f>
        <v>BNB</v>
      </c>
      <c r="C15" s="1" t="str">
        <f aca="false">PoolData!D12</f>
        <v>BUSD</v>
      </c>
      <c r="D15" s="45"/>
      <c r="E15" s="16" t="n">
        <f aca="false">VLOOKUP($A15,PoolData!$A$10:$U$32,MATCH(E$13,PoolData!$A$10:$U$10,0),0)</f>
        <v>394.238694183193</v>
      </c>
      <c r="F15" s="16" t="n">
        <f aca="false">VLOOKUP($A15,PoolData!$A$10:$U$32,MATCH(F$13,PoolData!$A$10:$U$10,0),0)</f>
        <v>0</v>
      </c>
      <c r="H15" s="46" t="n">
        <f aca="false">VLOOKUP($A15,PoolData!$A$10:$U$32,MATCH(H$13,PoolData!$A$10:$U$10,0),0)</f>
        <v>366.601898584576</v>
      </c>
      <c r="I15" s="47"/>
      <c r="J15" s="18" t="n">
        <f aca="false">VLOOKUP($A15,PoolData!$A$10:$U$32,MATCH(J$13,PoolData!$A$10:$U$10,0),0)</f>
        <v>0.870746019701086</v>
      </c>
      <c r="M15" s="1" t="str">
        <f aca="false">A15</f>
        <v>BNB-BUSD</v>
      </c>
      <c r="N15" s="26" t="n">
        <f aca="false">J15</f>
        <v>0.870746019701086</v>
      </c>
    </row>
    <row r="16" customFormat="false" ht="15" hidden="false" customHeight="false" outlineLevel="0" collapsed="false">
      <c r="A16" s="1" t="str">
        <f aca="false">PoolData!A13</f>
        <v>BNB-ANY</v>
      </c>
      <c r="B16" s="1" t="str">
        <f aca="false">PoolData!C13</f>
        <v>BNB</v>
      </c>
      <c r="C16" s="1" t="str">
        <f aca="false">PoolData!D13</f>
        <v>ANY</v>
      </c>
      <c r="D16" s="45"/>
      <c r="E16" s="16" t="n">
        <f aca="false">VLOOKUP($A16,PoolData!$A$10:$U$32,MATCH(E$13,PoolData!$A$10:$U$10,0),0)</f>
        <v>7618.58330984046</v>
      </c>
      <c r="F16" s="16" t="n">
        <f aca="false">VLOOKUP($A16,PoolData!$A$10:$U$32,MATCH(F$13,PoolData!$A$10:$U$10,0),0)</f>
        <v>0</v>
      </c>
      <c r="H16" s="46" t="n">
        <f aca="false">VLOOKUP($A16,PoolData!$A$10:$U$32,MATCH(H$13,PoolData!$A$10:$U$10,0),0)</f>
        <v>7084.50780484385</v>
      </c>
      <c r="I16" s="47"/>
      <c r="J16" s="18" t="n">
        <f aca="false">VLOOKUP($A16,PoolData!$A$10:$U$32,MATCH(J$13,PoolData!$A$10:$U$10,0),0)</f>
        <v>3.48298407880434</v>
      </c>
      <c r="M16" s="1" t="str">
        <f aca="false">A16</f>
        <v>BNB-ANY</v>
      </c>
      <c r="N16" s="26" t="n">
        <f aca="false">J16</f>
        <v>3.48298407880434</v>
      </c>
    </row>
    <row r="17" customFormat="false" ht="15" hidden="false" customHeight="false" outlineLevel="0" collapsed="false">
      <c r="A17" s="1" t="str">
        <f aca="false">PoolData!A14</f>
        <v>BNB-UNI</v>
      </c>
      <c r="B17" s="1" t="str">
        <f aca="false">PoolData!C14</f>
        <v>BNB</v>
      </c>
      <c r="C17" s="1" t="str">
        <f aca="false">PoolData!D14</f>
        <v>UNI</v>
      </c>
      <c r="D17" s="27"/>
      <c r="E17" s="16" t="n">
        <f aca="false">VLOOKUP($A17,PoolData!$A$10:$U$32,MATCH(E$13,PoolData!$A$10:$U$10,0),0)</f>
        <v>9.18522094775573</v>
      </c>
      <c r="F17" s="16" t="n">
        <f aca="false">VLOOKUP($A17,PoolData!$A$10:$U$32,MATCH(F$13,PoolData!$A$10:$U$10,0),0)</f>
        <v>0</v>
      </c>
      <c r="H17" s="46" t="n">
        <f aca="false">VLOOKUP($A17,PoolData!$A$10:$U$32,MATCH(H$13,PoolData!$A$10:$U$10,0),0)</f>
        <v>8.54132150914989</v>
      </c>
      <c r="J17" s="18" t="n">
        <f aca="false">VLOOKUP($A17,PoolData!$A$10:$U$32,MATCH(J$13,PoolData!$A$10:$U$10,0),0)</f>
        <v>0.870746019701086</v>
      </c>
      <c r="M17" s="1" t="str">
        <f aca="false">A17</f>
        <v>BNB-UNI</v>
      </c>
      <c r="N17" s="26" t="n">
        <f aca="false">J17</f>
        <v>0.870746019701086</v>
      </c>
    </row>
    <row r="18" customFormat="false" ht="15" hidden="false" customHeight="false" outlineLevel="0" collapsed="false">
      <c r="A18" s="1" t="str">
        <f aca="false">PoolData!A15</f>
        <v>BNB-BURGER</v>
      </c>
      <c r="B18" s="1" t="str">
        <f aca="false">PoolData!C15</f>
        <v>BNB</v>
      </c>
      <c r="C18" s="1" t="str">
        <f aca="false">PoolData!D15</f>
        <v>BURGER</v>
      </c>
      <c r="D18" s="27"/>
      <c r="E18" s="16" t="n">
        <f aca="false">VLOOKUP($A18,PoolData!$A$10:$U$32,MATCH(E$13,PoolData!$A$10:$U$10,0),0)</f>
        <v>0.796011556183857</v>
      </c>
      <c r="F18" s="16" t="n">
        <f aca="false">VLOOKUP($A18,PoolData!$A$10:$U$32,MATCH(F$13,PoolData!$A$10:$U$10,0),0)</f>
        <v>0</v>
      </c>
      <c r="H18" s="46" t="n">
        <f aca="false">VLOOKUP($A18,PoolData!$A$10:$U$32,MATCH(H$13,PoolData!$A$10:$U$10,0),0)</f>
        <v>0.740209807149635</v>
      </c>
      <c r="J18" s="18" t="n">
        <f aca="false">VLOOKUP($A18,PoolData!$A$10:$U$32,MATCH(J$13,PoolData!$A$10:$U$10,0),0)</f>
        <v>0.870746019701086</v>
      </c>
    </row>
    <row r="19" customFormat="false" ht="15" hidden="false" customHeight="false" outlineLevel="0" collapsed="false">
      <c r="A19" s="1" t="str">
        <f aca="false">PoolData!A16</f>
        <v>BNB-SPARTAN</v>
      </c>
      <c r="B19" s="1" t="str">
        <f aca="false">PoolData!C16</f>
        <v>BNB</v>
      </c>
      <c r="C19" s="1" t="str">
        <f aca="false">PoolData!D16</f>
        <v>SPARTAN</v>
      </c>
      <c r="D19" s="27"/>
      <c r="E19" s="16" t="n">
        <f aca="false">VLOOKUP($A19,PoolData!$A$10:$U$32,MATCH(E$13,PoolData!$A$10:$U$10,0),0)</f>
        <v>20.7369254896143</v>
      </c>
      <c r="F19" s="16" t="n">
        <f aca="false">VLOOKUP($A19,PoolData!$A$10:$U$32,MATCH(F$13,PoolData!$A$10:$U$10,0),0)</f>
        <v>0</v>
      </c>
      <c r="H19" s="46" t="n">
        <f aca="false">VLOOKUP($A19,PoolData!$A$10:$U$32,MATCH(H$13,PoolData!$A$10:$U$10,0),0)</f>
        <v>19.2832321318692</v>
      </c>
      <c r="J19" s="18" t="n">
        <f aca="false">VLOOKUP($A19,PoolData!$A$10:$U$32,MATCH(J$13,PoolData!$A$10:$U$10,0),0)</f>
        <v>0.870746019701086</v>
      </c>
    </row>
    <row r="20" customFormat="false" ht="15" hidden="false" customHeight="false" outlineLevel="0" collapsed="false">
      <c r="A20" s="1" t="str">
        <f aca="false">PoolData!A17</f>
        <v>BNB-FOR</v>
      </c>
      <c r="B20" s="1" t="str">
        <f aca="false">PoolData!C17</f>
        <v>BNB</v>
      </c>
      <c r="C20" s="1" t="str">
        <f aca="false">PoolData!D17</f>
        <v>FOR</v>
      </c>
      <c r="D20" s="27"/>
      <c r="E20" s="16" t="n">
        <f aca="false">VLOOKUP($A20,PoolData!$A$10:$U$32,MATCH(E$13,PoolData!$A$10:$U$10,0),0)</f>
        <v>17.2667829387177</v>
      </c>
      <c r="F20" s="16" t="n">
        <f aca="false">VLOOKUP($A20,PoolData!$A$10:$U$32,MATCH(F$13,PoolData!$A$10:$U$10,0),0)</f>
        <v>0</v>
      </c>
      <c r="H20" s="46" t="n">
        <f aca="false">VLOOKUP($A20,PoolData!$A$10:$U$32,MATCH(H$13,PoolData!$A$10:$U$10,0),0)</f>
        <v>16.0563524108069</v>
      </c>
      <c r="J20" s="18" t="n">
        <f aca="false">VLOOKUP($A20,PoolData!$A$10:$U$32,MATCH(J$13,PoolData!$A$10:$U$10,0),0)</f>
        <v>0.870746019701086</v>
      </c>
    </row>
    <row r="21" customFormat="false" ht="15" hidden="false" customHeight="false" outlineLevel="0" collapsed="false">
      <c r="A21" s="1" t="str">
        <f aca="false">PoolData!A18</f>
        <v>BNB-BAKE</v>
      </c>
      <c r="B21" s="1" t="str">
        <f aca="false">PoolData!C18</f>
        <v>BNB</v>
      </c>
      <c r="C21" s="1" t="str">
        <f aca="false">PoolData!D18</f>
        <v>BAKE</v>
      </c>
      <c r="D21" s="27"/>
      <c r="E21" s="16" t="n">
        <f aca="false">VLOOKUP($A21,PoolData!$A$10:$U$32,MATCH(E$13,PoolData!$A$10:$U$10,0),0)</f>
        <v>0.117093608288166</v>
      </c>
      <c r="F21" s="16" t="n">
        <f aca="false">VLOOKUP($A21,PoolData!$A$10:$U$32,MATCH(F$13,PoolData!$A$10:$U$10,0),0)</f>
        <v>0</v>
      </c>
      <c r="H21" s="46" t="n">
        <f aca="false">VLOOKUP($A21,PoolData!$A$10:$U$32,MATCH(H$13,PoolData!$A$10:$U$10,0),0)</f>
        <v>0.108885149387729</v>
      </c>
      <c r="J21" s="18" t="n">
        <f aca="false">VLOOKUP($A21,PoolData!$A$10:$U$32,MATCH(J$13,PoolData!$A$10:$U$10,0),0)</f>
        <v>0.870746019701086</v>
      </c>
    </row>
    <row r="22" customFormat="false" ht="15" hidden="false" customHeight="false" outlineLevel="0" collapsed="false">
      <c r="A22" s="1" t="str">
        <f aca="false">PoolData!A19</f>
        <v>BNB-PEACH</v>
      </c>
      <c r="B22" s="1" t="str">
        <f aca="false">PoolData!C19</f>
        <v>BNB</v>
      </c>
      <c r="C22" s="1" t="str">
        <f aca="false">PoolData!D19</f>
        <v>PEACH</v>
      </c>
      <c r="D22" s="27"/>
      <c r="E22" s="16" t="n">
        <f aca="false">VLOOKUP($A22,PoolData!$A$10:$U$32,MATCH(E$13,PoolData!$A$10:$U$10,0),0)</f>
        <v>1.04194138700989</v>
      </c>
      <c r="F22" s="16" t="n">
        <f aca="false">VLOOKUP($A22,PoolData!$A$10:$U$32,MATCH(F$13,PoolData!$A$10:$U$10,0),0)</f>
        <v>0</v>
      </c>
      <c r="H22" s="46" t="n">
        <f aca="false">VLOOKUP($A22,PoolData!$A$10:$U$32,MATCH(H$13,PoolData!$A$10:$U$10,0),0)</f>
        <v>0.968899543164011</v>
      </c>
      <c r="J22" s="18" t="n">
        <f aca="false">VLOOKUP($A22,PoolData!$A$10:$U$32,MATCH(J$13,PoolData!$A$10:$U$10,0),0)</f>
        <v>0.870746019701086</v>
      </c>
    </row>
    <row r="23" customFormat="false" ht="15" hidden="false" customHeight="false" outlineLevel="0" collapsed="false">
      <c r="A23" s="1" t="str">
        <f aca="false">PoolData!A20</f>
        <v>BNB-MILK</v>
      </c>
      <c r="B23" s="1" t="str">
        <f aca="false">PoolData!C20</f>
        <v>BNB</v>
      </c>
      <c r="C23" s="1" t="str">
        <f aca="false">PoolData!D20</f>
        <v>MILK</v>
      </c>
      <c r="D23" s="27"/>
      <c r="E23" s="16" t="n">
        <f aca="false">VLOOKUP($A23,PoolData!$A$10:$U$32,MATCH(E$13,PoolData!$A$10:$U$10,0),0)</f>
        <v>1.09596650529078</v>
      </c>
      <c r="F23" s="16" t="n">
        <f aca="false">VLOOKUP($A23,PoolData!$A$10:$U$32,MATCH(F$13,PoolData!$A$10:$U$10,0),0)</f>
        <v>0</v>
      </c>
      <c r="H23" s="46" t="n">
        <f aca="false">VLOOKUP($A23,PoolData!$A$10:$U$32,MATCH(H$13,PoolData!$A$10:$U$10,0),0)</f>
        <v>1.01913740977948</v>
      </c>
      <c r="J23" s="18" t="n">
        <f aca="false">VLOOKUP($A23,PoolData!$A$10:$U$32,MATCH(J$13,PoolData!$A$10:$U$10,0),0)</f>
        <v>0.870746019701086</v>
      </c>
    </row>
    <row r="24" customFormat="false" ht="15" hidden="false" customHeight="false" outlineLevel="0" collapsed="false">
      <c r="A24" s="1" t="str">
        <f aca="false">PoolData!A21</f>
        <v>BNB-TUNA</v>
      </c>
      <c r="B24" s="1" t="str">
        <f aca="false">PoolData!C21</f>
        <v>BNB</v>
      </c>
      <c r="C24" s="1" t="str">
        <f aca="false">PoolData!D21</f>
        <v>TUNA</v>
      </c>
      <c r="D24" s="27"/>
      <c r="E24" s="16" t="n">
        <f aca="false">VLOOKUP($A24,PoolData!$A$10:$U$32,MATCH(E$13,PoolData!$A$10:$U$10,0),0)</f>
        <v>0.0676772063079264</v>
      </c>
      <c r="F24" s="16" t="n">
        <f aca="false">VLOOKUP($A24,PoolData!$A$10:$U$32,MATCH(F$13,PoolData!$A$10:$U$10,0),0)</f>
        <v>0</v>
      </c>
      <c r="H24" s="46" t="n">
        <f aca="false">VLOOKUP($A24,PoolData!$A$10:$U$32,MATCH(H$13,PoolData!$A$10:$U$10,0),0)</f>
        <v>0.0629329203080634</v>
      </c>
      <c r="J24" s="18" t="n">
        <f aca="false">VLOOKUP($A24,PoolData!$A$10:$U$32,MATCH(J$13,PoolData!$A$10:$U$10,0),0)</f>
        <v>0.870746019701086</v>
      </c>
    </row>
    <row r="25" customFormat="false" ht="15" hidden="false" customHeight="false" outlineLevel="0" collapsed="false">
      <c r="A25" s="1" t="str">
        <f aca="false">PoolData!A22</f>
        <v>BNB-PROM</v>
      </c>
      <c r="B25" s="1" t="str">
        <f aca="false">PoolData!C22</f>
        <v>BNB</v>
      </c>
      <c r="C25" s="1" t="str">
        <f aca="false">PoolData!D22</f>
        <v>PROM</v>
      </c>
      <c r="D25" s="27"/>
      <c r="E25" s="16" t="n">
        <f aca="false">VLOOKUP($A25,PoolData!$A$10:$U$32,MATCH(E$13,PoolData!$A$10:$U$10,0),0)</f>
        <v>0.00992017090984115</v>
      </c>
      <c r="F25" s="16" t="n">
        <f aca="false">VLOOKUP($A25,PoolData!$A$10:$U$32,MATCH(F$13,PoolData!$A$10:$U$10,0),0)</f>
        <v>0</v>
      </c>
      <c r="H25" s="46" t="n">
        <f aca="false">VLOOKUP($A25,PoolData!$A$10:$U$32,MATCH(H$13,PoolData!$A$10:$U$10,0),0)</f>
        <v>0.00922475024265716</v>
      </c>
      <c r="J25" s="18" t="n">
        <f aca="false">VLOOKUP($A25,PoolData!$A$10:$U$32,MATCH(J$13,PoolData!$A$10:$U$10,0),0)</f>
        <v>0.870746019701086</v>
      </c>
    </row>
    <row r="26" customFormat="false" ht="15" hidden="false" customHeight="false" outlineLevel="0" collapsed="false">
      <c r="A26" s="1" t="str">
        <f aca="false">PoolData!A23</f>
        <v>-</v>
      </c>
      <c r="B26" s="1" t="n">
        <f aca="false">PoolData!C23</f>
        <v>0</v>
      </c>
      <c r="C26" s="1" t="n">
        <f aca="false">PoolData!D23</f>
        <v>0</v>
      </c>
      <c r="D26" s="27"/>
      <c r="E26" s="16" t="n">
        <f aca="false">VLOOKUP($A26,PoolData!$A$10:$U$32,MATCH(E$13,PoolData!$A$10:$U$10,0),0)</f>
        <v>0</v>
      </c>
      <c r="F26" s="16" t="n">
        <f aca="false">VLOOKUP($A26,PoolData!$A$10:$U$32,MATCH(F$13,PoolData!$A$10:$U$10,0),0)</f>
        <v>0</v>
      </c>
      <c r="H26" s="46" t="n">
        <f aca="false">VLOOKUP($A26,PoolData!$A$10:$U$32,MATCH(H$13,PoolData!$A$10:$U$10,0),0)</f>
        <v>0</v>
      </c>
      <c r="J26" s="18" t="n">
        <f aca="false">VLOOKUP($A26,PoolData!$A$10:$U$32,MATCH(J$13,PoolData!$A$10:$U$10,0),0)</f>
        <v>0</v>
      </c>
    </row>
    <row r="27" customFormat="false" ht="15" hidden="false" customHeight="false" outlineLevel="0" collapsed="false">
      <c r="A27" s="1" t="str">
        <f aca="false">PoolData!A24</f>
        <v>-</v>
      </c>
      <c r="B27" s="1" t="n">
        <f aca="false">PoolData!C24</f>
        <v>0</v>
      </c>
      <c r="C27" s="1" t="n">
        <f aca="false">PoolData!D24</f>
        <v>0</v>
      </c>
      <c r="D27" s="27"/>
      <c r="E27" s="16" t="n">
        <f aca="false">VLOOKUP($A27,PoolData!$A$10:$U$32,MATCH(E$13,PoolData!$A$10:$U$10,0),0)</f>
        <v>0</v>
      </c>
      <c r="F27" s="16" t="n">
        <f aca="false">VLOOKUP($A27,PoolData!$A$10:$U$32,MATCH(F$13,PoolData!$A$10:$U$10,0),0)</f>
        <v>0</v>
      </c>
      <c r="H27" s="46" t="n">
        <f aca="false">VLOOKUP($A27,PoolData!$A$10:$U$32,MATCH(H$13,PoolData!$A$10:$U$10,0),0)</f>
        <v>0</v>
      </c>
      <c r="J27" s="18" t="n">
        <f aca="false">VLOOKUP($A27,PoolData!$A$10:$U$32,MATCH(J$13,PoolData!$A$10:$U$10,0),0)</f>
        <v>0</v>
      </c>
    </row>
    <row r="28" customFormat="false" ht="15" hidden="false" customHeight="false" outlineLevel="0" collapsed="false">
      <c r="A28" s="1" t="str">
        <f aca="false">PoolData!A25</f>
        <v>-</v>
      </c>
      <c r="B28" s="1" t="n">
        <f aca="false">PoolData!C25</f>
        <v>0</v>
      </c>
      <c r="C28" s="1" t="n">
        <f aca="false">PoolData!D25</f>
        <v>0</v>
      </c>
      <c r="D28" s="27"/>
      <c r="E28" s="16" t="n">
        <f aca="false">VLOOKUP($A28,PoolData!$A$10:$U$32,MATCH(E$13,PoolData!$A$10:$U$10,0),0)</f>
        <v>0</v>
      </c>
      <c r="F28" s="16" t="n">
        <f aca="false">VLOOKUP($A28,PoolData!$A$10:$U$32,MATCH(F$13,PoolData!$A$10:$U$10,0),0)</f>
        <v>0</v>
      </c>
      <c r="H28" s="46" t="n">
        <f aca="false">VLOOKUP($A28,PoolData!$A$10:$U$32,MATCH(H$13,PoolData!$A$10:$U$10,0),0)</f>
        <v>0</v>
      </c>
      <c r="J28" s="18" t="n">
        <f aca="false">VLOOKUP($A28,PoolData!$A$10:$U$32,MATCH(J$13,PoolData!$A$10:$U$10,0),0)</f>
        <v>0</v>
      </c>
    </row>
    <row r="29" customFormat="false" ht="15" hidden="false" customHeight="false" outlineLevel="0" collapsed="false">
      <c r="A29" s="1" t="str">
        <f aca="false">PoolData!A26</f>
        <v>-</v>
      </c>
      <c r="B29" s="1" t="n">
        <f aca="false">PoolData!C26</f>
        <v>0</v>
      </c>
      <c r="C29" s="1" t="n">
        <f aca="false">PoolData!D26</f>
        <v>0</v>
      </c>
      <c r="D29" s="27"/>
      <c r="E29" s="16" t="n">
        <f aca="false">VLOOKUP($A29,PoolData!$A$10:$U$32,MATCH(E$13,PoolData!$A$10:$U$10,0),0)</f>
        <v>0</v>
      </c>
      <c r="F29" s="16" t="n">
        <f aca="false">VLOOKUP($A29,PoolData!$A$10:$U$32,MATCH(F$13,PoolData!$A$10:$U$10,0),0)</f>
        <v>0</v>
      </c>
      <c r="H29" s="46" t="n">
        <f aca="false">VLOOKUP($A29,PoolData!$A$10:$U$32,MATCH(H$13,PoolData!$A$10:$U$10,0),0)</f>
        <v>0</v>
      </c>
      <c r="J29" s="18" t="n">
        <f aca="false">VLOOKUP($A29,PoolData!$A$10:$U$32,MATCH(J$13,PoolData!$A$10:$U$10,0),0)</f>
        <v>0</v>
      </c>
    </row>
    <row r="30" customFormat="false" ht="15" hidden="false" customHeight="false" outlineLevel="0" collapsed="false">
      <c r="A30" s="1" t="str">
        <f aca="false">PoolData!A27</f>
        <v>-</v>
      </c>
      <c r="B30" s="1" t="n">
        <f aca="false">PoolData!C27</f>
        <v>0</v>
      </c>
      <c r="C30" s="1" t="n">
        <f aca="false">PoolData!D27</f>
        <v>0</v>
      </c>
      <c r="D30" s="27"/>
      <c r="E30" s="16" t="n">
        <f aca="false">VLOOKUP($A30,PoolData!$A$10:$U$32,MATCH(E$13,PoolData!$A$10:$U$10,0),0)</f>
        <v>0</v>
      </c>
      <c r="F30" s="16" t="n">
        <f aca="false">VLOOKUP($A30,PoolData!$A$10:$U$32,MATCH(F$13,PoolData!$A$10:$U$10,0),0)</f>
        <v>0</v>
      </c>
      <c r="H30" s="46" t="n">
        <f aca="false">VLOOKUP($A30,PoolData!$A$10:$U$32,MATCH(H$13,PoolData!$A$10:$U$10,0),0)</f>
        <v>0</v>
      </c>
      <c r="J30" s="18" t="n">
        <f aca="false">VLOOKUP($A30,PoolData!$A$10:$U$32,MATCH(J$13,PoolData!$A$10:$U$10,0),0)</f>
        <v>0</v>
      </c>
    </row>
    <row r="31" customFormat="false" ht="15" hidden="false" customHeight="false" outlineLevel="0" collapsed="false">
      <c r="A31" s="1" t="str">
        <f aca="false">PoolData!A28</f>
        <v>-</v>
      </c>
      <c r="B31" s="1" t="n">
        <f aca="false">PoolData!C28</f>
        <v>0</v>
      </c>
      <c r="C31" s="1" t="n">
        <f aca="false">PoolData!D28</f>
        <v>0</v>
      </c>
      <c r="D31" s="27"/>
      <c r="E31" s="16" t="n">
        <f aca="false">VLOOKUP($A31,PoolData!$A$10:$U$32,MATCH(E$13,PoolData!$A$10:$U$10,0),0)</f>
        <v>0</v>
      </c>
      <c r="F31" s="16" t="n">
        <f aca="false">VLOOKUP($A31,PoolData!$A$10:$U$32,MATCH(F$13,PoolData!$A$10:$U$10,0),0)</f>
        <v>0</v>
      </c>
      <c r="H31" s="46" t="n">
        <f aca="false">VLOOKUP($A31,PoolData!$A$10:$U$32,MATCH(H$13,PoolData!$A$10:$U$10,0),0)</f>
        <v>0</v>
      </c>
      <c r="J31" s="18" t="n">
        <f aca="false">VLOOKUP($A31,PoolData!$A$10:$U$32,MATCH(J$13,PoolData!$A$10:$U$10,0),0)</f>
        <v>0</v>
      </c>
    </row>
    <row r="32" customFormat="false" ht="15" hidden="false" customHeight="false" outlineLevel="0" collapsed="false">
      <c r="A32" s="1" t="str">
        <f aca="false">PoolData!A29</f>
        <v>-</v>
      </c>
      <c r="B32" s="1" t="n">
        <f aca="false">PoolData!C29</f>
        <v>0</v>
      </c>
      <c r="C32" s="1" t="n">
        <f aca="false">PoolData!D29</f>
        <v>0</v>
      </c>
      <c r="D32" s="27"/>
      <c r="E32" s="16" t="n">
        <f aca="false">VLOOKUP($A32,PoolData!$A$10:$U$32,MATCH(E$13,PoolData!$A$10:$U$10,0),0)</f>
        <v>0</v>
      </c>
      <c r="F32" s="16" t="n">
        <f aca="false">VLOOKUP($A32,PoolData!$A$10:$U$32,MATCH(F$13,PoolData!$A$10:$U$10,0),0)</f>
        <v>0</v>
      </c>
      <c r="H32" s="46" t="n">
        <f aca="false">VLOOKUP($A32,PoolData!$A$10:$U$32,MATCH(H$13,PoolData!$A$10:$U$10,0),0)</f>
        <v>0</v>
      </c>
      <c r="J32" s="18" t="n">
        <f aca="false">VLOOKUP($A32,PoolData!$A$10:$U$32,MATCH(J$13,PoolData!$A$10:$U$10,0),0)</f>
        <v>0</v>
      </c>
    </row>
    <row r="33" customFormat="false" ht="15" hidden="false" customHeight="false" outlineLevel="0" collapsed="false">
      <c r="A33" s="1" t="str">
        <f aca="false">PoolData!A30</f>
        <v>-</v>
      </c>
      <c r="B33" s="1" t="n">
        <f aca="false">PoolData!C30</f>
        <v>0</v>
      </c>
      <c r="C33" s="1" t="n">
        <f aca="false">PoolData!D30</f>
        <v>0</v>
      </c>
      <c r="D33" s="27"/>
      <c r="E33" s="16" t="n">
        <f aca="false">VLOOKUP($A33,PoolData!$A$10:$U$32,MATCH(E$13,PoolData!$A$10:$U$10,0),0)</f>
        <v>0</v>
      </c>
      <c r="F33" s="16" t="n">
        <f aca="false">VLOOKUP($A33,PoolData!$A$10:$U$32,MATCH(F$13,PoolData!$A$10:$U$10,0),0)</f>
        <v>0</v>
      </c>
      <c r="H33" s="46" t="n">
        <f aca="false">VLOOKUP($A33,PoolData!$A$10:$U$32,MATCH(H$13,PoolData!$A$10:$U$10,0),0)</f>
        <v>0</v>
      </c>
      <c r="J33" s="18" t="n">
        <f aca="false">VLOOKUP($A33,PoolData!$A$10:$U$32,MATCH(J$13,PoolData!$A$10:$U$10,0),0)</f>
        <v>0</v>
      </c>
    </row>
    <row r="34" customFormat="false" ht="15" hidden="false" customHeight="false" outlineLevel="0" collapsed="false">
      <c r="A34" s="1" t="str">
        <f aca="false">PoolData!A31</f>
        <v>-</v>
      </c>
      <c r="B34" s="1" t="n">
        <f aca="false">PoolData!C31</f>
        <v>0</v>
      </c>
      <c r="C34" s="1" t="n">
        <f aca="false">PoolData!D31</f>
        <v>0</v>
      </c>
      <c r="D34" s="27"/>
      <c r="E34" s="16" t="n">
        <f aca="false">VLOOKUP($A34,PoolData!$A$10:$U$32,MATCH(E$13,PoolData!$A$10:$U$10,0),0)</f>
        <v>0</v>
      </c>
      <c r="F34" s="16" t="n">
        <f aca="false">VLOOKUP($A34,PoolData!$A$10:$U$32,MATCH(F$13,PoolData!$A$10:$U$10,0),0)</f>
        <v>0</v>
      </c>
      <c r="H34" s="46" t="n">
        <f aca="false">VLOOKUP($A34,PoolData!$A$10:$U$32,MATCH(H$13,PoolData!$A$10:$U$10,0),0)</f>
        <v>0</v>
      </c>
      <c r="J34" s="18" t="n">
        <f aca="false">VLOOKUP($A34,PoolData!$A$10:$U$32,MATCH(J$13,PoolData!$A$10:$U$10,0),0)</f>
        <v>0</v>
      </c>
    </row>
    <row r="35" customFormat="false" ht="15" hidden="false" customHeight="false" outlineLevel="0" collapsed="false">
      <c r="A35" s="1" t="str">
        <f aca="false">PoolData!A32</f>
        <v>-</v>
      </c>
      <c r="B35" s="1" t="n">
        <f aca="false">PoolData!C32</f>
        <v>0</v>
      </c>
      <c r="C35" s="1" t="n">
        <f aca="false">PoolData!D32</f>
        <v>0</v>
      </c>
      <c r="D35" s="27"/>
      <c r="E35" s="16" t="n">
        <f aca="false">VLOOKUP($A35,PoolData!$A$10:$U$32,MATCH(E$13,PoolData!$A$10:$U$10,0),0)</f>
        <v>0</v>
      </c>
      <c r="F35" s="16" t="n">
        <f aca="false">VLOOKUP($A35,PoolData!$A$10:$U$32,MATCH(F$13,PoolData!$A$10:$U$10,0),0)</f>
        <v>0</v>
      </c>
      <c r="H35" s="46" t="n">
        <f aca="false">VLOOKUP($A35,PoolData!$A$10:$U$32,MATCH(H$13,PoolData!$A$10:$U$10,0),0)</f>
        <v>0</v>
      </c>
      <c r="J35" s="18" t="n">
        <f aca="false">VLOOKUP($A35,PoolData!$A$10:$U$32,MATCH(J$13,PoolData!$A$10:$U$10,0),0)</f>
        <v>0</v>
      </c>
    </row>
    <row r="36" customFormat="false" ht="15" hidden="false" customHeight="false" outlineLevel="0" collapsed="false">
      <c r="A36" s="1" t="str">
        <f aca="false">PoolData!A33</f>
        <v>-</v>
      </c>
      <c r="B36" s="1" t="n">
        <f aca="false">PoolData!C33</f>
        <v>0</v>
      </c>
      <c r="C36" s="1" t="n">
        <f aca="false">PoolData!D33</f>
        <v>0</v>
      </c>
      <c r="D36" s="27"/>
      <c r="E36" s="16" t="n">
        <f aca="false">VLOOKUP($A36,PoolData!$A$10:$U$32,MATCH(E$13,PoolData!$A$10:$U$10,0),0)</f>
        <v>0</v>
      </c>
      <c r="F36" s="16" t="n">
        <f aca="false">VLOOKUP($A36,PoolData!$A$10:$U$32,MATCH(F$13,PoolData!$A$10:$U$10,0),0)</f>
        <v>0</v>
      </c>
      <c r="H36" s="46" t="n">
        <f aca="false">VLOOKUP($A36,PoolData!$A$10:$U$32,MATCH(H$13,PoolData!$A$10:$U$10,0),0)</f>
        <v>0</v>
      </c>
      <c r="J36" s="18" t="n">
        <f aca="false">VLOOKUP($A36,PoolData!$A$10:$U$32,MATCH(J$13,PoolData!$A$10:$U$10,0),0)</f>
        <v>0</v>
      </c>
    </row>
    <row r="37" customFormat="false" ht="15" hidden="false" customHeight="false" outlineLevel="0" collapsed="false">
      <c r="A37" s="1" t="str">
        <f aca="false">PoolData!A34</f>
        <v>-</v>
      </c>
      <c r="B37" s="1" t="n">
        <f aca="false">PoolData!C34</f>
        <v>0</v>
      </c>
      <c r="C37" s="1" t="n">
        <f aca="false">PoolData!D34</f>
        <v>0</v>
      </c>
      <c r="D37" s="27"/>
      <c r="E37" s="16" t="n">
        <f aca="false">VLOOKUP($A37,PoolData!$A$10:$U$32,MATCH(E$13,PoolData!$A$10:$U$10,0),0)</f>
        <v>0</v>
      </c>
      <c r="F37" s="16" t="n">
        <f aca="false">VLOOKUP($A37,PoolData!$A$10:$U$32,MATCH(F$13,PoolData!$A$10:$U$10,0),0)</f>
        <v>0</v>
      </c>
      <c r="H37" s="46" t="n">
        <f aca="false">VLOOKUP($A37,PoolData!$A$10:$U$32,MATCH(H$13,PoolData!$A$10:$U$10,0),0)</f>
        <v>0</v>
      </c>
      <c r="J37" s="18" t="n">
        <f aca="false">VLOOKUP($A37,PoolData!$A$10:$U$32,MATCH(J$13,PoolData!$A$10:$U$10,0),0)</f>
        <v>0</v>
      </c>
    </row>
    <row r="38" customFormat="false" ht="15" hidden="false" customHeight="false" outlineLevel="0" collapsed="false">
      <c r="A38" s="1" t="str">
        <f aca="false">PoolData!A35</f>
        <v>-</v>
      </c>
      <c r="B38" s="1" t="n">
        <f aca="false">PoolData!C35</f>
        <v>0</v>
      </c>
      <c r="C38" s="1" t="n">
        <f aca="false">PoolData!D35</f>
        <v>0</v>
      </c>
      <c r="D38" s="27"/>
      <c r="E38" s="16" t="n">
        <f aca="false">VLOOKUP($A38,PoolData!$A$10:$U$32,MATCH(E$13,PoolData!$A$10:$U$10,0),0)</f>
        <v>0</v>
      </c>
      <c r="F38" s="16" t="n">
        <f aca="false">VLOOKUP($A38,PoolData!$A$10:$U$32,MATCH(F$13,PoolData!$A$10:$U$10,0),0)</f>
        <v>0</v>
      </c>
      <c r="H38" s="46" t="n">
        <f aca="false">VLOOKUP($A38,PoolData!$A$10:$U$32,MATCH(H$13,PoolData!$A$10:$U$10,0),0)</f>
        <v>0</v>
      </c>
      <c r="J38" s="18" t="n">
        <f aca="false">VLOOKUP($A38,PoolData!$A$10:$U$32,MATCH(J$13,PoolData!$A$10:$U$10,0),0)</f>
        <v>0</v>
      </c>
    </row>
    <row r="39" customFormat="false" ht="15" hidden="false" customHeight="false" outlineLevel="0" collapsed="false">
      <c r="A39" s="1" t="str">
        <f aca="false">PoolData!A36</f>
        <v>-</v>
      </c>
      <c r="B39" s="1" t="n">
        <f aca="false">PoolData!C36</f>
        <v>0</v>
      </c>
      <c r="C39" s="1" t="n">
        <f aca="false">PoolData!D36</f>
        <v>0</v>
      </c>
      <c r="D39" s="27"/>
      <c r="E39" s="16" t="n">
        <f aca="false">VLOOKUP($A39,PoolData!$A$10:$U$32,MATCH(E$13,PoolData!$A$10:$U$10,0),0)</f>
        <v>0</v>
      </c>
      <c r="F39" s="16" t="n">
        <f aca="false">VLOOKUP($A39,PoolData!$A$10:$U$32,MATCH(F$13,PoolData!$A$10:$U$10,0),0)</f>
        <v>0</v>
      </c>
      <c r="H39" s="46" t="n">
        <f aca="false">VLOOKUP($A39,PoolData!$A$10:$U$32,MATCH(H$13,PoolData!$A$10:$U$10,0),0)</f>
        <v>0</v>
      </c>
      <c r="J39" s="18" t="n">
        <f aca="false">VLOOKUP($A39,PoolData!$A$10:$U$32,MATCH(J$13,PoolData!$A$10:$U$10,0),0)</f>
        <v>0</v>
      </c>
    </row>
    <row r="40" customFormat="false" ht="15" hidden="false" customHeight="false" outlineLevel="0" collapsed="false">
      <c r="A40" s="1" t="str">
        <f aca="false">PoolData!A37</f>
        <v>-</v>
      </c>
      <c r="B40" s="1" t="n">
        <f aca="false">PoolData!C37</f>
        <v>0</v>
      </c>
      <c r="C40" s="1" t="n">
        <f aca="false">PoolData!D37</f>
        <v>0</v>
      </c>
      <c r="D40" s="27"/>
      <c r="E40" s="16" t="n">
        <f aca="false">VLOOKUP($A40,PoolData!$A$10:$U$32,MATCH(E$13,PoolData!$A$10:$U$10,0),0)</f>
        <v>0</v>
      </c>
      <c r="F40" s="16" t="n">
        <f aca="false">VLOOKUP($A40,PoolData!$A$10:$U$32,MATCH(F$13,PoolData!$A$10:$U$10,0),0)</f>
        <v>0</v>
      </c>
      <c r="H40" s="46" t="n">
        <f aca="false">VLOOKUP($A40,PoolData!$A$10:$U$32,MATCH(H$13,PoolData!$A$10:$U$10,0),0)</f>
        <v>0</v>
      </c>
      <c r="J40" s="18" t="n">
        <f aca="false">VLOOKUP($A40,PoolData!$A$10:$U$32,MATCH(J$13,PoolData!$A$10:$U$10,0),0)</f>
        <v>0</v>
      </c>
    </row>
    <row r="41" customFormat="false" ht="15" hidden="false" customHeight="false" outlineLevel="0" collapsed="false">
      <c r="A41" s="1" t="str">
        <f aca="false">PoolData!A38</f>
        <v>-</v>
      </c>
      <c r="B41" s="1" t="n">
        <f aca="false">PoolData!C38</f>
        <v>0</v>
      </c>
      <c r="C41" s="1" t="n">
        <f aca="false">PoolData!D38</f>
        <v>0</v>
      </c>
      <c r="D41" s="27"/>
      <c r="E41" s="16" t="n">
        <f aca="false">VLOOKUP($A41,PoolData!$A$10:$U$32,MATCH(E$13,PoolData!$A$10:$U$10,0),0)</f>
        <v>0</v>
      </c>
      <c r="F41" s="16" t="n">
        <f aca="false">VLOOKUP($A41,PoolData!$A$10:$U$32,MATCH(F$13,PoolData!$A$10:$U$10,0),0)</f>
        <v>0</v>
      </c>
      <c r="H41" s="46" t="n">
        <f aca="false">VLOOKUP($A41,PoolData!$A$10:$U$32,MATCH(H$13,PoolData!$A$10:$U$10,0),0)</f>
        <v>0</v>
      </c>
      <c r="J41" s="18" t="n">
        <f aca="false">VLOOKUP($A41,PoolData!$A$10:$U$32,MATCH(J$13,PoolData!$A$10:$U$10,0),0)</f>
        <v>0</v>
      </c>
    </row>
    <row r="42" customFormat="false" ht="15" hidden="false" customHeight="false" outlineLevel="0" collapsed="false">
      <c r="A42" s="1" t="str">
        <f aca="false">PoolData!A39</f>
        <v>-</v>
      </c>
      <c r="B42" s="1" t="n">
        <f aca="false">PoolData!C39</f>
        <v>0</v>
      </c>
      <c r="C42" s="1" t="n">
        <f aca="false">PoolData!D39</f>
        <v>0</v>
      </c>
      <c r="D42" s="27"/>
      <c r="E42" s="16" t="n">
        <f aca="false">VLOOKUP($A42,PoolData!$A$10:$U$32,MATCH(E$13,PoolData!$A$10:$U$10,0),0)</f>
        <v>0</v>
      </c>
      <c r="F42" s="16" t="n">
        <f aca="false">VLOOKUP($A42,PoolData!$A$10:$U$32,MATCH(F$13,PoolData!$A$10:$U$10,0),0)</f>
        <v>0</v>
      </c>
      <c r="H42" s="46" t="n">
        <f aca="false">VLOOKUP($A42,PoolData!$A$10:$U$32,MATCH(H$13,PoolData!$A$10:$U$10,0),0)</f>
        <v>0</v>
      </c>
      <c r="J42" s="18" t="n">
        <f aca="false">VLOOKUP($A42,PoolData!$A$10:$U$32,MATCH(J$13,PoolData!$A$10:$U$10,0),0)</f>
        <v>0</v>
      </c>
    </row>
    <row r="43" customFormat="false" ht="15" hidden="false" customHeight="false" outlineLevel="0" collapsed="false">
      <c r="A43" s="1" t="str">
        <f aca="false">PoolData!A40</f>
        <v>-</v>
      </c>
      <c r="B43" s="1" t="n">
        <f aca="false">PoolData!C40</f>
        <v>0</v>
      </c>
      <c r="C43" s="1" t="n">
        <f aca="false">PoolData!D40</f>
        <v>0</v>
      </c>
      <c r="D43" s="27"/>
      <c r="E43" s="16" t="n">
        <f aca="false">VLOOKUP($A43,PoolData!$A$10:$U$32,MATCH(E$13,PoolData!$A$10:$U$10,0),0)</f>
        <v>0</v>
      </c>
      <c r="F43" s="16" t="n">
        <f aca="false">VLOOKUP($A43,PoolData!$A$10:$U$32,MATCH(F$13,PoolData!$A$10:$U$10,0),0)</f>
        <v>0</v>
      </c>
      <c r="H43" s="46" t="n">
        <f aca="false">VLOOKUP($A43,PoolData!$A$10:$U$32,MATCH(H$13,PoolData!$A$10:$U$10,0),0)</f>
        <v>0</v>
      </c>
      <c r="J43" s="18" t="n">
        <f aca="false">VLOOKUP($A43,PoolData!$A$10:$U$32,MATCH(J$13,PoolData!$A$10:$U$10,0),0)</f>
        <v>0</v>
      </c>
    </row>
    <row r="44" customFormat="false" ht="15" hidden="false" customHeight="false" outlineLevel="0" collapsed="false">
      <c r="A44" s="1" t="str">
        <f aca="false">PoolData!A41</f>
        <v>-</v>
      </c>
      <c r="B44" s="1" t="n">
        <f aca="false">PoolData!C41</f>
        <v>0</v>
      </c>
      <c r="C44" s="1" t="n">
        <f aca="false">PoolData!D41</f>
        <v>0</v>
      </c>
      <c r="D44" s="27"/>
      <c r="E44" s="16" t="n">
        <f aca="false">VLOOKUP($A44,PoolData!$A$10:$U$32,MATCH(E$13,PoolData!$A$10:$U$10,0),0)</f>
        <v>0</v>
      </c>
      <c r="F44" s="16" t="n">
        <f aca="false">VLOOKUP($A44,PoolData!$A$10:$U$32,MATCH(F$13,PoolData!$A$10:$U$10,0),0)</f>
        <v>0</v>
      </c>
      <c r="H44" s="46" t="n">
        <f aca="false">VLOOKUP($A44,PoolData!$A$10:$U$32,MATCH(H$13,PoolData!$A$10:$U$10,0),0)</f>
        <v>0</v>
      </c>
      <c r="J44" s="18" t="n">
        <f aca="false">VLOOKUP($A44,PoolData!$A$10:$U$32,MATCH(J$13,PoolData!$A$10:$U$10,0),0)</f>
        <v>0</v>
      </c>
    </row>
    <row r="45" customFormat="false" ht="15" hidden="false" customHeight="false" outlineLevel="0" collapsed="false">
      <c r="A45" s="1" t="str">
        <f aca="false">PoolData!A42</f>
        <v>-</v>
      </c>
      <c r="B45" s="1" t="n">
        <f aca="false">PoolData!C42</f>
        <v>0</v>
      </c>
      <c r="C45" s="1" t="n">
        <f aca="false">PoolData!D42</f>
        <v>0</v>
      </c>
      <c r="D45" s="27"/>
      <c r="E45" s="16" t="n">
        <f aca="false">VLOOKUP($A45,PoolData!$A$10:$U$32,MATCH(E$13,PoolData!$A$10:$U$10,0),0)</f>
        <v>0</v>
      </c>
      <c r="F45" s="16" t="n">
        <f aca="false">VLOOKUP($A45,PoolData!$A$10:$U$32,MATCH(F$13,PoolData!$A$10:$U$10,0),0)</f>
        <v>0</v>
      </c>
      <c r="H45" s="46" t="n">
        <f aca="false">VLOOKUP($A45,PoolData!$A$10:$U$32,MATCH(H$13,PoolData!$A$10:$U$10,0),0)</f>
        <v>0</v>
      </c>
      <c r="J45" s="18" t="n">
        <f aca="false">VLOOKUP($A45,PoolData!$A$10:$U$32,MATCH(J$13,PoolData!$A$10:$U$10,0),0)</f>
        <v>0</v>
      </c>
    </row>
    <row r="46" customFormat="false" ht="15" hidden="false" customHeight="false" outlineLevel="0" collapsed="false">
      <c r="A46" s="1" t="str">
        <f aca="false">PoolData!A43</f>
        <v>-</v>
      </c>
      <c r="B46" s="1" t="n">
        <f aca="false">PoolData!C43</f>
        <v>0</v>
      </c>
      <c r="C46" s="1" t="n">
        <f aca="false">PoolData!D43</f>
        <v>0</v>
      </c>
      <c r="D46" s="27"/>
      <c r="E46" s="16" t="n">
        <f aca="false">VLOOKUP($A46,PoolData!$A$10:$U$32,MATCH(E$13,PoolData!$A$10:$U$10,0),0)</f>
        <v>0</v>
      </c>
      <c r="F46" s="16" t="n">
        <f aca="false">VLOOKUP($A46,PoolData!$A$10:$U$32,MATCH(F$13,PoolData!$A$10:$U$10,0),0)</f>
        <v>0</v>
      </c>
      <c r="H46" s="46" t="n">
        <f aca="false">VLOOKUP($A46,PoolData!$A$10:$U$32,MATCH(H$13,PoolData!$A$10:$U$10,0),0)</f>
        <v>0</v>
      </c>
      <c r="J46" s="18" t="n">
        <f aca="false">VLOOKUP($A46,PoolData!$A$10:$U$32,MATCH(J$13,PoolData!$A$10:$U$10,0),0)</f>
        <v>0</v>
      </c>
    </row>
    <row r="47" customFormat="false" ht="15" hidden="false" customHeight="false" outlineLevel="0" collapsed="false">
      <c r="A47" s="1" t="str">
        <f aca="false">PoolData!A44</f>
        <v>-</v>
      </c>
      <c r="B47" s="1" t="n">
        <f aca="false">PoolData!C44</f>
        <v>0</v>
      </c>
      <c r="C47" s="1" t="n">
        <f aca="false">PoolData!D44</f>
        <v>0</v>
      </c>
      <c r="D47" s="27"/>
      <c r="E47" s="16" t="n">
        <f aca="false">VLOOKUP($A47,PoolData!$A$10:$U$32,MATCH(E$13,PoolData!$A$10:$U$10,0),0)</f>
        <v>0</v>
      </c>
      <c r="F47" s="16" t="n">
        <f aca="false">VLOOKUP($A47,PoolData!$A$10:$U$32,MATCH(F$13,PoolData!$A$10:$U$10,0),0)</f>
        <v>0</v>
      </c>
      <c r="H47" s="46" t="n">
        <f aca="false">VLOOKUP($A47,PoolData!$A$10:$U$32,MATCH(H$13,PoolData!$A$10:$U$10,0),0)</f>
        <v>0</v>
      </c>
      <c r="J47" s="18" t="n">
        <f aca="false">VLOOKUP($A47,PoolData!$A$10:$U$32,MATCH(J$13,PoolData!$A$10:$U$10,0),0)</f>
        <v>0</v>
      </c>
    </row>
    <row r="48" customFormat="false" ht="15" hidden="false" customHeight="false" outlineLevel="0" collapsed="false">
      <c r="A48" s="1" t="str">
        <f aca="false">PoolData!A45</f>
        <v>-</v>
      </c>
      <c r="B48" s="1" t="n">
        <f aca="false">PoolData!C45</f>
        <v>0</v>
      </c>
      <c r="C48" s="1" t="n">
        <f aca="false">PoolData!D45</f>
        <v>0</v>
      </c>
      <c r="D48" s="27"/>
      <c r="E48" s="16" t="n">
        <f aca="false">VLOOKUP($A48,PoolData!$A$10:$U$32,MATCH(E$13,PoolData!$A$10:$U$10,0),0)</f>
        <v>0</v>
      </c>
      <c r="F48" s="16" t="n">
        <f aca="false">VLOOKUP($A48,PoolData!$A$10:$U$32,MATCH(F$13,PoolData!$A$10:$U$10,0),0)</f>
        <v>0</v>
      </c>
      <c r="H48" s="46" t="n">
        <f aca="false">VLOOKUP($A48,PoolData!$A$10:$U$32,MATCH(H$13,PoolData!$A$10:$U$10,0),0)</f>
        <v>0</v>
      </c>
      <c r="J48" s="18" t="n">
        <f aca="false">VLOOKUP($A48,PoolData!$A$10:$U$32,MATCH(J$13,PoolData!$A$10:$U$10,0),0)</f>
        <v>0</v>
      </c>
    </row>
    <row r="49" customFormat="false" ht="15" hidden="false" customHeight="false" outlineLevel="0" collapsed="false">
      <c r="A49" s="1" t="str">
        <f aca="false">PoolData!A46</f>
        <v>-</v>
      </c>
      <c r="B49" s="1" t="n">
        <f aca="false">PoolData!C46</f>
        <v>0</v>
      </c>
      <c r="C49" s="1" t="n">
        <f aca="false">PoolData!D46</f>
        <v>0</v>
      </c>
      <c r="D49" s="27"/>
      <c r="E49" s="16" t="n">
        <f aca="false">VLOOKUP($A49,PoolData!$A$10:$U$32,MATCH(E$13,PoolData!$A$10:$U$10,0),0)</f>
        <v>0</v>
      </c>
      <c r="F49" s="16" t="n">
        <f aca="false">VLOOKUP($A49,PoolData!$A$10:$U$32,MATCH(F$13,PoolData!$A$10:$U$10,0),0)</f>
        <v>0</v>
      </c>
      <c r="H49" s="46" t="n">
        <f aca="false">VLOOKUP($A49,PoolData!$A$10:$U$32,MATCH(H$13,PoolData!$A$10:$U$10,0),0)</f>
        <v>0</v>
      </c>
      <c r="J49" s="18" t="n">
        <f aca="false">VLOOKUP($A49,PoolData!$A$10:$U$32,MATCH(J$13,PoolData!$A$10:$U$10,0),0)</f>
        <v>0</v>
      </c>
    </row>
    <row r="50" customFormat="false" ht="15" hidden="false" customHeight="false" outlineLevel="0" collapsed="false">
      <c r="A50" s="1" t="str">
        <f aca="false">PoolData!A47</f>
        <v>-</v>
      </c>
      <c r="B50" s="1" t="n">
        <f aca="false">PoolData!C47</f>
        <v>0</v>
      </c>
      <c r="C50" s="1" t="n">
        <f aca="false">PoolData!D47</f>
        <v>0</v>
      </c>
      <c r="D50" s="27"/>
      <c r="E50" s="16" t="n">
        <f aca="false">VLOOKUP($A50,PoolData!$A$10:$U$32,MATCH(E$13,PoolData!$A$10:$U$10,0),0)</f>
        <v>0</v>
      </c>
      <c r="F50" s="16" t="n">
        <f aca="false">VLOOKUP($A50,PoolData!$A$10:$U$32,MATCH(F$13,PoolData!$A$10:$U$10,0),0)</f>
        <v>0</v>
      </c>
      <c r="H50" s="46" t="n">
        <f aca="false">VLOOKUP($A50,PoolData!$A$10:$U$32,MATCH(H$13,PoolData!$A$10:$U$10,0),0)</f>
        <v>0</v>
      </c>
      <c r="J50" s="18" t="n">
        <f aca="false">VLOOKUP($A50,PoolData!$A$10:$U$32,MATCH(J$13,PoolData!$A$10:$U$10,0),0)</f>
        <v>0</v>
      </c>
    </row>
    <row r="51" customFormat="false" ht="15" hidden="false" customHeight="false" outlineLevel="0" collapsed="false">
      <c r="A51" s="1" t="str">
        <f aca="false">PoolData!A48</f>
        <v>-</v>
      </c>
      <c r="B51" s="1" t="n">
        <f aca="false">PoolData!C48</f>
        <v>0</v>
      </c>
      <c r="C51" s="1" t="n">
        <f aca="false">PoolData!D48</f>
        <v>0</v>
      </c>
      <c r="D51" s="27"/>
      <c r="E51" s="16" t="n">
        <f aca="false">VLOOKUP($A51,PoolData!$A$10:$U$32,MATCH(E$13,PoolData!$A$10:$U$10,0),0)</f>
        <v>0</v>
      </c>
      <c r="F51" s="16" t="n">
        <f aca="false">VLOOKUP($A51,PoolData!$A$10:$U$32,MATCH(F$13,PoolData!$A$10:$U$10,0),0)</f>
        <v>0</v>
      </c>
      <c r="H51" s="46" t="n">
        <f aca="false">VLOOKUP($A51,PoolData!$A$10:$U$32,MATCH(H$13,PoolData!$A$10:$U$10,0),0)</f>
        <v>0</v>
      </c>
      <c r="J51" s="18" t="n">
        <f aca="false">VLOOKUP($A51,PoolData!$A$10:$U$32,MATCH(J$13,PoolData!$A$10:$U$10,0),0)</f>
        <v>0</v>
      </c>
    </row>
    <row r="52" customFormat="false" ht="15" hidden="false" customHeight="false" outlineLevel="0" collapsed="false">
      <c r="A52" s="1" t="str">
        <f aca="false">PoolData!A49</f>
        <v>-</v>
      </c>
      <c r="B52" s="1" t="n">
        <f aca="false">PoolData!C49</f>
        <v>0</v>
      </c>
      <c r="C52" s="1" t="n">
        <f aca="false">PoolData!D49</f>
        <v>0</v>
      </c>
      <c r="D52" s="27"/>
      <c r="E52" s="16" t="n">
        <f aca="false">VLOOKUP($A52,PoolData!$A$10:$U$32,MATCH(E$13,PoolData!$A$10:$U$10,0),0)</f>
        <v>0</v>
      </c>
      <c r="F52" s="16" t="n">
        <f aca="false">VLOOKUP($A52,PoolData!$A$10:$U$32,MATCH(F$13,PoolData!$A$10:$U$10,0),0)</f>
        <v>0</v>
      </c>
      <c r="H52" s="46" t="n">
        <f aca="false">VLOOKUP($A52,PoolData!$A$10:$U$32,MATCH(H$13,PoolData!$A$10:$U$10,0),0)</f>
        <v>0</v>
      </c>
      <c r="J52" s="18" t="n">
        <f aca="false">VLOOKUP($A52,PoolData!$A$10:$U$32,MATCH(J$13,PoolData!$A$10:$U$10,0),0)</f>
        <v>0</v>
      </c>
    </row>
    <row r="53" customFormat="false" ht="15" hidden="false" customHeight="false" outlineLevel="0" collapsed="false">
      <c r="A53" s="1" t="str">
        <f aca="false">PoolData!A50</f>
        <v>-</v>
      </c>
      <c r="B53" s="1" t="n">
        <f aca="false">PoolData!C50</f>
        <v>0</v>
      </c>
      <c r="C53" s="1" t="n">
        <f aca="false">PoolData!D50</f>
        <v>0</v>
      </c>
      <c r="D53" s="27"/>
      <c r="E53" s="16" t="n">
        <f aca="false">VLOOKUP($A53,PoolData!$A$10:$U$32,MATCH(E$13,PoolData!$A$10:$U$10,0),0)</f>
        <v>0</v>
      </c>
      <c r="F53" s="16" t="n">
        <f aca="false">VLOOKUP($A53,PoolData!$A$10:$U$32,MATCH(F$13,PoolData!$A$10:$U$10,0),0)</f>
        <v>0</v>
      </c>
      <c r="H53" s="46" t="n">
        <f aca="false">VLOOKUP($A53,PoolData!$A$10:$U$32,MATCH(H$13,PoolData!$A$10:$U$10,0),0)</f>
        <v>0</v>
      </c>
      <c r="J53" s="18" t="n">
        <f aca="false">VLOOKUP($A53,PoolData!$A$10:$U$32,MATCH(J$13,PoolData!$A$10:$U$10,0),0)</f>
        <v>0</v>
      </c>
    </row>
    <row r="54" customFormat="false" ht="15" hidden="false" customHeight="false" outlineLevel="0" collapsed="false">
      <c r="A54" s="1" t="str">
        <f aca="false">PoolData!A51</f>
        <v>-</v>
      </c>
      <c r="B54" s="1" t="n">
        <f aca="false">PoolData!C51</f>
        <v>0</v>
      </c>
      <c r="C54" s="1" t="n">
        <f aca="false">PoolData!D51</f>
        <v>0</v>
      </c>
      <c r="D54" s="27"/>
      <c r="E54" s="16" t="n">
        <f aca="false">VLOOKUP($A54,PoolData!$A$10:$U$32,MATCH(E$13,PoolData!$A$10:$U$10,0),0)</f>
        <v>0</v>
      </c>
      <c r="F54" s="16" t="n">
        <f aca="false">VLOOKUP($A54,PoolData!$A$10:$U$32,MATCH(F$13,PoolData!$A$10:$U$10,0),0)</f>
        <v>0</v>
      </c>
      <c r="H54" s="46" t="n">
        <f aca="false">VLOOKUP($A54,PoolData!$A$10:$U$32,MATCH(H$13,PoolData!$A$10:$U$10,0),0)</f>
        <v>0</v>
      </c>
      <c r="J54" s="18" t="n">
        <f aca="false">VLOOKUP($A54,PoolData!$A$10:$U$32,MATCH(J$13,PoolData!$A$10:$U$10,0),0)</f>
        <v>0</v>
      </c>
    </row>
    <row r="55" customFormat="false" ht="15" hidden="false" customHeight="false" outlineLevel="0" collapsed="false">
      <c r="A55" s="1" t="str">
        <f aca="false">PoolData!A52</f>
        <v>-</v>
      </c>
      <c r="B55" s="1" t="n">
        <f aca="false">PoolData!C52</f>
        <v>0</v>
      </c>
      <c r="C55" s="1" t="n">
        <f aca="false">PoolData!D52</f>
        <v>0</v>
      </c>
      <c r="D55" s="27"/>
      <c r="E55" s="16" t="n">
        <f aca="false">VLOOKUP($A55,PoolData!$A$10:$U$32,MATCH(E$13,PoolData!$A$10:$U$10,0),0)</f>
        <v>0</v>
      </c>
      <c r="F55" s="16" t="n">
        <f aca="false">VLOOKUP($A55,PoolData!$A$10:$U$32,MATCH(F$13,PoolData!$A$10:$U$10,0),0)</f>
        <v>0</v>
      </c>
      <c r="H55" s="46" t="n">
        <f aca="false">VLOOKUP($A55,PoolData!$A$10:$U$32,MATCH(H$13,PoolData!$A$10:$U$10,0),0)</f>
        <v>0</v>
      </c>
      <c r="J55" s="18" t="n">
        <f aca="false">VLOOKUP($A55,PoolData!$A$10:$U$32,MATCH(J$13,PoolData!$A$10:$U$10,0),0)</f>
        <v>0</v>
      </c>
    </row>
    <row r="56" customFormat="false" ht="15" hidden="false" customHeight="false" outlineLevel="0" collapsed="false">
      <c r="A56" s="1" t="str">
        <f aca="false">PoolData!A53</f>
        <v>-</v>
      </c>
      <c r="B56" s="1" t="n">
        <f aca="false">PoolData!C53</f>
        <v>0</v>
      </c>
      <c r="C56" s="1" t="n">
        <f aca="false">PoolData!D53</f>
        <v>0</v>
      </c>
      <c r="D56" s="27"/>
      <c r="E56" s="16" t="n">
        <f aca="false">VLOOKUP($A56,PoolData!$A$10:$U$32,MATCH(E$13,PoolData!$A$10:$U$10,0),0)</f>
        <v>0</v>
      </c>
      <c r="F56" s="16" t="n">
        <f aca="false">VLOOKUP($A56,PoolData!$A$10:$U$32,MATCH(F$13,PoolData!$A$10:$U$10,0),0)</f>
        <v>0</v>
      </c>
      <c r="H56" s="46" t="n">
        <f aca="false">VLOOKUP($A56,PoolData!$A$10:$U$32,MATCH(H$13,PoolData!$A$10:$U$10,0),0)</f>
        <v>0</v>
      </c>
      <c r="J56" s="18" t="n">
        <f aca="false">VLOOKUP($A56,PoolData!$A$10:$U$32,MATCH(J$13,PoolData!$A$10:$U$10,0),0)</f>
        <v>0</v>
      </c>
    </row>
    <row r="57" customFormat="false" ht="15" hidden="false" customHeight="false" outlineLevel="0" collapsed="false">
      <c r="A57" s="1" t="str">
        <f aca="false">PoolData!A54</f>
        <v>-</v>
      </c>
      <c r="B57" s="1" t="n">
        <f aca="false">PoolData!C54</f>
        <v>0</v>
      </c>
      <c r="C57" s="1" t="n">
        <f aca="false">PoolData!D54</f>
        <v>0</v>
      </c>
      <c r="D57" s="27"/>
      <c r="E57" s="16" t="n">
        <f aca="false">VLOOKUP($A57,PoolData!$A$10:$U$32,MATCH(E$13,PoolData!$A$10:$U$10,0),0)</f>
        <v>0</v>
      </c>
      <c r="F57" s="16" t="n">
        <f aca="false">VLOOKUP($A57,PoolData!$A$10:$U$32,MATCH(F$13,PoolData!$A$10:$U$10,0),0)</f>
        <v>0</v>
      </c>
      <c r="H57" s="46" t="n">
        <f aca="false">VLOOKUP($A57,PoolData!$A$10:$U$32,MATCH(H$13,PoolData!$A$10:$U$10,0),0)</f>
        <v>0</v>
      </c>
      <c r="J57" s="18" t="n">
        <f aca="false">VLOOKUP($A57,PoolData!$A$10:$U$32,MATCH(J$13,PoolData!$A$10:$U$10,0),0)</f>
        <v>0</v>
      </c>
    </row>
    <row r="58" customFormat="false" ht="15" hidden="false" customHeight="false" outlineLevel="0" collapsed="false">
      <c r="A58" s="1" t="str">
        <f aca="false">PoolData!A55</f>
        <v>-</v>
      </c>
      <c r="B58" s="1" t="n">
        <f aca="false">PoolData!C55</f>
        <v>0</v>
      </c>
      <c r="C58" s="1" t="n">
        <f aca="false">PoolData!D55</f>
        <v>0</v>
      </c>
      <c r="D58" s="27"/>
      <c r="E58" s="16" t="n">
        <f aca="false">VLOOKUP($A58,PoolData!$A$10:$U$32,MATCH(E$13,PoolData!$A$10:$U$10,0),0)</f>
        <v>0</v>
      </c>
      <c r="F58" s="16" t="n">
        <f aca="false">VLOOKUP($A58,PoolData!$A$10:$U$32,MATCH(F$13,PoolData!$A$10:$U$10,0),0)</f>
        <v>0</v>
      </c>
      <c r="H58" s="46" t="n">
        <f aca="false">VLOOKUP($A58,PoolData!$A$10:$U$32,MATCH(H$13,PoolData!$A$10:$U$10,0),0)</f>
        <v>0</v>
      </c>
      <c r="J58" s="18" t="n">
        <f aca="false">VLOOKUP($A58,PoolData!$A$10:$U$32,MATCH(J$13,PoolData!$A$10:$U$10,0),0)</f>
        <v>0</v>
      </c>
    </row>
    <row r="59" customFormat="false" ht="15" hidden="false" customHeight="false" outlineLevel="0" collapsed="false">
      <c r="A59" s="1" t="str">
        <f aca="false">PoolData!A56</f>
        <v>-</v>
      </c>
      <c r="B59" s="1" t="n">
        <f aca="false">PoolData!C56</f>
        <v>0</v>
      </c>
      <c r="C59" s="1" t="n">
        <f aca="false">PoolData!D56</f>
        <v>0</v>
      </c>
      <c r="D59" s="27"/>
      <c r="E59" s="16" t="n">
        <f aca="false">VLOOKUP($A59,PoolData!$A$10:$U$32,MATCH(E$13,PoolData!$A$10:$U$10,0),0)</f>
        <v>0</v>
      </c>
      <c r="F59" s="16" t="n">
        <f aca="false">VLOOKUP($A59,PoolData!$A$10:$U$32,MATCH(F$13,PoolData!$A$10:$U$10,0),0)</f>
        <v>0</v>
      </c>
      <c r="H59" s="46" t="n">
        <f aca="false">VLOOKUP($A59,PoolData!$A$10:$U$32,MATCH(H$13,PoolData!$A$10:$U$10,0),0)</f>
        <v>0</v>
      </c>
      <c r="J59" s="18" t="n">
        <f aca="false">VLOOKUP($A59,PoolData!$A$10:$U$32,MATCH(J$13,PoolData!$A$10:$U$10,0),0)</f>
        <v>0</v>
      </c>
    </row>
    <row r="60" customFormat="false" ht="15" hidden="false" customHeight="false" outlineLevel="0" collapsed="false">
      <c r="A60" s="1" t="str">
        <f aca="false">PoolData!A57</f>
        <v>-</v>
      </c>
      <c r="B60" s="1" t="n">
        <f aca="false">PoolData!C57</f>
        <v>0</v>
      </c>
      <c r="C60" s="1" t="n">
        <f aca="false">PoolData!D57</f>
        <v>0</v>
      </c>
      <c r="D60" s="27"/>
      <c r="E60" s="16" t="n">
        <f aca="false">VLOOKUP($A60,PoolData!$A$10:$U$32,MATCH(E$13,PoolData!$A$10:$U$10,0),0)</f>
        <v>0</v>
      </c>
      <c r="F60" s="16" t="n">
        <f aca="false">VLOOKUP($A60,PoolData!$A$10:$U$32,MATCH(F$13,PoolData!$A$10:$U$10,0),0)</f>
        <v>0</v>
      </c>
      <c r="H60" s="46" t="n">
        <f aca="false">VLOOKUP($A60,PoolData!$A$10:$U$32,MATCH(H$13,PoolData!$A$10:$U$10,0),0)</f>
        <v>0</v>
      </c>
      <c r="J60" s="18" t="n">
        <f aca="false">VLOOKUP($A60,PoolData!$A$10:$U$32,MATCH(J$13,PoolData!$A$10:$U$10,0),0)</f>
        <v>0</v>
      </c>
    </row>
    <row r="61" customFormat="false" ht="15" hidden="false" customHeight="false" outlineLevel="0" collapsed="false">
      <c r="A61" s="1" t="str">
        <f aca="false">PoolData!A58</f>
        <v>-</v>
      </c>
      <c r="B61" s="1" t="n">
        <f aca="false">PoolData!C58</f>
        <v>0</v>
      </c>
      <c r="C61" s="1" t="n">
        <f aca="false">PoolData!D58</f>
        <v>0</v>
      </c>
      <c r="D61" s="27"/>
      <c r="E61" s="16" t="n">
        <f aca="false">VLOOKUP($A61,PoolData!$A$10:$U$32,MATCH(E$13,PoolData!$A$10:$U$10,0),0)</f>
        <v>0</v>
      </c>
      <c r="F61" s="16" t="n">
        <f aca="false">VLOOKUP($A61,PoolData!$A$10:$U$32,MATCH(F$13,PoolData!$A$10:$U$10,0),0)</f>
        <v>0</v>
      </c>
      <c r="H61" s="46" t="n">
        <f aca="false">VLOOKUP($A61,PoolData!$A$10:$U$32,MATCH(H$13,PoolData!$A$10:$U$10,0),0)</f>
        <v>0</v>
      </c>
      <c r="J61" s="18" t="n">
        <f aca="false">VLOOKUP($A61,PoolData!$A$10:$U$32,MATCH(J$13,PoolData!$A$10:$U$10,0),0)</f>
        <v>0</v>
      </c>
    </row>
    <row r="62" customFormat="false" ht="15" hidden="false" customHeight="false" outlineLevel="0" collapsed="false">
      <c r="A62" s="1" t="str">
        <f aca="false">PoolData!A59</f>
        <v>-</v>
      </c>
      <c r="B62" s="1" t="n">
        <f aca="false">PoolData!C59</f>
        <v>0</v>
      </c>
      <c r="C62" s="1" t="n">
        <f aca="false">PoolData!D59</f>
        <v>0</v>
      </c>
      <c r="D62" s="27"/>
      <c r="E62" s="16" t="n">
        <f aca="false">VLOOKUP($A62,PoolData!$A$10:$U$32,MATCH(E$13,PoolData!$A$10:$U$10,0),0)</f>
        <v>0</v>
      </c>
      <c r="F62" s="16" t="n">
        <f aca="false">VLOOKUP($A62,PoolData!$A$10:$U$32,MATCH(F$13,PoolData!$A$10:$U$10,0),0)</f>
        <v>0</v>
      </c>
      <c r="H62" s="46" t="n">
        <f aca="false">VLOOKUP($A62,PoolData!$A$10:$U$32,MATCH(H$13,PoolData!$A$10:$U$10,0),0)</f>
        <v>0</v>
      </c>
      <c r="J62" s="18" t="n">
        <f aca="false">VLOOKUP($A62,PoolData!$A$10:$U$32,MATCH(J$13,PoolData!$A$10:$U$10,0),0)</f>
        <v>0</v>
      </c>
    </row>
    <row r="63" customFormat="false" ht="15" hidden="false" customHeight="false" outlineLevel="0" collapsed="false">
      <c r="A63" s="1" t="str">
        <f aca="false">PoolData!A60</f>
        <v>-</v>
      </c>
      <c r="B63" s="1" t="n">
        <f aca="false">PoolData!C60</f>
        <v>0</v>
      </c>
      <c r="C63" s="1" t="n">
        <f aca="false">PoolData!D60</f>
        <v>0</v>
      </c>
      <c r="D63" s="27"/>
      <c r="E63" s="16" t="n">
        <f aca="false">VLOOKUP($A63,PoolData!$A$10:$U$32,MATCH(E$13,PoolData!$A$10:$U$10,0),0)</f>
        <v>0</v>
      </c>
      <c r="F63" s="16" t="n">
        <f aca="false">VLOOKUP($A63,PoolData!$A$10:$U$32,MATCH(F$13,PoolData!$A$10:$U$10,0),0)</f>
        <v>0</v>
      </c>
      <c r="H63" s="46" t="n">
        <f aca="false">VLOOKUP($A63,PoolData!$A$10:$U$32,MATCH(H$13,PoolData!$A$10:$U$10,0),0)</f>
        <v>0</v>
      </c>
      <c r="J63" s="18" t="n">
        <f aca="false">VLOOKUP($A63,PoolData!$A$10:$U$32,MATCH(J$13,PoolData!$A$10:$U$10,0),0)</f>
        <v>0</v>
      </c>
    </row>
    <row r="64" customFormat="false" ht="15" hidden="false" customHeight="false" outlineLevel="0" collapsed="false">
      <c r="A64" s="1" t="str">
        <f aca="false">PoolData!A61</f>
        <v>-</v>
      </c>
      <c r="B64" s="1" t="n">
        <f aca="false">PoolData!C61</f>
        <v>0</v>
      </c>
      <c r="C64" s="1" t="n">
        <f aca="false">PoolData!D61</f>
        <v>0</v>
      </c>
      <c r="D64" s="27"/>
      <c r="E64" s="16" t="n">
        <f aca="false">VLOOKUP($A64,PoolData!$A$10:$U$32,MATCH(E$13,PoolData!$A$10:$U$10,0),0)</f>
        <v>0</v>
      </c>
      <c r="F64" s="16" t="n">
        <f aca="false">VLOOKUP($A64,PoolData!$A$10:$U$32,MATCH(F$13,PoolData!$A$10:$U$10,0),0)</f>
        <v>0</v>
      </c>
      <c r="H64" s="46" t="n">
        <f aca="false">VLOOKUP($A64,PoolData!$A$10:$U$32,MATCH(H$13,PoolData!$A$10:$U$10,0),0)</f>
        <v>0</v>
      </c>
      <c r="J64" s="18" t="n">
        <f aca="false">VLOOKUP($A64,PoolData!$A$10:$U$32,MATCH(J$13,PoolData!$A$10:$U$10,0),0)</f>
        <v>0</v>
      </c>
    </row>
    <row r="65" customFormat="false" ht="15" hidden="false" customHeight="false" outlineLevel="0" collapsed="false">
      <c r="A65" s="1" t="str">
        <f aca="false">PoolData!A62</f>
        <v>-</v>
      </c>
      <c r="B65" s="1" t="n">
        <f aca="false">PoolData!C62</f>
        <v>0</v>
      </c>
      <c r="C65" s="1" t="n">
        <f aca="false">PoolData!D62</f>
        <v>0</v>
      </c>
      <c r="D65" s="27"/>
      <c r="E65" s="16" t="n">
        <f aca="false">VLOOKUP($A65,PoolData!$A$10:$U$32,MATCH(E$13,PoolData!$A$10:$U$10,0),0)</f>
        <v>0</v>
      </c>
      <c r="F65" s="16" t="n">
        <f aca="false">VLOOKUP($A65,PoolData!$A$10:$U$32,MATCH(F$13,PoolData!$A$10:$U$10,0),0)</f>
        <v>0</v>
      </c>
      <c r="H65" s="46" t="n">
        <f aca="false">VLOOKUP($A65,PoolData!$A$10:$U$32,MATCH(H$13,PoolData!$A$10:$U$10,0),0)</f>
        <v>0</v>
      </c>
      <c r="J65" s="18" t="n">
        <f aca="false">VLOOKUP($A65,PoolData!$A$10:$U$32,MATCH(J$13,PoolData!$A$10:$U$10,0),0)</f>
        <v>0</v>
      </c>
    </row>
    <row r="66" customFormat="false" ht="15" hidden="false" customHeight="false" outlineLevel="0" collapsed="false">
      <c r="A66" s="1" t="str">
        <f aca="false">PoolData!A63</f>
        <v>-</v>
      </c>
      <c r="B66" s="1" t="n">
        <f aca="false">PoolData!C63</f>
        <v>0</v>
      </c>
      <c r="C66" s="1" t="n">
        <f aca="false">PoolData!D63</f>
        <v>0</v>
      </c>
      <c r="D66" s="27"/>
      <c r="E66" s="16" t="n">
        <f aca="false">VLOOKUP($A66,PoolData!$A$10:$U$32,MATCH(E$13,PoolData!$A$10:$U$10,0),0)</f>
        <v>0</v>
      </c>
      <c r="F66" s="16" t="n">
        <f aca="false">VLOOKUP($A66,PoolData!$A$10:$U$32,MATCH(F$13,PoolData!$A$10:$U$10,0),0)</f>
        <v>0</v>
      </c>
      <c r="H66" s="46" t="n">
        <f aca="false">VLOOKUP($A66,PoolData!$A$10:$U$32,MATCH(H$13,PoolData!$A$10:$U$10,0),0)</f>
        <v>0</v>
      </c>
      <c r="J66" s="18" t="n">
        <f aca="false">VLOOKUP($A66,PoolData!$A$10:$U$32,MATCH(J$13,PoolData!$A$10:$U$10,0),0)</f>
        <v>0</v>
      </c>
    </row>
    <row r="67" customFormat="false" ht="15" hidden="false" customHeight="false" outlineLevel="0" collapsed="false">
      <c r="A67" s="1" t="str">
        <f aca="false">PoolData!A64</f>
        <v>-</v>
      </c>
      <c r="B67" s="1" t="n">
        <f aca="false">PoolData!C64</f>
        <v>0</v>
      </c>
      <c r="C67" s="1" t="n">
        <f aca="false">PoolData!D64</f>
        <v>0</v>
      </c>
      <c r="D67" s="27"/>
      <c r="E67" s="16" t="n">
        <f aca="false">VLOOKUP($A67,PoolData!$A$10:$U$32,MATCH(E$13,PoolData!$A$10:$U$10,0),0)</f>
        <v>0</v>
      </c>
      <c r="F67" s="16" t="n">
        <f aca="false">VLOOKUP($A67,PoolData!$A$10:$U$32,MATCH(F$13,PoolData!$A$10:$U$10,0),0)</f>
        <v>0</v>
      </c>
      <c r="H67" s="46" t="n">
        <f aca="false">VLOOKUP($A67,PoolData!$A$10:$U$32,MATCH(H$13,PoolData!$A$10:$U$10,0),0)</f>
        <v>0</v>
      </c>
      <c r="J67" s="18" t="n">
        <f aca="false">VLOOKUP($A67,PoolData!$A$10:$U$32,MATCH(J$13,PoolData!$A$10:$U$10,0),0)</f>
        <v>0</v>
      </c>
    </row>
    <row r="68" customFormat="false" ht="15" hidden="false" customHeight="false" outlineLevel="0" collapsed="false">
      <c r="A68" s="1" t="str">
        <f aca="false">PoolData!A65</f>
        <v>-</v>
      </c>
      <c r="B68" s="1" t="n">
        <f aca="false">PoolData!C65</f>
        <v>0</v>
      </c>
      <c r="C68" s="1" t="n">
        <f aca="false">PoolData!D65</f>
        <v>0</v>
      </c>
      <c r="D68" s="27"/>
      <c r="E68" s="16" t="n">
        <f aca="false">VLOOKUP($A68,PoolData!$A$10:$U$32,MATCH(E$13,PoolData!$A$10:$U$10,0),0)</f>
        <v>0</v>
      </c>
      <c r="F68" s="16" t="n">
        <f aca="false">VLOOKUP($A68,PoolData!$A$10:$U$32,MATCH(F$13,PoolData!$A$10:$U$10,0),0)</f>
        <v>0</v>
      </c>
      <c r="H68" s="46" t="n">
        <f aca="false">VLOOKUP($A68,PoolData!$A$10:$U$32,MATCH(H$13,PoolData!$A$10:$U$10,0),0)</f>
        <v>0</v>
      </c>
      <c r="J68" s="18" t="n">
        <f aca="false">VLOOKUP($A68,PoolData!$A$10:$U$32,MATCH(J$13,PoolData!$A$10:$U$10,0),0)</f>
        <v>0</v>
      </c>
    </row>
    <row r="69" customFormat="false" ht="15" hidden="false" customHeight="false" outlineLevel="0" collapsed="false">
      <c r="A69" s="1" t="str">
        <f aca="false">PoolData!A66</f>
        <v>-</v>
      </c>
      <c r="B69" s="1" t="n">
        <f aca="false">PoolData!C66</f>
        <v>0</v>
      </c>
      <c r="C69" s="1" t="n">
        <f aca="false">PoolData!D66</f>
        <v>0</v>
      </c>
      <c r="D69" s="27"/>
      <c r="E69" s="16" t="n">
        <f aca="false">VLOOKUP($A69,PoolData!$A$10:$U$32,MATCH(E$13,PoolData!$A$10:$U$10,0),0)</f>
        <v>0</v>
      </c>
      <c r="F69" s="16" t="n">
        <f aca="false">VLOOKUP($A69,PoolData!$A$10:$U$32,MATCH(F$13,PoolData!$A$10:$U$10,0),0)</f>
        <v>0</v>
      </c>
      <c r="H69" s="46" t="n">
        <f aca="false">VLOOKUP($A69,PoolData!$A$10:$U$32,MATCH(H$13,PoolData!$A$10:$U$10,0),0)</f>
        <v>0</v>
      </c>
      <c r="J69" s="18" t="n">
        <f aca="false">VLOOKUP($A69,PoolData!$A$10:$U$32,MATCH(J$13,PoolData!$A$10:$U$10,0),0)</f>
        <v>0</v>
      </c>
    </row>
    <row r="70" customFormat="false" ht="15" hidden="false" customHeight="false" outlineLevel="0" collapsed="false">
      <c r="A70" s="1" t="str">
        <f aca="false">PoolData!A67</f>
        <v>-</v>
      </c>
      <c r="B70" s="1" t="n">
        <f aca="false">PoolData!C67</f>
        <v>0</v>
      </c>
      <c r="C70" s="1" t="n">
        <f aca="false">PoolData!D67</f>
        <v>0</v>
      </c>
      <c r="D70" s="27"/>
      <c r="E70" s="16" t="n">
        <f aca="false">VLOOKUP($A70,PoolData!$A$10:$U$32,MATCH(E$13,PoolData!$A$10:$U$10,0),0)</f>
        <v>0</v>
      </c>
      <c r="F70" s="16" t="n">
        <f aca="false">VLOOKUP($A70,PoolData!$A$10:$U$32,MATCH(F$13,PoolData!$A$10:$U$10,0),0)</f>
        <v>0</v>
      </c>
      <c r="H70" s="46" t="n">
        <f aca="false">VLOOKUP($A70,PoolData!$A$10:$U$32,MATCH(H$13,PoolData!$A$10:$U$10,0),0)</f>
        <v>0</v>
      </c>
      <c r="J70" s="18" t="n">
        <f aca="false">VLOOKUP($A70,PoolData!$A$10:$U$32,MATCH(J$13,PoolData!$A$10:$U$10,0),0)</f>
        <v>0</v>
      </c>
    </row>
    <row r="71" customFormat="false" ht="15" hidden="false" customHeight="false" outlineLevel="0" collapsed="false">
      <c r="A71" s="1" t="str">
        <f aca="false">PoolData!A68</f>
        <v>-</v>
      </c>
      <c r="B71" s="1" t="n">
        <f aca="false">PoolData!C68</f>
        <v>0</v>
      </c>
      <c r="C71" s="1" t="n">
        <f aca="false">PoolData!D68</f>
        <v>0</v>
      </c>
      <c r="D71" s="27"/>
      <c r="E71" s="16" t="n">
        <f aca="false">VLOOKUP($A71,PoolData!$A$10:$U$32,MATCH(E$13,PoolData!$A$10:$U$10,0),0)</f>
        <v>0</v>
      </c>
      <c r="F71" s="16" t="n">
        <f aca="false">VLOOKUP($A71,PoolData!$A$10:$U$32,MATCH(F$13,PoolData!$A$10:$U$10,0),0)</f>
        <v>0</v>
      </c>
      <c r="H71" s="46" t="n">
        <f aca="false">VLOOKUP($A71,PoolData!$A$10:$U$32,MATCH(H$13,PoolData!$A$10:$U$10,0),0)</f>
        <v>0</v>
      </c>
      <c r="J71" s="18" t="n">
        <f aca="false">VLOOKUP($A71,PoolData!$A$10:$U$32,MATCH(J$13,PoolData!$A$10:$U$10,0),0)</f>
        <v>0</v>
      </c>
    </row>
    <row r="72" customFormat="false" ht="15" hidden="false" customHeight="false" outlineLevel="0" collapsed="false">
      <c r="A72" s="1" t="str">
        <f aca="false">PoolData!A69</f>
        <v>-</v>
      </c>
      <c r="B72" s="1" t="n">
        <f aca="false">PoolData!C69</f>
        <v>0</v>
      </c>
      <c r="C72" s="1" t="n">
        <f aca="false">PoolData!D69</f>
        <v>0</v>
      </c>
      <c r="D72" s="27"/>
      <c r="E72" s="16" t="n">
        <f aca="false">VLOOKUP($A72,PoolData!$A$10:$U$32,MATCH(E$13,PoolData!$A$10:$U$10,0),0)</f>
        <v>0</v>
      </c>
      <c r="F72" s="16" t="n">
        <f aca="false">VLOOKUP($A72,PoolData!$A$10:$U$32,MATCH(F$13,PoolData!$A$10:$U$10,0),0)</f>
        <v>0</v>
      </c>
      <c r="H72" s="46" t="n">
        <f aca="false">VLOOKUP($A72,PoolData!$A$10:$U$32,MATCH(H$13,PoolData!$A$10:$U$10,0),0)</f>
        <v>0</v>
      </c>
      <c r="J72" s="18" t="n">
        <f aca="false">VLOOKUP($A72,PoolData!$A$10:$U$32,MATCH(J$13,PoolData!$A$10:$U$10,0),0)</f>
        <v>0</v>
      </c>
    </row>
    <row r="73" customFormat="false" ht="15" hidden="false" customHeight="false" outlineLevel="0" collapsed="false">
      <c r="A73" s="1" t="str">
        <f aca="false">PoolData!A70</f>
        <v>-</v>
      </c>
      <c r="B73" s="1" t="n">
        <f aca="false">PoolData!C70</f>
        <v>0</v>
      </c>
      <c r="C73" s="1" t="n">
        <f aca="false">PoolData!D70</f>
        <v>0</v>
      </c>
      <c r="D73" s="27"/>
      <c r="E73" s="16" t="n">
        <f aca="false">VLOOKUP($A73,PoolData!$A$10:$U$32,MATCH(E$13,PoolData!$A$10:$U$10,0),0)</f>
        <v>0</v>
      </c>
      <c r="F73" s="16" t="n">
        <f aca="false">VLOOKUP($A73,PoolData!$A$10:$U$32,MATCH(F$13,PoolData!$A$10:$U$10,0),0)</f>
        <v>0</v>
      </c>
      <c r="H73" s="46" t="n">
        <f aca="false">VLOOKUP($A73,PoolData!$A$10:$U$32,MATCH(H$13,PoolData!$A$10:$U$10,0),0)</f>
        <v>0</v>
      </c>
      <c r="J73" s="18" t="n">
        <f aca="false">VLOOKUP($A73,PoolData!$A$10:$U$32,MATCH(J$13,PoolData!$A$10:$U$10,0),0)</f>
        <v>0</v>
      </c>
    </row>
    <row r="74" customFormat="false" ht="15" hidden="false" customHeight="false" outlineLevel="0" collapsed="false">
      <c r="A74" s="1" t="str">
        <f aca="false">PoolData!A71</f>
        <v>-</v>
      </c>
      <c r="B74" s="1" t="n">
        <f aca="false">PoolData!C71</f>
        <v>0</v>
      </c>
      <c r="C74" s="1" t="n">
        <f aca="false">PoolData!D71</f>
        <v>0</v>
      </c>
      <c r="D74" s="27"/>
      <c r="E74" s="16" t="n">
        <f aca="false">VLOOKUP($A74,PoolData!$A$10:$U$32,MATCH(E$13,PoolData!$A$10:$U$10,0),0)</f>
        <v>0</v>
      </c>
      <c r="F74" s="16" t="n">
        <f aca="false">VLOOKUP($A74,PoolData!$A$10:$U$32,MATCH(F$13,PoolData!$A$10:$U$10,0),0)</f>
        <v>0</v>
      </c>
      <c r="H74" s="46" t="n">
        <f aca="false">VLOOKUP($A74,PoolData!$A$10:$U$32,MATCH(H$13,PoolData!$A$10:$U$10,0),0)</f>
        <v>0</v>
      </c>
      <c r="J74" s="18" t="n">
        <f aca="false">VLOOKUP($A74,PoolData!$A$10:$U$32,MATCH(J$13,PoolData!$A$10:$U$10,0),0)</f>
        <v>0</v>
      </c>
    </row>
    <row r="75" customFormat="false" ht="15" hidden="false" customHeight="false" outlineLevel="0" collapsed="false">
      <c r="A75" s="1" t="str">
        <f aca="false">PoolData!A72</f>
        <v>-</v>
      </c>
      <c r="B75" s="1" t="n">
        <f aca="false">PoolData!C72</f>
        <v>0</v>
      </c>
      <c r="C75" s="1" t="n">
        <f aca="false">PoolData!D72</f>
        <v>0</v>
      </c>
      <c r="D75" s="27"/>
      <c r="E75" s="16" t="n">
        <f aca="false">VLOOKUP($A75,PoolData!$A$10:$U$32,MATCH(E$13,PoolData!$A$10:$U$10,0),0)</f>
        <v>0</v>
      </c>
      <c r="F75" s="16" t="n">
        <f aca="false">VLOOKUP($A75,PoolData!$A$10:$U$32,MATCH(F$13,PoolData!$A$10:$U$10,0),0)</f>
        <v>0</v>
      </c>
      <c r="H75" s="46" t="n">
        <f aca="false">VLOOKUP($A75,PoolData!$A$10:$U$32,MATCH(H$13,PoolData!$A$10:$U$10,0),0)</f>
        <v>0</v>
      </c>
      <c r="J75" s="18" t="n">
        <f aca="false">VLOOKUP($A75,PoolData!$A$10:$U$32,MATCH(J$13,PoolData!$A$10:$U$10,0),0)</f>
        <v>0</v>
      </c>
    </row>
    <row r="76" customFormat="false" ht="15" hidden="false" customHeight="false" outlineLevel="0" collapsed="false">
      <c r="A76" s="1" t="str">
        <f aca="false">PoolData!A73</f>
        <v>-</v>
      </c>
      <c r="B76" s="1" t="n">
        <f aca="false">PoolData!C73</f>
        <v>0</v>
      </c>
      <c r="C76" s="1" t="n">
        <f aca="false">PoolData!D73</f>
        <v>0</v>
      </c>
      <c r="D76" s="27"/>
      <c r="E76" s="16" t="n">
        <f aca="false">VLOOKUP($A76,PoolData!$A$10:$U$32,MATCH(E$13,PoolData!$A$10:$U$10,0),0)</f>
        <v>0</v>
      </c>
      <c r="F76" s="16" t="n">
        <f aca="false">VLOOKUP($A76,PoolData!$A$10:$U$32,MATCH(F$13,PoolData!$A$10:$U$10,0),0)</f>
        <v>0</v>
      </c>
      <c r="H76" s="46" t="n">
        <f aca="false">VLOOKUP($A76,PoolData!$A$10:$U$32,MATCH(H$13,PoolData!$A$10:$U$10,0),0)</f>
        <v>0</v>
      </c>
      <c r="J76" s="18" t="n">
        <f aca="false">VLOOKUP($A76,PoolData!$A$10:$U$32,MATCH(J$13,PoolData!$A$10:$U$10,0),0)</f>
        <v>0</v>
      </c>
    </row>
    <row r="77" customFormat="false" ht="15" hidden="false" customHeight="false" outlineLevel="0" collapsed="false">
      <c r="A77" s="1" t="str">
        <f aca="false">PoolData!A74</f>
        <v>-</v>
      </c>
      <c r="B77" s="1" t="n">
        <f aca="false">PoolData!C74</f>
        <v>0</v>
      </c>
      <c r="C77" s="1" t="n">
        <f aca="false">PoolData!D74</f>
        <v>0</v>
      </c>
      <c r="D77" s="27"/>
      <c r="E77" s="16" t="n">
        <f aca="false">VLOOKUP($A77,PoolData!$A$10:$U$32,MATCH(E$13,PoolData!$A$10:$U$10,0),0)</f>
        <v>0</v>
      </c>
      <c r="F77" s="16" t="n">
        <f aca="false">VLOOKUP($A77,PoolData!$A$10:$U$32,MATCH(F$13,PoolData!$A$10:$U$10,0),0)</f>
        <v>0</v>
      </c>
      <c r="H77" s="46" t="n">
        <f aca="false">VLOOKUP($A77,PoolData!$A$10:$U$32,MATCH(H$13,PoolData!$A$10:$U$10,0),0)</f>
        <v>0</v>
      </c>
      <c r="J77" s="18" t="n">
        <f aca="false">VLOOKUP($A77,PoolData!$A$10:$U$32,MATCH(J$13,PoolData!$A$10:$U$10,0),0)</f>
        <v>0</v>
      </c>
    </row>
    <row r="78" customFormat="false" ht="15" hidden="false" customHeight="false" outlineLevel="0" collapsed="false">
      <c r="A78" s="1" t="str">
        <f aca="false">PoolData!A75</f>
        <v>-</v>
      </c>
      <c r="B78" s="1" t="n">
        <f aca="false">PoolData!C75</f>
        <v>0</v>
      </c>
      <c r="C78" s="1" t="n">
        <f aca="false">PoolData!D75</f>
        <v>0</v>
      </c>
      <c r="D78" s="27"/>
      <c r="E78" s="16" t="n">
        <f aca="false">VLOOKUP($A78,PoolData!$A$10:$U$32,MATCH(E$13,PoolData!$A$10:$U$10,0),0)</f>
        <v>0</v>
      </c>
      <c r="F78" s="16" t="n">
        <f aca="false">VLOOKUP($A78,PoolData!$A$10:$U$32,MATCH(F$13,PoolData!$A$10:$U$10,0),0)</f>
        <v>0</v>
      </c>
      <c r="H78" s="46" t="n">
        <f aca="false">VLOOKUP($A78,PoolData!$A$10:$U$32,MATCH(H$13,PoolData!$A$10:$U$10,0),0)</f>
        <v>0</v>
      </c>
      <c r="J78" s="18" t="n">
        <f aca="false">VLOOKUP($A78,PoolData!$A$10:$U$32,MATCH(J$13,PoolData!$A$10:$U$10,0),0)</f>
        <v>0</v>
      </c>
    </row>
    <row r="79" customFormat="false" ht="15" hidden="false" customHeight="false" outlineLevel="0" collapsed="false">
      <c r="A79" s="1" t="str">
        <f aca="false">PoolData!A76</f>
        <v>-</v>
      </c>
      <c r="B79" s="1" t="n">
        <f aca="false">PoolData!C76</f>
        <v>0</v>
      </c>
      <c r="C79" s="1" t="n">
        <f aca="false">PoolData!D76</f>
        <v>0</v>
      </c>
      <c r="D79" s="27"/>
      <c r="E79" s="16" t="n">
        <f aca="false">VLOOKUP($A79,PoolData!$A$10:$U$32,MATCH(E$13,PoolData!$A$10:$U$10,0),0)</f>
        <v>0</v>
      </c>
      <c r="F79" s="16" t="n">
        <f aca="false">VLOOKUP($A79,PoolData!$A$10:$U$32,MATCH(F$13,PoolData!$A$10:$U$10,0),0)</f>
        <v>0</v>
      </c>
      <c r="H79" s="46" t="n">
        <f aca="false">VLOOKUP($A79,PoolData!$A$10:$U$32,MATCH(H$13,PoolData!$A$10:$U$10,0),0)</f>
        <v>0</v>
      </c>
      <c r="J79" s="18" t="n">
        <f aca="false">VLOOKUP($A79,PoolData!$A$10:$U$32,MATCH(J$13,PoolData!$A$10:$U$10,0),0)</f>
        <v>0</v>
      </c>
    </row>
    <row r="80" customFormat="false" ht="15" hidden="false" customHeight="false" outlineLevel="0" collapsed="false">
      <c r="A80" s="1" t="str">
        <f aca="false">PoolData!A77</f>
        <v>-</v>
      </c>
      <c r="B80" s="1" t="n">
        <f aca="false">PoolData!C77</f>
        <v>0</v>
      </c>
      <c r="C80" s="1" t="n">
        <f aca="false">PoolData!D77</f>
        <v>0</v>
      </c>
      <c r="D80" s="27"/>
      <c r="E80" s="16" t="n">
        <f aca="false">VLOOKUP($A80,PoolData!$A$10:$U$32,MATCH(E$13,PoolData!$A$10:$U$10,0),0)</f>
        <v>0</v>
      </c>
      <c r="F80" s="16" t="n">
        <f aca="false">VLOOKUP($A80,PoolData!$A$10:$U$32,MATCH(F$13,PoolData!$A$10:$U$10,0),0)</f>
        <v>0</v>
      </c>
      <c r="H80" s="46" t="n">
        <f aca="false">VLOOKUP($A80,PoolData!$A$10:$U$32,MATCH(H$13,PoolData!$A$10:$U$10,0),0)</f>
        <v>0</v>
      </c>
      <c r="J80" s="18" t="n">
        <f aca="false">VLOOKUP($A80,PoolData!$A$10:$U$32,MATCH(J$13,PoolData!$A$10:$U$10,0),0)</f>
        <v>0</v>
      </c>
    </row>
    <row r="81" customFormat="false" ht="15" hidden="false" customHeight="false" outlineLevel="0" collapsed="false">
      <c r="A81" s="1" t="str">
        <f aca="false">PoolData!A78</f>
        <v>-</v>
      </c>
      <c r="B81" s="1" t="n">
        <f aca="false">PoolData!C78</f>
        <v>0</v>
      </c>
      <c r="C81" s="1" t="n">
        <f aca="false">PoolData!D78</f>
        <v>0</v>
      </c>
      <c r="D81" s="27"/>
      <c r="E81" s="16" t="n">
        <f aca="false">VLOOKUP($A81,PoolData!$A$10:$U$32,MATCH(E$13,PoolData!$A$10:$U$10,0),0)</f>
        <v>0</v>
      </c>
      <c r="F81" s="16" t="n">
        <f aca="false">VLOOKUP($A81,PoolData!$A$10:$U$32,MATCH(F$13,PoolData!$A$10:$U$10,0),0)</f>
        <v>0</v>
      </c>
      <c r="H81" s="46" t="n">
        <f aca="false">VLOOKUP($A81,PoolData!$A$10:$U$32,MATCH(H$13,PoolData!$A$10:$U$10,0),0)</f>
        <v>0</v>
      </c>
      <c r="J81" s="18" t="n">
        <f aca="false">VLOOKUP($A81,PoolData!$A$10:$U$32,MATCH(J$13,PoolData!$A$10:$U$10,0),0)</f>
        <v>0</v>
      </c>
    </row>
    <row r="82" customFormat="false" ht="15" hidden="false" customHeight="false" outlineLevel="0" collapsed="false">
      <c r="A82" s="1" t="str">
        <f aca="false">PoolData!A79</f>
        <v>-</v>
      </c>
      <c r="B82" s="1" t="n">
        <f aca="false">PoolData!C79</f>
        <v>0</v>
      </c>
      <c r="C82" s="1" t="n">
        <f aca="false">PoolData!D79</f>
        <v>0</v>
      </c>
      <c r="D82" s="27"/>
      <c r="E82" s="16" t="n">
        <f aca="false">VLOOKUP($A82,PoolData!$A$10:$U$32,MATCH(E$13,PoolData!$A$10:$U$10,0),0)</f>
        <v>0</v>
      </c>
      <c r="F82" s="16" t="n">
        <f aca="false">VLOOKUP($A82,PoolData!$A$10:$U$32,MATCH(F$13,PoolData!$A$10:$U$10,0),0)</f>
        <v>0</v>
      </c>
      <c r="H82" s="46" t="n">
        <f aca="false">VLOOKUP($A82,PoolData!$A$10:$U$32,MATCH(H$13,PoolData!$A$10:$U$10,0),0)</f>
        <v>0</v>
      </c>
      <c r="J82" s="18" t="n">
        <f aca="false">VLOOKUP($A82,PoolData!$A$10:$U$32,MATCH(J$13,PoolData!$A$10:$U$10,0),0)</f>
        <v>0</v>
      </c>
    </row>
    <row r="83" customFormat="false" ht="15" hidden="false" customHeight="false" outlineLevel="0" collapsed="false">
      <c r="A83" s="1" t="str">
        <f aca="false">PoolData!A80</f>
        <v>-</v>
      </c>
      <c r="B83" s="1" t="n">
        <f aca="false">PoolData!C80</f>
        <v>0</v>
      </c>
      <c r="C83" s="1" t="n">
        <f aca="false">PoolData!D80</f>
        <v>0</v>
      </c>
      <c r="D83" s="27"/>
      <c r="E83" s="16" t="n">
        <f aca="false">VLOOKUP($A83,PoolData!$A$10:$U$32,MATCH(E$13,PoolData!$A$10:$U$10,0),0)</f>
        <v>0</v>
      </c>
      <c r="F83" s="16" t="n">
        <f aca="false">VLOOKUP($A83,PoolData!$A$10:$U$32,MATCH(F$13,PoolData!$A$10:$U$10,0),0)</f>
        <v>0</v>
      </c>
      <c r="H83" s="46" t="n">
        <f aca="false">VLOOKUP($A83,PoolData!$A$10:$U$32,MATCH(H$13,PoolData!$A$10:$U$10,0),0)</f>
        <v>0</v>
      </c>
      <c r="J83" s="18" t="n">
        <f aca="false">VLOOKUP($A83,PoolData!$A$10:$U$32,MATCH(J$13,PoolData!$A$10:$U$10,0),0)</f>
        <v>0</v>
      </c>
    </row>
    <row r="84" customFormat="false" ht="15" hidden="false" customHeight="false" outlineLevel="0" collapsed="false">
      <c r="A84" s="1" t="str">
        <f aca="false">PoolData!A81</f>
        <v>-</v>
      </c>
      <c r="B84" s="1" t="n">
        <f aca="false">PoolData!C81</f>
        <v>0</v>
      </c>
      <c r="C84" s="1" t="n">
        <f aca="false">PoolData!D81</f>
        <v>0</v>
      </c>
      <c r="D84" s="27"/>
      <c r="E84" s="16" t="n">
        <f aca="false">VLOOKUP($A84,PoolData!$A$10:$U$32,MATCH(E$13,PoolData!$A$10:$U$10,0),0)</f>
        <v>0</v>
      </c>
      <c r="F84" s="16" t="n">
        <f aca="false">VLOOKUP($A84,PoolData!$A$10:$U$32,MATCH(F$13,PoolData!$A$10:$U$10,0),0)</f>
        <v>0</v>
      </c>
      <c r="H84" s="46" t="n">
        <f aca="false">VLOOKUP($A84,PoolData!$A$10:$U$32,MATCH(H$13,PoolData!$A$10:$U$10,0),0)</f>
        <v>0</v>
      </c>
      <c r="J84" s="18" t="n">
        <f aca="false">VLOOKUP($A84,PoolData!$A$10:$U$32,MATCH(J$13,PoolData!$A$10:$U$10,0),0)</f>
        <v>0</v>
      </c>
    </row>
    <row r="85" customFormat="false" ht="15" hidden="false" customHeight="false" outlineLevel="0" collapsed="false">
      <c r="A85" s="1" t="str">
        <f aca="false">PoolData!A82</f>
        <v>-</v>
      </c>
      <c r="B85" s="1" t="n">
        <f aca="false">PoolData!C82</f>
        <v>0</v>
      </c>
      <c r="C85" s="1" t="n">
        <f aca="false">PoolData!D82</f>
        <v>0</v>
      </c>
      <c r="D85" s="27"/>
      <c r="E85" s="16" t="n">
        <f aca="false">VLOOKUP($A85,PoolData!$A$10:$U$32,MATCH(E$13,PoolData!$A$10:$U$10,0),0)</f>
        <v>0</v>
      </c>
      <c r="F85" s="16" t="n">
        <f aca="false">VLOOKUP($A85,PoolData!$A$10:$U$32,MATCH(F$13,PoolData!$A$10:$U$10,0),0)</f>
        <v>0</v>
      </c>
      <c r="H85" s="46" t="n">
        <f aca="false">VLOOKUP($A85,PoolData!$A$10:$U$32,MATCH(H$13,PoolData!$A$10:$U$10,0),0)</f>
        <v>0</v>
      </c>
      <c r="J85" s="18" t="n">
        <f aca="false">VLOOKUP($A85,PoolData!$A$10:$U$32,MATCH(J$13,PoolData!$A$10:$U$10,0),0)</f>
        <v>0</v>
      </c>
    </row>
    <row r="86" customFormat="false" ht="15" hidden="false" customHeight="false" outlineLevel="0" collapsed="false">
      <c r="A86" s="1" t="str">
        <f aca="false">PoolData!A83</f>
        <v>-</v>
      </c>
      <c r="B86" s="1" t="n">
        <f aca="false">PoolData!C83</f>
        <v>0</v>
      </c>
      <c r="C86" s="1" t="n">
        <f aca="false">PoolData!D83</f>
        <v>0</v>
      </c>
      <c r="D86" s="27"/>
      <c r="E86" s="16" t="n">
        <f aca="false">VLOOKUP($A86,PoolData!$A$10:$U$32,MATCH(E$13,PoolData!$A$10:$U$10,0),0)</f>
        <v>0</v>
      </c>
      <c r="F86" s="16" t="n">
        <f aca="false">VLOOKUP($A86,PoolData!$A$10:$U$32,MATCH(F$13,PoolData!$A$10:$U$10,0),0)</f>
        <v>0</v>
      </c>
      <c r="H86" s="46" t="n">
        <f aca="false">VLOOKUP($A86,PoolData!$A$10:$U$32,MATCH(H$13,PoolData!$A$10:$U$10,0),0)</f>
        <v>0</v>
      </c>
      <c r="J86" s="18" t="n">
        <f aca="false">VLOOKUP($A86,PoolData!$A$10:$U$32,MATCH(J$13,PoolData!$A$10:$U$10,0),0)</f>
        <v>0</v>
      </c>
    </row>
    <row r="87" customFormat="false" ht="15" hidden="false" customHeight="false" outlineLevel="0" collapsed="false">
      <c r="A87" s="1" t="str">
        <f aca="false">PoolData!A84</f>
        <v>-</v>
      </c>
      <c r="B87" s="1" t="n">
        <f aca="false">PoolData!C84</f>
        <v>0</v>
      </c>
      <c r="C87" s="1" t="n">
        <f aca="false">PoolData!D84</f>
        <v>0</v>
      </c>
      <c r="D87" s="27"/>
      <c r="E87" s="16" t="n">
        <f aca="false">VLOOKUP($A87,PoolData!$A$10:$U$32,MATCH(E$13,PoolData!$A$10:$U$10,0),0)</f>
        <v>0</v>
      </c>
      <c r="F87" s="16" t="n">
        <f aca="false">VLOOKUP($A87,PoolData!$A$10:$U$32,MATCH(F$13,PoolData!$A$10:$U$10,0),0)</f>
        <v>0</v>
      </c>
      <c r="H87" s="46" t="n">
        <f aca="false">VLOOKUP($A87,PoolData!$A$10:$U$32,MATCH(H$13,PoolData!$A$10:$U$10,0),0)</f>
        <v>0</v>
      </c>
      <c r="J87" s="18" t="n">
        <f aca="false">VLOOKUP($A87,PoolData!$A$10:$U$32,MATCH(J$13,PoolData!$A$10:$U$10,0),0)</f>
        <v>0</v>
      </c>
    </row>
    <row r="88" customFormat="false" ht="15" hidden="false" customHeight="false" outlineLevel="0" collapsed="false">
      <c r="A88" s="1" t="str">
        <f aca="false">PoolData!A85</f>
        <v>-</v>
      </c>
      <c r="B88" s="1" t="n">
        <f aca="false">PoolData!C85</f>
        <v>0</v>
      </c>
      <c r="C88" s="1" t="n">
        <f aca="false">PoolData!D85</f>
        <v>0</v>
      </c>
      <c r="D88" s="27"/>
      <c r="E88" s="16" t="n">
        <f aca="false">VLOOKUP($A88,PoolData!$A$10:$U$32,MATCH(E$13,PoolData!$A$10:$U$10,0),0)</f>
        <v>0</v>
      </c>
      <c r="F88" s="16" t="n">
        <f aca="false">VLOOKUP($A88,PoolData!$A$10:$U$32,MATCH(F$13,PoolData!$A$10:$U$10,0),0)</f>
        <v>0</v>
      </c>
      <c r="H88" s="46" t="n">
        <f aca="false">VLOOKUP($A88,PoolData!$A$10:$U$32,MATCH(H$13,PoolData!$A$10:$U$10,0),0)</f>
        <v>0</v>
      </c>
      <c r="J88" s="18" t="n">
        <f aca="false">VLOOKUP($A88,PoolData!$A$10:$U$32,MATCH(J$13,PoolData!$A$10:$U$10,0),0)</f>
        <v>0</v>
      </c>
    </row>
    <row r="89" customFormat="false" ht="15" hidden="false" customHeight="false" outlineLevel="0" collapsed="false">
      <c r="A89" s="1" t="str">
        <f aca="false">PoolData!A86</f>
        <v>-</v>
      </c>
      <c r="B89" s="1" t="n">
        <f aca="false">PoolData!C86</f>
        <v>0</v>
      </c>
      <c r="C89" s="1" t="n">
        <f aca="false">PoolData!D86</f>
        <v>0</v>
      </c>
      <c r="D89" s="27"/>
      <c r="E89" s="16" t="n">
        <f aca="false">VLOOKUP($A89,PoolData!$A$10:$U$32,MATCH(E$13,PoolData!$A$10:$U$10,0),0)</f>
        <v>0</v>
      </c>
      <c r="F89" s="16" t="n">
        <f aca="false">VLOOKUP($A89,PoolData!$A$10:$U$32,MATCH(F$13,PoolData!$A$10:$U$10,0),0)</f>
        <v>0</v>
      </c>
      <c r="H89" s="46" t="n">
        <f aca="false">VLOOKUP($A89,PoolData!$A$10:$U$32,MATCH(H$13,PoolData!$A$10:$U$10,0),0)</f>
        <v>0</v>
      </c>
      <c r="J89" s="18" t="n">
        <f aca="false">VLOOKUP($A89,PoolData!$A$10:$U$32,MATCH(J$13,PoolData!$A$10:$U$10,0),0)</f>
        <v>0</v>
      </c>
    </row>
    <row r="90" customFormat="false" ht="15" hidden="false" customHeight="false" outlineLevel="0" collapsed="false">
      <c r="A90" s="1" t="str">
        <f aca="false">PoolData!A87</f>
        <v>-</v>
      </c>
      <c r="B90" s="1" t="n">
        <f aca="false">PoolData!C87</f>
        <v>0</v>
      </c>
      <c r="C90" s="1" t="n">
        <f aca="false">PoolData!D87</f>
        <v>0</v>
      </c>
      <c r="D90" s="27"/>
      <c r="E90" s="16" t="n">
        <f aca="false">VLOOKUP($A90,PoolData!$A$10:$U$32,MATCH(E$13,PoolData!$A$10:$U$10,0),0)</f>
        <v>0</v>
      </c>
      <c r="F90" s="16" t="n">
        <f aca="false">VLOOKUP($A90,PoolData!$A$10:$U$32,MATCH(F$13,PoolData!$A$10:$U$10,0),0)</f>
        <v>0</v>
      </c>
      <c r="H90" s="46" t="n">
        <f aca="false">VLOOKUP($A90,PoolData!$A$10:$U$32,MATCH(H$13,PoolData!$A$10:$U$10,0),0)</f>
        <v>0</v>
      </c>
      <c r="J90" s="18" t="n">
        <f aca="false">VLOOKUP($A90,PoolData!$A$10:$U$32,MATCH(J$13,PoolData!$A$10:$U$10,0),0)</f>
        <v>0</v>
      </c>
    </row>
    <row r="91" customFormat="false" ht="15" hidden="false" customHeight="false" outlineLevel="0" collapsed="false">
      <c r="A91" s="1" t="str">
        <f aca="false">PoolData!A88</f>
        <v>-</v>
      </c>
      <c r="B91" s="1" t="n">
        <f aca="false">PoolData!C88</f>
        <v>0</v>
      </c>
      <c r="C91" s="1" t="n">
        <f aca="false">PoolData!D88</f>
        <v>0</v>
      </c>
      <c r="D91" s="27"/>
      <c r="E91" s="16" t="n">
        <f aca="false">VLOOKUP($A91,PoolData!$A$10:$U$32,MATCH(E$13,PoolData!$A$10:$U$10,0),0)</f>
        <v>0</v>
      </c>
      <c r="F91" s="16" t="n">
        <f aca="false">VLOOKUP($A91,PoolData!$A$10:$U$32,MATCH(F$13,PoolData!$A$10:$U$10,0),0)</f>
        <v>0</v>
      </c>
      <c r="H91" s="46" t="n">
        <f aca="false">VLOOKUP($A91,PoolData!$A$10:$U$32,MATCH(H$13,PoolData!$A$10:$U$10,0),0)</f>
        <v>0</v>
      </c>
      <c r="J91" s="18" t="n">
        <f aca="false">VLOOKUP($A91,PoolData!$A$10:$U$32,MATCH(J$13,PoolData!$A$10:$U$10,0),0)</f>
        <v>0</v>
      </c>
    </row>
    <row r="92" customFormat="false" ht="15" hidden="false" customHeight="false" outlineLevel="0" collapsed="false">
      <c r="A92" s="1" t="str">
        <f aca="false">PoolData!A89</f>
        <v>-</v>
      </c>
      <c r="B92" s="1" t="n">
        <f aca="false">PoolData!C89</f>
        <v>0</v>
      </c>
      <c r="C92" s="1" t="n">
        <f aca="false">PoolData!D89</f>
        <v>0</v>
      </c>
      <c r="D92" s="27"/>
      <c r="E92" s="16" t="n">
        <f aca="false">VLOOKUP($A92,PoolData!$A$10:$U$32,MATCH(E$13,PoolData!$A$10:$U$10,0),0)</f>
        <v>0</v>
      </c>
      <c r="F92" s="16" t="n">
        <f aca="false">VLOOKUP($A92,PoolData!$A$10:$U$32,MATCH(F$13,PoolData!$A$10:$U$10,0),0)</f>
        <v>0</v>
      </c>
      <c r="H92" s="46" t="n">
        <f aca="false">VLOOKUP($A92,PoolData!$A$10:$U$32,MATCH(H$13,PoolData!$A$10:$U$10,0),0)</f>
        <v>0</v>
      </c>
      <c r="J92" s="18" t="n">
        <f aca="false">VLOOKUP($A92,PoolData!$A$10:$U$32,MATCH(J$13,PoolData!$A$10:$U$10,0),0)</f>
        <v>0</v>
      </c>
    </row>
    <row r="93" customFormat="false" ht="15" hidden="false" customHeight="false" outlineLevel="0" collapsed="false">
      <c r="A93" s="1" t="str">
        <f aca="false">PoolData!A90</f>
        <v>-</v>
      </c>
      <c r="B93" s="1" t="n">
        <f aca="false">PoolData!C90</f>
        <v>0</v>
      </c>
      <c r="C93" s="1" t="n">
        <f aca="false">PoolData!D90</f>
        <v>0</v>
      </c>
      <c r="D93" s="27"/>
      <c r="E93" s="16" t="n">
        <f aca="false">VLOOKUP($A93,PoolData!$A$10:$U$32,MATCH(E$13,PoolData!$A$10:$U$10,0),0)</f>
        <v>0</v>
      </c>
      <c r="F93" s="16" t="n">
        <f aca="false">VLOOKUP($A93,PoolData!$A$10:$U$32,MATCH(F$13,PoolData!$A$10:$U$10,0),0)</f>
        <v>0</v>
      </c>
      <c r="H93" s="46" t="n">
        <f aca="false">VLOOKUP($A93,PoolData!$A$10:$U$32,MATCH(H$13,PoolData!$A$10:$U$10,0),0)</f>
        <v>0</v>
      </c>
      <c r="J93" s="18" t="n">
        <f aca="false">VLOOKUP($A93,PoolData!$A$10:$U$32,MATCH(J$13,PoolData!$A$10:$U$10,0),0)</f>
        <v>0</v>
      </c>
    </row>
    <row r="94" customFormat="false" ht="15" hidden="false" customHeight="false" outlineLevel="0" collapsed="false">
      <c r="A94" s="1" t="str">
        <f aca="false">PoolData!A91</f>
        <v>-</v>
      </c>
      <c r="B94" s="1" t="n">
        <f aca="false">PoolData!C91</f>
        <v>0</v>
      </c>
      <c r="C94" s="1" t="n">
        <f aca="false">PoolData!D91</f>
        <v>0</v>
      </c>
      <c r="D94" s="27"/>
      <c r="E94" s="16" t="n">
        <f aca="false">VLOOKUP($A94,PoolData!$A$10:$U$32,MATCH(E$13,PoolData!$A$10:$U$10,0),0)</f>
        <v>0</v>
      </c>
      <c r="F94" s="16" t="n">
        <f aca="false">VLOOKUP($A94,PoolData!$A$10:$U$32,MATCH(F$13,PoolData!$A$10:$U$10,0),0)</f>
        <v>0</v>
      </c>
      <c r="H94" s="46" t="n">
        <f aca="false">VLOOKUP($A94,PoolData!$A$10:$U$32,MATCH(H$13,PoolData!$A$10:$U$10,0),0)</f>
        <v>0</v>
      </c>
      <c r="J94" s="18" t="n">
        <f aca="false">VLOOKUP($A94,PoolData!$A$10:$U$32,MATCH(J$13,PoolData!$A$10:$U$10,0),0)</f>
        <v>0</v>
      </c>
    </row>
    <row r="95" customFormat="false" ht="15" hidden="false" customHeight="false" outlineLevel="0" collapsed="false">
      <c r="A95" s="1" t="str">
        <f aca="false">PoolData!A92</f>
        <v>-</v>
      </c>
      <c r="B95" s="1" t="n">
        <f aca="false">PoolData!C92</f>
        <v>0</v>
      </c>
      <c r="C95" s="1" t="n">
        <f aca="false">PoolData!D92</f>
        <v>0</v>
      </c>
      <c r="D95" s="27"/>
      <c r="E95" s="16" t="n">
        <f aca="false">VLOOKUP($A95,PoolData!$A$10:$U$32,MATCH(E$13,PoolData!$A$10:$U$10,0),0)</f>
        <v>0</v>
      </c>
      <c r="F95" s="16" t="n">
        <f aca="false">VLOOKUP($A95,PoolData!$A$10:$U$32,MATCH(F$13,PoolData!$A$10:$U$10,0),0)</f>
        <v>0</v>
      </c>
      <c r="H95" s="46" t="n">
        <f aca="false">VLOOKUP($A95,PoolData!$A$10:$U$32,MATCH(H$13,PoolData!$A$10:$U$10,0),0)</f>
        <v>0</v>
      </c>
      <c r="J95" s="18" t="n">
        <f aca="false">VLOOKUP($A95,PoolData!$A$10:$U$32,MATCH(J$13,PoolData!$A$10:$U$10,0),0)</f>
        <v>0</v>
      </c>
    </row>
    <row r="96" customFormat="false" ht="15" hidden="false" customHeight="false" outlineLevel="0" collapsed="false">
      <c r="A96" s="1" t="str">
        <f aca="false">PoolData!A93</f>
        <v>-</v>
      </c>
      <c r="B96" s="1" t="n">
        <f aca="false">PoolData!C93</f>
        <v>0</v>
      </c>
      <c r="C96" s="1" t="n">
        <f aca="false">PoolData!D93</f>
        <v>0</v>
      </c>
      <c r="D96" s="27"/>
      <c r="E96" s="16" t="n">
        <f aca="false">VLOOKUP($A96,PoolData!$A$10:$U$32,MATCH(E$13,PoolData!$A$10:$U$10,0),0)</f>
        <v>0</v>
      </c>
      <c r="F96" s="16" t="n">
        <f aca="false">VLOOKUP($A96,PoolData!$A$10:$U$32,MATCH(F$13,PoolData!$A$10:$U$10,0),0)</f>
        <v>0</v>
      </c>
      <c r="H96" s="46" t="n">
        <f aca="false">VLOOKUP($A96,PoolData!$A$10:$U$32,MATCH(H$13,PoolData!$A$10:$U$10,0),0)</f>
        <v>0</v>
      </c>
      <c r="J96" s="18" t="n">
        <f aca="false">VLOOKUP($A96,PoolData!$A$10:$U$32,MATCH(J$13,PoolData!$A$10:$U$10,0),0)</f>
        <v>0</v>
      </c>
    </row>
    <row r="97" customFormat="false" ht="15" hidden="false" customHeight="false" outlineLevel="0" collapsed="false">
      <c r="A97" s="1" t="str">
        <f aca="false">PoolData!A94</f>
        <v>-</v>
      </c>
      <c r="B97" s="1" t="n">
        <f aca="false">PoolData!C94</f>
        <v>0</v>
      </c>
      <c r="C97" s="1" t="n">
        <f aca="false">PoolData!D94</f>
        <v>0</v>
      </c>
      <c r="D97" s="27"/>
      <c r="E97" s="16" t="n">
        <f aca="false">VLOOKUP($A97,PoolData!$A$10:$U$32,MATCH(E$13,PoolData!$A$10:$U$10,0),0)</f>
        <v>0</v>
      </c>
      <c r="F97" s="16" t="n">
        <f aca="false">VLOOKUP($A97,PoolData!$A$10:$U$32,MATCH(F$13,PoolData!$A$10:$U$10,0),0)</f>
        <v>0</v>
      </c>
      <c r="H97" s="46" t="n">
        <f aca="false">VLOOKUP($A97,PoolData!$A$10:$U$32,MATCH(H$13,PoolData!$A$10:$U$10,0),0)</f>
        <v>0</v>
      </c>
      <c r="J97" s="18" t="n">
        <f aca="false">VLOOKUP($A97,PoolData!$A$10:$U$32,MATCH(J$13,PoolData!$A$10:$U$10,0),0)</f>
        <v>0</v>
      </c>
    </row>
    <row r="98" customFormat="false" ht="15" hidden="false" customHeight="false" outlineLevel="0" collapsed="false">
      <c r="A98" s="1" t="str">
        <f aca="false">PoolData!A95</f>
        <v>-</v>
      </c>
      <c r="B98" s="1" t="n">
        <f aca="false">PoolData!C95</f>
        <v>0</v>
      </c>
      <c r="C98" s="1" t="n">
        <f aca="false">PoolData!D95</f>
        <v>0</v>
      </c>
      <c r="D98" s="27"/>
      <c r="E98" s="16" t="n">
        <f aca="false">VLOOKUP($A98,PoolData!$A$10:$U$32,MATCH(E$13,PoolData!$A$10:$U$10,0),0)</f>
        <v>0</v>
      </c>
      <c r="F98" s="16" t="n">
        <f aca="false">VLOOKUP($A98,PoolData!$A$10:$U$32,MATCH(F$13,PoolData!$A$10:$U$10,0),0)</f>
        <v>0</v>
      </c>
      <c r="H98" s="46" t="n">
        <f aca="false">VLOOKUP($A98,PoolData!$A$10:$U$32,MATCH(H$13,PoolData!$A$10:$U$10,0),0)</f>
        <v>0</v>
      </c>
      <c r="J98" s="18" t="n">
        <f aca="false">VLOOKUP($A98,PoolData!$A$10:$U$32,MATCH(J$13,PoolData!$A$10:$U$10,0),0)</f>
        <v>0</v>
      </c>
    </row>
    <row r="99" customFormat="false" ht="15" hidden="false" customHeight="false" outlineLevel="0" collapsed="false">
      <c r="A99" s="1" t="str">
        <f aca="false">PoolData!A96</f>
        <v>-</v>
      </c>
      <c r="B99" s="1" t="n">
        <f aca="false">PoolData!C96</f>
        <v>0</v>
      </c>
      <c r="C99" s="1" t="n">
        <f aca="false">PoolData!D96</f>
        <v>0</v>
      </c>
      <c r="D99" s="27"/>
      <c r="E99" s="16" t="n">
        <f aca="false">VLOOKUP($A99,PoolData!$A$10:$U$32,MATCH(E$13,PoolData!$A$10:$U$10,0),0)</f>
        <v>0</v>
      </c>
      <c r="F99" s="16" t="n">
        <f aca="false">VLOOKUP($A99,PoolData!$A$10:$U$32,MATCH(F$13,PoolData!$A$10:$U$10,0),0)</f>
        <v>0</v>
      </c>
      <c r="H99" s="46" t="n">
        <f aca="false">VLOOKUP($A99,PoolData!$A$10:$U$32,MATCH(H$13,PoolData!$A$10:$U$10,0),0)</f>
        <v>0</v>
      </c>
      <c r="J99" s="18" t="n">
        <f aca="false">VLOOKUP($A99,PoolData!$A$10:$U$32,MATCH(J$13,PoolData!$A$10:$U$10,0),0)</f>
        <v>0</v>
      </c>
    </row>
    <row r="100" customFormat="false" ht="15" hidden="false" customHeight="false" outlineLevel="0" collapsed="false">
      <c r="A100" s="1" t="str">
        <f aca="false">PoolData!A97</f>
        <v>-</v>
      </c>
      <c r="B100" s="1" t="n">
        <f aca="false">PoolData!C97</f>
        <v>0</v>
      </c>
      <c r="C100" s="1" t="n">
        <f aca="false">PoolData!D97</f>
        <v>0</v>
      </c>
      <c r="D100" s="27"/>
      <c r="E100" s="16" t="n">
        <f aca="false">VLOOKUP($A100,PoolData!$A$10:$U$32,MATCH(E$13,PoolData!$A$10:$U$10,0),0)</f>
        <v>0</v>
      </c>
      <c r="F100" s="16" t="n">
        <f aca="false">VLOOKUP($A100,PoolData!$A$10:$U$32,MATCH(F$13,PoolData!$A$10:$U$10,0),0)</f>
        <v>0</v>
      </c>
      <c r="H100" s="46" t="n">
        <f aca="false">VLOOKUP($A100,PoolData!$A$10:$U$32,MATCH(H$13,PoolData!$A$10:$U$10,0),0)</f>
        <v>0</v>
      </c>
      <c r="J100" s="18" t="n">
        <f aca="false">VLOOKUP($A100,PoolData!$A$10:$U$32,MATCH(J$13,PoolData!$A$10:$U$10,0),0)</f>
        <v>0</v>
      </c>
    </row>
  </sheetData>
  <mergeCells count="2">
    <mergeCell ref="E11:F11"/>
    <mergeCell ref="A13:C13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C55A11"/>
    <pageSetUpPr fitToPage="false"/>
  </sheetPr>
  <dimension ref="A1:Q102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G15" activeCellId="0" sqref="G15"/>
    </sheetView>
  </sheetViews>
  <sheetFormatPr defaultRowHeight="15" zeroHeight="false" outlineLevelRow="0" outlineLevelCol="0"/>
  <cols>
    <col collapsed="false" customWidth="true" hidden="false" outlineLevel="0" max="1" min="1" style="48" width="15.42"/>
    <col collapsed="false" customWidth="true" hidden="false" outlineLevel="0" max="2" min="2" style="0" width="34.86"/>
    <col collapsed="false" customWidth="true" hidden="false" outlineLevel="0" max="3" min="3" style="0" width="37.86"/>
    <col collapsed="false" customWidth="true" hidden="false" outlineLevel="0" max="4" min="4" style="0" width="33"/>
    <col collapsed="false" customWidth="true" hidden="false" outlineLevel="0" max="5" min="5" style="0" width="37.86"/>
    <col collapsed="false" customWidth="true" hidden="false" outlineLevel="0" max="6" min="6" style="0" width="33"/>
    <col collapsed="false" customWidth="true" hidden="false" outlineLevel="0" max="7" min="7" style="0" width="33.14"/>
    <col collapsed="false" customWidth="true" hidden="false" outlineLevel="0" max="8" min="8" style="0" width="18.14"/>
    <col collapsed="false" customWidth="true" hidden="false" outlineLevel="0" max="9" min="9" style="0" width="14.57"/>
    <col collapsed="false" customWidth="true" hidden="false" outlineLevel="0" max="10" min="10" style="0" width="6.86"/>
    <col collapsed="false" customWidth="true" hidden="false" outlineLevel="0" max="11" min="11" style="24" width="37.71"/>
    <col collapsed="false" customWidth="true" hidden="false" outlineLevel="0" max="16" min="12" style="0" width="8.67"/>
    <col collapsed="false" customWidth="false" hidden="true" outlineLevel="0" max="17" min="17" style="0" width="11.52"/>
    <col collapsed="false" customWidth="true" hidden="false" outlineLevel="0" max="1025" min="18" style="0" width="8.67"/>
  </cols>
  <sheetData>
    <row r="1" customFormat="false" ht="15" hidden="false" customHeight="false" outlineLevel="0" collapsed="false">
      <c r="B1" s="2" t="s">
        <v>59</v>
      </c>
    </row>
    <row r="2" customFormat="false" ht="15" hidden="false" customHeight="false" outlineLevel="0" collapsed="false">
      <c r="C2" s="25" t="s">
        <v>48</v>
      </c>
      <c r="D2" s="25" t="s">
        <v>60</v>
      </c>
      <c r="E2" s="49" t="s">
        <v>61</v>
      </c>
      <c r="F2" s="50" t="s">
        <v>62</v>
      </c>
      <c r="K2" s="27"/>
      <c r="Q2" s="0" t="s">
        <v>63</v>
      </c>
    </row>
    <row r="3" customFormat="false" ht="15" hidden="false" customHeight="false" outlineLevel="0" collapsed="false">
      <c r="B3" s="1" t="s">
        <v>64</v>
      </c>
      <c r="C3" s="19" t="n">
        <f aca="false">SUM($E$13:$E$34)</f>
        <v>1.03916940262838</v>
      </c>
      <c r="D3" s="19" t="n">
        <f aca="false">SUM($F$13:$F$34)</f>
        <v>0</v>
      </c>
      <c r="E3" s="19" t="n">
        <f aca="false" t="array" ref="E3:E3">D3+C3*ANYBNB</f>
        <v>0.0381696885348421</v>
      </c>
      <c r="F3" s="51" t="n">
        <f aca="false" t="array" ref="F3:F3">E3*BNBPRICE</f>
        <v>0.966321879550311</v>
      </c>
      <c r="Q3" s="0" t="s">
        <v>65</v>
      </c>
    </row>
    <row r="5" customFormat="false" ht="15" hidden="false" customHeight="false" outlineLevel="0" collapsed="false">
      <c r="B5" s="25" t="s">
        <v>66</v>
      </c>
      <c r="C5" s="25" t="s">
        <v>67</v>
      </c>
      <c r="D5" s="25" t="s">
        <v>29</v>
      </c>
    </row>
    <row r="6" customFormat="false" ht="15" hidden="false" customHeight="false" outlineLevel="0" collapsed="false">
      <c r="B6" s="16" t="n">
        <f aca="false">SUM(B13:B34)*2</f>
        <v>4</v>
      </c>
      <c r="C6" s="23" t="n">
        <f aca="false">E3/B6</f>
        <v>0.00954242213371053</v>
      </c>
      <c r="D6" s="18" t="n">
        <f aca="false">C6*365</f>
        <v>3.48298407880434</v>
      </c>
    </row>
    <row r="8" customFormat="false" ht="15" hidden="false" customHeight="false" outlineLevel="0" collapsed="false">
      <c r="D8" s="52"/>
      <c r="H8" s="6" t="s">
        <v>68</v>
      </c>
    </row>
    <row r="9" customFormat="false" ht="15" hidden="false" customHeight="false" outlineLevel="0" collapsed="false">
      <c r="D9" s="53"/>
      <c r="E9" s="54"/>
    </row>
    <row r="10" customFormat="false" ht="15" hidden="false" customHeight="false" outlineLevel="0" collapsed="false">
      <c r="E10" s="54"/>
    </row>
    <row r="11" customFormat="false" ht="15" hidden="false" customHeight="false" outlineLevel="0" collapsed="false">
      <c r="A11" s="55" t="s">
        <v>69</v>
      </c>
      <c r="B11" s="55"/>
      <c r="C11" s="55"/>
      <c r="D11" s="55"/>
      <c r="E11" s="55"/>
      <c r="F11" s="55"/>
      <c r="G11" s="55"/>
      <c r="H11" s="55"/>
      <c r="I11" s="55"/>
      <c r="J11" s="55"/>
      <c r="K11" s="56" t="s">
        <v>70</v>
      </c>
    </row>
    <row r="12" customFormat="false" ht="30" hidden="false" customHeight="false" outlineLevel="0" collapsed="false">
      <c r="A12" s="41" t="s">
        <v>71</v>
      </c>
      <c r="B12" s="41" t="s">
        <v>72</v>
      </c>
      <c r="C12" s="41" t="s">
        <v>73</v>
      </c>
      <c r="D12" s="41" t="s">
        <v>74</v>
      </c>
      <c r="E12" s="41" t="s">
        <v>75</v>
      </c>
      <c r="F12" s="41" t="s">
        <v>76</v>
      </c>
      <c r="G12" s="41" t="s">
        <v>77</v>
      </c>
      <c r="H12" s="41" t="s">
        <v>78</v>
      </c>
      <c r="I12" s="41" t="s">
        <v>79</v>
      </c>
      <c r="J12" s="41" t="s">
        <v>29</v>
      </c>
      <c r="K12" s="57" t="s">
        <v>80</v>
      </c>
    </row>
    <row r="13" customFormat="false" ht="15" hidden="false" customHeight="false" outlineLevel="0" collapsed="false">
      <c r="A13" s="48" t="s">
        <v>81</v>
      </c>
      <c r="B13" s="58" t="n">
        <v>0</v>
      </c>
      <c r="C13" s="19" t="n">
        <f aca="false">IFERROR(B13/VLOOKUP($A13,PoolData!$A$10:$I$32,MATCH("XXX:BNB Ratio",PoolData!$A$10:$I$10,0),0),"")</f>
        <v>0</v>
      </c>
      <c r="D13" s="23" t="n">
        <f aca="false">IFERROR(B13/VLOOKUP($A13,PoolData!$A$10:$I$32,MATCH("Coin 1 Pool Size",PoolData!$A$10:$I$10,0),0),"")</f>
        <v>0</v>
      </c>
      <c r="E13" s="19" t="n">
        <f aca="false">IFERROR(VLOOKUP($A13,PoolData!$A$10:$I$32,MATCH("ANY Reward % to pool",PoolData!$A$10:$I$10,0),0)*DAILYANY*D13,"")</f>
        <v>0</v>
      </c>
      <c r="F13" s="19" t="n">
        <f aca="false">IFERROR(VLOOKUP($A13,PoolData!$A$10:$T$32,MATCH("Trading Volume in BNB",PoolData!$A$10:$T$10,0),0)*FEEREWARDS*D13,"")</f>
        <v>0</v>
      </c>
      <c r="G13" s="19" t="n">
        <f aca="false" t="array" ref="G13:G13">IFERROR(F13+E13*ANYBNB,"")</f>
        <v>0</v>
      </c>
      <c r="H13" s="59" t="n">
        <f aca="false" t="array" ref="H13:H13">IFERROR(G13*BNBPRICE,"")</f>
        <v>0</v>
      </c>
      <c r="I13" s="23" t="str">
        <f aca="false">IFERROR(G13/(2*B13),"")</f>
        <v/>
      </c>
      <c r="J13" s="18" t="str">
        <f aca="false">IFERROR(I13*365,"")</f>
        <v/>
      </c>
      <c r="K13" s="18" t="s">
        <v>63</v>
      </c>
    </row>
    <row r="14" customFormat="false" ht="15" hidden="false" customHeight="false" outlineLevel="0" collapsed="false">
      <c r="A14" s="48" t="s">
        <v>82</v>
      </c>
      <c r="B14" s="58" t="n">
        <v>0</v>
      </c>
      <c r="C14" s="19" t="n">
        <f aca="false">IFERROR(B14/VLOOKUP($A14,PoolData!$A$10:$I$32,MATCH("XXX:BNB Ratio",PoolData!$A$10:$I$10,0),0),"")</f>
        <v>0</v>
      </c>
      <c r="D14" s="23" t="n">
        <f aca="false">IFERROR(B14/VLOOKUP($A14,PoolData!$A$10:$I$32,MATCH("Coin 1 Pool Size",PoolData!$A$10:$I$10,0),0),"")</f>
        <v>0</v>
      </c>
      <c r="E14" s="19" t="n">
        <f aca="false">IFERROR(VLOOKUP($A14,PoolData!$A$10:$I$32,MATCH("ANY Reward % to pool",PoolData!$A$10:$I$10,0),0)*DAILYANY*D14,"")</f>
        <v>0</v>
      </c>
      <c r="F14" s="19" t="n">
        <f aca="false">IFERROR(VLOOKUP($A14,PoolData!$A$10:$T$32,MATCH("Trading Volume in BNB",PoolData!$A$10:$T$10,0),0)*FEEREWARDS*D14,"")</f>
        <v>0</v>
      </c>
      <c r="G14" s="19" t="n">
        <f aca="false" t="array" ref="G14:G14">IFERROR(F14+E14*ANYBNB,"")</f>
        <v>0</v>
      </c>
      <c r="H14" s="59" t="n">
        <f aca="false" t="array" ref="H14:H14">IFERROR(G14*BNBPRICE,"")</f>
        <v>0</v>
      </c>
      <c r="I14" s="23" t="str">
        <f aca="false">IFERROR(G14/(2*B14),"")</f>
        <v/>
      </c>
      <c r="J14" s="18" t="str">
        <f aca="false">IFERROR(I14*365,"")</f>
        <v/>
      </c>
      <c r="K14" s="18" t="s">
        <v>63</v>
      </c>
    </row>
    <row r="15" customFormat="false" ht="15" hidden="false" customHeight="false" outlineLevel="0" collapsed="false">
      <c r="A15" s="48" t="s">
        <v>83</v>
      </c>
      <c r="B15" s="58" t="n">
        <v>2</v>
      </c>
      <c r="C15" s="19" t="n">
        <f aca="false">IFERROR(B15/VLOOKUP($A15,PoolData!$A$10:$I$32,MATCH("XXX:BNB Ratio",PoolData!$A$10:$I$10,0),0),"")</f>
        <v>54.4499807316898</v>
      </c>
      <c r="D15" s="23" t="n">
        <f aca="false">IFERROR(B15/VLOOKUP($A15,PoolData!$A$10:$I$32,MATCH("Coin 1 Pool Size",PoolData!$A$10:$I$10,0),0),"")</f>
        <v>0.000136399296347675</v>
      </c>
      <c r="E15" s="19" t="n">
        <f aca="false">IFERROR(VLOOKUP($A15,PoolData!$A$10:$I$32,MATCH("ANY Reward % to pool",PoolData!$A$10:$I$10,0),0)*DAILYANY*D15,"")</f>
        <v>1.03916940262838</v>
      </c>
      <c r="F15" s="19" t="n">
        <f aca="false">IFERROR(VLOOKUP($A15,PoolData!$A$10:$T$32,MATCH("Trading Volume in BNB",PoolData!$A$10:$T$10,0),0)*FEEREWARDS*D15,"")</f>
        <v>0</v>
      </c>
      <c r="G15" s="19" t="n">
        <f aca="false" t="array" ref="G15:G15">IFERROR(F15+E15*ANYBNB,"")</f>
        <v>0.0381696885348421</v>
      </c>
      <c r="H15" s="59" t="n">
        <f aca="false" t="array" ref="H15:H15">IFERROR(G15*BNBPRICE,"")</f>
        <v>0.966321879550311</v>
      </c>
      <c r="I15" s="23" t="n">
        <f aca="false">IFERROR(G15/(2*B15),"")</f>
        <v>0.00954242213371053</v>
      </c>
      <c r="J15" s="18" t="n">
        <f aca="false">IFERROR(I15*365,"")</f>
        <v>3.48298407880434</v>
      </c>
      <c r="K15" s="18" t="s">
        <v>63</v>
      </c>
    </row>
    <row r="16" customFormat="false" ht="15" hidden="false" customHeight="false" outlineLevel="0" collapsed="false">
      <c r="A16" s="48" t="s">
        <v>82</v>
      </c>
      <c r="B16" s="58" t="n">
        <v>0</v>
      </c>
      <c r="C16" s="19" t="n">
        <f aca="false">IFERROR(B16/VLOOKUP($A16,PoolData!$A$10:$I$32,MATCH("XXX:BNB Ratio",PoolData!$A$10:$I$10,0),0),"")</f>
        <v>0</v>
      </c>
      <c r="D16" s="23" t="n">
        <f aca="false">IFERROR(B16/VLOOKUP($A16,PoolData!$A$10:$I$32,MATCH("Coin 1 Pool Size",PoolData!$A$10:$I$10,0),0),"")</f>
        <v>0</v>
      </c>
      <c r="E16" s="19" t="n">
        <f aca="false">IFERROR(VLOOKUP($A16,PoolData!$A$10:$I$32,MATCH("ANY Reward % to pool",PoolData!$A$10:$I$10,0),0)*DAILYANY*D16,"")</f>
        <v>0</v>
      </c>
      <c r="F16" s="19" t="n">
        <f aca="false">IFERROR(VLOOKUP($A16,PoolData!$A$10:$T$32,MATCH("Trading Volume in BNB",PoolData!$A$10:$T$10,0),0)*FEEREWARDS*D16,"")</f>
        <v>0</v>
      </c>
      <c r="G16" s="19" t="n">
        <f aca="false" t="array" ref="G16:G16">IFERROR(F16+E16*ANYBNB,"")</f>
        <v>0</v>
      </c>
      <c r="H16" s="59" t="n">
        <f aca="false" t="array" ref="H16:H16">IFERROR(G16*BNBPRICE,"")</f>
        <v>0</v>
      </c>
      <c r="I16" s="23" t="str">
        <f aca="false">IFERROR(G16/(2*B16),"")</f>
        <v/>
      </c>
      <c r="J16" s="18" t="str">
        <f aca="false">IFERROR(I16*365,"")</f>
        <v/>
      </c>
      <c r="K16" s="18" t="s">
        <v>63</v>
      </c>
    </row>
    <row r="17" customFormat="false" ht="15" hidden="false" customHeight="false" outlineLevel="0" collapsed="false">
      <c r="A17" s="48" t="s">
        <v>84</v>
      </c>
      <c r="B17" s="58" t="n">
        <v>0</v>
      </c>
      <c r="C17" s="19" t="str">
        <f aca="false">IFERROR(B17/VLOOKUP($A17,PoolData!$A$10:$I$32,MATCH("XXX:BNB Ratio",PoolData!$A$10:$I$10,0),0),"")</f>
        <v/>
      </c>
      <c r="D17" s="23" t="str">
        <f aca="false">IFERROR(B17/VLOOKUP($A17,PoolData!$A$10:$I$32,MATCH("Coin 1 Pool Size",PoolData!$A$10:$I$10,0),0),"")</f>
        <v/>
      </c>
      <c r="E17" s="19" t="str">
        <f aca="false">IFERROR(VLOOKUP($A17,PoolData!$A$10:$I$32,MATCH("ANY Reward % to pool",PoolData!$A$10:$I$10,0),0)*DAILYANY*D17,"")</f>
        <v/>
      </c>
      <c r="F17" s="19" t="str">
        <f aca="false">IFERROR(VLOOKUP($A17,PoolData!$A$10:$T$32,MATCH("Trading Volume in BNB",PoolData!$A$10:$T$10,0),0)*FEEREWARDS*D17,"")</f>
        <v/>
      </c>
      <c r="G17" s="19" t="str">
        <f aca="false" t="array" ref="G17:G17">IFERROR(F17+E17*ANYBNB,"")</f>
        <v/>
      </c>
      <c r="H17" s="59" t="str">
        <f aca="false" t="array" ref="H17:H17">IFERROR(G17*BNBPRICE,"")</f>
        <v/>
      </c>
      <c r="I17" s="23" t="str">
        <f aca="false">IFERROR(G17/(2*B17),"")</f>
        <v/>
      </c>
      <c r="J17" s="18" t="str">
        <f aca="false">IFERROR(I17*365,"")</f>
        <v/>
      </c>
      <c r="K17" s="18" t="s">
        <v>63</v>
      </c>
    </row>
    <row r="18" customFormat="false" ht="15" hidden="false" customHeight="false" outlineLevel="0" collapsed="false">
      <c r="A18" s="48" t="s">
        <v>84</v>
      </c>
      <c r="B18" s="58" t="n">
        <v>0</v>
      </c>
      <c r="C18" s="19" t="str">
        <f aca="false">IFERROR(B18/VLOOKUP($A18,PoolData!$A$10:$I$32,MATCH("XXX:BNB Ratio",PoolData!$A$10:$I$10,0),0),"")</f>
        <v/>
      </c>
      <c r="D18" s="23" t="str">
        <f aca="false">IFERROR(B18/VLOOKUP($A18,PoolData!$A$10:$I$32,MATCH("Coin 1 Pool Size",PoolData!$A$10:$I$10,0),0),"")</f>
        <v/>
      </c>
      <c r="E18" s="19" t="str">
        <f aca="false">IFERROR(VLOOKUP($A18,PoolData!$A$10:$I$32,MATCH("ANY Reward % to pool",PoolData!$A$10:$I$10,0),0)*DAILYANY*D18,"")</f>
        <v/>
      </c>
      <c r="F18" s="19" t="str">
        <f aca="false">IFERROR(VLOOKUP($A18,PoolData!$A$10:$T$32,MATCH("Trading Volume in BNB",PoolData!$A$10:$T$10,0),0)*FEEREWARDS*D18,"")</f>
        <v/>
      </c>
      <c r="G18" s="19" t="str">
        <f aca="false" t="array" ref="G18:G18">IFERROR(F18+E18*ANYBNB,"")</f>
        <v/>
      </c>
      <c r="H18" s="59" t="str">
        <f aca="false" t="array" ref="H18:H18">IFERROR(G18*BNBPRICE,"")</f>
        <v/>
      </c>
      <c r="I18" s="23" t="str">
        <f aca="false">IFERROR(G18/(2*B18),"")</f>
        <v/>
      </c>
      <c r="J18" s="18" t="str">
        <f aca="false">IFERROR(I18*365,"")</f>
        <v/>
      </c>
      <c r="K18" s="18" t="s">
        <v>63</v>
      </c>
    </row>
    <row r="19" customFormat="false" ht="15" hidden="false" customHeight="false" outlineLevel="0" collapsed="false">
      <c r="A19" s="48" t="s">
        <v>84</v>
      </c>
      <c r="B19" s="58" t="n">
        <v>0</v>
      </c>
      <c r="C19" s="19" t="str">
        <f aca="false">IFERROR(B19/VLOOKUP($A19,PoolData!$A$10:$I$32,MATCH("XXX:BNB Ratio",PoolData!$A$10:$I$10,0),0),"")</f>
        <v/>
      </c>
      <c r="D19" s="23" t="str">
        <f aca="false">IFERROR(B19/VLOOKUP($A19,PoolData!$A$10:$I$32,MATCH("Coin 1 Pool Size",PoolData!$A$10:$I$10,0),0),"")</f>
        <v/>
      </c>
      <c r="E19" s="19" t="str">
        <f aca="false">IFERROR(VLOOKUP($A19,PoolData!$A$10:$I$32,MATCH("ANY Reward % to pool",PoolData!$A$10:$I$10,0),0)*DAILYANY*D19,"")</f>
        <v/>
      </c>
      <c r="F19" s="19" t="str">
        <f aca="false">IFERROR(VLOOKUP($A19,PoolData!$A$10:$T$32,MATCH("Trading Volume in BNB",PoolData!$A$10:$T$10,0),0)*FEEREWARDS*D19,"")</f>
        <v/>
      </c>
      <c r="G19" s="19" t="str">
        <f aca="false" t="array" ref="G19:G19">IFERROR(F19+E19*ANYBNB,"")</f>
        <v/>
      </c>
      <c r="H19" s="59" t="str">
        <f aca="false" t="array" ref="H19:H19">IFERROR(G19*BNBPRICE,"")</f>
        <v/>
      </c>
      <c r="I19" s="23" t="str">
        <f aca="false">IFERROR(G19/(2*B19),"")</f>
        <v/>
      </c>
      <c r="J19" s="18" t="str">
        <f aca="false">IFERROR(I19*365,"")</f>
        <v/>
      </c>
      <c r="K19" s="18" t="s">
        <v>63</v>
      </c>
    </row>
    <row r="20" customFormat="false" ht="15" hidden="false" customHeight="false" outlineLevel="0" collapsed="false">
      <c r="A20" s="48" t="s">
        <v>84</v>
      </c>
      <c r="B20" s="58" t="n">
        <v>0</v>
      </c>
      <c r="C20" s="19" t="str">
        <f aca="false">IFERROR(B20/VLOOKUP($A20,PoolData!$A$10:$I$32,MATCH("XXX:BNB Ratio",PoolData!$A$10:$I$10,0),0),"")</f>
        <v/>
      </c>
      <c r="D20" s="23" t="str">
        <f aca="false">IFERROR(B20/VLOOKUP($A20,PoolData!$A$10:$I$32,MATCH("Coin 1 Pool Size",PoolData!$A$10:$I$10,0),0),"")</f>
        <v/>
      </c>
      <c r="E20" s="19" t="str">
        <f aca="false">IFERROR(VLOOKUP($A20,PoolData!$A$10:$I$32,MATCH("ANY Reward % to pool",PoolData!$A$10:$I$10,0),0)*DAILYANY*D20,"")</f>
        <v/>
      </c>
      <c r="F20" s="19" t="str">
        <f aca="false">IFERROR(VLOOKUP($A20,PoolData!$A$10:$T$32,MATCH("Trading Volume in BNB",PoolData!$A$10:$T$10,0),0)*FEEREWARDS*D20,"")</f>
        <v/>
      </c>
      <c r="G20" s="19" t="str">
        <f aca="false" t="array" ref="G20:G20">IFERROR(F20+E20*ANYBNB,"")</f>
        <v/>
      </c>
      <c r="H20" s="59" t="str">
        <f aca="false" t="array" ref="H20:H20">IFERROR(G20*BNBPRICE,"")</f>
        <v/>
      </c>
      <c r="I20" s="23" t="str">
        <f aca="false">IFERROR(G20/(2*B20),"")</f>
        <v/>
      </c>
      <c r="J20" s="18" t="str">
        <f aca="false">IFERROR(I20*365,"")</f>
        <v/>
      </c>
      <c r="K20" s="18" t="s">
        <v>63</v>
      </c>
    </row>
    <row r="21" customFormat="false" ht="15" hidden="false" customHeight="false" outlineLevel="0" collapsed="false">
      <c r="A21" s="48" t="s">
        <v>84</v>
      </c>
      <c r="B21" s="58" t="n">
        <v>0</v>
      </c>
      <c r="C21" s="19" t="str">
        <f aca="false">IFERROR(B21/VLOOKUP($A21,PoolData!$A$10:$I$32,MATCH("XXX:BNB Ratio",PoolData!$A$10:$I$10,0),0),"")</f>
        <v/>
      </c>
      <c r="D21" s="23" t="str">
        <f aca="false">IFERROR(B21/VLOOKUP($A21,PoolData!$A$10:$I$32,MATCH("Coin 1 Pool Size",PoolData!$A$10:$I$10,0),0),"")</f>
        <v/>
      </c>
      <c r="E21" s="19" t="str">
        <f aca="false">IFERROR(VLOOKUP($A21,PoolData!$A$10:$I$32,MATCH("ANY Reward % to pool",PoolData!$A$10:$I$10,0),0)*DAILYANY*D21,"")</f>
        <v/>
      </c>
      <c r="F21" s="19" t="str">
        <f aca="false">IFERROR(VLOOKUP($A21,PoolData!$A$10:$T$32,MATCH("Trading Volume in BNB",PoolData!$A$10:$T$10,0),0)*FEEREWARDS*D21,"")</f>
        <v/>
      </c>
      <c r="G21" s="19" t="str">
        <f aca="false" t="array" ref="G21:G21">IFERROR(F21+E21*ANYBNB,"")</f>
        <v/>
      </c>
      <c r="H21" s="59" t="str">
        <f aca="false" t="array" ref="H21:H21">IFERROR(G21*BNBPRICE,"")</f>
        <v/>
      </c>
      <c r="I21" s="23" t="str">
        <f aca="false">IFERROR(G21/(2*B21),"")</f>
        <v/>
      </c>
      <c r="J21" s="18" t="str">
        <f aca="false">IFERROR(I21*365,"")</f>
        <v/>
      </c>
      <c r="K21" s="18" t="s">
        <v>63</v>
      </c>
    </row>
    <row r="22" customFormat="false" ht="15" hidden="false" customHeight="false" outlineLevel="0" collapsed="false">
      <c r="A22" s="48" t="s">
        <v>84</v>
      </c>
      <c r="B22" s="58" t="n">
        <v>0</v>
      </c>
      <c r="C22" s="19" t="str">
        <f aca="false">IFERROR(B22/VLOOKUP($A22,PoolData!$A$10:$I$32,MATCH("XXX:BNB Ratio",PoolData!$A$10:$I$10,0),0),"")</f>
        <v/>
      </c>
      <c r="D22" s="23" t="str">
        <f aca="false">IFERROR(B22/VLOOKUP($A22,PoolData!$A$10:$I$32,MATCH("Coin 1 Pool Size",PoolData!$A$10:$I$10,0),0),"")</f>
        <v/>
      </c>
      <c r="E22" s="19" t="str">
        <f aca="false">IFERROR(VLOOKUP($A22,PoolData!$A$10:$I$32,MATCH("ANY Reward % to pool",PoolData!$A$10:$I$10,0),0)*DAILYANY*D22,"")</f>
        <v/>
      </c>
      <c r="F22" s="19" t="str">
        <f aca="false">IFERROR(VLOOKUP($A22,PoolData!$A$10:$T$32,MATCH("Trading Volume in BNB",PoolData!$A$10:$T$10,0),0)*FEEREWARDS*D22,"")</f>
        <v/>
      </c>
      <c r="G22" s="19" t="str">
        <f aca="false" t="array" ref="G22:G22">IFERROR(F22+E22*ANYBNB,"")</f>
        <v/>
      </c>
      <c r="H22" s="59" t="str">
        <f aca="false" t="array" ref="H22:H22">IFERROR(G22*BNBPRICE,"")</f>
        <v/>
      </c>
      <c r="I22" s="23" t="str">
        <f aca="false">IFERROR(G22/(2*B22),"")</f>
        <v/>
      </c>
      <c r="J22" s="18" t="str">
        <f aca="false">IFERROR(I22*365,"")</f>
        <v/>
      </c>
      <c r="K22" s="18" t="s">
        <v>63</v>
      </c>
    </row>
    <row r="23" customFormat="false" ht="15" hidden="false" customHeight="false" outlineLevel="0" collapsed="false">
      <c r="A23" s="48" t="s">
        <v>84</v>
      </c>
      <c r="B23" s="58" t="n">
        <v>0</v>
      </c>
      <c r="C23" s="19" t="str">
        <f aca="false">IFERROR(B23/VLOOKUP($A23,PoolData!$A$10:$I$32,MATCH("XXX:BNB Ratio",PoolData!$A$10:$I$10,0),0),"")</f>
        <v/>
      </c>
      <c r="D23" s="23" t="str">
        <f aca="false">IFERROR(B23/VLOOKUP($A23,PoolData!$A$10:$I$32,MATCH("Coin 1 Pool Size",PoolData!$A$10:$I$10,0),0),"")</f>
        <v/>
      </c>
      <c r="E23" s="19" t="str">
        <f aca="false">IFERROR(VLOOKUP($A23,PoolData!$A$10:$I$32,MATCH("ANY Reward % to pool",PoolData!$A$10:$I$10,0),0)*DAILYANY*D23,"")</f>
        <v/>
      </c>
      <c r="F23" s="19" t="str">
        <f aca="false">IFERROR(VLOOKUP($A23,PoolData!$A$10:$T$32,MATCH("Trading Volume in BNB",PoolData!$A$10:$T$10,0),0)*FEEREWARDS*D23,"")</f>
        <v/>
      </c>
      <c r="G23" s="19" t="str">
        <f aca="false" t="array" ref="G23:G23">IFERROR(F23+E23*ANYBNB,"")</f>
        <v/>
      </c>
      <c r="H23" s="59" t="str">
        <f aca="false" t="array" ref="H23:H23">IFERROR(G23*BNBPRICE,"")</f>
        <v/>
      </c>
      <c r="I23" s="23" t="str">
        <f aca="false">IFERROR(G23/(2*B23),"")</f>
        <v/>
      </c>
      <c r="J23" s="18" t="str">
        <f aca="false">IFERROR(I23*365,"")</f>
        <v/>
      </c>
      <c r="K23" s="18" t="s">
        <v>63</v>
      </c>
    </row>
    <row r="24" customFormat="false" ht="15" hidden="false" customHeight="false" outlineLevel="0" collapsed="false">
      <c r="A24" s="48" t="s">
        <v>84</v>
      </c>
      <c r="B24" s="58" t="n">
        <v>0</v>
      </c>
      <c r="C24" s="19" t="str">
        <f aca="false">IFERROR(B24/VLOOKUP($A24,PoolData!$A$10:$I$32,MATCH("XXX:BNB Ratio",PoolData!$A$10:$I$10,0),0),"")</f>
        <v/>
      </c>
      <c r="D24" s="23" t="str">
        <f aca="false">IFERROR(B24/VLOOKUP($A24,PoolData!$A$10:$I$32,MATCH("Coin 1 Pool Size",PoolData!$A$10:$I$10,0),0),"")</f>
        <v/>
      </c>
      <c r="E24" s="19" t="str">
        <f aca="false">IFERROR(VLOOKUP($A24,PoolData!$A$10:$I$32,MATCH("ANY Reward % to pool",PoolData!$A$10:$I$10,0),0)*DAILYANY*D24,"")</f>
        <v/>
      </c>
      <c r="F24" s="19" t="str">
        <f aca="false">IFERROR(VLOOKUP($A24,PoolData!$A$10:$T$32,MATCH("Trading Volume in BNB",PoolData!$A$10:$T$10,0),0)*FEEREWARDS*D24,"")</f>
        <v/>
      </c>
      <c r="G24" s="19" t="str">
        <f aca="false" t="array" ref="G24:G24">IFERROR(F24+E24*ANYBNB,"")</f>
        <v/>
      </c>
      <c r="H24" s="59" t="str">
        <f aca="false" t="array" ref="H24:H24">IFERROR(G24*BNBPRICE,"")</f>
        <v/>
      </c>
      <c r="I24" s="23" t="str">
        <f aca="false">IFERROR(G24/(2*B24),"")</f>
        <v/>
      </c>
      <c r="J24" s="18" t="str">
        <f aca="false">IFERROR(I24*365,"")</f>
        <v/>
      </c>
      <c r="K24" s="18" t="s">
        <v>63</v>
      </c>
    </row>
    <row r="25" customFormat="false" ht="15" hidden="false" customHeight="false" outlineLevel="0" collapsed="false">
      <c r="A25" s="48" t="s">
        <v>84</v>
      </c>
      <c r="B25" s="58" t="n">
        <v>0</v>
      </c>
      <c r="C25" s="19" t="str">
        <f aca="false">IFERROR(B25/VLOOKUP($A25,PoolData!$A$10:$I$32,MATCH("XXX:BNB Ratio",PoolData!$A$10:$I$10,0),0),"")</f>
        <v/>
      </c>
      <c r="D25" s="23" t="str">
        <f aca="false">IFERROR(B25/VLOOKUP($A25,PoolData!$A$10:$I$32,MATCH("Coin 1 Pool Size",PoolData!$A$10:$I$10,0),0),"")</f>
        <v/>
      </c>
      <c r="E25" s="19" t="str">
        <f aca="false">IFERROR(VLOOKUP($A25,PoolData!$A$10:$I$32,MATCH("ANY Reward % to pool",PoolData!$A$10:$I$10,0),0)*DAILYANY*D25,"")</f>
        <v/>
      </c>
      <c r="F25" s="19" t="str">
        <f aca="false">IFERROR(VLOOKUP($A25,PoolData!$A$10:$T$32,MATCH("Trading Volume in BNB",PoolData!$A$10:$T$10,0),0)*FEEREWARDS*D25,"")</f>
        <v/>
      </c>
      <c r="G25" s="19" t="str">
        <f aca="false" t="array" ref="G25:G25">IFERROR(F25+E25*ANYBNB,"")</f>
        <v/>
      </c>
      <c r="H25" s="59" t="str">
        <f aca="false" t="array" ref="H25:H25">IFERROR(G25*BNBPRICE,"")</f>
        <v/>
      </c>
      <c r="I25" s="23" t="str">
        <f aca="false">IFERROR(G25/(2*B25),"")</f>
        <v/>
      </c>
      <c r="J25" s="18" t="str">
        <f aca="false">IFERROR(I25*365,"")</f>
        <v/>
      </c>
      <c r="K25" s="18" t="s">
        <v>63</v>
      </c>
    </row>
    <row r="26" customFormat="false" ht="15" hidden="false" customHeight="false" outlineLevel="0" collapsed="false">
      <c r="A26" s="48" t="s">
        <v>84</v>
      </c>
      <c r="B26" s="58" t="n">
        <v>0</v>
      </c>
      <c r="C26" s="19" t="str">
        <f aca="false">IFERROR(B26/VLOOKUP($A26,PoolData!$A$10:$I$32,MATCH("XXX:BNB Ratio",PoolData!$A$10:$I$10,0),0),"")</f>
        <v/>
      </c>
      <c r="D26" s="23" t="str">
        <f aca="false">IFERROR(B26/VLOOKUP($A26,PoolData!$A$10:$I$32,MATCH("Coin 1 Pool Size",PoolData!$A$10:$I$10,0),0),"")</f>
        <v/>
      </c>
      <c r="E26" s="19" t="str">
        <f aca="false">IFERROR(VLOOKUP($A26,PoolData!$A$10:$I$32,MATCH("ANY Reward % to pool",PoolData!$A$10:$I$10,0),0)*DAILYANY*D26,"")</f>
        <v/>
      </c>
      <c r="F26" s="19" t="str">
        <f aca="false">IFERROR(VLOOKUP($A26,PoolData!$A$10:$T$32,MATCH("Trading Volume in BNB",PoolData!$A$10:$T$10,0),0)*FEEREWARDS*D26,"")</f>
        <v/>
      </c>
      <c r="G26" s="19" t="str">
        <f aca="false" t="array" ref="G26:G26">IFERROR(F26+E26*ANYBNB,"")</f>
        <v/>
      </c>
      <c r="H26" s="59" t="str">
        <f aca="false" t="array" ref="H26:H26">IFERROR(G26*BNBPRICE,"")</f>
        <v/>
      </c>
      <c r="I26" s="23" t="str">
        <f aca="false">IFERROR(G26/(2*B26),"")</f>
        <v/>
      </c>
      <c r="J26" s="18" t="str">
        <f aca="false">IFERROR(I26*365,"")</f>
        <v/>
      </c>
      <c r="K26" s="18" t="s">
        <v>63</v>
      </c>
    </row>
    <row r="27" customFormat="false" ht="15" hidden="false" customHeight="false" outlineLevel="0" collapsed="false">
      <c r="A27" s="48" t="s">
        <v>84</v>
      </c>
      <c r="B27" s="58" t="n">
        <v>0</v>
      </c>
      <c r="C27" s="19" t="str">
        <f aca="false">IFERROR(B27/VLOOKUP($A27,PoolData!$A$10:$I$32,MATCH("XXX:BNB Ratio",PoolData!$A$10:$I$10,0),0),"")</f>
        <v/>
      </c>
      <c r="D27" s="23" t="str">
        <f aca="false">IFERROR(B27/VLOOKUP($A27,PoolData!$A$10:$I$32,MATCH("Coin 1 Pool Size",PoolData!$A$10:$I$10,0),0),"")</f>
        <v/>
      </c>
      <c r="E27" s="19" t="str">
        <f aca="false">IFERROR(VLOOKUP($A27,PoolData!$A$10:$I$32,MATCH("ANY Reward % to pool",PoolData!$A$10:$I$10,0),0)*DAILYANY*D27,"")</f>
        <v/>
      </c>
      <c r="F27" s="19" t="str">
        <f aca="false">IFERROR(VLOOKUP($A27,PoolData!$A$10:$T$32,MATCH("Trading Volume in BNB",PoolData!$A$10:$T$10,0),0)*FEEREWARDS*D27,"")</f>
        <v/>
      </c>
      <c r="G27" s="19" t="str">
        <f aca="false" t="array" ref="G27:G27">IFERROR(F27+E27*ANYBNB,"")</f>
        <v/>
      </c>
      <c r="H27" s="59" t="str">
        <f aca="false" t="array" ref="H27:H27">IFERROR(G27*BNBPRICE,"")</f>
        <v/>
      </c>
      <c r="I27" s="23" t="str">
        <f aca="false">IFERROR(G27/(2*B27),"")</f>
        <v/>
      </c>
      <c r="J27" s="18" t="str">
        <f aca="false">IFERROR(I27*365,"")</f>
        <v/>
      </c>
      <c r="K27" s="18" t="s">
        <v>63</v>
      </c>
    </row>
    <row r="28" customFormat="false" ht="15" hidden="false" customHeight="false" outlineLevel="0" collapsed="false">
      <c r="A28" s="48" t="s">
        <v>84</v>
      </c>
      <c r="B28" s="58" t="n">
        <v>0</v>
      </c>
      <c r="C28" s="19" t="str">
        <f aca="false">IFERROR(B28/VLOOKUP($A28,PoolData!$A$10:$I$32,MATCH("XXX:BNB Ratio",PoolData!$A$10:$I$10,0),0),"")</f>
        <v/>
      </c>
      <c r="D28" s="23" t="str">
        <f aca="false">IFERROR(B28/VLOOKUP($A28,PoolData!$A$10:$I$32,MATCH("Coin 1 Pool Size",PoolData!$A$10:$I$10,0),0),"")</f>
        <v/>
      </c>
      <c r="E28" s="19" t="str">
        <f aca="false">IFERROR(VLOOKUP($A28,PoolData!$A$10:$I$32,MATCH("ANY Reward % to pool",PoolData!$A$10:$I$10,0),0)*DAILYANY*D28,"")</f>
        <v/>
      </c>
      <c r="F28" s="19" t="str">
        <f aca="false">IFERROR(VLOOKUP($A28,PoolData!$A$10:$T$32,MATCH("Trading Volume in BNB",PoolData!$A$10:$T$10,0),0)*FEEREWARDS*D28,"")</f>
        <v/>
      </c>
      <c r="G28" s="19" t="str">
        <f aca="false" t="array" ref="G28:G28">IFERROR(F28+E28*ANYBNB,"")</f>
        <v/>
      </c>
      <c r="H28" s="59" t="str">
        <f aca="false" t="array" ref="H28:H28">IFERROR(G28*BNBPRICE,"")</f>
        <v/>
      </c>
      <c r="I28" s="23" t="str">
        <f aca="false">IFERROR(G28/(2*B28),"")</f>
        <v/>
      </c>
      <c r="J28" s="18" t="str">
        <f aca="false">IFERROR(I28*365,"")</f>
        <v/>
      </c>
      <c r="K28" s="18" t="s">
        <v>63</v>
      </c>
    </row>
    <row r="29" customFormat="false" ht="15" hidden="false" customHeight="false" outlineLevel="0" collapsed="false">
      <c r="A29" s="48" t="s">
        <v>84</v>
      </c>
      <c r="B29" s="58" t="n">
        <v>0</v>
      </c>
      <c r="C29" s="19" t="str">
        <f aca="false">IFERROR(B29/VLOOKUP($A29,PoolData!$A$10:$I$32,MATCH("XXX:BNB Ratio",PoolData!$A$10:$I$10,0),0),"")</f>
        <v/>
      </c>
      <c r="D29" s="23" t="str">
        <f aca="false">IFERROR(B29/VLOOKUP($A29,PoolData!$A$10:$I$32,MATCH("Coin 1 Pool Size",PoolData!$A$10:$I$10,0),0),"")</f>
        <v/>
      </c>
      <c r="E29" s="19" t="str">
        <f aca="false">IFERROR(VLOOKUP($A29,PoolData!$A$10:$I$32,MATCH("ANY Reward % to pool",PoolData!$A$10:$I$10,0),0)*DAILYANY*D29,"")</f>
        <v/>
      </c>
      <c r="F29" s="19" t="str">
        <f aca="false">IFERROR(VLOOKUP($A29,PoolData!$A$10:$T$32,MATCH("Trading Volume in BNB",PoolData!$A$10:$T$10,0),0)*FEEREWARDS*D29,"")</f>
        <v/>
      </c>
      <c r="G29" s="19" t="str">
        <f aca="false" t="array" ref="G29:G29">IFERROR(F29+E29*ANYBNB,"")</f>
        <v/>
      </c>
      <c r="H29" s="59" t="str">
        <f aca="false" t="array" ref="H29:H29">IFERROR(G29*BNBPRICE,"")</f>
        <v/>
      </c>
      <c r="I29" s="23" t="str">
        <f aca="false">IFERROR(G29/(2*B29),"")</f>
        <v/>
      </c>
      <c r="J29" s="18" t="str">
        <f aca="false">IFERROR(I29*365,"")</f>
        <v/>
      </c>
      <c r="K29" s="18" t="s">
        <v>63</v>
      </c>
    </row>
    <row r="30" customFormat="false" ht="15" hidden="false" customHeight="false" outlineLevel="0" collapsed="false">
      <c r="A30" s="48" t="s">
        <v>84</v>
      </c>
      <c r="B30" s="58" t="n">
        <v>0</v>
      </c>
      <c r="C30" s="19" t="str">
        <f aca="false">IFERROR(B30/VLOOKUP($A30,PoolData!$A$10:$I$32,MATCH("XXX:BNB Ratio",PoolData!$A$10:$I$10,0),0),"")</f>
        <v/>
      </c>
      <c r="D30" s="23" t="str">
        <f aca="false">IFERROR(B30/VLOOKUP($A30,PoolData!$A$10:$I$32,MATCH("Coin 1 Pool Size",PoolData!$A$10:$I$10,0),0),"")</f>
        <v/>
      </c>
      <c r="E30" s="19" t="str">
        <f aca="false">IFERROR(VLOOKUP($A30,PoolData!$A$10:$I$32,MATCH("ANY Reward % to pool",PoolData!$A$10:$I$10,0),0)*DAILYANY*D30,"")</f>
        <v/>
      </c>
      <c r="F30" s="19" t="str">
        <f aca="false">IFERROR(VLOOKUP($A30,PoolData!$A$10:$T$32,MATCH("Trading Volume in BNB",PoolData!$A$10:$T$10,0),0)*FEEREWARDS*D30,"")</f>
        <v/>
      </c>
      <c r="G30" s="19" t="str">
        <f aca="false" t="array" ref="G30:G30">IFERROR(F30+E30*ANYBNB,"")</f>
        <v/>
      </c>
      <c r="H30" s="59" t="str">
        <f aca="false" t="array" ref="H30:H30">IFERROR(G30*BNBPRICE,"")</f>
        <v/>
      </c>
      <c r="I30" s="23" t="str">
        <f aca="false">IFERROR(G30/(2*B30),"")</f>
        <v/>
      </c>
      <c r="J30" s="18" t="str">
        <f aca="false">IFERROR(I30*365,"")</f>
        <v/>
      </c>
      <c r="K30" s="18" t="s">
        <v>63</v>
      </c>
    </row>
    <row r="31" customFormat="false" ht="15" hidden="false" customHeight="false" outlineLevel="0" collapsed="false">
      <c r="A31" s="48" t="s">
        <v>84</v>
      </c>
      <c r="B31" s="58" t="n">
        <v>0</v>
      </c>
      <c r="C31" s="19" t="str">
        <f aca="false">IFERROR(B31/VLOOKUP($A31,PoolData!$A$10:$I$32,MATCH("XXX:BNB Ratio",PoolData!$A$10:$I$10,0),0),"")</f>
        <v/>
      </c>
      <c r="D31" s="23" t="str">
        <f aca="false">IFERROR(B31/VLOOKUP($A31,PoolData!$A$10:$I$32,MATCH("Coin 1 Pool Size",PoolData!$A$10:$I$10,0),0),"")</f>
        <v/>
      </c>
      <c r="E31" s="19" t="str">
        <f aca="false">IFERROR(VLOOKUP($A31,PoolData!$A$10:$I$32,MATCH("ANY Reward % to pool",PoolData!$A$10:$I$10,0),0)*DAILYANY*D31,"")</f>
        <v/>
      </c>
      <c r="F31" s="19" t="str">
        <f aca="false">IFERROR(VLOOKUP($A31,PoolData!$A$10:$T$32,MATCH("Trading Volume in BNB",PoolData!$A$10:$T$10,0),0)*FEEREWARDS*D31,"")</f>
        <v/>
      </c>
      <c r="G31" s="19" t="str">
        <f aca="false" t="array" ref="G31:G31">IFERROR(F31+E31*ANYBNB,"")</f>
        <v/>
      </c>
      <c r="H31" s="59" t="str">
        <f aca="false" t="array" ref="H31:H31">IFERROR(G31*BNBPRICE,"")</f>
        <v/>
      </c>
      <c r="I31" s="23" t="str">
        <f aca="false">IFERROR(G31/(2*B31),"")</f>
        <v/>
      </c>
      <c r="J31" s="18" t="str">
        <f aca="false">IFERROR(I31*365,"")</f>
        <v/>
      </c>
      <c r="K31" s="18" t="s">
        <v>63</v>
      </c>
    </row>
    <row r="32" customFormat="false" ht="15" hidden="false" customHeight="false" outlineLevel="0" collapsed="false">
      <c r="A32" s="48" t="s">
        <v>84</v>
      </c>
      <c r="B32" s="58" t="n">
        <v>0</v>
      </c>
      <c r="C32" s="19" t="str">
        <f aca="false">IFERROR(B32/VLOOKUP($A32,PoolData!$A$10:$I$32,MATCH("XXX:BNB Ratio",PoolData!$A$10:$I$10,0),0),"")</f>
        <v/>
      </c>
      <c r="D32" s="23" t="str">
        <f aca="false">IFERROR(B32/VLOOKUP($A32,PoolData!$A$10:$I$32,MATCH("Coin 1 Pool Size",PoolData!$A$10:$I$10,0),0),"")</f>
        <v/>
      </c>
      <c r="E32" s="19" t="str">
        <f aca="false">IFERROR(VLOOKUP($A32,PoolData!$A$10:$I$32,MATCH("ANY Reward % to pool",PoolData!$A$10:$I$10,0),0)*DAILYANY*D32,"")</f>
        <v/>
      </c>
      <c r="F32" s="19" t="str">
        <f aca="false">IFERROR(VLOOKUP($A32,PoolData!$A$10:$T$32,MATCH("Trading Volume in BNB",PoolData!$A$10:$T$10,0),0)*FEEREWARDS*D32,"")</f>
        <v/>
      </c>
      <c r="G32" s="19" t="str">
        <f aca="false" t="array" ref="G32:G32">IFERROR(F32+E32*ANYBNB,"")</f>
        <v/>
      </c>
      <c r="H32" s="59" t="str">
        <f aca="false" t="array" ref="H32:H32">IFERROR(G32*BNBPRICE,"")</f>
        <v/>
      </c>
      <c r="I32" s="23" t="str">
        <f aca="false">IFERROR(G32/(2*B32),"")</f>
        <v/>
      </c>
      <c r="J32" s="18" t="str">
        <f aca="false">IFERROR(I32*365,"")</f>
        <v/>
      </c>
      <c r="K32" s="18" t="s">
        <v>63</v>
      </c>
    </row>
    <row r="33" customFormat="false" ht="15" hidden="false" customHeight="false" outlineLevel="0" collapsed="false">
      <c r="A33" s="48" t="s">
        <v>84</v>
      </c>
      <c r="B33" s="58" t="n">
        <v>0</v>
      </c>
      <c r="C33" s="19" t="str">
        <f aca="false">IFERROR(B33/VLOOKUP($A33,PoolData!$A$10:$I$32,MATCH("XXX:BNB Ratio",PoolData!$A$10:$I$10,0),0),"")</f>
        <v/>
      </c>
      <c r="D33" s="23" t="str">
        <f aca="false">IFERROR(B33/VLOOKUP($A33,PoolData!$A$10:$I$32,MATCH("Coin 1 Pool Size",PoolData!$A$10:$I$10,0),0),"")</f>
        <v/>
      </c>
      <c r="E33" s="19" t="str">
        <f aca="false">IFERROR(VLOOKUP($A33,PoolData!$A$10:$I$32,MATCH("ANY Reward % to pool",PoolData!$A$10:$I$10,0),0)*DAILYANY*D33,"")</f>
        <v/>
      </c>
      <c r="F33" s="19" t="str">
        <f aca="false">IFERROR(VLOOKUP($A33,PoolData!$A$10:$T$32,MATCH("Trading Volume in BNB",PoolData!$A$10:$T$10,0),0)*FEEREWARDS*D33,"")</f>
        <v/>
      </c>
      <c r="G33" s="19" t="str">
        <f aca="false" t="array" ref="G33:G33">IFERROR(F33+E33*ANYBNB,"")</f>
        <v/>
      </c>
      <c r="H33" s="59" t="str">
        <f aca="false" t="array" ref="H33:H33">IFERROR(G33*BNBPRICE,"")</f>
        <v/>
      </c>
      <c r="I33" s="23" t="str">
        <f aca="false">IFERROR(G33/(2*B33),"")</f>
        <v/>
      </c>
      <c r="J33" s="18" t="str">
        <f aca="false">IFERROR(I33*365,"")</f>
        <v/>
      </c>
      <c r="K33" s="18" t="s">
        <v>63</v>
      </c>
    </row>
    <row r="34" customFormat="false" ht="15" hidden="false" customHeight="false" outlineLevel="0" collapsed="false">
      <c r="A34" s="48" t="s">
        <v>84</v>
      </c>
      <c r="B34" s="58" t="n">
        <v>0</v>
      </c>
      <c r="C34" s="19" t="str">
        <f aca="false">IFERROR(B34/VLOOKUP($A34,PoolData!$A$10:$I$32,MATCH("XXX:BNB Ratio",PoolData!$A$10:$I$10,0),0),"")</f>
        <v/>
      </c>
      <c r="D34" s="23" t="str">
        <f aca="false">IFERROR(B34/VLOOKUP($A34,PoolData!$A$10:$I$32,MATCH("Coin 1 Pool Size",PoolData!$A$10:$I$10,0),0),"")</f>
        <v/>
      </c>
      <c r="E34" s="19" t="str">
        <f aca="false">IFERROR(VLOOKUP($A34,PoolData!$A$10:$I$32,MATCH("ANY Reward % to pool",PoolData!$A$10:$I$10,0),0)*DAILYANY*D34,"")</f>
        <v/>
      </c>
      <c r="F34" s="19" t="str">
        <f aca="false">IFERROR(VLOOKUP($A34,PoolData!$A$10:$T$32,MATCH("Trading Volume in BNB",PoolData!$A$10:$T$10,0),0)*FEEREWARDS*D34,"")</f>
        <v/>
      </c>
      <c r="G34" s="19" t="str">
        <f aca="false" t="array" ref="G34:G34">IFERROR(F34+E34*ANYBNB,"")</f>
        <v/>
      </c>
      <c r="H34" s="59" t="str">
        <f aca="false" t="array" ref="H34:H34">IFERROR(G34*BNBPRICE,"")</f>
        <v/>
      </c>
      <c r="I34" s="23" t="str">
        <f aca="false">IFERROR(G34/(2*B34),"")</f>
        <v/>
      </c>
      <c r="J34" s="18" t="str">
        <f aca="false">IFERROR(I34*365,"")</f>
        <v/>
      </c>
      <c r="K34" s="18" t="s">
        <v>63</v>
      </c>
    </row>
    <row r="35" customFormat="false" ht="15" hidden="false" customHeight="false" outlineLevel="0" collapsed="false">
      <c r="A35" s="48" t="s">
        <v>84</v>
      </c>
      <c r="B35" s="58" t="n">
        <v>0</v>
      </c>
      <c r="C35" s="19" t="str">
        <f aca="false">IFERROR(B35/VLOOKUP($A35,PoolData!$A$10:$I$32,MATCH("XXX:BNB Ratio",PoolData!$A$10:$I$10,0),0),"")</f>
        <v/>
      </c>
      <c r="D35" s="23" t="str">
        <f aca="false">IFERROR(B35/VLOOKUP($A35,PoolData!$A$10:$I$32,MATCH("Coin 1 Pool Size",PoolData!$A$10:$I$10,0),0),"")</f>
        <v/>
      </c>
      <c r="E35" s="19" t="str">
        <f aca="false">IFERROR(VLOOKUP($A35,PoolData!$A$10:$I$32,MATCH("ANY Reward % to pool",PoolData!$A$10:$I$10,0),0)*DAILYANY*D35,"")</f>
        <v/>
      </c>
      <c r="F35" s="19" t="str">
        <f aca="false">IFERROR(VLOOKUP($A35,PoolData!$A$10:$T$32,MATCH("Trading Volume in BNB",PoolData!$A$10:$T$10,0),0)*FEEREWARDS*D35,"")</f>
        <v/>
      </c>
      <c r="G35" s="19" t="str">
        <f aca="false" t="array" ref="G35:G35">IFERROR(F35+E35*ANYBNB,"")</f>
        <v/>
      </c>
      <c r="H35" s="59" t="str">
        <f aca="false" t="array" ref="H35:H35">IFERROR(G35*BNBPRICE,"")</f>
        <v/>
      </c>
      <c r="I35" s="23" t="str">
        <f aca="false">IFERROR(G35/(2*B35),"")</f>
        <v/>
      </c>
      <c r="J35" s="18" t="str">
        <f aca="false">IFERROR(I35*365,"")</f>
        <v/>
      </c>
      <c r="K35" s="18" t="s">
        <v>63</v>
      </c>
    </row>
    <row r="36" customFormat="false" ht="15" hidden="false" customHeight="false" outlineLevel="0" collapsed="false">
      <c r="A36" s="48" t="s">
        <v>84</v>
      </c>
      <c r="B36" s="58" t="n">
        <v>0</v>
      </c>
      <c r="C36" s="19" t="str">
        <f aca="false">IFERROR(B36/VLOOKUP($A36,PoolData!$A$10:$I$32,MATCH("XXX:BNB Ratio",PoolData!$A$10:$I$10,0),0),"")</f>
        <v/>
      </c>
      <c r="D36" s="23" t="str">
        <f aca="false">IFERROR(B36/VLOOKUP($A36,PoolData!$A$10:$I$32,MATCH("Coin 1 Pool Size",PoolData!$A$10:$I$10,0),0),"")</f>
        <v/>
      </c>
      <c r="E36" s="19" t="str">
        <f aca="false">IFERROR(VLOOKUP($A36,PoolData!$A$10:$I$32,MATCH("ANY Reward % to pool",PoolData!$A$10:$I$10,0),0)*DAILYANY*D36,"")</f>
        <v/>
      </c>
      <c r="F36" s="19" t="str">
        <f aca="false">IFERROR(VLOOKUP($A36,PoolData!$A$10:$T$32,MATCH("Trading Volume in BNB",PoolData!$A$10:$T$10,0),0)*FEEREWARDS*D36,"")</f>
        <v/>
      </c>
      <c r="G36" s="19" t="str">
        <f aca="false" t="array" ref="G36:G36">IFERROR(F36+E36*ANYBNB,"")</f>
        <v/>
      </c>
      <c r="H36" s="59" t="str">
        <f aca="false" t="array" ref="H36:H36">IFERROR(G36*BNBPRICE,"")</f>
        <v/>
      </c>
      <c r="I36" s="23" t="str">
        <f aca="false">IFERROR(G36/(2*B36),"")</f>
        <v/>
      </c>
      <c r="J36" s="18" t="str">
        <f aca="false">IFERROR(I36*365,"")</f>
        <v/>
      </c>
      <c r="K36" s="18" t="s">
        <v>63</v>
      </c>
    </row>
    <row r="37" customFormat="false" ht="15" hidden="false" customHeight="false" outlineLevel="0" collapsed="false">
      <c r="A37" s="48" t="s">
        <v>84</v>
      </c>
      <c r="B37" s="58" t="n">
        <v>0</v>
      </c>
      <c r="C37" s="19" t="str">
        <f aca="false">IFERROR(B37/VLOOKUP($A37,PoolData!$A$10:$I$32,MATCH("XXX:BNB Ratio",PoolData!$A$10:$I$10,0),0),"")</f>
        <v/>
      </c>
      <c r="D37" s="23" t="str">
        <f aca="false">IFERROR(B37/VLOOKUP($A37,PoolData!$A$10:$I$32,MATCH("Coin 1 Pool Size",PoolData!$A$10:$I$10,0),0),"")</f>
        <v/>
      </c>
      <c r="E37" s="19" t="str">
        <f aca="false">IFERROR(VLOOKUP($A37,PoolData!$A$10:$I$32,MATCH("ANY Reward % to pool",PoolData!$A$10:$I$10,0),0)*DAILYANY*D37,"")</f>
        <v/>
      </c>
      <c r="F37" s="19" t="str">
        <f aca="false">IFERROR(VLOOKUP($A37,PoolData!$A$10:$T$32,MATCH("Trading Volume in BNB",PoolData!$A$10:$T$10,0),0)*FEEREWARDS*D37,"")</f>
        <v/>
      </c>
      <c r="G37" s="19" t="str">
        <f aca="false" t="array" ref="G37:G37">IFERROR(F37+E37*ANYBNB,"")</f>
        <v/>
      </c>
      <c r="H37" s="59" t="str">
        <f aca="false" t="array" ref="H37:H37">IFERROR(G37*BNBPRICE,"")</f>
        <v/>
      </c>
      <c r="I37" s="23" t="str">
        <f aca="false">IFERROR(G37/(2*B37),"")</f>
        <v/>
      </c>
      <c r="J37" s="18" t="str">
        <f aca="false">IFERROR(I37*365,"")</f>
        <v/>
      </c>
      <c r="K37" s="18" t="s">
        <v>63</v>
      </c>
    </row>
    <row r="38" customFormat="false" ht="15" hidden="false" customHeight="false" outlineLevel="0" collapsed="false">
      <c r="A38" s="48" t="s">
        <v>84</v>
      </c>
      <c r="B38" s="58" t="n">
        <v>0</v>
      </c>
      <c r="C38" s="19" t="str">
        <f aca="false">IFERROR(B38/VLOOKUP($A38,PoolData!$A$10:$I$32,MATCH("XXX:BNB Ratio",PoolData!$A$10:$I$10,0),0),"")</f>
        <v/>
      </c>
      <c r="D38" s="23" t="str">
        <f aca="false">IFERROR(B38/VLOOKUP($A38,PoolData!$A$10:$I$32,MATCH("Coin 1 Pool Size",PoolData!$A$10:$I$10,0),0),"")</f>
        <v/>
      </c>
      <c r="E38" s="19" t="str">
        <f aca="false">IFERROR(VLOOKUP($A38,PoolData!$A$10:$I$32,MATCH("ANY Reward % to pool",PoolData!$A$10:$I$10,0),0)*DAILYANY*D38,"")</f>
        <v/>
      </c>
      <c r="F38" s="19" t="str">
        <f aca="false">IFERROR(VLOOKUP($A38,PoolData!$A$10:$T$32,MATCH("Trading Volume in BNB",PoolData!$A$10:$T$10,0),0)*FEEREWARDS*D38,"")</f>
        <v/>
      </c>
      <c r="G38" s="19" t="str">
        <f aca="false" t="array" ref="G38:G38">IFERROR(F38+E38*ANYBNB,"")</f>
        <v/>
      </c>
      <c r="H38" s="59" t="str">
        <f aca="false" t="array" ref="H38:H38">IFERROR(G38*BNBPRICE,"")</f>
        <v/>
      </c>
      <c r="I38" s="23" t="str">
        <f aca="false">IFERROR(G38/(2*B38),"")</f>
        <v/>
      </c>
      <c r="J38" s="18" t="str">
        <f aca="false">IFERROR(I38*365,"")</f>
        <v/>
      </c>
      <c r="K38" s="18" t="s">
        <v>63</v>
      </c>
    </row>
    <row r="39" customFormat="false" ht="15" hidden="false" customHeight="false" outlineLevel="0" collapsed="false">
      <c r="A39" s="48" t="s">
        <v>84</v>
      </c>
      <c r="B39" s="58" t="n">
        <v>0</v>
      </c>
      <c r="C39" s="19" t="str">
        <f aca="false">IFERROR(B39/VLOOKUP($A39,PoolData!$A$10:$I$32,MATCH("XXX:BNB Ratio",PoolData!$A$10:$I$10,0),0),"")</f>
        <v/>
      </c>
      <c r="D39" s="23" t="str">
        <f aca="false">IFERROR(B39/VLOOKUP($A39,PoolData!$A$10:$I$32,MATCH("Coin 1 Pool Size",PoolData!$A$10:$I$10,0),0),"")</f>
        <v/>
      </c>
      <c r="E39" s="19" t="str">
        <f aca="false">IFERROR(VLOOKUP($A39,PoolData!$A$10:$I$32,MATCH("ANY Reward % to pool",PoolData!$A$10:$I$10,0),0)*DAILYANY*D39,"")</f>
        <v/>
      </c>
      <c r="F39" s="19" t="str">
        <f aca="false">IFERROR(VLOOKUP($A39,PoolData!$A$10:$T$32,MATCH("Trading Volume in BNB",PoolData!$A$10:$T$10,0),0)*FEEREWARDS*D39,"")</f>
        <v/>
      </c>
      <c r="G39" s="19" t="str">
        <f aca="false" t="array" ref="G39:G39">IFERROR(F39+E39*ANYBNB,"")</f>
        <v/>
      </c>
      <c r="H39" s="59" t="str">
        <f aca="false" t="array" ref="H39:H39">IFERROR(G39*BNBPRICE,"")</f>
        <v/>
      </c>
      <c r="I39" s="23" t="str">
        <f aca="false">IFERROR(G39/(2*B39),"")</f>
        <v/>
      </c>
      <c r="J39" s="18" t="str">
        <f aca="false">IFERROR(I39*365,"")</f>
        <v/>
      </c>
      <c r="K39" s="18" t="s">
        <v>63</v>
      </c>
    </row>
    <row r="40" customFormat="false" ht="15" hidden="false" customHeight="false" outlineLevel="0" collapsed="false">
      <c r="A40" s="48" t="s">
        <v>84</v>
      </c>
      <c r="B40" s="58" t="n">
        <v>0</v>
      </c>
      <c r="C40" s="19" t="str">
        <f aca="false">IFERROR(B40/VLOOKUP($A40,PoolData!$A$10:$I$32,MATCH("XXX:BNB Ratio",PoolData!$A$10:$I$10,0),0),"")</f>
        <v/>
      </c>
      <c r="D40" s="23" t="str">
        <f aca="false">IFERROR(B40/VLOOKUP($A40,PoolData!$A$10:$I$32,MATCH("Coin 1 Pool Size",PoolData!$A$10:$I$10,0),0),"")</f>
        <v/>
      </c>
      <c r="E40" s="19" t="str">
        <f aca="false">IFERROR(VLOOKUP($A40,PoolData!$A$10:$I$32,MATCH("ANY Reward % to pool",PoolData!$A$10:$I$10,0),0)*DAILYANY*D40,"")</f>
        <v/>
      </c>
      <c r="F40" s="19" t="str">
        <f aca="false">IFERROR(VLOOKUP($A40,PoolData!$A$10:$T$32,MATCH("Trading Volume in BNB",PoolData!$A$10:$T$10,0),0)*FEEREWARDS*D40,"")</f>
        <v/>
      </c>
      <c r="G40" s="19" t="str">
        <f aca="false" t="array" ref="G40:G40">IFERROR(F40+E40*ANYBNB,"")</f>
        <v/>
      </c>
      <c r="H40" s="59" t="str">
        <f aca="false" t="array" ref="H40:H40">IFERROR(G40*BNBPRICE,"")</f>
        <v/>
      </c>
      <c r="I40" s="23" t="str">
        <f aca="false">IFERROR(G40/(2*B40),"")</f>
        <v/>
      </c>
      <c r="J40" s="18" t="str">
        <f aca="false">IFERROR(I40*365,"")</f>
        <v/>
      </c>
      <c r="K40" s="18" t="s">
        <v>63</v>
      </c>
    </row>
    <row r="41" customFormat="false" ht="15" hidden="false" customHeight="false" outlineLevel="0" collapsed="false">
      <c r="A41" s="48" t="s">
        <v>84</v>
      </c>
      <c r="B41" s="58" t="n">
        <v>0</v>
      </c>
      <c r="C41" s="19" t="str">
        <f aca="false">IFERROR(B41/VLOOKUP($A41,PoolData!$A$10:$I$32,MATCH("XXX:BNB Ratio",PoolData!$A$10:$I$10,0),0),"")</f>
        <v/>
      </c>
      <c r="D41" s="23" t="str">
        <f aca="false">IFERROR(B41/VLOOKUP($A41,PoolData!$A$10:$I$32,MATCH("Coin 1 Pool Size",PoolData!$A$10:$I$10,0),0),"")</f>
        <v/>
      </c>
      <c r="E41" s="19" t="str">
        <f aca="false">IFERROR(VLOOKUP($A41,PoolData!$A$10:$I$32,MATCH("ANY Reward % to pool",PoolData!$A$10:$I$10,0),0)*DAILYANY*D41,"")</f>
        <v/>
      </c>
      <c r="F41" s="19" t="str">
        <f aca="false">IFERROR(VLOOKUP($A41,PoolData!$A$10:$T$32,MATCH("Trading Volume in BNB",PoolData!$A$10:$T$10,0),0)*FEEREWARDS*D41,"")</f>
        <v/>
      </c>
      <c r="G41" s="19" t="str">
        <f aca="false" t="array" ref="G41:G41">IFERROR(F41+E41*ANYBNB,"")</f>
        <v/>
      </c>
      <c r="H41" s="59" t="str">
        <f aca="false" t="array" ref="H41:H41">IFERROR(G41*BNBPRICE,"")</f>
        <v/>
      </c>
      <c r="I41" s="23" t="str">
        <f aca="false">IFERROR(G41/(2*B41),"")</f>
        <v/>
      </c>
      <c r="J41" s="18" t="str">
        <f aca="false">IFERROR(I41*365,"")</f>
        <v/>
      </c>
      <c r="K41" s="18" t="s">
        <v>63</v>
      </c>
    </row>
    <row r="42" customFormat="false" ht="15" hidden="false" customHeight="false" outlineLevel="0" collapsed="false">
      <c r="A42" s="48" t="s">
        <v>84</v>
      </c>
      <c r="B42" s="58" t="n">
        <v>0</v>
      </c>
      <c r="C42" s="19" t="str">
        <f aca="false">IFERROR(B42/VLOOKUP($A42,PoolData!$A$10:$I$32,MATCH("XXX:BNB Ratio",PoolData!$A$10:$I$10,0),0),"")</f>
        <v/>
      </c>
      <c r="D42" s="23" t="str">
        <f aca="false">IFERROR(B42/VLOOKUP($A42,PoolData!$A$10:$I$32,MATCH("Coin 1 Pool Size",PoolData!$A$10:$I$10,0),0),"")</f>
        <v/>
      </c>
      <c r="E42" s="19" t="str">
        <f aca="false">IFERROR(VLOOKUP($A42,PoolData!$A$10:$I$32,MATCH("ANY Reward % to pool",PoolData!$A$10:$I$10,0),0)*DAILYANY*D42,"")</f>
        <v/>
      </c>
      <c r="F42" s="19" t="str">
        <f aca="false">IFERROR(VLOOKUP($A42,PoolData!$A$10:$T$32,MATCH("Trading Volume in BNB",PoolData!$A$10:$T$10,0),0)*FEEREWARDS*D42,"")</f>
        <v/>
      </c>
      <c r="G42" s="19" t="str">
        <f aca="false" t="array" ref="G42:G42">IFERROR(F42+E42*ANYBNB,"")</f>
        <v/>
      </c>
      <c r="H42" s="59" t="str">
        <f aca="false" t="array" ref="H42:H42">IFERROR(G42*BNBPRICE,"")</f>
        <v/>
      </c>
      <c r="I42" s="23" t="str">
        <f aca="false">IFERROR(G42/(2*B42),"")</f>
        <v/>
      </c>
      <c r="J42" s="18" t="str">
        <f aca="false">IFERROR(I42*365,"")</f>
        <v/>
      </c>
      <c r="K42" s="18" t="s">
        <v>63</v>
      </c>
    </row>
    <row r="43" customFormat="false" ht="15" hidden="false" customHeight="false" outlineLevel="0" collapsed="false">
      <c r="A43" s="48" t="s">
        <v>84</v>
      </c>
      <c r="B43" s="58" t="n">
        <v>0</v>
      </c>
      <c r="C43" s="19" t="str">
        <f aca="false">IFERROR(B43/VLOOKUP($A43,PoolData!$A$10:$I$32,MATCH("XXX:BNB Ratio",PoolData!$A$10:$I$10,0),0),"")</f>
        <v/>
      </c>
      <c r="D43" s="23" t="str">
        <f aca="false">IFERROR(B43/VLOOKUP($A43,PoolData!$A$10:$I$32,MATCH("Coin 1 Pool Size",PoolData!$A$10:$I$10,0),0),"")</f>
        <v/>
      </c>
      <c r="E43" s="19" t="str">
        <f aca="false">IFERROR(VLOOKUP($A43,PoolData!$A$10:$I$32,MATCH("ANY Reward % to pool",PoolData!$A$10:$I$10,0),0)*DAILYANY*D43,"")</f>
        <v/>
      </c>
      <c r="F43" s="19" t="str">
        <f aca="false">IFERROR(VLOOKUP($A43,PoolData!$A$10:$T$32,MATCH("Trading Volume in BNB",PoolData!$A$10:$T$10,0),0)*FEEREWARDS*D43,"")</f>
        <v/>
      </c>
      <c r="G43" s="19" t="str">
        <f aca="false" t="array" ref="G43:G43">IFERROR(F43+E43*ANYBNB,"")</f>
        <v/>
      </c>
      <c r="H43" s="59" t="str">
        <f aca="false" t="array" ref="H43:H43">IFERROR(G43*BNBPRICE,"")</f>
        <v/>
      </c>
      <c r="I43" s="23" t="str">
        <f aca="false">IFERROR(G43/(2*B43),"")</f>
        <v/>
      </c>
      <c r="J43" s="18" t="str">
        <f aca="false">IFERROR(I43*365,"")</f>
        <v/>
      </c>
      <c r="K43" s="18" t="s">
        <v>63</v>
      </c>
    </row>
    <row r="44" customFormat="false" ht="15" hidden="false" customHeight="false" outlineLevel="0" collapsed="false">
      <c r="A44" s="48" t="s">
        <v>84</v>
      </c>
      <c r="B44" s="58" t="n">
        <v>0</v>
      </c>
      <c r="C44" s="19" t="str">
        <f aca="false">IFERROR(B44/VLOOKUP($A44,PoolData!$A$10:$I$32,MATCH("XXX:BNB Ratio",PoolData!$A$10:$I$10,0),0),"")</f>
        <v/>
      </c>
      <c r="D44" s="23" t="str">
        <f aca="false">IFERROR(B44/VLOOKUP($A44,PoolData!$A$10:$I$32,MATCH("Coin 1 Pool Size",PoolData!$A$10:$I$10,0),0),"")</f>
        <v/>
      </c>
      <c r="E44" s="19" t="str">
        <f aca="false">IFERROR(VLOOKUP($A44,PoolData!$A$10:$I$32,MATCH("ANY Reward % to pool",PoolData!$A$10:$I$10,0),0)*DAILYANY*D44,"")</f>
        <v/>
      </c>
      <c r="F44" s="19" t="str">
        <f aca="false">IFERROR(VLOOKUP($A44,PoolData!$A$10:$T$32,MATCH("Trading Volume in BNB",PoolData!$A$10:$T$10,0),0)*FEEREWARDS*D44,"")</f>
        <v/>
      </c>
      <c r="G44" s="19" t="str">
        <f aca="false" t="array" ref="G44:G44">IFERROR(F44+E44*ANYBNB,"")</f>
        <v/>
      </c>
      <c r="H44" s="59" t="str">
        <f aca="false" t="array" ref="H44:H44">IFERROR(G44*BNBPRICE,"")</f>
        <v/>
      </c>
      <c r="I44" s="23" t="str">
        <f aca="false">IFERROR(G44/(2*B44),"")</f>
        <v/>
      </c>
      <c r="J44" s="18" t="str">
        <f aca="false">IFERROR(I44*365,"")</f>
        <v/>
      </c>
      <c r="K44" s="18" t="s">
        <v>63</v>
      </c>
    </row>
    <row r="45" customFormat="false" ht="15" hidden="false" customHeight="false" outlineLevel="0" collapsed="false">
      <c r="A45" s="48" t="s">
        <v>84</v>
      </c>
      <c r="B45" s="58" t="n">
        <v>0</v>
      </c>
      <c r="C45" s="19" t="str">
        <f aca="false">IFERROR(B45/VLOOKUP($A45,PoolData!$A$10:$I$32,MATCH("XXX:BNB Ratio",PoolData!$A$10:$I$10,0),0),"")</f>
        <v/>
      </c>
      <c r="D45" s="23" t="str">
        <f aca="false">IFERROR(B45/VLOOKUP($A45,PoolData!$A$10:$I$32,MATCH("Coin 1 Pool Size",PoolData!$A$10:$I$10,0),0),"")</f>
        <v/>
      </c>
      <c r="E45" s="19" t="str">
        <f aca="false">IFERROR(VLOOKUP($A45,PoolData!$A$10:$I$32,MATCH("ANY Reward % to pool",PoolData!$A$10:$I$10,0),0)*DAILYANY*D45,"")</f>
        <v/>
      </c>
      <c r="F45" s="19" t="str">
        <f aca="false">IFERROR(VLOOKUP($A45,PoolData!$A$10:$T$32,MATCH("Trading Volume in BNB",PoolData!$A$10:$T$10,0),0)*FEEREWARDS*D45,"")</f>
        <v/>
      </c>
      <c r="G45" s="19" t="str">
        <f aca="false" t="array" ref="G45:G45">IFERROR(F45+E45*ANYBNB,"")</f>
        <v/>
      </c>
      <c r="H45" s="59" t="str">
        <f aca="false" t="array" ref="H45:H45">IFERROR(G45*BNBPRICE,"")</f>
        <v/>
      </c>
      <c r="I45" s="23" t="str">
        <f aca="false">IFERROR(G45/(2*B45),"")</f>
        <v/>
      </c>
      <c r="J45" s="18" t="str">
        <f aca="false">IFERROR(I45*365,"")</f>
        <v/>
      </c>
      <c r="K45" s="18" t="s">
        <v>63</v>
      </c>
    </row>
    <row r="46" customFormat="false" ht="15" hidden="false" customHeight="false" outlineLevel="0" collapsed="false">
      <c r="A46" s="48" t="s">
        <v>84</v>
      </c>
      <c r="B46" s="58" t="n">
        <v>0</v>
      </c>
      <c r="C46" s="19" t="str">
        <f aca="false">IFERROR(B46/VLOOKUP($A46,PoolData!$A$10:$I$32,MATCH("XXX:BNB Ratio",PoolData!$A$10:$I$10,0),0),"")</f>
        <v/>
      </c>
      <c r="D46" s="23" t="str">
        <f aca="false">IFERROR(B46/VLOOKUP($A46,PoolData!$A$10:$I$32,MATCH("Coin 1 Pool Size",PoolData!$A$10:$I$10,0),0),"")</f>
        <v/>
      </c>
      <c r="E46" s="19" t="str">
        <f aca="false">IFERROR(VLOOKUP($A46,PoolData!$A$10:$I$32,MATCH("ANY Reward % to pool",PoolData!$A$10:$I$10,0),0)*DAILYANY*D46,"")</f>
        <v/>
      </c>
      <c r="F46" s="19" t="str">
        <f aca="false">IFERROR(VLOOKUP($A46,PoolData!$A$10:$T$32,MATCH("Trading Volume in BNB",PoolData!$A$10:$T$10,0),0)*FEEREWARDS*D46,"")</f>
        <v/>
      </c>
      <c r="G46" s="19" t="str">
        <f aca="false" t="array" ref="G46:G46">IFERROR(F46+E46*ANYBNB,"")</f>
        <v/>
      </c>
      <c r="H46" s="59" t="str">
        <f aca="false" t="array" ref="H46:H46">IFERROR(G46*BNBPRICE,"")</f>
        <v/>
      </c>
      <c r="I46" s="23" t="str">
        <f aca="false">IFERROR(G46/(2*B46),"")</f>
        <v/>
      </c>
      <c r="J46" s="18" t="str">
        <f aca="false">IFERROR(I46*365,"")</f>
        <v/>
      </c>
      <c r="K46" s="18" t="s">
        <v>63</v>
      </c>
    </row>
    <row r="47" customFormat="false" ht="15" hidden="false" customHeight="false" outlineLevel="0" collapsed="false">
      <c r="A47" s="48" t="s">
        <v>84</v>
      </c>
      <c r="B47" s="58" t="n">
        <v>0</v>
      </c>
      <c r="C47" s="19" t="str">
        <f aca="false">IFERROR(B47/VLOOKUP($A47,PoolData!$A$10:$I$32,MATCH("XXX:BNB Ratio",PoolData!$A$10:$I$10,0),0),"")</f>
        <v/>
      </c>
      <c r="D47" s="23" t="str">
        <f aca="false">IFERROR(B47/VLOOKUP($A47,PoolData!$A$10:$I$32,MATCH("Coin 1 Pool Size",PoolData!$A$10:$I$10,0),0),"")</f>
        <v/>
      </c>
      <c r="E47" s="19" t="str">
        <f aca="false">IFERROR(VLOOKUP($A47,PoolData!$A$10:$I$32,MATCH("ANY Reward % to pool",PoolData!$A$10:$I$10,0),0)*DAILYANY*D47,"")</f>
        <v/>
      </c>
      <c r="F47" s="19" t="str">
        <f aca="false">IFERROR(VLOOKUP($A47,PoolData!$A$10:$T$32,MATCH("Trading Volume in BNB",PoolData!$A$10:$T$10,0),0)*FEEREWARDS*D47,"")</f>
        <v/>
      </c>
      <c r="G47" s="19" t="str">
        <f aca="false" t="array" ref="G47:G47">IFERROR(F47+E47*ANYBNB,"")</f>
        <v/>
      </c>
      <c r="H47" s="59" t="str">
        <f aca="false" t="array" ref="H47:H47">IFERROR(G47*BNBPRICE,"")</f>
        <v/>
      </c>
      <c r="I47" s="23" t="str">
        <f aca="false">IFERROR(G47/(2*B47),"")</f>
        <v/>
      </c>
      <c r="J47" s="18" t="str">
        <f aca="false">IFERROR(I47*365,"")</f>
        <v/>
      </c>
      <c r="K47" s="18" t="s">
        <v>63</v>
      </c>
    </row>
    <row r="48" customFormat="false" ht="15" hidden="false" customHeight="false" outlineLevel="0" collapsed="false">
      <c r="A48" s="48" t="s">
        <v>84</v>
      </c>
      <c r="B48" s="58" t="n">
        <v>0</v>
      </c>
      <c r="C48" s="19" t="str">
        <f aca="false">IFERROR(B48/VLOOKUP($A48,PoolData!$A$10:$I$32,MATCH("XXX:BNB Ratio",PoolData!$A$10:$I$10,0),0),"")</f>
        <v/>
      </c>
      <c r="D48" s="23" t="str">
        <f aca="false">IFERROR(B48/VLOOKUP($A48,PoolData!$A$10:$I$32,MATCH("Coin 1 Pool Size",PoolData!$A$10:$I$10,0),0),"")</f>
        <v/>
      </c>
      <c r="E48" s="19" t="str">
        <f aca="false">IFERROR(VLOOKUP($A48,PoolData!$A$10:$I$32,MATCH("ANY Reward % to pool",PoolData!$A$10:$I$10,0),0)*DAILYANY*D48,"")</f>
        <v/>
      </c>
      <c r="F48" s="19" t="str">
        <f aca="false">IFERROR(VLOOKUP($A48,PoolData!$A$10:$T$32,MATCH("Trading Volume in BNB",PoolData!$A$10:$T$10,0),0)*FEEREWARDS*D48,"")</f>
        <v/>
      </c>
      <c r="G48" s="19" t="str">
        <f aca="false" t="array" ref="G48:G48">IFERROR(F48+E48*ANYBNB,"")</f>
        <v/>
      </c>
      <c r="H48" s="59" t="str">
        <f aca="false" t="array" ref="H48:H48">IFERROR(G48*BNBPRICE,"")</f>
        <v/>
      </c>
      <c r="I48" s="23" t="str">
        <f aca="false">IFERROR(G48/(2*B48),"")</f>
        <v/>
      </c>
      <c r="J48" s="18" t="str">
        <f aca="false">IFERROR(I48*365,"")</f>
        <v/>
      </c>
      <c r="K48" s="18" t="s">
        <v>63</v>
      </c>
    </row>
    <row r="49" customFormat="false" ht="15" hidden="false" customHeight="false" outlineLevel="0" collapsed="false">
      <c r="A49" s="48" t="s">
        <v>84</v>
      </c>
      <c r="B49" s="58" t="n">
        <v>0</v>
      </c>
      <c r="C49" s="19" t="str">
        <f aca="false">IFERROR(B49/VLOOKUP($A49,PoolData!$A$10:$I$32,MATCH("XXX:BNB Ratio",PoolData!$A$10:$I$10,0),0),"")</f>
        <v/>
      </c>
      <c r="D49" s="23" t="str">
        <f aca="false">IFERROR(B49/VLOOKUP($A49,PoolData!$A$10:$I$32,MATCH("Coin 1 Pool Size",PoolData!$A$10:$I$10,0),0),"")</f>
        <v/>
      </c>
      <c r="E49" s="19" t="str">
        <f aca="false">IFERROR(VLOOKUP($A49,PoolData!$A$10:$I$32,MATCH("ANY Reward % to pool",PoolData!$A$10:$I$10,0),0)*DAILYANY*D49,"")</f>
        <v/>
      </c>
      <c r="F49" s="19" t="str">
        <f aca="false">IFERROR(VLOOKUP($A49,PoolData!$A$10:$T$32,MATCH("Trading Volume in BNB",PoolData!$A$10:$T$10,0),0)*FEEREWARDS*D49,"")</f>
        <v/>
      </c>
      <c r="G49" s="19" t="str">
        <f aca="false" t="array" ref="G49:G49">IFERROR(F49+E49*ANYBNB,"")</f>
        <v/>
      </c>
      <c r="H49" s="59" t="str">
        <f aca="false" t="array" ref="H49:H49">IFERROR(G49*BNBPRICE,"")</f>
        <v/>
      </c>
      <c r="I49" s="23" t="str">
        <f aca="false">IFERROR(G49/(2*B49),"")</f>
        <v/>
      </c>
      <c r="J49" s="18" t="str">
        <f aca="false">IFERROR(I49*365,"")</f>
        <v/>
      </c>
      <c r="K49" s="18" t="s">
        <v>63</v>
      </c>
    </row>
    <row r="50" customFormat="false" ht="15" hidden="false" customHeight="false" outlineLevel="0" collapsed="false">
      <c r="A50" s="48" t="s">
        <v>84</v>
      </c>
      <c r="B50" s="58" t="n">
        <v>0</v>
      </c>
      <c r="C50" s="19" t="str">
        <f aca="false">IFERROR(B50/VLOOKUP($A50,PoolData!$A$10:$I$32,MATCH("XXX:BNB Ratio",PoolData!$A$10:$I$10,0),0),"")</f>
        <v/>
      </c>
      <c r="D50" s="23" t="str">
        <f aca="false">IFERROR(B50/VLOOKUP($A50,PoolData!$A$10:$I$32,MATCH("Coin 1 Pool Size",PoolData!$A$10:$I$10,0),0),"")</f>
        <v/>
      </c>
      <c r="E50" s="19" t="str">
        <f aca="false">IFERROR(VLOOKUP($A50,PoolData!$A$10:$I$32,MATCH("ANY Reward % to pool",PoolData!$A$10:$I$10,0),0)*DAILYANY*D50,"")</f>
        <v/>
      </c>
      <c r="F50" s="19" t="str">
        <f aca="false">IFERROR(VLOOKUP($A50,PoolData!$A$10:$T$32,MATCH("Trading Volume in BNB",PoolData!$A$10:$T$10,0),0)*FEEREWARDS*D50,"")</f>
        <v/>
      </c>
      <c r="G50" s="19" t="str">
        <f aca="false" t="array" ref="G50:G50">IFERROR(F50+E50*ANYBNB,"")</f>
        <v/>
      </c>
      <c r="H50" s="59" t="str">
        <f aca="false" t="array" ref="H50:H50">IFERROR(G50*BNBPRICE,"")</f>
        <v/>
      </c>
      <c r="I50" s="23" t="str">
        <f aca="false">IFERROR(G50/(2*B50),"")</f>
        <v/>
      </c>
      <c r="J50" s="18" t="str">
        <f aca="false">IFERROR(I50*365,"")</f>
        <v/>
      </c>
      <c r="K50" s="18" t="s">
        <v>63</v>
      </c>
    </row>
    <row r="51" customFormat="false" ht="15" hidden="false" customHeight="false" outlineLevel="0" collapsed="false">
      <c r="A51" s="48" t="s">
        <v>84</v>
      </c>
      <c r="B51" s="58" t="n">
        <v>0</v>
      </c>
      <c r="C51" s="19" t="str">
        <f aca="false">IFERROR(B51/VLOOKUP($A51,PoolData!$A$10:$I$32,MATCH("XXX:BNB Ratio",PoolData!$A$10:$I$10,0),0),"")</f>
        <v/>
      </c>
      <c r="D51" s="23" t="str">
        <f aca="false">IFERROR(B51/VLOOKUP($A51,PoolData!$A$10:$I$32,MATCH("Coin 1 Pool Size",PoolData!$A$10:$I$10,0),0),"")</f>
        <v/>
      </c>
      <c r="E51" s="19" t="str">
        <f aca="false">IFERROR(VLOOKUP($A51,PoolData!$A$10:$I$32,MATCH("ANY Reward % to pool",PoolData!$A$10:$I$10,0),0)*DAILYANY*D51,"")</f>
        <v/>
      </c>
      <c r="F51" s="19" t="str">
        <f aca="false">IFERROR(VLOOKUP($A51,PoolData!$A$10:$T$32,MATCH("Trading Volume in BNB",PoolData!$A$10:$T$10,0),0)*FEEREWARDS*D51,"")</f>
        <v/>
      </c>
      <c r="G51" s="19" t="str">
        <f aca="false" t="array" ref="G51:G51">IFERROR(F51+E51*ANYBNB,"")</f>
        <v/>
      </c>
      <c r="H51" s="59" t="str">
        <f aca="false" t="array" ref="H51:H51">IFERROR(G51*BNBPRICE,"")</f>
        <v/>
      </c>
      <c r="I51" s="23" t="str">
        <f aca="false">IFERROR(G51/(2*B51),"")</f>
        <v/>
      </c>
      <c r="J51" s="18" t="str">
        <f aca="false">IFERROR(I51*365,"")</f>
        <v/>
      </c>
      <c r="K51" s="18" t="s">
        <v>63</v>
      </c>
    </row>
    <row r="52" customFormat="false" ht="15" hidden="false" customHeight="false" outlineLevel="0" collapsed="false">
      <c r="A52" s="48" t="s">
        <v>84</v>
      </c>
      <c r="B52" s="58" t="n">
        <v>0</v>
      </c>
      <c r="C52" s="19" t="str">
        <f aca="false">IFERROR(B52/VLOOKUP($A52,PoolData!$A$10:$I$32,MATCH("XXX:BNB Ratio",PoolData!$A$10:$I$10,0),0),"")</f>
        <v/>
      </c>
      <c r="D52" s="23" t="str">
        <f aca="false">IFERROR(B52/VLOOKUP($A52,PoolData!$A$10:$I$32,MATCH("Coin 1 Pool Size",PoolData!$A$10:$I$10,0),0),"")</f>
        <v/>
      </c>
      <c r="E52" s="19" t="str">
        <f aca="false">IFERROR(VLOOKUP($A52,PoolData!$A$10:$I$32,MATCH("ANY Reward % to pool",PoolData!$A$10:$I$10,0),0)*DAILYANY*D52,"")</f>
        <v/>
      </c>
      <c r="F52" s="19" t="str">
        <f aca="false">IFERROR(VLOOKUP($A52,PoolData!$A$10:$T$32,MATCH("Trading Volume in BNB",PoolData!$A$10:$T$10,0),0)*FEEREWARDS*D52,"")</f>
        <v/>
      </c>
      <c r="G52" s="19" t="str">
        <f aca="false" t="array" ref="G52:G52">IFERROR(F52+E52*ANYBNB,"")</f>
        <v/>
      </c>
      <c r="H52" s="59" t="str">
        <f aca="false" t="array" ref="H52:H52">IFERROR(G52*BNBPRICE,"")</f>
        <v/>
      </c>
      <c r="I52" s="23" t="str">
        <f aca="false">IFERROR(G52/(2*B52),"")</f>
        <v/>
      </c>
      <c r="J52" s="18" t="str">
        <f aca="false">IFERROR(I52*365,"")</f>
        <v/>
      </c>
      <c r="K52" s="18" t="s">
        <v>63</v>
      </c>
    </row>
    <row r="53" customFormat="false" ht="15" hidden="false" customHeight="false" outlineLevel="0" collapsed="false">
      <c r="A53" s="48" t="s">
        <v>84</v>
      </c>
      <c r="B53" s="58" t="n">
        <v>0</v>
      </c>
      <c r="C53" s="19" t="str">
        <f aca="false">IFERROR(B53/VLOOKUP($A53,PoolData!$A$10:$I$32,MATCH("XXX:BNB Ratio",PoolData!$A$10:$I$10,0),0),"")</f>
        <v/>
      </c>
      <c r="D53" s="23" t="str">
        <f aca="false">IFERROR(B53/VLOOKUP($A53,PoolData!$A$10:$I$32,MATCH("Coin 1 Pool Size",PoolData!$A$10:$I$10,0),0),"")</f>
        <v/>
      </c>
      <c r="E53" s="19" t="str">
        <f aca="false">IFERROR(VLOOKUP($A53,PoolData!$A$10:$I$32,MATCH("ANY Reward % to pool",PoolData!$A$10:$I$10,0),0)*DAILYANY*D53,"")</f>
        <v/>
      </c>
      <c r="F53" s="19" t="str">
        <f aca="false">IFERROR(VLOOKUP($A53,PoolData!$A$10:$T$32,MATCH("Trading Volume in BNB",PoolData!$A$10:$T$10,0),0)*FEEREWARDS*D53,"")</f>
        <v/>
      </c>
      <c r="G53" s="19" t="str">
        <f aca="false" t="array" ref="G53:G53">IFERROR(F53+E53*ANYBNB,"")</f>
        <v/>
      </c>
      <c r="H53" s="59" t="str">
        <f aca="false" t="array" ref="H53:H53">IFERROR(G53*BNBPRICE,"")</f>
        <v/>
      </c>
      <c r="I53" s="23" t="str">
        <f aca="false">IFERROR(G53/(2*B53),"")</f>
        <v/>
      </c>
      <c r="J53" s="18" t="str">
        <f aca="false">IFERROR(I53*365,"")</f>
        <v/>
      </c>
      <c r="K53" s="18" t="s">
        <v>63</v>
      </c>
    </row>
    <row r="54" customFormat="false" ht="15" hidden="false" customHeight="false" outlineLevel="0" collapsed="false">
      <c r="A54" s="48" t="s">
        <v>84</v>
      </c>
      <c r="B54" s="58" t="n">
        <v>0</v>
      </c>
      <c r="C54" s="19" t="str">
        <f aca="false">IFERROR(B54/VLOOKUP($A54,PoolData!$A$10:$I$32,MATCH("XXX:BNB Ratio",PoolData!$A$10:$I$10,0),0),"")</f>
        <v/>
      </c>
      <c r="D54" s="23" t="str">
        <f aca="false">IFERROR(B54/VLOOKUP($A54,PoolData!$A$10:$I$32,MATCH("Coin 1 Pool Size",PoolData!$A$10:$I$10,0),0),"")</f>
        <v/>
      </c>
      <c r="E54" s="19" t="str">
        <f aca="false">IFERROR(VLOOKUP($A54,PoolData!$A$10:$I$32,MATCH("ANY Reward % to pool",PoolData!$A$10:$I$10,0),0)*DAILYANY*D54,"")</f>
        <v/>
      </c>
      <c r="F54" s="19" t="str">
        <f aca="false">IFERROR(VLOOKUP($A54,PoolData!$A$10:$T$32,MATCH("Trading Volume in BNB",PoolData!$A$10:$T$10,0),0)*FEEREWARDS*D54,"")</f>
        <v/>
      </c>
      <c r="G54" s="19" t="str">
        <f aca="false" t="array" ref="G54:G54">IFERROR(F54+E54*ANYBNB,"")</f>
        <v/>
      </c>
      <c r="H54" s="59" t="str">
        <f aca="false" t="array" ref="H54:H54">IFERROR(G54*BNBPRICE,"")</f>
        <v/>
      </c>
      <c r="I54" s="23" t="str">
        <f aca="false">IFERROR(G54/(2*B54),"")</f>
        <v/>
      </c>
      <c r="J54" s="18" t="str">
        <f aca="false">IFERROR(I54*365,"")</f>
        <v/>
      </c>
      <c r="K54" s="18" t="s">
        <v>63</v>
      </c>
    </row>
    <row r="55" customFormat="false" ht="15" hidden="false" customHeight="false" outlineLevel="0" collapsed="false">
      <c r="A55" s="48" t="s">
        <v>84</v>
      </c>
      <c r="B55" s="58" t="n">
        <v>0</v>
      </c>
      <c r="C55" s="19" t="str">
        <f aca="false">IFERROR(B55/VLOOKUP($A55,PoolData!$A$10:$I$32,MATCH("XXX:BNB Ratio",PoolData!$A$10:$I$10,0),0),"")</f>
        <v/>
      </c>
      <c r="D55" s="23" t="str">
        <f aca="false">IFERROR(B55/VLOOKUP($A55,PoolData!$A$10:$I$32,MATCH("Coin 1 Pool Size",PoolData!$A$10:$I$10,0),0),"")</f>
        <v/>
      </c>
      <c r="E55" s="19" t="str">
        <f aca="false">IFERROR(VLOOKUP($A55,PoolData!$A$10:$I$32,MATCH("ANY Reward % to pool",PoolData!$A$10:$I$10,0),0)*DAILYANY*D55,"")</f>
        <v/>
      </c>
      <c r="F55" s="19" t="str">
        <f aca="false">IFERROR(VLOOKUP($A55,PoolData!$A$10:$T$32,MATCH("Trading Volume in BNB",PoolData!$A$10:$T$10,0),0)*FEEREWARDS*D55,"")</f>
        <v/>
      </c>
      <c r="G55" s="19" t="str">
        <f aca="false" t="array" ref="G55:G55">IFERROR(F55+E55*ANYBNB,"")</f>
        <v/>
      </c>
      <c r="H55" s="59" t="str">
        <f aca="false" t="array" ref="H55:H55">IFERROR(G55*BNBPRICE,"")</f>
        <v/>
      </c>
      <c r="I55" s="23" t="str">
        <f aca="false">IFERROR(G55/(2*B55),"")</f>
        <v/>
      </c>
      <c r="J55" s="18" t="str">
        <f aca="false">IFERROR(I55*365,"")</f>
        <v/>
      </c>
      <c r="K55" s="18" t="s">
        <v>63</v>
      </c>
    </row>
    <row r="56" customFormat="false" ht="15" hidden="false" customHeight="false" outlineLevel="0" collapsed="false">
      <c r="A56" s="48" t="s">
        <v>84</v>
      </c>
      <c r="B56" s="58" t="n">
        <v>0</v>
      </c>
      <c r="C56" s="19" t="str">
        <f aca="false">IFERROR(B56/VLOOKUP($A56,PoolData!$A$10:$I$32,MATCH("XXX:BNB Ratio",PoolData!$A$10:$I$10,0),0),"")</f>
        <v/>
      </c>
      <c r="D56" s="23" t="str">
        <f aca="false">IFERROR(B56/VLOOKUP($A56,PoolData!$A$10:$I$32,MATCH("Coin 1 Pool Size",PoolData!$A$10:$I$10,0),0),"")</f>
        <v/>
      </c>
      <c r="E56" s="19" t="str">
        <f aca="false">IFERROR(VLOOKUP($A56,PoolData!$A$10:$I$32,MATCH("ANY Reward % to pool",PoolData!$A$10:$I$10,0),0)*DAILYANY*D56,"")</f>
        <v/>
      </c>
      <c r="F56" s="19" t="str">
        <f aca="false">IFERROR(VLOOKUP($A56,PoolData!$A$10:$T$32,MATCH("Trading Volume in BNB",PoolData!$A$10:$T$10,0),0)*FEEREWARDS*D56,"")</f>
        <v/>
      </c>
      <c r="G56" s="19" t="str">
        <f aca="false" t="array" ref="G56:G56">IFERROR(F56+E56*ANYBNB,"")</f>
        <v/>
      </c>
      <c r="H56" s="59" t="str">
        <f aca="false" t="array" ref="H56:H56">IFERROR(G56*BNBPRICE,"")</f>
        <v/>
      </c>
      <c r="I56" s="23" t="str">
        <f aca="false">IFERROR(G56/(2*B56),"")</f>
        <v/>
      </c>
      <c r="J56" s="18" t="str">
        <f aca="false">IFERROR(I56*365,"")</f>
        <v/>
      </c>
      <c r="K56" s="18" t="s">
        <v>63</v>
      </c>
    </row>
    <row r="57" customFormat="false" ht="15" hidden="false" customHeight="false" outlineLevel="0" collapsed="false">
      <c r="A57" s="48" t="s">
        <v>84</v>
      </c>
      <c r="B57" s="58" t="n">
        <v>0</v>
      </c>
      <c r="C57" s="19" t="str">
        <f aca="false">IFERROR(B57/VLOOKUP($A57,PoolData!$A$10:$I$32,MATCH("XXX:BNB Ratio",PoolData!$A$10:$I$10,0),0),"")</f>
        <v/>
      </c>
      <c r="D57" s="23" t="str">
        <f aca="false">IFERROR(B57/VLOOKUP($A57,PoolData!$A$10:$I$32,MATCH("Coin 1 Pool Size",PoolData!$A$10:$I$10,0),0),"")</f>
        <v/>
      </c>
      <c r="E57" s="19" t="str">
        <f aca="false">IFERROR(VLOOKUP($A57,PoolData!$A$10:$I$32,MATCH("ANY Reward % to pool",PoolData!$A$10:$I$10,0),0)*DAILYANY*D57,"")</f>
        <v/>
      </c>
      <c r="F57" s="19" t="str">
        <f aca="false">IFERROR(VLOOKUP($A57,PoolData!$A$10:$T$32,MATCH("Trading Volume in BNB",PoolData!$A$10:$T$10,0),0)*FEEREWARDS*D57,"")</f>
        <v/>
      </c>
      <c r="G57" s="19" t="str">
        <f aca="false" t="array" ref="G57:G57">IFERROR(F57+E57*ANYBNB,"")</f>
        <v/>
      </c>
      <c r="H57" s="59" t="str">
        <f aca="false" t="array" ref="H57:H57">IFERROR(G57*BNBPRICE,"")</f>
        <v/>
      </c>
      <c r="I57" s="23" t="str">
        <f aca="false">IFERROR(G57/(2*B57),"")</f>
        <v/>
      </c>
      <c r="J57" s="18" t="str">
        <f aca="false">IFERROR(I57*365,"")</f>
        <v/>
      </c>
      <c r="K57" s="18" t="s">
        <v>63</v>
      </c>
    </row>
    <row r="58" customFormat="false" ht="15" hidden="false" customHeight="false" outlineLevel="0" collapsed="false">
      <c r="A58" s="48" t="s">
        <v>84</v>
      </c>
      <c r="B58" s="58" t="n">
        <v>0</v>
      </c>
      <c r="C58" s="19" t="str">
        <f aca="false">IFERROR(B58/VLOOKUP($A58,PoolData!$A$10:$I$32,MATCH("XXX:BNB Ratio",PoolData!$A$10:$I$10,0),0),"")</f>
        <v/>
      </c>
      <c r="D58" s="23" t="str">
        <f aca="false">IFERROR(B58/VLOOKUP($A58,PoolData!$A$10:$I$32,MATCH("Coin 1 Pool Size",PoolData!$A$10:$I$10,0),0),"")</f>
        <v/>
      </c>
      <c r="E58" s="19" t="str">
        <f aca="false">IFERROR(VLOOKUP($A58,PoolData!$A$10:$I$32,MATCH("ANY Reward % to pool",PoolData!$A$10:$I$10,0),0)*DAILYANY*D58,"")</f>
        <v/>
      </c>
      <c r="F58" s="19" t="str">
        <f aca="false">IFERROR(VLOOKUP($A58,PoolData!$A$10:$T$32,MATCH("Trading Volume in BNB",PoolData!$A$10:$T$10,0),0)*FEEREWARDS*D58,"")</f>
        <v/>
      </c>
      <c r="G58" s="19" t="str">
        <f aca="false" t="array" ref="G58:G58">IFERROR(F58+E58*ANYBNB,"")</f>
        <v/>
      </c>
      <c r="H58" s="59" t="str">
        <f aca="false" t="array" ref="H58:H58">IFERROR(G58*BNBPRICE,"")</f>
        <v/>
      </c>
      <c r="I58" s="23" t="str">
        <f aca="false">IFERROR(G58/(2*B58),"")</f>
        <v/>
      </c>
      <c r="J58" s="18" t="str">
        <f aca="false">IFERROR(I58*365,"")</f>
        <v/>
      </c>
      <c r="K58" s="18" t="s">
        <v>63</v>
      </c>
    </row>
    <row r="59" customFormat="false" ht="15" hidden="false" customHeight="false" outlineLevel="0" collapsed="false">
      <c r="A59" s="48" t="s">
        <v>84</v>
      </c>
      <c r="B59" s="58" t="n">
        <v>0</v>
      </c>
      <c r="C59" s="19" t="str">
        <f aca="false">IFERROR(B59/VLOOKUP($A59,PoolData!$A$10:$I$32,MATCH("XXX:BNB Ratio",PoolData!$A$10:$I$10,0),0),"")</f>
        <v/>
      </c>
      <c r="D59" s="23" t="str">
        <f aca="false">IFERROR(B59/VLOOKUP($A59,PoolData!$A$10:$I$32,MATCH("Coin 1 Pool Size",PoolData!$A$10:$I$10,0),0),"")</f>
        <v/>
      </c>
      <c r="E59" s="19" t="str">
        <f aca="false">IFERROR(VLOOKUP($A59,PoolData!$A$10:$I$32,MATCH("ANY Reward % to pool",PoolData!$A$10:$I$10,0),0)*DAILYANY*D59,"")</f>
        <v/>
      </c>
      <c r="F59" s="19" t="str">
        <f aca="false">IFERROR(VLOOKUP($A59,PoolData!$A$10:$T$32,MATCH("Trading Volume in BNB",PoolData!$A$10:$T$10,0),0)*FEEREWARDS*D59,"")</f>
        <v/>
      </c>
      <c r="G59" s="19" t="str">
        <f aca="false" t="array" ref="G59:G59">IFERROR(F59+E59*ANYBNB,"")</f>
        <v/>
      </c>
      <c r="H59" s="59" t="str">
        <f aca="false" t="array" ref="H59:H59">IFERROR(G59*BNBPRICE,"")</f>
        <v/>
      </c>
      <c r="I59" s="23" t="str">
        <f aca="false">IFERROR(G59/(2*B59),"")</f>
        <v/>
      </c>
      <c r="J59" s="18" t="str">
        <f aca="false">IFERROR(I59*365,"")</f>
        <v/>
      </c>
      <c r="K59" s="18" t="s">
        <v>63</v>
      </c>
    </row>
    <row r="60" customFormat="false" ht="15" hidden="false" customHeight="false" outlineLevel="0" collapsed="false">
      <c r="A60" s="48" t="s">
        <v>84</v>
      </c>
      <c r="B60" s="58" t="n">
        <v>0</v>
      </c>
      <c r="C60" s="19" t="str">
        <f aca="false">IFERROR(B60/VLOOKUP($A60,PoolData!$A$10:$I$32,MATCH("XXX:BNB Ratio",PoolData!$A$10:$I$10,0),0),"")</f>
        <v/>
      </c>
      <c r="D60" s="23" t="str">
        <f aca="false">IFERROR(B60/VLOOKUP($A60,PoolData!$A$10:$I$32,MATCH("Coin 1 Pool Size",PoolData!$A$10:$I$10,0),0),"")</f>
        <v/>
      </c>
      <c r="E60" s="19" t="str">
        <f aca="false">IFERROR(VLOOKUP($A60,PoolData!$A$10:$I$32,MATCH("ANY Reward % to pool",PoolData!$A$10:$I$10,0),0)*DAILYANY*D60,"")</f>
        <v/>
      </c>
      <c r="F60" s="19" t="str">
        <f aca="false">IFERROR(VLOOKUP($A60,PoolData!$A$10:$T$32,MATCH("Trading Volume in BNB",PoolData!$A$10:$T$10,0),0)*FEEREWARDS*D60,"")</f>
        <v/>
      </c>
      <c r="G60" s="19" t="str">
        <f aca="false" t="array" ref="G60:G60">IFERROR(F60+E60*ANYBNB,"")</f>
        <v/>
      </c>
      <c r="H60" s="59" t="str">
        <f aca="false" t="array" ref="H60:H60">IFERROR(G60*BNBPRICE,"")</f>
        <v/>
      </c>
      <c r="I60" s="23" t="str">
        <f aca="false">IFERROR(G60/(2*B60),"")</f>
        <v/>
      </c>
      <c r="J60" s="18" t="str">
        <f aca="false">IFERROR(I60*365,"")</f>
        <v/>
      </c>
      <c r="K60" s="18" t="s">
        <v>63</v>
      </c>
    </row>
    <row r="61" customFormat="false" ht="15" hidden="false" customHeight="false" outlineLevel="0" collapsed="false">
      <c r="A61" s="48" t="s">
        <v>84</v>
      </c>
      <c r="B61" s="58" t="n">
        <v>0</v>
      </c>
      <c r="C61" s="19" t="str">
        <f aca="false">IFERROR(B61/VLOOKUP($A61,PoolData!$A$10:$I$32,MATCH("XXX:BNB Ratio",PoolData!$A$10:$I$10,0),0),"")</f>
        <v/>
      </c>
      <c r="D61" s="23" t="str">
        <f aca="false">IFERROR(B61/VLOOKUP($A61,PoolData!$A$10:$I$32,MATCH("Coin 1 Pool Size",PoolData!$A$10:$I$10,0),0),"")</f>
        <v/>
      </c>
      <c r="E61" s="19" t="str">
        <f aca="false">IFERROR(VLOOKUP($A61,PoolData!$A$10:$I$32,MATCH("ANY Reward % to pool",PoolData!$A$10:$I$10,0),0)*DAILYANY*D61,"")</f>
        <v/>
      </c>
      <c r="F61" s="19" t="str">
        <f aca="false">IFERROR(VLOOKUP($A61,PoolData!$A$10:$T$32,MATCH("Trading Volume in BNB",PoolData!$A$10:$T$10,0),0)*FEEREWARDS*D61,"")</f>
        <v/>
      </c>
      <c r="G61" s="19" t="str">
        <f aca="false" t="array" ref="G61:G61">IFERROR(F61+E61*ANYBNB,"")</f>
        <v/>
      </c>
      <c r="H61" s="59" t="str">
        <f aca="false" t="array" ref="H61:H61">IFERROR(G61*BNBPRICE,"")</f>
        <v/>
      </c>
      <c r="I61" s="23" t="str">
        <f aca="false">IFERROR(G61/(2*B61),"")</f>
        <v/>
      </c>
      <c r="J61" s="18" t="str">
        <f aca="false">IFERROR(I61*365,"")</f>
        <v/>
      </c>
      <c r="K61" s="18" t="s">
        <v>63</v>
      </c>
    </row>
    <row r="62" customFormat="false" ht="15" hidden="false" customHeight="false" outlineLevel="0" collapsed="false">
      <c r="A62" s="48" t="s">
        <v>84</v>
      </c>
      <c r="B62" s="58" t="n">
        <v>0</v>
      </c>
      <c r="C62" s="19" t="str">
        <f aca="false">IFERROR(B62/VLOOKUP($A62,PoolData!$A$10:$I$32,MATCH("XXX:BNB Ratio",PoolData!$A$10:$I$10,0),0),"")</f>
        <v/>
      </c>
      <c r="D62" s="23" t="str">
        <f aca="false">IFERROR(B62/VLOOKUP($A62,PoolData!$A$10:$I$32,MATCH("Coin 1 Pool Size",PoolData!$A$10:$I$10,0),0),"")</f>
        <v/>
      </c>
      <c r="E62" s="19" t="str">
        <f aca="false">IFERROR(VLOOKUP($A62,PoolData!$A$10:$I$32,MATCH("ANY Reward % to pool",PoolData!$A$10:$I$10,0),0)*DAILYANY*D62,"")</f>
        <v/>
      </c>
      <c r="F62" s="19" t="str">
        <f aca="false">IFERROR(VLOOKUP($A62,PoolData!$A$10:$T$32,MATCH("Trading Volume in BNB",PoolData!$A$10:$T$10,0),0)*FEEREWARDS*D62,"")</f>
        <v/>
      </c>
      <c r="G62" s="19" t="str">
        <f aca="false" t="array" ref="G62:G62">IFERROR(F62+E62*ANYBNB,"")</f>
        <v/>
      </c>
      <c r="H62" s="59" t="str">
        <f aca="false" t="array" ref="H62:H62">IFERROR(G62*BNBPRICE,"")</f>
        <v/>
      </c>
      <c r="I62" s="23" t="str">
        <f aca="false">IFERROR(G62/(2*B62),"")</f>
        <v/>
      </c>
      <c r="J62" s="18" t="str">
        <f aca="false">IFERROR(I62*365,"")</f>
        <v/>
      </c>
      <c r="K62" s="18" t="s">
        <v>63</v>
      </c>
    </row>
    <row r="63" customFormat="false" ht="15" hidden="false" customHeight="false" outlineLevel="0" collapsed="false">
      <c r="A63" s="48" t="s">
        <v>84</v>
      </c>
      <c r="B63" s="58" t="n">
        <v>0</v>
      </c>
      <c r="C63" s="19" t="str">
        <f aca="false">IFERROR(B63/VLOOKUP($A63,PoolData!$A$10:$I$32,MATCH("XXX:BNB Ratio",PoolData!$A$10:$I$10,0),0),"")</f>
        <v/>
      </c>
      <c r="D63" s="23" t="str">
        <f aca="false">IFERROR(B63/VLOOKUP($A63,PoolData!$A$10:$I$32,MATCH("Coin 1 Pool Size",PoolData!$A$10:$I$10,0),0),"")</f>
        <v/>
      </c>
      <c r="E63" s="19" t="str">
        <f aca="false">IFERROR(VLOOKUP($A63,PoolData!$A$10:$I$32,MATCH("ANY Reward % to pool",PoolData!$A$10:$I$10,0),0)*DAILYANY*D63,"")</f>
        <v/>
      </c>
      <c r="F63" s="19" t="str">
        <f aca="false">IFERROR(VLOOKUP($A63,PoolData!$A$10:$T$32,MATCH("Trading Volume in BNB",PoolData!$A$10:$T$10,0),0)*FEEREWARDS*D63,"")</f>
        <v/>
      </c>
      <c r="G63" s="19" t="str">
        <f aca="false" t="array" ref="G63:G63">IFERROR(F63+E63*ANYBNB,"")</f>
        <v/>
      </c>
      <c r="H63" s="59" t="str">
        <f aca="false" t="array" ref="H63:H63">IFERROR(G63*BNBPRICE,"")</f>
        <v/>
      </c>
      <c r="I63" s="23" t="str">
        <f aca="false">IFERROR(G63/(2*B63),"")</f>
        <v/>
      </c>
      <c r="J63" s="18" t="str">
        <f aca="false">IFERROR(I63*365,"")</f>
        <v/>
      </c>
      <c r="K63" s="18" t="s">
        <v>63</v>
      </c>
    </row>
    <row r="64" customFormat="false" ht="15" hidden="false" customHeight="false" outlineLevel="0" collapsed="false">
      <c r="A64" s="48" t="s">
        <v>84</v>
      </c>
      <c r="B64" s="58" t="n">
        <v>0</v>
      </c>
      <c r="C64" s="19" t="str">
        <f aca="false">IFERROR(B64/VLOOKUP($A64,PoolData!$A$10:$I$32,MATCH("XXX:BNB Ratio",PoolData!$A$10:$I$10,0),0),"")</f>
        <v/>
      </c>
      <c r="D64" s="23" t="str">
        <f aca="false">IFERROR(B64/VLOOKUP($A64,PoolData!$A$10:$I$32,MATCH("Coin 1 Pool Size",PoolData!$A$10:$I$10,0),0),"")</f>
        <v/>
      </c>
      <c r="E64" s="19" t="str">
        <f aca="false">IFERROR(VLOOKUP($A64,PoolData!$A$10:$I$32,MATCH("ANY Reward % to pool",PoolData!$A$10:$I$10,0),0)*DAILYANY*D64,"")</f>
        <v/>
      </c>
      <c r="F64" s="19" t="str">
        <f aca="false">IFERROR(VLOOKUP($A64,PoolData!$A$10:$T$32,MATCH("Trading Volume in BNB",PoolData!$A$10:$T$10,0),0)*FEEREWARDS*D64,"")</f>
        <v/>
      </c>
      <c r="G64" s="19" t="str">
        <f aca="false" t="array" ref="G64:G64">IFERROR(F64+E64*ANYBNB,"")</f>
        <v/>
      </c>
      <c r="H64" s="59" t="str">
        <f aca="false" t="array" ref="H64:H64">IFERROR(G64*BNBPRICE,"")</f>
        <v/>
      </c>
      <c r="I64" s="23" t="str">
        <f aca="false">IFERROR(G64/(2*B64),"")</f>
        <v/>
      </c>
      <c r="J64" s="18" t="str">
        <f aca="false">IFERROR(I64*365,"")</f>
        <v/>
      </c>
      <c r="K64" s="18" t="s">
        <v>63</v>
      </c>
    </row>
    <row r="65" customFormat="false" ht="15" hidden="false" customHeight="false" outlineLevel="0" collapsed="false">
      <c r="A65" s="48" t="s">
        <v>84</v>
      </c>
      <c r="B65" s="58" t="n">
        <v>0</v>
      </c>
      <c r="C65" s="19" t="str">
        <f aca="false">IFERROR(B65/VLOOKUP($A65,PoolData!$A$10:$I$32,MATCH("XXX:BNB Ratio",PoolData!$A$10:$I$10,0),0),"")</f>
        <v/>
      </c>
      <c r="D65" s="23" t="str">
        <f aca="false">IFERROR(B65/VLOOKUP($A65,PoolData!$A$10:$I$32,MATCH("Coin 1 Pool Size",PoolData!$A$10:$I$10,0),0),"")</f>
        <v/>
      </c>
      <c r="E65" s="19" t="str">
        <f aca="false">IFERROR(VLOOKUP($A65,PoolData!$A$10:$I$32,MATCH("ANY Reward % to pool",PoolData!$A$10:$I$10,0),0)*DAILYANY*D65,"")</f>
        <v/>
      </c>
      <c r="F65" s="19" t="str">
        <f aca="false">IFERROR(VLOOKUP($A65,PoolData!$A$10:$T$32,MATCH("Trading Volume in BNB",PoolData!$A$10:$T$10,0),0)*FEEREWARDS*D65,"")</f>
        <v/>
      </c>
      <c r="G65" s="19" t="str">
        <f aca="false" t="array" ref="G65:G65">IFERROR(F65+E65*ANYBNB,"")</f>
        <v/>
      </c>
      <c r="H65" s="59" t="str">
        <f aca="false" t="array" ref="H65:H65">IFERROR(G65*BNBPRICE,"")</f>
        <v/>
      </c>
      <c r="I65" s="23" t="str">
        <f aca="false">IFERROR(G65/(2*B65),"")</f>
        <v/>
      </c>
      <c r="J65" s="18" t="str">
        <f aca="false">IFERROR(I65*365,"")</f>
        <v/>
      </c>
      <c r="K65" s="18" t="s">
        <v>63</v>
      </c>
    </row>
    <row r="66" customFormat="false" ht="15" hidden="false" customHeight="false" outlineLevel="0" collapsed="false">
      <c r="A66" s="48" t="s">
        <v>84</v>
      </c>
      <c r="B66" s="58" t="n">
        <v>0</v>
      </c>
      <c r="C66" s="19" t="str">
        <f aca="false">IFERROR(B66/VLOOKUP($A66,PoolData!$A$10:$I$32,MATCH("XXX:BNB Ratio",PoolData!$A$10:$I$10,0),0),"")</f>
        <v/>
      </c>
      <c r="D66" s="23" t="str">
        <f aca="false">IFERROR(B66/VLOOKUP($A66,PoolData!$A$10:$I$32,MATCH("Coin 1 Pool Size",PoolData!$A$10:$I$10,0),0),"")</f>
        <v/>
      </c>
      <c r="E66" s="19" t="str">
        <f aca="false">IFERROR(VLOOKUP($A66,PoolData!$A$10:$I$32,MATCH("ANY Reward % to pool",PoolData!$A$10:$I$10,0),0)*DAILYANY*D66,"")</f>
        <v/>
      </c>
      <c r="F66" s="19" t="str">
        <f aca="false">IFERROR(VLOOKUP($A66,PoolData!$A$10:$T$32,MATCH("Trading Volume in BNB",PoolData!$A$10:$T$10,0),0)*FEEREWARDS*D66,"")</f>
        <v/>
      </c>
      <c r="G66" s="19" t="str">
        <f aca="false" t="array" ref="G66:G66">IFERROR(F66+E66*ANYBNB,"")</f>
        <v/>
      </c>
      <c r="H66" s="59" t="str">
        <f aca="false" t="array" ref="H66:H66">IFERROR(G66*BNBPRICE,"")</f>
        <v/>
      </c>
      <c r="I66" s="23" t="str">
        <f aca="false">IFERROR(G66/(2*B66),"")</f>
        <v/>
      </c>
      <c r="J66" s="18" t="str">
        <f aca="false">IFERROR(I66*365,"")</f>
        <v/>
      </c>
      <c r="K66" s="18" t="s">
        <v>63</v>
      </c>
    </row>
    <row r="67" customFormat="false" ht="15" hidden="false" customHeight="false" outlineLevel="0" collapsed="false">
      <c r="A67" s="48" t="s">
        <v>84</v>
      </c>
      <c r="B67" s="58" t="n">
        <v>0</v>
      </c>
      <c r="C67" s="19" t="str">
        <f aca="false">IFERROR(B67/VLOOKUP($A67,PoolData!$A$10:$I$32,MATCH("XXX:BNB Ratio",PoolData!$A$10:$I$10,0),0),"")</f>
        <v/>
      </c>
      <c r="D67" s="23" t="str">
        <f aca="false">IFERROR(B67/VLOOKUP($A67,PoolData!$A$10:$I$32,MATCH("Coin 1 Pool Size",PoolData!$A$10:$I$10,0),0),"")</f>
        <v/>
      </c>
      <c r="E67" s="19" t="str">
        <f aca="false">IFERROR(VLOOKUP($A67,PoolData!$A$10:$I$32,MATCH("ANY Reward % to pool",PoolData!$A$10:$I$10,0),0)*DAILYANY*D67,"")</f>
        <v/>
      </c>
      <c r="F67" s="19" t="str">
        <f aca="false">IFERROR(VLOOKUP($A67,PoolData!$A$10:$T$32,MATCH("Trading Volume in BNB",PoolData!$A$10:$T$10,0),0)*FEEREWARDS*D67,"")</f>
        <v/>
      </c>
      <c r="G67" s="19" t="str">
        <f aca="false" t="array" ref="G67:G67">IFERROR(F67+E67*ANYBNB,"")</f>
        <v/>
      </c>
      <c r="H67" s="59" t="str">
        <f aca="false" t="array" ref="H67:H67">IFERROR(G67*BNBPRICE,"")</f>
        <v/>
      </c>
      <c r="I67" s="23" t="str">
        <f aca="false">IFERROR(G67/(2*B67),"")</f>
        <v/>
      </c>
      <c r="J67" s="18" t="str">
        <f aca="false">IFERROR(I67*365,"")</f>
        <v/>
      </c>
      <c r="K67" s="18" t="s">
        <v>63</v>
      </c>
    </row>
    <row r="68" customFormat="false" ht="15" hidden="false" customHeight="false" outlineLevel="0" collapsed="false">
      <c r="A68" s="48" t="s">
        <v>84</v>
      </c>
      <c r="B68" s="58" t="n">
        <v>0</v>
      </c>
      <c r="C68" s="19" t="str">
        <f aca="false">IFERROR(B68/VLOOKUP($A68,PoolData!$A$10:$I$32,MATCH("XXX:BNB Ratio",PoolData!$A$10:$I$10,0),0),"")</f>
        <v/>
      </c>
      <c r="D68" s="23" t="str">
        <f aca="false">IFERROR(B68/VLOOKUP($A68,PoolData!$A$10:$I$32,MATCH("Coin 1 Pool Size",PoolData!$A$10:$I$10,0),0),"")</f>
        <v/>
      </c>
      <c r="E68" s="19" t="str">
        <f aca="false">IFERROR(VLOOKUP($A68,PoolData!$A$10:$I$32,MATCH("ANY Reward % to pool",PoolData!$A$10:$I$10,0),0)*DAILYANY*D68,"")</f>
        <v/>
      </c>
      <c r="F68" s="19" t="str">
        <f aca="false">IFERROR(VLOOKUP($A68,PoolData!$A$10:$T$32,MATCH("Trading Volume in BNB",PoolData!$A$10:$T$10,0),0)*FEEREWARDS*D68,"")</f>
        <v/>
      </c>
      <c r="G68" s="19" t="str">
        <f aca="false" t="array" ref="G68:G68">IFERROR(F68+E68*ANYBNB,"")</f>
        <v/>
      </c>
      <c r="H68" s="59" t="str">
        <f aca="false" t="array" ref="H68:H68">IFERROR(G68*BNBPRICE,"")</f>
        <v/>
      </c>
      <c r="I68" s="23" t="str">
        <f aca="false">IFERROR(G68/(2*B68),"")</f>
        <v/>
      </c>
      <c r="J68" s="18" t="str">
        <f aca="false">IFERROR(I68*365,"")</f>
        <v/>
      </c>
      <c r="K68" s="18" t="s">
        <v>63</v>
      </c>
    </row>
    <row r="69" customFormat="false" ht="15" hidden="false" customHeight="false" outlineLevel="0" collapsed="false">
      <c r="A69" s="48" t="s">
        <v>84</v>
      </c>
      <c r="B69" s="58" t="n">
        <v>0</v>
      </c>
      <c r="C69" s="19" t="str">
        <f aca="false">IFERROR(B69/VLOOKUP($A69,PoolData!$A$10:$I$32,MATCH("XXX:BNB Ratio",PoolData!$A$10:$I$10,0),0),"")</f>
        <v/>
      </c>
      <c r="D69" s="23" t="str">
        <f aca="false">IFERROR(B69/VLOOKUP($A69,PoolData!$A$10:$I$32,MATCH("Coin 1 Pool Size",PoolData!$A$10:$I$10,0),0),"")</f>
        <v/>
      </c>
      <c r="E69" s="19" t="str">
        <f aca="false">IFERROR(VLOOKUP($A69,PoolData!$A$10:$I$32,MATCH("ANY Reward % to pool",PoolData!$A$10:$I$10,0),0)*DAILYANY*D69,"")</f>
        <v/>
      </c>
      <c r="F69" s="19" t="str">
        <f aca="false">IFERROR(VLOOKUP($A69,PoolData!$A$10:$T$32,MATCH("Trading Volume in BNB",PoolData!$A$10:$T$10,0),0)*FEEREWARDS*D69,"")</f>
        <v/>
      </c>
      <c r="G69" s="19" t="str">
        <f aca="false" t="array" ref="G69:G69">IFERROR(F69+E69*ANYBNB,"")</f>
        <v/>
      </c>
      <c r="H69" s="59" t="str">
        <f aca="false" t="array" ref="H69:H69">IFERROR(G69*BNBPRICE,"")</f>
        <v/>
      </c>
      <c r="I69" s="23" t="str">
        <f aca="false">IFERROR(G69/(2*B69),"")</f>
        <v/>
      </c>
      <c r="J69" s="18" t="str">
        <f aca="false">IFERROR(I69*365,"")</f>
        <v/>
      </c>
      <c r="K69" s="18" t="s">
        <v>63</v>
      </c>
    </row>
    <row r="70" customFormat="false" ht="15" hidden="false" customHeight="false" outlineLevel="0" collapsed="false">
      <c r="A70" s="48" t="s">
        <v>84</v>
      </c>
      <c r="B70" s="58" t="n">
        <v>0</v>
      </c>
      <c r="C70" s="19" t="str">
        <f aca="false">IFERROR(B70/VLOOKUP($A70,PoolData!$A$10:$I$32,MATCH("XXX:BNB Ratio",PoolData!$A$10:$I$10,0),0),"")</f>
        <v/>
      </c>
      <c r="D70" s="23" t="str">
        <f aca="false">IFERROR(B70/VLOOKUP($A70,PoolData!$A$10:$I$32,MATCH("Coin 1 Pool Size",PoolData!$A$10:$I$10,0),0),"")</f>
        <v/>
      </c>
      <c r="E70" s="19" t="str">
        <f aca="false">IFERROR(VLOOKUP($A70,PoolData!$A$10:$I$32,MATCH("ANY Reward % to pool",PoolData!$A$10:$I$10,0),0)*DAILYANY*D70,"")</f>
        <v/>
      </c>
      <c r="F70" s="19" t="str">
        <f aca="false">IFERROR(VLOOKUP($A70,PoolData!$A$10:$T$32,MATCH("Trading Volume in BNB",PoolData!$A$10:$T$10,0),0)*FEEREWARDS*D70,"")</f>
        <v/>
      </c>
      <c r="G70" s="19" t="str">
        <f aca="false" t="array" ref="G70:G70">IFERROR(F70+E70*ANYBNB,"")</f>
        <v/>
      </c>
      <c r="H70" s="59" t="str">
        <f aca="false" t="array" ref="H70:H70">IFERROR(G70*BNBPRICE,"")</f>
        <v/>
      </c>
      <c r="I70" s="23" t="str">
        <f aca="false">IFERROR(G70/(2*B70),"")</f>
        <v/>
      </c>
      <c r="J70" s="18" t="str">
        <f aca="false">IFERROR(I70*365,"")</f>
        <v/>
      </c>
      <c r="K70" s="18" t="s">
        <v>63</v>
      </c>
    </row>
    <row r="71" customFormat="false" ht="15" hidden="false" customHeight="false" outlineLevel="0" collapsed="false">
      <c r="A71" s="48" t="s">
        <v>84</v>
      </c>
      <c r="B71" s="58" t="n">
        <v>0</v>
      </c>
      <c r="C71" s="19" t="str">
        <f aca="false">IFERROR(B71/VLOOKUP($A71,PoolData!$A$10:$I$32,MATCH("XXX:BNB Ratio",PoolData!$A$10:$I$10,0),0),"")</f>
        <v/>
      </c>
      <c r="D71" s="23" t="str">
        <f aca="false">IFERROR(B71/VLOOKUP($A71,PoolData!$A$10:$I$32,MATCH("Coin 1 Pool Size",PoolData!$A$10:$I$10,0),0),"")</f>
        <v/>
      </c>
      <c r="E71" s="19" t="str">
        <f aca="false">IFERROR(VLOOKUP($A71,PoolData!$A$10:$I$32,MATCH("ANY Reward % to pool",PoolData!$A$10:$I$10,0),0)*DAILYANY*D71,"")</f>
        <v/>
      </c>
      <c r="F71" s="19" t="str">
        <f aca="false">IFERROR(VLOOKUP($A71,PoolData!$A$10:$T$32,MATCH("Trading Volume in BNB",PoolData!$A$10:$T$10,0),0)*FEEREWARDS*D71,"")</f>
        <v/>
      </c>
      <c r="G71" s="19" t="str">
        <f aca="false" t="array" ref="G71:G71">IFERROR(F71+E71*ANYBNB,"")</f>
        <v/>
      </c>
      <c r="H71" s="59" t="str">
        <f aca="false" t="array" ref="H71:H71">IFERROR(G71*BNBPRICE,"")</f>
        <v/>
      </c>
      <c r="I71" s="23" t="str">
        <f aca="false">IFERROR(G71/(2*B71),"")</f>
        <v/>
      </c>
      <c r="J71" s="18" t="str">
        <f aca="false">IFERROR(I71*365,"")</f>
        <v/>
      </c>
      <c r="K71" s="18" t="s">
        <v>63</v>
      </c>
    </row>
    <row r="72" customFormat="false" ht="15" hidden="false" customHeight="false" outlineLevel="0" collapsed="false">
      <c r="A72" s="48" t="s">
        <v>84</v>
      </c>
      <c r="B72" s="58" t="n">
        <v>0</v>
      </c>
      <c r="C72" s="19" t="str">
        <f aca="false">IFERROR(B72/VLOOKUP($A72,PoolData!$A$10:$I$32,MATCH("XXX:BNB Ratio",PoolData!$A$10:$I$10,0),0),"")</f>
        <v/>
      </c>
      <c r="D72" s="23" t="str">
        <f aca="false">IFERROR(B72/VLOOKUP($A72,PoolData!$A$10:$I$32,MATCH("Coin 1 Pool Size",PoolData!$A$10:$I$10,0),0),"")</f>
        <v/>
      </c>
      <c r="E72" s="19" t="str">
        <f aca="false">IFERROR(VLOOKUP($A72,PoolData!$A$10:$I$32,MATCH("ANY Reward % to pool",PoolData!$A$10:$I$10,0),0)*DAILYANY*D72,"")</f>
        <v/>
      </c>
      <c r="F72" s="19" t="str">
        <f aca="false">IFERROR(VLOOKUP($A72,PoolData!$A$10:$T$32,MATCH("Trading Volume in BNB",PoolData!$A$10:$T$10,0),0)*FEEREWARDS*D72,"")</f>
        <v/>
      </c>
      <c r="G72" s="19" t="str">
        <f aca="false" t="array" ref="G72:G72">IFERROR(F72+E72*ANYBNB,"")</f>
        <v/>
      </c>
      <c r="H72" s="59" t="str">
        <f aca="false" t="array" ref="H72:H72">IFERROR(G72*BNBPRICE,"")</f>
        <v/>
      </c>
      <c r="I72" s="23" t="str">
        <f aca="false">IFERROR(G72/(2*B72),"")</f>
        <v/>
      </c>
      <c r="J72" s="18" t="str">
        <f aca="false">IFERROR(I72*365,"")</f>
        <v/>
      </c>
      <c r="K72" s="18" t="s">
        <v>63</v>
      </c>
    </row>
    <row r="73" customFormat="false" ht="15" hidden="false" customHeight="false" outlineLevel="0" collapsed="false">
      <c r="A73" s="48" t="s">
        <v>84</v>
      </c>
      <c r="B73" s="58" t="n">
        <v>0</v>
      </c>
      <c r="C73" s="19" t="str">
        <f aca="false">IFERROR(B73/VLOOKUP($A73,PoolData!$A$10:$I$32,MATCH("XXX:BNB Ratio",PoolData!$A$10:$I$10,0),0),"")</f>
        <v/>
      </c>
      <c r="D73" s="23" t="str">
        <f aca="false">IFERROR(B73/VLOOKUP($A73,PoolData!$A$10:$I$32,MATCH("Coin 1 Pool Size",PoolData!$A$10:$I$10,0),0),"")</f>
        <v/>
      </c>
      <c r="E73" s="19" t="str">
        <f aca="false">IFERROR(VLOOKUP($A73,PoolData!$A$10:$I$32,MATCH("ANY Reward % to pool",PoolData!$A$10:$I$10,0),0)*DAILYANY*D73,"")</f>
        <v/>
      </c>
      <c r="F73" s="19" t="str">
        <f aca="false">IFERROR(VLOOKUP($A73,PoolData!$A$10:$T$32,MATCH("Trading Volume in BNB",PoolData!$A$10:$T$10,0),0)*FEEREWARDS*D73,"")</f>
        <v/>
      </c>
      <c r="G73" s="19" t="str">
        <f aca="false" t="array" ref="G73:G73">IFERROR(F73+E73*ANYBNB,"")</f>
        <v/>
      </c>
      <c r="H73" s="59" t="str">
        <f aca="false" t="array" ref="H73:H73">IFERROR(G73*BNBPRICE,"")</f>
        <v/>
      </c>
      <c r="I73" s="23" t="str">
        <f aca="false">IFERROR(G73/(2*B73),"")</f>
        <v/>
      </c>
      <c r="J73" s="18" t="str">
        <f aca="false">IFERROR(I73*365,"")</f>
        <v/>
      </c>
      <c r="K73" s="18" t="s">
        <v>63</v>
      </c>
    </row>
    <row r="74" customFormat="false" ht="15" hidden="false" customHeight="false" outlineLevel="0" collapsed="false">
      <c r="A74" s="48" t="s">
        <v>84</v>
      </c>
      <c r="B74" s="58" t="n">
        <v>0</v>
      </c>
      <c r="C74" s="19" t="str">
        <f aca="false">IFERROR(B74/VLOOKUP($A74,PoolData!$A$10:$I$32,MATCH("XXX:BNB Ratio",PoolData!$A$10:$I$10,0),0),"")</f>
        <v/>
      </c>
      <c r="D74" s="23" t="str">
        <f aca="false">IFERROR(B74/VLOOKUP($A74,PoolData!$A$10:$I$32,MATCH("Coin 1 Pool Size",PoolData!$A$10:$I$10,0),0),"")</f>
        <v/>
      </c>
      <c r="E74" s="19" t="str">
        <f aca="false">IFERROR(VLOOKUP($A74,PoolData!$A$10:$I$32,MATCH("ANY Reward % to pool",PoolData!$A$10:$I$10,0),0)*DAILYANY*D74,"")</f>
        <v/>
      </c>
      <c r="F74" s="19" t="str">
        <f aca="false">IFERROR(VLOOKUP($A74,PoolData!$A$10:$T$32,MATCH("Trading Volume in BNB",PoolData!$A$10:$T$10,0),0)*FEEREWARDS*D74,"")</f>
        <v/>
      </c>
      <c r="G74" s="19" t="str">
        <f aca="false" t="array" ref="G74:G74">IFERROR(F74+E74*ANYBNB,"")</f>
        <v/>
      </c>
      <c r="H74" s="59" t="str">
        <f aca="false" t="array" ref="H74:H74">IFERROR(G74*BNBPRICE,"")</f>
        <v/>
      </c>
      <c r="I74" s="23" t="str">
        <f aca="false">IFERROR(G74/(2*B74),"")</f>
        <v/>
      </c>
      <c r="J74" s="18" t="str">
        <f aca="false">IFERROR(I74*365,"")</f>
        <v/>
      </c>
      <c r="K74" s="18" t="s">
        <v>63</v>
      </c>
    </row>
    <row r="75" customFormat="false" ht="15" hidden="false" customHeight="false" outlineLevel="0" collapsed="false">
      <c r="A75" s="48" t="s">
        <v>84</v>
      </c>
      <c r="B75" s="58" t="n">
        <v>0</v>
      </c>
      <c r="C75" s="19" t="str">
        <f aca="false">IFERROR(B75/VLOOKUP($A75,PoolData!$A$10:$I$32,MATCH("XXX:BNB Ratio",PoolData!$A$10:$I$10,0),0),"")</f>
        <v/>
      </c>
      <c r="D75" s="23" t="str">
        <f aca="false">IFERROR(B75/VLOOKUP($A75,PoolData!$A$10:$I$32,MATCH("Coin 1 Pool Size",PoolData!$A$10:$I$10,0),0),"")</f>
        <v/>
      </c>
      <c r="E75" s="19" t="str">
        <f aca="false">IFERROR(VLOOKUP($A75,PoolData!$A$10:$I$32,MATCH("ANY Reward % to pool",PoolData!$A$10:$I$10,0),0)*DAILYANY*D75,"")</f>
        <v/>
      </c>
      <c r="F75" s="19" t="str">
        <f aca="false">IFERROR(VLOOKUP($A75,PoolData!$A$10:$T$32,MATCH("Trading Volume in BNB",PoolData!$A$10:$T$10,0),0)*FEEREWARDS*D75,"")</f>
        <v/>
      </c>
      <c r="G75" s="19" t="str">
        <f aca="false" t="array" ref="G75:G75">IFERROR(F75+E75*ANYBNB,"")</f>
        <v/>
      </c>
      <c r="H75" s="59" t="str">
        <f aca="false" t="array" ref="H75:H75">IFERROR(G75*BNBPRICE,"")</f>
        <v/>
      </c>
      <c r="I75" s="23" t="str">
        <f aca="false">IFERROR(G75/(2*B75),"")</f>
        <v/>
      </c>
      <c r="J75" s="18" t="str">
        <f aca="false">IFERROR(I75*365,"")</f>
        <v/>
      </c>
      <c r="K75" s="18" t="s">
        <v>63</v>
      </c>
    </row>
    <row r="76" customFormat="false" ht="15" hidden="false" customHeight="false" outlineLevel="0" collapsed="false">
      <c r="A76" s="48" t="s">
        <v>84</v>
      </c>
      <c r="B76" s="58" t="n">
        <v>0</v>
      </c>
      <c r="C76" s="19" t="str">
        <f aca="false">IFERROR(B76/VLOOKUP($A76,PoolData!$A$10:$I$32,MATCH("XXX:BNB Ratio",PoolData!$A$10:$I$10,0),0),"")</f>
        <v/>
      </c>
      <c r="D76" s="23" t="str">
        <f aca="false">IFERROR(B76/VLOOKUP($A76,PoolData!$A$10:$I$32,MATCH("Coin 1 Pool Size",PoolData!$A$10:$I$10,0),0),"")</f>
        <v/>
      </c>
      <c r="E76" s="19" t="str">
        <f aca="false">IFERROR(VLOOKUP($A76,PoolData!$A$10:$I$32,MATCH("ANY Reward % to pool",PoolData!$A$10:$I$10,0),0)*DAILYANY*D76,"")</f>
        <v/>
      </c>
      <c r="F76" s="19" t="str">
        <f aca="false">IFERROR(VLOOKUP($A76,PoolData!$A$10:$T$32,MATCH("Trading Volume in BNB",PoolData!$A$10:$T$10,0),0)*FEEREWARDS*D76,"")</f>
        <v/>
      </c>
      <c r="G76" s="19" t="str">
        <f aca="false" t="array" ref="G76:G76">IFERROR(F76+E76*ANYBNB,"")</f>
        <v/>
      </c>
      <c r="H76" s="59" t="str">
        <f aca="false" t="array" ref="H76:H76">IFERROR(G76*BNBPRICE,"")</f>
        <v/>
      </c>
      <c r="I76" s="23" t="str">
        <f aca="false">IFERROR(G76/(2*B76),"")</f>
        <v/>
      </c>
      <c r="J76" s="18" t="str">
        <f aca="false">IFERROR(I76*365,"")</f>
        <v/>
      </c>
      <c r="K76" s="18" t="s">
        <v>63</v>
      </c>
    </row>
    <row r="77" customFormat="false" ht="15" hidden="false" customHeight="false" outlineLevel="0" collapsed="false">
      <c r="A77" s="48" t="s">
        <v>84</v>
      </c>
      <c r="B77" s="58" t="n">
        <v>0</v>
      </c>
      <c r="C77" s="19" t="str">
        <f aca="false">IFERROR(B77/VLOOKUP($A77,PoolData!$A$10:$I$32,MATCH("XXX:BNB Ratio",PoolData!$A$10:$I$10,0),0),"")</f>
        <v/>
      </c>
      <c r="D77" s="23" t="str">
        <f aca="false">IFERROR(B77/VLOOKUP($A77,PoolData!$A$10:$I$32,MATCH("Coin 1 Pool Size",PoolData!$A$10:$I$10,0),0),"")</f>
        <v/>
      </c>
      <c r="E77" s="19" t="str">
        <f aca="false">IFERROR(VLOOKUP($A77,PoolData!$A$10:$I$32,MATCH("ANY Reward % to pool",PoolData!$A$10:$I$10,0),0)*DAILYANY*D77,"")</f>
        <v/>
      </c>
      <c r="F77" s="19" t="str">
        <f aca="false">IFERROR(VLOOKUP($A77,PoolData!$A$10:$T$32,MATCH("Trading Volume in BNB",PoolData!$A$10:$T$10,0),0)*FEEREWARDS*D77,"")</f>
        <v/>
      </c>
      <c r="G77" s="19" t="str">
        <f aca="false" t="array" ref="G77:G77">IFERROR(F77+E77*ANYBNB,"")</f>
        <v/>
      </c>
      <c r="H77" s="59" t="str">
        <f aca="false" t="array" ref="H77:H77">IFERROR(G77*BNBPRICE,"")</f>
        <v/>
      </c>
      <c r="I77" s="23" t="str">
        <f aca="false">IFERROR(G77/(2*B77),"")</f>
        <v/>
      </c>
      <c r="J77" s="18" t="str">
        <f aca="false">IFERROR(I77*365,"")</f>
        <v/>
      </c>
      <c r="K77" s="18" t="s">
        <v>63</v>
      </c>
    </row>
    <row r="78" customFormat="false" ht="15" hidden="false" customHeight="false" outlineLevel="0" collapsed="false">
      <c r="A78" s="48" t="s">
        <v>84</v>
      </c>
      <c r="B78" s="58" t="n">
        <v>0</v>
      </c>
      <c r="C78" s="19" t="str">
        <f aca="false">IFERROR(B78/VLOOKUP($A78,PoolData!$A$10:$I$32,MATCH("XXX:BNB Ratio",PoolData!$A$10:$I$10,0),0),"")</f>
        <v/>
      </c>
      <c r="D78" s="23" t="str">
        <f aca="false">IFERROR(B78/VLOOKUP($A78,PoolData!$A$10:$I$32,MATCH("Coin 1 Pool Size",PoolData!$A$10:$I$10,0),0),"")</f>
        <v/>
      </c>
      <c r="E78" s="19" t="str">
        <f aca="false">IFERROR(VLOOKUP($A78,PoolData!$A$10:$I$32,MATCH("ANY Reward % to pool",PoolData!$A$10:$I$10,0),0)*DAILYANY*D78,"")</f>
        <v/>
      </c>
      <c r="F78" s="19" t="str">
        <f aca="false">IFERROR(VLOOKUP($A78,PoolData!$A$10:$T$32,MATCH("Trading Volume in BNB",PoolData!$A$10:$T$10,0),0)*FEEREWARDS*D78,"")</f>
        <v/>
      </c>
      <c r="G78" s="19" t="str">
        <f aca="false" t="array" ref="G78:G78">IFERROR(F78+E78*ANYBNB,"")</f>
        <v/>
      </c>
      <c r="H78" s="59" t="str">
        <f aca="false" t="array" ref="H78:H78">IFERROR(G78*BNBPRICE,"")</f>
        <v/>
      </c>
      <c r="I78" s="23" t="str">
        <f aca="false">IFERROR(G78/(2*B78),"")</f>
        <v/>
      </c>
      <c r="J78" s="18" t="str">
        <f aca="false">IFERROR(I78*365,"")</f>
        <v/>
      </c>
      <c r="K78" s="18" t="s">
        <v>63</v>
      </c>
    </row>
    <row r="79" customFormat="false" ht="15" hidden="false" customHeight="false" outlineLevel="0" collapsed="false">
      <c r="A79" s="48" t="s">
        <v>84</v>
      </c>
      <c r="B79" s="58" t="n">
        <v>0</v>
      </c>
      <c r="C79" s="19" t="str">
        <f aca="false">IFERROR(B79/VLOOKUP($A79,PoolData!$A$10:$I$32,MATCH("XXX:BNB Ratio",PoolData!$A$10:$I$10,0),0),"")</f>
        <v/>
      </c>
      <c r="D79" s="23" t="str">
        <f aca="false">IFERROR(B79/VLOOKUP($A79,PoolData!$A$10:$I$32,MATCH("Coin 1 Pool Size",PoolData!$A$10:$I$10,0),0),"")</f>
        <v/>
      </c>
      <c r="E79" s="19" t="str">
        <f aca="false">IFERROR(VLOOKUP($A79,PoolData!$A$10:$I$32,MATCH("ANY Reward % to pool",PoolData!$A$10:$I$10,0),0)*DAILYANY*D79,"")</f>
        <v/>
      </c>
      <c r="F79" s="19" t="str">
        <f aca="false">IFERROR(VLOOKUP($A79,PoolData!$A$10:$T$32,MATCH("Trading Volume in BNB",PoolData!$A$10:$T$10,0),0)*FEEREWARDS*D79,"")</f>
        <v/>
      </c>
      <c r="G79" s="19" t="str">
        <f aca="false" t="array" ref="G79:G79">IFERROR(F79+E79*ANYBNB,"")</f>
        <v/>
      </c>
      <c r="H79" s="59" t="str">
        <f aca="false" t="array" ref="H79:H79">IFERROR(G79*BNBPRICE,"")</f>
        <v/>
      </c>
      <c r="I79" s="23" t="str">
        <f aca="false">IFERROR(G79/(2*B79),"")</f>
        <v/>
      </c>
      <c r="J79" s="18" t="str">
        <f aca="false">IFERROR(I79*365,"")</f>
        <v/>
      </c>
      <c r="K79" s="18" t="s">
        <v>63</v>
      </c>
    </row>
    <row r="80" customFormat="false" ht="15" hidden="false" customHeight="false" outlineLevel="0" collapsed="false">
      <c r="A80" s="48" t="s">
        <v>84</v>
      </c>
      <c r="B80" s="58" t="n">
        <v>0</v>
      </c>
      <c r="C80" s="19" t="str">
        <f aca="false">IFERROR(B80/VLOOKUP($A80,PoolData!$A$10:$I$32,MATCH("XXX:BNB Ratio",PoolData!$A$10:$I$10,0),0),"")</f>
        <v/>
      </c>
      <c r="D80" s="23" t="str">
        <f aca="false">IFERROR(B80/VLOOKUP($A80,PoolData!$A$10:$I$32,MATCH("Coin 1 Pool Size",PoolData!$A$10:$I$10,0),0),"")</f>
        <v/>
      </c>
      <c r="E80" s="19" t="str">
        <f aca="false">IFERROR(VLOOKUP($A80,PoolData!$A$10:$I$32,MATCH("ANY Reward % to pool",PoolData!$A$10:$I$10,0),0)*DAILYANY*D80,"")</f>
        <v/>
      </c>
      <c r="F80" s="19" t="str">
        <f aca="false">IFERROR(VLOOKUP($A80,PoolData!$A$10:$T$32,MATCH("Trading Volume in BNB",PoolData!$A$10:$T$10,0),0)*FEEREWARDS*D80,"")</f>
        <v/>
      </c>
      <c r="G80" s="19" t="str">
        <f aca="false" t="array" ref="G80:G80">IFERROR(F80+E80*ANYBNB,"")</f>
        <v/>
      </c>
      <c r="H80" s="59" t="str">
        <f aca="false" t="array" ref="H80:H80">IFERROR(G80*BNBPRICE,"")</f>
        <v/>
      </c>
      <c r="I80" s="23" t="str">
        <f aca="false">IFERROR(G80/(2*B80),"")</f>
        <v/>
      </c>
      <c r="J80" s="18" t="str">
        <f aca="false">IFERROR(I80*365,"")</f>
        <v/>
      </c>
      <c r="K80" s="18" t="s">
        <v>63</v>
      </c>
    </row>
    <row r="81" customFormat="false" ht="15" hidden="false" customHeight="false" outlineLevel="0" collapsed="false">
      <c r="A81" s="48" t="s">
        <v>84</v>
      </c>
      <c r="B81" s="58" t="n">
        <v>0</v>
      </c>
      <c r="C81" s="19" t="str">
        <f aca="false">IFERROR(B81/VLOOKUP($A81,PoolData!$A$10:$I$32,MATCH("XXX:BNB Ratio",PoolData!$A$10:$I$10,0),0),"")</f>
        <v/>
      </c>
      <c r="D81" s="23" t="str">
        <f aca="false">IFERROR(B81/VLOOKUP($A81,PoolData!$A$10:$I$32,MATCH("Coin 1 Pool Size",PoolData!$A$10:$I$10,0),0),"")</f>
        <v/>
      </c>
      <c r="E81" s="19" t="str">
        <f aca="false">IFERROR(VLOOKUP($A81,PoolData!$A$10:$I$32,MATCH("ANY Reward % to pool",PoolData!$A$10:$I$10,0),0)*DAILYANY*D81,"")</f>
        <v/>
      </c>
      <c r="F81" s="19" t="str">
        <f aca="false">IFERROR(VLOOKUP($A81,PoolData!$A$10:$T$32,MATCH("Trading Volume in BNB",PoolData!$A$10:$T$10,0),0)*FEEREWARDS*D81,"")</f>
        <v/>
      </c>
      <c r="G81" s="19" t="str">
        <f aca="false" t="array" ref="G81:G81">IFERROR(F81+E81*ANYBNB,"")</f>
        <v/>
      </c>
      <c r="H81" s="59" t="str">
        <f aca="false" t="array" ref="H81:H81">IFERROR(G81*BNBPRICE,"")</f>
        <v/>
      </c>
      <c r="I81" s="23" t="str">
        <f aca="false">IFERROR(G81/(2*B81),"")</f>
        <v/>
      </c>
      <c r="J81" s="18" t="str">
        <f aca="false">IFERROR(I81*365,"")</f>
        <v/>
      </c>
      <c r="K81" s="18" t="s">
        <v>63</v>
      </c>
    </row>
    <row r="82" customFormat="false" ht="15" hidden="false" customHeight="false" outlineLevel="0" collapsed="false">
      <c r="A82" s="48" t="s">
        <v>84</v>
      </c>
      <c r="B82" s="58" t="n">
        <v>0</v>
      </c>
      <c r="C82" s="19" t="str">
        <f aca="false">IFERROR(B82/VLOOKUP($A82,PoolData!$A$10:$I$32,MATCH("XXX:BNB Ratio",PoolData!$A$10:$I$10,0),0),"")</f>
        <v/>
      </c>
      <c r="D82" s="23" t="str">
        <f aca="false">IFERROR(B82/VLOOKUP($A82,PoolData!$A$10:$I$32,MATCH("Coin 1 Pool Size",PoolData!$A$10:$I$10,0),0),"")</f>
        <v/>
      </c>
      <c r="E82" s="19" t="str">
        <f aca="false">IFERROR(VLOOKUP($A82,PoolData!$A$10:$I$32,MATCH("ANY Reward % to pool",PoolData!$A$10:$I$10,0),0)*DAILYANY*D82,"")</f>
        <v/>
      </c>
      <c r="F82" s="19" t="str">
        <f aca="false">IFERROR(VLOOKUP($A82,PoolData!$A$10:$T$32,MATCH("Trading Volume in BNB",PoolData!$A$10:$T$10,0),0)*FEEREWARDS*D82,"")</f>
        <v/>
      </c>
      <c r="G82" s="19" t="str">
        <f aca="false" t="array" ref="G82:G82">IFERROR(F82+E82*ANYBNB,"")</f>
        <v/>
      </c>
      <c r="H82" s="59" t="str">
        <f aca="false" t="array" ref="H82:H82">IFERROR(G82*BNBPRICE,"")</f>
        <v/>
      </c>
      <c r="I82" s="23" t="str">
        <f aca="false">IFERROR(G82/(2*B82),"")</f>
        <v/>
      </c>
      <c r="J82" s="18" t="str">
        <f aca="false">IFERROR(I82*365,"")</f>
        <v/>
      </c>
      <c r="K82" s="18" t="s">
        <v>63</v>
      </c>
    </row>
    <row r="83" customFormat="false" ht="15" hidden="false" customHeight="false" outlineLevel="0" collapsed="false">
      <c r="A83" s="48" t="s">
        <v>84</v>
      </c>
      <c r="B83" s="58" t="n">
        <v>0</v>
      </c>
      <c r="C83" s="19" t="str">
        <f aca="false">IFERROR(B83/VLOOKUP($A83,PoolData!$A$10:$I$32,MATCH("XXX:BNB Ratio",PoolData!$A$10:$I$10,0),0),"")</f>
        <v/>
      </c>
      <c r="D83" s="23" t="str">
        <f aca="false">IFERROR(B83/VLOOKUP($A83,PoolData!$A$10:$I$32,MATCH("Coin 1 Pool Size",PoolData!$A$10:$I$10,0),0),"")</f>
        <v/>
      </c>
      <c r="E83" s="19" t="str">
        <f aca="false">IFERROR(VLOOKUP($A83,PoolData!$A$10:$I$32,MATCH("ANY Reward % to pool",PoolData!$A$10:$I$10,0),0)*DAILYANY*D83,"")</f>
        <v/>
      </c>
      <c r="F83" s="19" t="str">
        <f aca="false">IFERROR(VLOOKUP($A83,PoolData!$A$10:$T$32,MATCH("Trading Volume in BNB",PoolData!$A$10:$T$10,0),0)*FEEREWARDS*D83,"")</f>
        <v/>
      </c>
      <c r="G83" s="19" t="str">
        <f aca="false" t="array" ref="G83:G83">IFERROR(F83+E83*ANYBNB,"")</f>
        <v/>
      </c>
      <c r="H83" s="59" t="str">
        <f aca="false" t="array" ref="H83:H83">IFERROR(G83*BNBPRICE,"")</f>
        <v/>
      </c>
      <c r="I83" s="23" t="str">
        <f aca="false">IFERROR(G83/(2*B83),"")</f>
        <v/>
      </c>
      <c r="J83" s="18" t="str">
        <f aca="false">IFERROR(I83*365,"")</f>
        <v/>
      </c>
      <c r="K83" s="18" t="s">
        <v>63</v>
      </c>
    </row>
    <row r="84" customFormat="false" ht="15" hidden="false" customHeight="false" outlineLevel="0" collapsed="false">
      <c r="A84" s="48" t="s">
        <v>84</v>
      </c>
      <c r="B84" s="58" t="n">
        <v>0</v>
      </c>
      <c r="C84" s="19" t="str">
        <f aca="false">IFERROR(B84/VLOOKUP($A84,PoolData!$A$10:$I$32,MATCH("XXX:BNB Ratio",PoolData!$A$10:$I$10,0),0),"")</f>
        <v/>
      </c>
      <c r="D84" s="23" t="str">
        <f aca="false">IFERROR(B84/VLOOKUP($A84,PoolData!$A$10:$I$32,MATCH("Coin 1 Pool Size",PoolData!$A$10:$I$10,0),0),"")</f>
        <v/>
      </c>
      <c r="E84" s="19" t="str">
        <f aca="false">IFERROR(VLOOKUP($A84,PoolData!$A$10:$I$32,MATCH("ANY Reward % to pool",PoolData!$A$10:$I$10,0),0)*DAILYANY*D84,"")</f>
        <v/>
      </c>
      <c r="F84" s="19" t="str">
        <f aca="false">IFERROR(VLOOKUP($A84,PoolData!$A$10:$T$32,MATCH("Trading Volume in BNB",PoolData!$A$10:$T$10,0),0)*FEEREWARDS*D84,"")</f>
        <v/>
      </c>
      <c r="G84" s="19" t="str">
        <f aca="false" t="array" ref="G84:G84">IFERROR(F84+E84*ANYBNB,"")</f>
        <v/>
      </c>
      <c r="H84" s="59" t="str">
        <f aca="false" t="array" ref="H84:H84">IFERROR(G84*BNBPRICE,"")</f>
        <v/>
      </c>
      <c r="I84" s="23" t="str">
        <f aca="false">IFERROR(G84/(2*B84),"")</f>
        <v/>
      </c>
      <c r="J84" s="18" t="str">
        <f aca="false">IFERROR(I84*365,"")</f>
        <v/>
      </c>
      <c r="K84" s="18" t="s">
        <v>63</v>
      </c>
    </row>
    <row r="85" customFormat="false" ht="15" hidden="false" customHeight="false" outlineLevel="0" collapsed="false">
      <c r="A85" s="48" t="s">
        <v>84</v>
      </c>
      <c r="B85" s="58" t="n">
        <v>0</v>
      </c>
      <c r="C85" s="19" t="str">
        <f aca="false">IFERROR(B85/VLOOKUP($A85,PoolData!$A$10:$I$32,MATCH("XXX:BNB Ratio",PoolData!$A$10:$I$10,0),0),"")</f>
        <v/>
      </c>
      <c r="D85" s="23" t="str">
        <f aca="false">IFERROR(B85/VLOOKUP($A85,PoolData!$A$10:$I$32,MATCH("Coin 1 Pool Size",PoolData!$A$10:$I$10,0),0),"")</f>
        <v/>
      </c>
      <c r="E85" s="19" t="str">
        <f aca="false">IFERROR(VLOOKUP($A85,PoolData!$A$10:$I$32,MATCH("ANY Reward % to pool",PoolData!$A$10:$I$10,0),0)*DAILYANY*D85,"")</f>
        <v/>
      </c>
      <c r="F85" s="19" t="str">
        <f aca="false">IFERROR(VLOOKUP($A85,PoolData!$A$10:$T$32,MATCH("Trading Volume in BNB",PoolData!$A$10:$T$10,0),0)*FEEREWARDS*D85,"")</f>
        <v/>
      </c>
      <c r="G85" s="19" t="str">
        <f aca="false" t="array" ref="G85:G85">IFERROR(F85+E85*ANYBNB,"")</f>
        <v/>
      </c>
      <c r="H85" s="59" t="str">
        <f aca="false" t="array" ref="H85:H85">IFERROR(G85*BNBPRICE,"")</f>
        <v/>
      </c>
      <c r="I85" s="23" t="str">
        <f aca="false">IFERROR(G85/(2*B85),"")</f>
        <v/>
      </c>
      <c r="J85" s="18" t="str">
        <f aca="false">IFERROR(I85*365,"")</f>
        <v/>
      </c>
      <c r="K85" s="18" t="s">
        <v>63</v>
      </c>
    </row>
    <row r="86" customFormat="false" ht="15" hidden="false" customHeight="false" outlineLevel="0" collapsed="false">
      <c r="A86" s="48" t="s">
        <v>84</v>
      </c>
      <c r="B86" s="58" t="n">
        <v>0</v>
      </c>
      <c r="C86" s="19" t="str">
        <f aca="false">IFERROR(B86/VLOOKUP($A86,PoolData!$A$10:$I$32,MATCH("XXX:BNB Ratio",PoolData!$A$10:$I$10,0),0),"")</f>
        <v/>
      </c>
      <c r="D86" s="23" t="str">
        <f aca="false">IFERROR(B86/VLOOKUP($A86,PoolData!$A$10:$I$32,MATCH("Coin 1 Pool Size",PoolData!$A$10:$I$10,0),0),"")</f>
        <v/>
      </c>
      <c r="E86" s="19" t="str">
        <f aca="false">IFERROR(VLOOKUP($A86,PoolData!$A$10:$I$32,MATCH("ANY Reward % to pool",PoolData!$A$10:$I$10,0),0)*DAILYANY*D86,"")</f>
        <v/>
      </c>
      <c r="F86" s="19" t="str">
        <f aca="false">IFERROR(VLOOKUP($A86,PoolData!$A$10:$T$32,MATCH("Trading Volume in BNB",PoolData!$A$10:$T$10,0),0)*FEEREWARDS*D86,"")</f>
        <v/>
      </c>
      <c r="G86" s="19" t="str">
        <f aca="false" t="array" ref="G86:G86">IFERROR(F86+E86*ANYBNB,"")</f>
        <v/>
      </c>
      <c r="H86" s="59" t="str">
        <f aca="false" t="array" ref="H86:H86">IFERROR(G86*BNBPRICE,"")</f>
        <v/>
      </c>
      <c r="I86" s="23" t="str">
        <f aca="false">IFERROR(G86/(2*B86),"")</f>
        <v/>
      </c>
      <c r="J86" s="18" t="str">
        <f aca="false">IFERROR(I86*365,"")</f>
        <v/>
      </c>
      <c r="K86" s="18" t="s">
        <v>63</v>
      </c>
    </row>
    <row r="87" customFormat="false" ht="15" hidden="false" customHeight="false" outlineLevel="0" collapsed="false">
      <c r="A87" s="48" t="s">
        <v>84</v>
      </c>
      <c r="B87" s="58" t="n">
        <v>0</v>
      </c>
      <c r="C87" s="19" t="str">
        <f aca="false">IFERROR(B87/VLOOKUP($A87,PoolData!$A$10:$I$32,MATCH("XXX:BNB Ratio",PoolData!$A$10:$I$10,0),0),"")</f>
        <v/>
      </c>
      <c r="D87" s="23" t="str">
        <f aca="false">IFERROR(B87/VLOOKUP($A87,PoolData!$A$10:$I$32,MATCH("Coin 1 Pool Size",PoolData!$A$10:$I$10,0),0),"")</f>
        <v/>
      </c>
      <c r="E87" s="19" t="str">
        <f aca="false">IFERROR(VLOOKUP($A87,PoolData!$A$10:$I$32,MATCH("ANY Reward % to pool",PoolData!$A$10:$I$10,0),0)*DAILYANY*D87,"")</f>
        <v/>
      </c>
      <c r="F87" s="19" t="str">
        <f aca="false">IFERROR(VLOOKUP($A87,PoolData!$A$10:$T$32,MATCH("Trading Volume in BNB",PoolData!$A$10:$T$10,0),0)*FEEREWARDS*D87,"")</f>
        <v/>
      </c>
      <c r="G87" s="19" t="str">
        <f aca="false" t="array" ref="G87:G87">IFERROR(F87+E87*ANYBNB,"")</f>
        <v/>
      </c>
      <c r="H87" s="59" t="str">
        <f aca="false" t="array" ref="H87:H87">IFERROR(G87*BNBPRICE,"")</f>
        <v/>
      </c>
      <c r="I87" s="23" t="str">
        <f aca="false">IFERROR(G87/(2*B87),"")</f>
        <v/>
      </c>
      <c r="J87" s="18" t="str">
        <f aca="false">IFERROR(I87*365,"")</f>
        <v/>
      </c>
      <c r="K87" s="18" t="s">
        <v>63</v>
      </c>
    </row>
    <row r="88" customFormat="false" ht="15" hidden="false" customHeight="false" outlineLevel="0" collapsed="false">
      <c r="A88" s="48" t="s">
        <v>84</v>
      </c>
      <c r="B88" s="58" t="n">
        <v>0</v>
      </c>
      <c r="C88" s="19" t="str">
        <f aca="false">IFERROR(B88/VLOOKUP($A88,PoolData!$A$10:$I$32,MATCH("XXX:BNB Ratio",PoolData!$A$10:$I$10,0),0),"")</f>
        <v/>
      </c>
      <c r="D88" s="23" t="str">
        <f aca="false">IFERROR(B88/VLOOKUP($A88,PoolData!$A$10:$I$32,MATCH("Coin 1 Pool Size",PoolData!$A$10:$I$10,0),0),"")</f>
        <v/>
      </c>
      <c r="E88" s="19" t="str">
        <f aca="false">IFERROR(VLOOKUP($A88,PoolData!$A$10:$I$32,MATCH("ANY Reward % to pool",PoolData!$A$10:$I$10,0),0)*DAILYANY*D88,"")</f>
        <v/>
      </c>
      <c r="F88" s="19" t="str">
        <f aca="false">IFERROR(VLOOKUP($A88,PoolData!$A$10:$T$32,MATCH("Trading Volume in BNB",PoolData!$A$10:$T$10,0),0)*FEEREWARDS*D88,"")</f>
        <v/>
      </c>
      <c r="G88" s="19" t="str">
        <f aca="false" t="array" ref="G88:G88">IFERROR(F88+E88*ANYBNB,"")</f>
        <v/>
      </c>
      <c r="H88" s="59" t="str">
        <f aca="false" t="array" ref="H88:H88">IFERROR(G88*BNBPRICE,"")</f>
        <v/>
      </c>
      <c r="I88" s="23" t="str">
        <f aca="false">IFERROR(G88/(2*B88),"")</f>
        <v/>
      </c>
      <c r="J88" s="18" t="str">
        <f aca="false">IFERROR(I88*365,"")</f>
        <v/>
      </c>
      <c r="K88" s="18" t="s">
        <v>63</v>
      </c>
    </row>
    <row r="89" customFormat="false" ht="15" hidden="false" customHeight="false" outlineLevel="0" collapsed="false">
      <c r="A89" s="48" t="s">
        <v>84</v>
      </c>
      <c r="B89" s="58" t="n">
        <v>0</v>
      </c>
      <c r="C89" s="19" t="str">
        <f aca="false">IFERROR(B89/VLOOKUP($A89,PoolData!$A$10:$I$32,MATCH("XXX:BNB Ratio",PoolData!$A$10:$I$10,0),0),"")</f>
        <v/>
      </c>
      <c r="D89" s="23" t="str">
        <f aca="false">IFERROR(B89/VLOOKUP($A89,PoolData!$A$10:$I$32,MATCH("Coin 1 Pool Size",PoolData!$A$10:$I$10,0),0),"")</f>
        <v/>
      </c>
      <c r="E89" s="19" t="str">
        <f aca="false">IFERROR(VLOOKUP($A89,PoolData!$A$10:$I$32,MATCH("ANY Reward % to pool",PoolData!$A$10:$I$10,0),0)*DAILYANY*D89,"")</f>
        <v/>
      </c>
      <c r="F89" s="19" t="str">
        <f aca="false">IFERROR(VLOOKUP($A89,PoolData!$A$10:$T$32,MATCH("Trading Volume in BNB",PoolData!$A$10:$T$10,0),0)*FEEREWARDS*D89,"")</f>
        <v/>
      </c>
      <c r="G89" s="19" t="str">
        <f aca="false" t="array" ref="G89:G89">IFERROR(F89+E89*ANYBNB,"")</f>
        <v/>
      </c>
      <c r="H89" s="59" t="str">
        <f aca="false" t="array" ref="H89:H89">IFERROR(G89*BNBPRICE,"")</f>
        <v/>
      </c>
      <c r="I89" s="23" t="str">
        <f aca="false">IFERROR(G89/(2*B89),"")</f>
        <v/>
      </c>
      <c r="J89" s="18" t="str">
        <f aca="false">IFERROR(I89*365,"")</f>
        <v/>
      </c>
      <c r="K89" s="18" t="s">
        <v>63</v>
      </c>
    </row>
    <row r="90" customFormat="false" ht="15" hidden="false" customHeight="false" outlineLevel="0" collapsed="false">
      <c r="A90" s="48" t="s">
        <v>84</v>
      </c>
      <c r="B90" s="58" t="n">
        <v>0</v>
      </c>
      <c r="C90" s="19" t="str">
        <f aca="false">IFERROR(B90/VLOOKUP($A90,PoolData!$A$10:$I$32,MATCH("XXX:BNB Ratio",PoolData!$A$10:$I$10,0),0),"")</f>
        <v/>
      </c>
      <c r="D90" s="23" t="str">
        <f aca="false">IFERROR(B90/VLOOKUP($A90,PoolData!$A$10:$I$32,MATCH("Coin 1 Pool Size",PoolData!$A$10:$I$10,0),0),"")</f>
        <v/>
      </c>
      <c r="E90" s="19" t="str">
        <f aca="false">IFERROR(VLOOKUP($A90,PoolData!$A$10:$I$32,MATCH("ANY Reward % to pool",PoolData!$A$10:$I$10,0),0)*DAILYANY*D90,"")</f>
        <v/>
      </c>
      <c r="F90" s="19" t="str">
        <f aca="false">IFERROR(VLOOKUP($A90,PoolData!$A$10:$T$32,MATCH("Trading Volume in BNB",PoolData!$A$10:$T$10,0),0)*FEEREWARDS*D90,"")</f>
        <v/>
      </c>
      <c r="G90" s="19" t="str">
        <f aca="false" t="array" ref="G90:G90">IFERROR(F90+E90*ANYBNB,"")</f>
        <v/>
      </c>
      <c r="H90" s="59" t="str">
        <f aca="false" t="array" ref="H90:H90">IFERROR(G90*BNBPRICE,"")</f>
        <v/>
      </c>
      <c r="I90" s="23" t="str">
        <f aca="false">IFERROR(G90/(2*B90),"")</f>
        <v/>
      </c>
      <c r="J90" s="18" t="str">
        <f aca="false">IFERROR(I90*365,"")</f>
        <v/>
      </c>
      <c r="K90" s="18" t="s">
        <v>63</v>
      </c>
    </row>
    <row r="91" customFormat="false" ht="15" hidden="false" customHeight="false" outlineLevel="0" collapsed="false">
      <c r="A91" s="48" t="s">
        <v>84</v>
      </c>
      <c r="B91" s="58" t="n">
        <v>0</v>
      </c>
      <c r="C91" s="19" t="str">
        <f aca="false">IFERROR(B91/VLOOKUP($A91,PoolData!$A$10:$I$32,MATCH("XXX:BNB Ratio",PoolData!$A$10:$I$10,0),0),"")</f>
        <v/>
      </c>
      <c r="D91" s="23" t="str">
        <f aca="false">IFERROR(B91/VLOOKUP($A91,PoolData!$A$10:$I$32,MATCH("Coin 1 Pool Size",PoolData!$A$10:$I$10,0),0),"")</f>
        <v/>
      </c>
      <c r="E91" s="19" t="str">
        <f aca="false">IFERROR(VLOOKUP($A91,PoolData!$A$10:$I$32,MATCH("ANY Reward % to pool",PoolData!$A$10:$I$10,0),0)*DAILYANY*D91,"")</f>
        <v/>
      </c>
      <c r="F91" s="19" t="str">
        <f aca="false">IFERROR(VLOOKUP($A91,PoolData!$A$10:$T$32,MATCH("Trading Volume in BNB",PoolData!$A$10:$T$10,0),0)*FEEREWARDS*D91,"")</f>
        <v/>
      </c>
      <c r="G91" s="19" t="str">
        <f aca="false" t="array" ref="G91:G91">IFERROR(F91+E91*ANYBNB,"")</f>
        <v/>
      </c>
      <c r="H91" s="59" t="str">
        <f aca="false" t="array" ref="H91:H91">IFERROR(G91*BNBPRICE,"")</f>
        <v/>
      </c>
      <c r="I91" s="23" t="str">
        <f aca="false">IFERROR(G91/(2*B91),"")</f>
        <v/>
      </c>
      <c r="J91" s="18" t="str">
        <f aca="false">IFERROR(I91*365,"")</f>
        <v/>
      </c>
      <c r="K91" s="18" t="s">
        <v>63</v>
      </c>
    </row>
    <row r="92" customFormat="false" ht="15" hidden="false" customHeight="false" outlineLevel="0" collapsed="false">
      <c r="A92" s="48" t="s">
        <v>84</v>
      </c>
      <c r="B92" s="58" t="n">
        <v>0</v>
      </c>
      <c r="C92" s="19" t="str">
        <f aca="false">IFERROR(B92/VLOOKUP($A92,PoolData!$A$10:$I$32,MATCH("XXX:BNB Ratio",PoolData!$A$10:$I$10,0),0),"")</f>
        <v/>
      </c>
      <c r="D92" s="23" t="str">
        <f aca="false">IFERROR(B92/VLOOKUP($A92,PoolData!$A$10:$I$32,MATCH("Coin 1 Pool Size",PoolData!$A$10:$I$10,0),0),"")</f>
        <v/>
      </c>
      <c r="E92" s="19" t="str">
        <f aca="false">IFERROR(VLOOKUP($A92,PoolData!$A$10:$I$32,MATCH("ANY Reward % to pool",PoolData!$A$10:$I$10,0),0)*DAILYANY*D92,"")</f>
        <v/>
      </c>
      <c r="F92" s="19" t="str">
        <f aca="false">IFERROR(VLOOKUP($A92,PoolData!$A$10:$T$32,MATCH("Trading Volume in BNB",PoolData!$A$10:$T$10,0),0)*FEEREWARDS*D92,"")</f>
        <v/>
      </c>
      <c r="G92" s="19" t="str">
        <f aca="false" t="array" ref="G92:G92">IFERROR(F92+E92*ANYBNB,"")</f>
        <v/>
      </c>
      <c r="H92" s="59" t="str">
        <f aca="false" t="array" ref="H92:H92">IFERROR(G92*BNBPRICE,"")</f>
        <v/>
      </c>
      <c r="I92" s="23" t="str">
        <f aca="false">IFERROR(G92/(2*B92),"")</f>
        <v/>
      </c>
      <c r="J92" s="18" t="str">
        <f aca="false">IFERROR(I92*365,"")</f>
        <v/>
      </c>
      <c r="K92" s="18" t="s">
        <v>63</v>
      </c>
    </row>
    <row r="93" customFormat="false" ht="15" hidden="false" customHeight="false" outlineLevel="0" collapsed="false">
      <c r="A93" s="48" t="s">
        <v>84</v>
      </c>
      <c r="B93" s="58" t="n">
        <v>0</v>
      </c>
      <c r="C93" s="19" t="str">
        <f aca="false">IFERROR(B93/VLOOKUP($A93,PoolData!$A$10:$I$32,MATCH("XXX:BNB Ratio",PoolData!$A$10:$I$10,0),0),"")</f>
        <v/>
      </c>
      <c r="D93" s="23" t="str">
        <f aca="false">IFERROR(B93/VLOOKUP($A93,PoolData!$A$10:$I$32,MATCH("Coin 1 Pool Size",PoolData!$A$10:$I$10,0),0),"")</f>
        <v/>
      </c>
      <c r="E93" s="19" t="str">
        <f aca="false">IFERROR(VLOOKUP($A93,PoolData!$A$10:$I$32,MATCH("ANY Reward % to pool",PoolData!$A$10:$I$10,0),0)*DAILYANY*D93,"")</f>
        <v/>
      </c>
      <c r="F93" s="19" t="str">
        <f aca="false">IFERROR(VLOOKUP($A93,PoolData!$A$10:$T$32,MATCH("Trading Volume in BNB",PoolData!$A$10:$T$10,0),0)*FEEREWARDS*D93,"")</f>
        <v/>
      </c>
      <c r="G93" s="19" t="str">
        <f aca="false" t="array" ref="G93:G93">IFERROR(F93+E93*ANYBNB,"")</f>
        <v/>
      </c>
      <c r="H93" s="59" t="str">
        <f aca="false" t="array" ref="H93:H93">IFERROR(G93*BNBPRICE,"")</f>
        <v/>
      </c>
      <c r="I93" s="23" t="str">
        <f aca="false">IFERROR(G93/(2*B93),"")</f>
        <v/>
      </c>
      <c r="J93" s="18" t="str">
        <f aca="false">IFERROR(I93*365,"")</f>
        <v/>
      </c>
      <c r="K93" s="18" t="s">
        <v>63</v>
      </c>
    </row>
    <row r="94" customFormat="false" ht="15" hidden="false" customHeight="false" outlineLevel="0" collapsed="false">
      <c r="A94" s="48" t="s">
        <v>84</v>
      </c>
      <c r="B94" s="58" t="n">
        <v>0</v>
      </c>
      <c r="C94" s="19" t="str">
        <f aca="false">IFERROR(B94/VLOOKUP($A94,PoolData!$A$10:$I$32,MATCH("XXX:BNB Ratio",PoolData!$A$10:$I$10,0),0),"")</f>
        <v/>
      </c>
      <c r="D94" s="23" t="str">
        <f aca="false">IFERROR(B94/VLOOKUP($A94,PoolData!$A$10:$I$32,MATCH("Coin 1 Pool Size",PoolData!$A$10:$I$10,0),0),"")</f>
        <v/>
      </c>
      <c r="E94" s="19" t="str">
        <f aca="false">IFERROR(VLOOKUP($A94,PoolData!$A$10:$I$32,MATCH("ANY Reward % to pool",PoolData!$A$10:$I$10,0),0)*DAILYANY*D94,"")</f>
        <v/>
      </c>
      <c r="F94" s="19" t="str">
        <f aca="false">IFERROR(VLOOKUP($A94,PoolData!$A$10:$T$32,MATCH("Trading Volume in BNB",PoolData!$A$10:$T$10,0),0)*FEEREWARDS*D94,"")</f>
        <v/>
      </c>
      <c r="G94" s="19" t="str">
        <f aca="false" t="array" ref="G94:G94">IFERROR(F94+E94*ANYBNB,"")</f>
        <v/>
      </c>
      <c r="H94" s="59" t="str">
        <f aca="false" t="array" ref="H94:H94">IFERROR(G94*BNBPRICE,"")</f>
        <v/>
      </c>
      <c r="I94" s="23" t="str">
        <f aca="false">IFERROR(G94/(2*B94),"")</f>
        <v/>
      </c>
      <c r="J94" s="18" t="str">
        <f aca="false">IFERROR(I94*365,"")</f>
        <v/>
      </c>
      <c r="K94" s="18" t="s">
        <v>63</v>
      </c>
    </row>
    <row r="95" customFormat="false" ht="15" hidden="false" customHeight="false" outlineLevel="0" collapsed="false">
      <c r="A95" s="48" t="s">
        <v>84</v>
      </c>
      <c r="B95" s="58" t="n">
        <v>0</v>
      </c>
      <c r="C95" s="19" t="str">
        <f aca="false">IFERROR(B95/VLOOKUP($A95,PoolData!$A$10:$I$32,MATCH("XXX:BNB Ratio",PoolData!$A$10:$I$10,0),0),"")</f>
        <v/>
      </c>
      <c r="D95" s="23" t="str">
        <f aca="false">IFERROR(B95/VLOOKUP($A95,PoolData!$A$10:$I$32,MATCH("Coin 1 Pool Size",PoolData!$A$10:$I$10,0),0),"")</f>
        <v/>
      </c>
      <c r="E95" s="19" t="str">
        <f aca="false">IFERROR(VLOOKUP($A95,PoolData!$A$10:$I$32,MATCH("ANY Reward % to pool",PoolData!$A$10:$I$10,0),0)*DAILYANY*D95,"")</f>
        <v/>
      </c>
      <c r="F95" s="19" t="str">
        <f aca="false">IFERROR(VLOOKUP($A95,PoolData!$A$10:$T$32,MATCH("Trading Volume in BNB",PoolData!$A$10:$T$10,0),0)*FEEREWARDS*D95,"")</f>
        <v/>
      </c>
      <c r="G95" s="19" t="str">
        <f aca="false" t="array" ref="G95:G95">IFERROR(F95+E95*ANYBNB,"")</f>
        <v/>
      </c>
      <c r="H95" s="59" t="str">
        <f aca="false" t="array" ref="H95:H95">IFERROR(G95*BNBPRICE,"")</f>
        <v/>
      </c>
      <c r="I95" s="23" t="str">
        <f aca="false">IFERROR(G95/(2*B95),"")</f>
        <v/>
      </c>
      <c r="J95" s="18" t="str">
        <f aca="false">IFERROR(I95*365,"")</f>
        <v/>
      </c>
      <c r="K95" s="18" t="s">
        <v>63</v>
      </c>
    </row>
    <row r="96" customFormat="false" ht="15" hidden="false" customHeight="false" outlineLevel="0" collapsed="false">
      <c r="A96" s="48" t="s">
        <v>84</v>
      </c>
      <c r="B96" s="58" t="n">
        <v>0</v>
      </c>
      <c r="C96" s="19" t="str">
        <f aca="false">IFERROR(B96/VLOOKUP($A96,PoolData!$A$10:$I$32,MATCH("XXX:BNB Ratio",PoolData!$A$10:$I$10,0),0),"")</f>
        <v/>
      </c>
      <c r="D96" s="23" t="str">
        <f aca="false">IFERROR(B96/VLOOKUP($A96,PoolData!$A$10:$I$32,MATCH("Coin 1 Pool Size",PoolData!$A$10:$I$10,0),0),"")</f>
        <v/>
      </c>
      <c r="E96" s="19" t="str">
        <f aca="false">IFERROR(VLOOKUP($A96,PoolData!$A$10:$I$32,MATCH("ANY Reward % to pool",PoolData!$A$10:$I$10,0),0)*DAILYANY*D96,"")</f>
        <v/>
      </c>
      <c r="F96" s="19" t="str">
        <f aca="false">IFERROR(VLOOKUP($A96,PoolData!$A$10:$T$32,MATCH("Trading Volume in BNB",PoolData!$A$10:$T$10,0),0)*FEEREWARDS*D96,"")</f>
        <v/>
      </c>
      <c r="G96" s="19" t="str">
        <f aca="false" t="array" ref="G96:G96">IFERROR(F96+E96*ANYBNB,"")</f>
        <v/>
      </c>
      <c r="H96" s="59" t="str">
        <f aca="false" t="array" ref="H96:H96">IFERROR(G96*BNBPRICE,"")</f>
        <v/>
      </c>
      <c r="I96" s="23" t="str">
        <f aca="false">IFERROR(G96/(2*B96),"")</f>
        <v/>
      </c>
      <c r="J96" s="18" t="str">
        <f aca="false">IFERROR(I96*365,"")</f>
        <v/>
      </c>
      <c r="K96" s="18" t="s">
        <v>63</v>
      </c>
    </row>
    <row r="97" customFormat="false" ht="15" hidden="false" customHeight="false" outlineLevel="0" collapsed="false">
      <c r="A97" s="48" t="s">
        <v>84</v>
      </c>
      <c r="B97" s="58" t="n">
        <v>0</v>
      </c>
      <c r="C97" s="19" t="str">
        <f aca="false">IFERROR(B97/VLOOKUP($A97,PoolData!$A$10:$I$32,MATCH("XXX:BNB Ratio",PoolData!$A$10:$I$10,0),0),"")</f>
        <v/>
      </c>
      <c r="D97" s="23" t="str">
        <f aca="false">IFERROR(B97/VLOOKUP($A97,PoolData!$A$10:$I$32,MATCH("Coin 1 Pool Size",PoolData!$A$10:$I$10,0),0),"")</f>
        <v/>
      </c>
      <c r="E97" s="19" t="str">
        <f aca="false">IFERROR(VLOOKUP($A97,PoolData!$A$10:$I$32,MATCH("ANY Reward % to pool",PoolData!$A$10:$I$10,0),0)*DAILYANY*D97,"")</f>
        <v/>
      </c>
      <c r="F97" s="19" t="str">
        <f aca="false">IFERROR(VLOOKUP($A97,PoolData!$A$10:$T$32,MATCH("Trading Volume in BNB",PoolData!$A$10:$T$10,0),0)*FEEREWARDS*D97,"")</f>
        <v/>
      </c>
      <c r="G97" s="19" t="str">
        <f aca="false" t="array" ref="G97:G97">IFERROR(F97+E97*ANYBNB,"")</f>
        <v/>
      </c>
      <c r="H97" s="59" t="str">
        <f aca="false" t="array" ref="H97:H97">IFERROR(G97*BNBPRICE,"")</f>
        <v/>
      </c>
      <c r="I97" s="23" t="str">
        <f aca="false">IFERROR(G97/(2*B97),"")</f>
        <v/>
      </c>
      <c r="J97" s="18" t="str">
        <f aca="false">IFERROR(I97*365,"")</f>
        <v/>
      </c>
      <c r="K97" s="18" t="s">
        <v>63</v>
      </c>
    </row>
    <row r="98" customFormat="false" ht="15" hidden="false" customHeight="false" outlineLevel="0" collapsed="false">
      <c r="A98" s="48" t="s">
        <v>84</v>
      </c>
      <c r="B98" s="58" t="n">
        <v>0</v>
      </c>
      <c r="C98" s="19" t="str">
        <f aca="false">IFERROR(B98/VLOOKUP($A98,PoolData!$A$10:$I$32,MATCH("XXX:BNB Ratio",PoolData!$A$10:$I$10,0),0),"")</f>
        <v/>
      </c>
      <c r="D98" s="23" t="str">
        <f aca="false">IFERROR(B98/VLOOKUP($A98,PoolData!$A$10:$I$32,MATCH("Coin 1 Pool Size",PoolData!$A$10:$I$10,0),0),"")</f>
        <v/>
      </c>
      <c r="E98" s="19" t="str">
        <f aca="false">IFERROR(VLOOKUP($A98,PoolData!$A$10:$I$32,MATCH("ANY Reward % to pool",PoolData!$A$10:$I$10,0),0)*DAILYANY*D98,"")</f>
        <v/>
      </c>
      <c r="F98" s="19" t="str">
        <f aca="false">IFERROR(VLOOKUP($A98,PoolData!$A$10:$T$32,MATCH("Trading Volume in BNB",PoolData!$A$10:$T$10,0),0)*FEEREWARDS*D98,"")</f>
        <v/>
      </c>
      <c r="G98" s="19" t="str">
        <f aca="false" t="array" ref="G98:G98">IFERROR(F98+E98*ANYBNB,"")</f>
        <v/>
      </c>
      <c r="H98" s="59" t="str">
        <f aca="false" t="array" ref="H98:H98">IFERROR(G98*BNBPRICE,"")</f>
        <v/>
      </c>
      <c r="I98" s="23" t="str">
        <f aca="false">IFERROR(G98/(2*B98),"")</f>
        <v/>
      </c>
      <c r="J98" s="18" t="str">
        <f aca="false">IFERROR(I98*365,"")</f>
        <v/>
      </c>
      <c r="K98" s="18" t="s">
        <v>63</v>
      </c>
    </row>
    <row r="99" customFormat="false" ht="15" hidden="false" customHeight="false" outlineLevel="0" collapsed="false">
      <c r="A99" s="48" t="s">
        <v>84</v>
      </c>
      <c r="B99" s="58" t="n">
        <v>0</v>
      </c>
      <c r="C99" s="19" t="str">
        <f aca="false">IFERROR(B99/VLOOKUP($A99,PoolData!$A$10:$I$32,MATCH("XXX:BNB Ratio",PoolData!$A$10:$I$10,0),0),"")</f>
        <v/>
      </c>
      <c r="D99" s="23" t="str">
        <f aca="false">IFERROR(B99/VLOOKUP($A99,PoolData!$A$10:$I$32,MATCH("Coin 1 Pool Size",PoolData!$A$10:$I$10,0),0),"")</f>
        <v/>
      </c>
      <c r="E99" s="19" t="str">
        <f aca="false">IFERROR(VLOOKUP($A99,PoolData!$A$10:$I$32,MATCH("ANY Reward % to pool",PoolData!$A$10:$I$10,0),0)*DAILYANY*D99,"")</f>
        <v/>
      </c>
      <c r="F99" s="19" t="str">
        <f aca="false">IFERROR(VLOOKUP($A99,PoolData!$A$10:$T$32,MATCH("Trading Volume in BNB",PoolData!$A$10:$T$10,0),0)*FEEREWARDS*D99,"")</f>
        <v/>
      </c>
      <c r="G99" s="19" t="str">
        <f aca="false" t="array" ref="G99:G99">IFERROR(F99+E99*ANYBNB,"")</f>
        <v/>
      </c>
      <c r="H99" s="59" t="str">
        <f aca="false" t="array" ref="H99:H99">IFERROR(G99*BNBPRICE,"")</f>
        <v/>
      </c>
      <c r="I99" s="23" t="str">
        <f aca="false">IFERROR(G99/(2*B99),"")</f>
        <v/>
      </c>
      <c r="J99" s="18" t="str">
        <f aca="false">IFERROR(I99*365,"")</f>
        <v/>
      </c>
      <c r="K99" s="18" t="s">
        <v>63</v>
      </c>
    </row>
    <row r="100" customFormat="false" ht="15" hidden="false" customHeight="false" outlineLevel="0" collapsed="false">
      <c r="A100" s="48" t="s">
        <v>84</v>
      </c>
      <c r="B100" s="58" t="n">
        <v>0</v>
      </c>
      <c r="C100" s="19" t="str">
        <f aca="false">IFERROR(B100/VLOOKUP($A100,PoolData!$A$10:$I$32,MATCH("XXX:BNB Ratio",PoolData!$A$10:$I$10,0),0),"")</f>
        <v/>
      </c>
      <c r="D100" s="23" t="str">
        <f aca="false">IFERROR(B100/VLOOKUP($A100,PoolData!$A$10:$I$32,MATCH("Coin 1 Pool Size",PoolData!$A$10:$I$10,0),0),"")</f>
        <v/>
      </c>
      <c r="E100" s="19" t="str">
        <f aca="false">IFERROR(VLOOKUP($A100,PoolData!$A$10:$I$32,MATCH("ANY Reward % to pool",PoolData!$A$10:$I$10,0),0)*DAILYANY*D100,"")</f>
        <v/>
      </c>
      <c r="F100" s="19" t="str">
        <f aca="false">IFERROR(VLOOKUP($A100,PoolData!$A$10:$T$32,MATCH("Trading Volume in BNB",PoolData!$A$10:$T$10,0),0)*FEEREWARDS*D100,"")</f>
        <v/>
      </c>
      <c r="G100" s="19" t="str">
        <f aca="false" t="array" ref="G100:G100">IFERROR(F100+E100*ANYBNB,"")</f>
        <v/>
      </c>
      <c r="H100" s="59" t="str">
        <f aca="false" t="array" ref="H100:H100">IFERROR(G100*BNBPRICE,"")</f>
        <v/>
      </c>
      <c r="I100" s="23" t="str">
        <f aca="false">IFERROR(G100/(2*B100),"")</f>
        <v/>
      </c>
      <c r="J100" s="18" t="str">
        <f aca="false">IFERROR(I100*365,"")</f>
        <v/>
      </c>
      <c r="K100" s="18" t="s">
        <v>63</v>
      </c>
    </row>
    <row r="101" customFormat="false" ht="15" hidden="false" customHeight="false" outlineLevel="0" collapsed="false">
      <c r="A101" s="48" t="s">
        <v>84</v>
      </c>
      <c r="B101" s="0" t="n">
        <v>0</v>
      </c>
    </row>
    <row r="102" customFormat="false" ht="15" hidden="false" customHeight="false" outlineLevel="0" collapsed="false">
      <c r="A102" s="48" t="s">
        <v>84</v>
      </c>
      <c r="B102" s="0" t="n">
        <v>0</v>
      </c>
    </row>
  </sheetData>
  <mergeCells count="1">
    <mergeCell ref="A11:J11"/>
  </mergeCells>
  <dataValidations count="2">
    <dataValidation allowBlank="true" operator="between" showDropDown="false" showErrorMessage="true" showInputMessage="true" sqref="K13:K100" type="list">
      <formula1>$Q$2:$Q$3</formula1>
      <formula2>0</formula2>
    </dataValidation>
    <dataValidation allowBlank="true" operator="between" showDropDown="false" showErrorMessage="true" showInputMessage="true" sqref="A13:A100" type="list">
      <formula1>PoolData!$A$11:$A$100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tabColor rgb="FFF4B183"/>
    <pageSetUpPr fitToPage="false"/>
  </sheetPr>
  <dimension ref="A1:AH94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V10" activeCellId="0" sqref="V10"/>
    </sheetView>
  </sheetViews>
  <sheetFormatPr defaultRowHeight="15" zeroHeight="false" outlineLevelRow="0" outlineLevelCol="0"/>
  <cols>
    <col collapsed="false" customWidth="true" hidden="false" outlineLevel="0" max="1" min="1" style="0" width="20.57"/>
    <col collapsed="false" customWidth="true" hidden="false" outlineLevel="0" max="2" min="2" style="0" width="15.42"/>
    <col collapsed="false" customWidth="true" hidden="false" outlineLevel="0" max="3" min="3" style="0" width="45.14"/>
    <col collapsed="false" customWidth="true" hidden="false" outlineLevel="0" max="5" min="4" style="0" width="8.67"/>
    <col collapsed="false" customWidth="false" hidden="true" outlineLevel="0" max="6" min="6" style="0" width="11.42"/>
    <col collapsed="false" customWidth="true" hidden="true" outlineLevel="0" max="7" min="7" style="0" width="13.57"/>
    <col collapsed="false" customWidth="true" hidden="false" outlineLevel="0" max="9" min="8" style="0" width="12.86"/>
    <col collapsed="false" customWidth="true" hidden="true" outlineLevel="0" max="10" min="10" style="0" width="18.42"/>
    <col collapsed="false" customWidth="true" hidden="true" outlineLevel="0" max="11" min="11" style="0" width="18.14"/>
    <col collapsed="false" customWidth="true" hidden="false" outlineLevel="0" max="14" min="12" style="0" width="8.67"/>
    <col collapsed="false" customWidth="true" hidden="false" outlineLevel="0" max="15" min="15" style="0" width="13.7"/>
    <col collapsed="false" customWidth="true" hidden="false" outlineLevel="0" max="16" min="16" style="0" width="8.67"/>
    <col collapsed="false" customWidth="true" hidden="false" outlineLevel="0" max="17" min="17" style="0" width="24.42"/>
    <col collapsed="false" customWidth="true" hidden="false" outlineLevel="0" max="18" min="18" style="0" width="21.71"/>
    <col collapsed="false" customWidth="true" hidden="false" outlineLevel="0" max="19" min="19" style="0" width="8.67"/>
    <col collapsed="false" customWidth="true" hidden="false" outlineLevel="0" max="20" min="20" style="0" width="10.71"/>
    <col collapsed="false" customWidth="true" hidden="false" outlineLevel="0" max="21" min="21" style="0" width="11.14"/>
    <col collapsed="false" customWidth="true" hidden="false" outlineLevel="0" max="22" min="22" style="0" width="15.29"/>
    <col collapsed="false" customWidth="true" hidden="false" outlineLevel="0" max="24" min="23" style="0" width="8.67"/>
    <col collapsed="false" customWidth="true" hidden="false" outlineLevel="0" max="31" min="25" style="0" width="13.14"/>
    <col collapsed="false" customWidth="true" hidden="false" outlineLevel="0" max="32" min="32" style="0" width="15.42"/>
    <col collapsed="false" customWidth="true" hidden="false" outlineLevel="0" max="34" min="33" style="0" width="15.71"/>
    <col collapsed="false" customWidth="true" hidden="false" outlineLevel="0" max="1025" min="35" style="0" width="8.67"/>
  </cols>
  <sheetData>
    <row r="1" customFormat="false" ht="23.25" hidden="false" customHeight="false" outlineLevel="0" collapsed="false">
      <c r="A1" s="1" t="s">
        <v>6</v>
      </c>
      <c r="B1" s="9" t="n">
        <f aca="false" t="array" ref="B1:B1">BNBPRICE</f>
        <v>25.3164727469084</v>
      </c>
      <c r="C1" s="60" t="s">
        <v>85</v>
      </c>
      <c r="U1" s="25" t="s">
        <v>86</v>
      </c>
      <c r="V1" s="47" t="n">
        <f aca="false">SUM(V5:V47)</f>
        <v>3.15477486463703</v>
      </c>
      <c r="AH1" s="47" t="n">
        <f aca="false">SUM(AH5:AH47)</f>
        <v>3.15477486463703</v>
      </c>
    </row>
    <row r="2" customFormat="false" ht="15" hidden="false" customHeight="false" outlineLevel="0" collapsed="false">
      <c r="C2" s="6" t="s">
        <v>87</v>
      </c>
    </row>
    <row r="3" customFormat="false" ht="26.25" hidden="false" customHeight="false" outlineLevel="0" collapsed="false">
      <c r="D3" s="61" t="s">
        <v>88</v>
      </c>
      <c r="E3" s="61"/>
      <c r="F3" s="61" t="s">
        <v>89</v>
      </c>
      <c r="G3" s="62" t="s">
        <v>90</v>
      </c>
      <c r="H3" s="61" t="s">
        <v>91</v>
      </c>
      <c r="I3" s="61"/>
      <c r="J3" s="63"/>
      <c r="M3" s="61" t="s">
        <v>92</v>
      </c>
      <c r="N3" s="61"/>
      <c r="O3" s="61"/>
      <c r="Y3" s="64" t="s">
        <v>93</v>
      </c>
      <c r="Z3" s="64"/>
      <c r="AA3" s="64"/>
      <c r="AB3" s="64"/>
      <c r="AC3" s="64"/>
      <c r="AD3" s="64"/>
      <c r="AE3" s="64"/>
      <c r="AF3" s="64"/>
      <c r="AG3" s="64"/>
      <c r="AH3" s="64"/>
    </row>
    <row r="4" customFormat="false" ht="30" hidden="false" customHeight="false" outlineLevel="0" collapsed="false">
      <c r="B4" s="65" t="s">
        <v>57</v>
      </c>
      <c r="C4" s="66" t="s">
        <v>94</v>
      </c>
      <c r="D4" s="67" t="s">
        <v>12</v>
      </c>
      <c r="E4" s="67" t="s">
        <v>95</v>
      </c>
      <c r="F4" s="67"/>
      <c r="G4" s="67" t="s">
        <v>12</v>
      </c>
      <c r="H4" s="67" t="s">
        <v>12</v>
      </c>
      <c r="I4" s="67" t="s">
        <v>95</v>
      </c>
      <c r="J4" s="68" t="s">
        <v>96</v>
      </c>
      <c r="K4" s="67" t="s">
        <v>97</v>
      </c>
      <c r="L4" s="69"/>
      <c r="M4" s="67" t="s">
        <v>12</v>
      </c>
      <c r="N4" s="70"/>
      <c r="O4" s="67" t="s">
        <v>98</v>
      </c>
      <c r="Q4" s="67" t="s">
        <v>99</v>
      </c>
      <c r="R4" s="67" t="s">
        <v>100</v>
      </c>
      <c r="S4" s="70"/>
      <c r="T4" s="67" t="s">
        <v>101</v>
      </c>
      <c r="U4" s="67" t="s">
        <v>102</v>
      </c>
      <c r="V4" s="67" t="s">
        <v>103</v>
      </c>
      <c r="Y4" s="70"/>
      <c r="Z4" s="70"/>
      <c r="AA4" s="70" t="s">
        <v>104</v>
      </c>
      <c r="AB4" s="70"/>
      <c r="AC4" s="70" t="s">
        <v>105</v>
      </c>
      <c r="AD4" s="70" t="s">
        <v>106</v>
      </c>
      <c r="AE4" s="70" t="s">
        <v>107</v>
      </c>
      <c r="AF4" s="70" t="s">
        <v>108</v>
      </c>
      <c r="AG4" s="70" t="s">
        <v>109</v>
      </c>
      <c r="AH4" s="70" t="s">
        <v>110</v>
      </c>
    </row>
    <row r="5" customFormat="false" ht="15" hidden="false" customHeight="false" outlineLevel="0" collapsed="false">
      <c r="B5" s="71" t="s">
        <v>81</v>
      </c>
      <c r="C5" s="72" t="n">
        <f aca="false">1/F5</f>
        <v>25</v>
      </c>
      <c r="D5" s="5" t="n">
        <v>10</v>
      </c>
      <c r="E5" s="5" t="n">
        <v>250</v>
      </c>
      <c r="F5" s="7" t="n">
        <f aca="false">D5/E5</f>
        <v>0.04</v>
      </c>
      <c r="G5" s="7" t="n">
        <f aca="false">VLOOKUP(B5,PoolData!$A$11:$L$100,MATCH("XXX:BNB Ratio",PoolData!$A$10:$L$10,0),0)</f>
        <v>0.0394999733966542</v>
      </c>
      <c r="H5" s="19" t="n">
        <f aca="false">SQRT(G5/F5)*D5</f>
        <v>9.93730011077634</v>
      </c>
      <c r="I5" s="19" t="n">
        <f aca="false">SQRT(F5/G5)*E5</f>
        <v>251.577387432318</v>
      </c>
      <c r="J5" s="73" t="n">
        <f aca="false">D5*E5</f>
        <v>2500</v>
      </c>
      <c r="K5" s="1" t="n">
        <f aca="false">H5*I5</f>
        <v>2500</v>
      </c>
      <c r="L5" s="3"/>
      <c r="M5" s="19" t="n">
        <f aca="false">H5-D5</f>
        <v>-0.0626998892236621</v>
      </c>
      <c r="N5" s="74" t="str">
        <f aca="false">RIGHT(B5,LEN(B5)-FIND("-",B5))</f>
        <v>aUSDT</v>
      </c>
      <c r="O5" s="19" t="n">
        <f aca="false">I5-E5</f>
        <v>1.57738743231849</v>
      </c>
      <c r="Q5" s="1" t="n">
        <f aca="false">D5*2</f>
        <v>20</v>
      </c>
      <c r="R5" s="16" t="n">
        <f aca="false">H5*2</f>
        <v>19.8746002215527</v>
      </c>
      <c r="S5" s="1"/>
      <c r="T5" s="9" t="n">
        <f aca="false">Q5*C5</f>
        <v>500</v>
      </c>
      <c r="U5" s="9" t="n">
        <f aca="false">R5*$B$1</f>
        <v>503.154774864637</v>
      </c>
      <c r="V5" s="9" t="n">
        <f aca="false">U5-T5</f>
        <v>3.15477486463703</v>
      </c>
      <c r="Y5" s="1" t="str">
        <f aca="false">PoolData!A11</f>
        <v>BNB-aUSDT</v>
      </c>
      <c r="Z5" s="74" t="str">
        <f aca="false">LEFT(Y5,FIND("-",Y5)-1)</f>
        <v>BNB</v>
      </c>
      <c r="AA5" s="16" t="n">
        <f aca="false">SUMIF($B:$B,$Y5,D:D)</f>
        <v>10</v>
      </c>
      <c r="AB5" s="74" t="str">
        <f aca="false">RIGHT(Y5,LEN(Y5)-FIND("-",Y5))</f>
        <v>aUSDT</v>
      </c>
      <c r="AC5" s="19" t="n">
        <f aca="false">SUMIF($B:$B,$Y5,E:E)</f>
        <v>250</v>
      </c>
      <c r="AD5" s="19" t="n">
        <f aca="false">SUMIF($B:$B,$Y5,H:H)</f>
        <v>9.93730011077634</v>
      </c>
      <c r="AE5" s="19" t="n">
        <f aca="false">SUMIF($B:$B,$Y5,I:I)</f>
        <v>251.577387432318</v>
      </c>
      <c r="AF5" s="19" t="n">
        <f aca="false">SUMIF($B:$B,$Y5,M:M)</f>
        <v>-0.0626998892236621</v>
      </c>
      <c r="AG5" s="19" t="n">
        <f aca="false">SUMIF($B:$B,$Y5,O:O)</f>
        <v>1.57738743231849</v>
      </c>
      <c r="AH5" s="9" t="n">
        <f aca="false">SUMIF($B:$B,$Y5,V:V)</f>
        <v>3.15477486463703</v>
      </c>
    </row>
    <row r="6" customFormat="false" ht="15" hidden="false" customHeight="false" outlineLevel="0" collapsed="false">
      <c r="B6" s="1"/>
      <c r="C6" s="75"/>
      <c r="D6" s="5"/>
      <c r="E6" s="76"/>
      <c r="F6" s="7" t="e">
        <f aca="false">D6/E6</f>
        <v>#DIV/0!</v>
      </c>
      <c r="G6" s="7" t="e">
        <f aca="false">VLOOKUP(B6,PoolData!$A$11:$L$100,MATCH("XXX:BNB Ratio",PoolData!$A$10:$L$10,0),0)</f>
        <v>#N/A</v>
      </c>
      <c r="H6" s="19"/>
      <c r="I6" s="19"/>
      <c r="J6" s="73"/>
      <c r="K6" s="1"/>
      <c r="L6" s="3"/>
      <c r="M6" s="19"/>
      <c r="N6" s="74"/>
      <c r="O6" s="19"/>
      <c r="Q6" s="1"/>
      <c r="R6" s="16"/>
      <c r="S6" s="1"/>
      <c r="T6" s="9"/>
      <c r="U6" s="9"/>
      <c r="V6" s="9"/>
      <c r="Y6" s="1" t="str">
        <f aca="false">PoolData!A12</f>
        <v>BNB-BUSD</v>
      </c>
      <c r="Z6" s="74" t="str">
        <f aca="false">LEFT(Y6,FIND("-",Y6)-1)</f>
        <v>BNB</v>
      </c>
      <c r="AA6" s="16" t="n">
        <f aca="false">SUMIF($B:$B,$Y6,D:D)</f>
        <v>0</v>
      </c>
      <c r="AB6" s="74" t="str">
        <f aca="false">RIGHT(Y6,LEN(Y6)-FIND("-",Y6))</f>
        <v>BUSD</v>
      </c>
      <c r="AC6" s="19" t="n">
        <f aca="false">SUMIF($B:$B,$Y6,E:E)</f>
        <v>0</v>
      </c>
      <c r="AD6" s="19" t="n">
        <f aca="false">SUMIF($B:$B,$Y6,H:H)</f>
        <v>0</v>
      </c>
      <c r="AE6" s="19" t="n">
        <f aca="false">SUMIF($B:$B,$Y6,I:I)</f>
        <v>0</v>
      </c>
      <c r="AF6" s="19" t="n">
        <f aca="false">SUMIF($B:$B,$Y6,M:M)</f>
        <v>0</v>
      </c>
      <c r="AG6" s="19" t="n">
        <f aca="false">SUMIF($B:$B,$Y6,O:O)</f>
        <v>0</v>
      </c>
      <c r="AH6" s="9" t="n">
        <f aca="false">SUMIF($B:$B,$Y6,V:V)</f>
        <v>0</v>
      </c>
    </row>
    <row r="7" customFormat="false" ht="15" hidden="false" customHeight="false" outlineLevel="0" collapsed="false">
      <c r="B7" s="1"/>
      <c r="C7" s="77"/>
      <c r="D7" s="5"/>
      <c r="E7" s="5"/>
      <c r="F7" s="7" t="e">
        <f aca="false">D7/E7</f>
        <v>#DIV/0!</v>
      </c>
      <c r="G7" s="7" t="e">
        <f aca="false">VLOOKUP(B7,PoolData!$A$11:$L$100,MATCH("XXX:BNB Ratio",PoolData!$A$10:$L$10,0),0)</f>
        <v>#N/A</v>
      </c>
      <c r="H7" s="19"/>
      <c r="I7" s="19"/>
      <c r="J7" s="1"/>
      <c r="K7" s="1"/>
      <c r="L7" s="1"/>
      <c r="M7" s="19"/>
      <c r="N7" s="74"/>
      <c r="O7" s="19"/>
      <c r="Q7" s="1"/>
      <c r="R7" s="16"/>
      <c r="S7" s="1"/>
      <c r="T7" s="9"/>
      <c r="U7" s="9"/>
      <c r="V7" s="9"/>
      <c r="Y7" s="1" t="str">
        <f aca="false">PoolData!A13</f>
        <v>BNB-ANY</v>
      </c>
      <c r="Z7" s="74" t="str">
        <f aca="false">LEFT(Y7,FIND("-",Y7)-1)</f>
        <v>BNB</v>
      </c>
      <c r="AA7" s="16" t="n">
        <f aca="false">SUMIF($B:$B,$Y7,D:D)</f>
        <v>0</v>
      </c>
      <c r="AB7" s="74" t="str">
        <f aca="false">RIGHT(Y7,LEN(Y7)-FIND("-",Y7))</f>
        <v>ANY</v>
      </c>
      <c r="AC7" s="19" t="n">
        <f aca="false">SUMIF($B:$B,$Y7,E:E)</f>
        <v>0</v>
      </c>
      <c r="AD7" s="19" t="n">
        <f aca="false">SUMIF($B:$B,$Y7,H:H)</f>
        <v>0</v>
      </c>
      <c r="AE7" s="19" t="n">
        <f aca="false">SUMIF($B:$B,$Y7,I:I)</f>
        <v>0</v>
      </c>
      <c r="AF7" s="19" t="n">
        <f aca="false">SUMIF($B:$B,$Y7,M:M)</f>
        <v>0</v>
      </c>
      <c r="AG7" s="19" t="n">
        <f aca="false">SUMIF($B:$B,$Y7,O:O)</f>
        <v>0</v>
      </c>
      <c r="AH7" s="9" t="n">
        <f aca="false">SUMIF($B:$B,$Y7,V:V)</f>
        <v>0</v>
      </c>
    </row>
    <row r="8" customFormat="false" ht="15" hidden="false" customHeight="false" outlineLevel="0" collapsed="false">
      <c r="B8" s="1"/>
      <c r="C8" s="77"/>
      <c r="D8" s="5"/>
      <c r="E8" s="5"/>
      <c r="F8" s="7" t="e">
        <f aca="false">D8/E8</f>
        <v>#DIV/0!</v>
      </c>
      <c r="G8" s="7" t="e">
        <f aca="false">VLOOKUP(B8,PoolData!$A$11:$L$100,MATCH("XXX:BNB Ratio",PoolData!$A$10:$L$10,0),0)</f>
        <v>#N/A</v>
      </c>
      <c r="H8" s="19"/>
      <c r="I8" s="19"/>
      <c r="J8" s="1"/>
      <c r="K8" s="1"/>
      <c r="L8" s="1"/>
      <c r="M8" s="19"/>
      <c r="N8" s="74"/>
      <c r="O8" s="19"/>
      <c r="Q8" s="1"/>
      <c r="R8" s="16"/>
      <c r="S8" s="1"/>
      <c r="T8" s="9"/>
      <c r="U8" s="9"/>
      <c r="V8" s="9"/>
      <c r="Y8" s="1" t="str">
        <f aca="false">PoolData!A14</f>
        <v>BNB-UNI</v>
      </c>
      <c r="Z8" s="74" t="str">
        <f aca="false">LEFT(Y8,FIND("-",Y8)-1)</f>
        <v>BNB</v>
      </c>
      <c r="AA8" s="16" t="n">
        <f aca="false">SUMIF($B:$B,$Y8,D:D)</f>
        <v>0</v>
      </c>
      <c r="AB8" s="74" t="str">
        <f aca="false">RIGHT(Y8,LEN(Y8)-FIND("-",Y8))</f>
        <v>UNI</v>
      </c>
      <c r="AC8" s="19" t="n">
        <f aca="false">SUMIF($B:$B,$Y8,E:E)</f>
        <v>0</v>
      </c>
      <c r="AD8" s="19" t="n">
        <f aca="false">SUMIF($B:$B,$Y8,H:H)</f>
        <v>0</v>
      </c>
      <c r="AE8" s="19" t="n">
        <f aca="false">SUMIF($B:$B,$Y8,I:I)</f>
        <v>0</v>
      </c>
      <c r="AF8" s="19" t="n">
        <f aca="false">SUMIF($B:$B,$Y8,M:M)</f>
        <v>0</v>
      </c>
      <c r="AG8" s="19" t="n">
        <f aca="false">SUMIF($B:$B,$Y8,O:O)</f>
        <v>0</v>
      </c>
      <c r="AH8" s="9" t="n">
        <f aca="false">SUMIF($B:$B,$Y8,V:V)</f>
        <v>0</v>
      </c>
    </row>
    <row r="9" customFormat="false" ht="15" hidden="false" customHeight="false" outlineLevel="0" collapsed="false">
      <c r="B9" s="1"/>
      <c r="C9" s="78"/>
      <c r="D9" s="5"/>
      <c r="E9" s="5"/>
      <c r="F9" s="7" t="e">
        <f aca="false">D9/E9</f>
        <v>#DIV/0!</v>
      </c>
      <c r="G9" s="7" t="e">
        <f aca="false">VLOOKUP(B9,PoolData!$A$11:$L$100,MATCH("XXX:BNB Ratio",PoolData!$A$10:$L$10,0),0)</f>
        <v>#N/A</v>
      </c>
      <c r="H9" s="19"/>
      <c r="I9" s="19"/>
      <c r="J9" s="1"/>
      <c r="K9" s="1"/>
      <c r="L9" s="1"/>
      <c r="M9" s="19"/>
      <c r="N9" s="74"/>
      <c r="O9" s="19"/>
      <c r="Q9" s="1"/>
      <c r="R9" s="16"/>
      <c r="S9" s="1"/>
      <c r="T9" s="9"/>
      <c r="U9" s="9"/>
      <c r="V9" s="9"/>
      <c r="Y9" s="1" t="str">
        <f aca="false">PoolData!A15</f>
        <v>BNB-BURGER</v>
      </c>
      <c r="Z9" s="74" t="str">
        <f aca="false">LEFT(Y9,FIND("-",Y9)-1)</f>
        <v>BNB</v>
      </c>
      <c r="AA9" s="16" t="n">
        <f aca="false">SUMIF($B:$B,$Y9,D:D)</f>
        <v>0</v>
      </c>
      <c r="AB9" s="74" t="str">
        <f aca="false">RIGHT(Y9,LEN(Y9)-FIND("-",Y9))</f>
        <v>BURGER</v>
      </c>
      <c r="AC9" s="19" t="n">
        <f aca="false">SUMIF($B:$B,$Y9,E:E)</f>
        <v>0</v>
      </c>
      <c r="AD9" s="19" t="n">
        <f aca="false">SUMIF($B:$B,$Y9,H:H)</f>
        <v>0</v>
      </c>
      <c r="AE9" s="19" t="n">
        <f aca="false">SUMIF($B:$B,$Y9,I:I)</f>
        <v>0</v>
      </c>
      <c r="AF9" s="19" t="n">
        <f aca="false">SUMIF($B:$B,$Y9,M:M)</f>
        <v>0</v>
      </c>
      <c r="AG9" s="19" t="n">
        <f aca="false">SUMIF($B:$B,$Y9,O:O)</f>
        <v>0</v>
      </c>
      <c r="AH9" s="9" t="n">
        <f aca="false">SUMIF($B:$B,$Y9,V:V)</f>
        <v>0</v>
      </c>
    </row>
    <row r="10" customFormat="false" ht="15" hidden="false" customHeight="false" outlineLevel="0" collapsed="false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Q10" s="1"/>
      <c r="R10" s="1"/>
      <c r="S10" s="1"/>
      <c r="T10" s="1"/>
      <c r="U10" s="1"/>
      <c r="V10" s="1"/>
      <c r="Y10" s="1" t="str">
        <f aca="false">PoolData!A16</f>
        <v>BNB-SPARTAN</v>
      </c>
      <c r="Z10" s="74" t="str">
        <f aca="false">LEFT(Y10,FIND("-",Y10)-1)</f>
        <v>BNB</v>
      </c>
      <c r="AA10" s="16" t="n">
        <f aca="false">SUMIF($B:$B,$Y10,D:D)</f>
        <v>0</v>
      </c>
      <c r="AB10" s="74" t="str">
        <f aca="false">RIGHT(Y10,LEN(Y10)-FIND("-",Y10))</f>
        <v>SPARTAN</v>
      </c>
      <c r="AC10" s="19" t="n">
        <f aca="false">SUMIF($B:$B,$Y10,E:E)</f>
        <v>0</v>
      </c>
      <c r="AD10" s="19" t="n">
        <f aca="false">SUMIF($B:$B,$Y10,H:H)</f>
        <v>0</v>
      </c>
      <c r="AE10" s="19" t="n">
        <f aca="false">SUMIF($B:$B,$Y10,I:I)</f>
        <v>0</v>
      </c>
      <c r="AF10" s="19" t="n">
        <f aca="false">SUMIF($B:$B,$Y10,M:M)</f>
        <v>0</v>
      </c>
      <c r="AG10" s="19" t="n">
        <f aca="false">SUMIF($B:$B,$Y10,O:O)</f>
        <v>0</v>
      </c>
      <c r="AH10" s="9" t="n">
        <f aca="false">SUMIF($B:$B,$Y10,V:V)</f>
        <v>0</v>
      </c>
    </row>
    <row r="11" customFormat="false" ht="15" hidden="false" customHeight="false" outlineLevel="0" collapsed="false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Q11" s="1"/>
      <c r="R11" s="1"/>
      <c r="S11" s="1"/>
      <c r="T11" s="1"/>
      <c r="U11" s="1"/>
      <c r="V11" s="1"/>
      <c r="Y11" s="1" t="str">
        <f aca="false">PoolData!A17</f>
        <v>BNB-FOR</v>
      </c>
      <c r="Z11" s="74" t="str">
        <f aca="false">LEFT(Y11,FIND("-",Y11)-1)</f>
        <v>BNB</v>
      </c>
      <c r="AA11" s="16" t="n">
        <f aca="false">SUMIF($B:$B,$Y11,D:D)</f>
        <v>0</v>
      </c>
      <c r="AB11" s="74" t="str">
        <f aca="false">RIGHT(Y11,LEN(Y11)-FIND("-",Y11))</f>
        <v>FOR</v>
      </c>
      <c r="AC11" s="19" t="n">
        <f aca="false">SUMIF($B:$B,$Y11,E:E)</f>
        <v>0</v>
      </c>
      <c r="AD11" s="19" t="n">
        <f aca="false">SUMIF($B:$B,$Y11,H:H)</f>
        <v>0</v>
      </c>
      <c r="AE11" s="19" t="n">
        <f aca="false">SUMIF($B:$B,$Y11,I:I)</f>
        <v>0</v>
      </c>
      <c r="AF11" s="19" t="n">
        <f aca="false">SUMIF($B:$B,$Y11,M:M)</f>
        <v>0</v>
      </c>
      <c r="AG11" s="19" t="n">
        <f aca="false">SUMIF($B:$B,$Y11,O:O)</f>
        <v>0</v>
      </c>
      <c r="AH11" s="9" t="n">
        <f aca="false">SUMIF($B:$B,$Y11,V:V)</f>
        <v>0</v>
      </c>
    </row>
    <row r="12" customFormat="false" ht="15" hidden="false" customHeight="false" outlineLevel="0" collapsed="false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Q12" s="1"/>
      <c r="R12" s="1"/>
      <c r="S12" s="1"/>
      <c r="T12" s="1"/>
      <c r="U12" s="1"/>
      <c r="V12" s="1"/>
      <c r="Y12" s="1" t="str">
        <f aca="false">PoolData!A18</f>
        <v>BNB-BAKE</v>
      </c>
      <c r="Z12" s="74" t="str">
        <f aca="false">LEFT(Y12,FIND("-",Y12)-1)</f>
        <v>BNB</v>
      </c>
      <c r="AA12" s="16" t="n">
        <f aca="false">SUMIF($B:$B,$Y12,D:D)</f>
        <v>0</v>
      </c>
      <c r="AB12" s="74" t="str">
        <f aca="false">RIGHT(Y12,LEN(Y12)-FIND("-",Y12))</f>
        <v>BAKE</v>
      </c>
      <c r="AC12" s="19" t="n">
        <f aca="false">SUMIF($B:$B,$Y12,E:E)</f>
        <v>0</v>
      </c>
      <c r="AD12" s="19" t="n">
        <f aca="false">SUMIF($B:$B,$Y12,H:H)</f>
        <v>0</v>
      </c>
      <c r="AE12" s="19" t="n">
        <f aca="false">SUMIF($B:$B,$Y12,I:I)</f>
        <v>0</v>
      </c>
      <c r="AF12" s="19" t="n">
        <f aca="false">SUMIF($B:$B,$Y12,M:M)</f>
        <v>0</v>
      </c>
      <c r="AG12" s="19" t="n">
        <f aca="false">SUMIF($B:$B,$Y12,O:O)</f>
        <v>0</v>
      </c>
      <c r="AH12" s="9" t="n">
        <f aca="false">SUMIF($B:$B,$Y12,V:V)</f>
        <v>0</v>
      </c>
    </row>
    <row r="13" customFormat="false" ht="15" hidden="false" customHeight="false" outlineLevel="0" collapsed="false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Q13" s="1"/>
      <c r="R13" s="1"/>
      <c r="S13" s="1"/>
      <c r="T13" s="1"/>
      <c r="U13" s="1"/>
      <c r="V13" s="1"/>
      <c r="Y13" s="1" t="str">
        <f aca="false">PoolData!A19</f>
        <v>BNB-PEACH</v>
      </c>
      <c r="Z13" s="74" t="str">
        <f aca="false">LEFT(Y13,FIND("-",Y13)-1)</f>
        <v>BNB</v>
      </c>
      <c r="AA13" s="16" t="n">
        <f aca="false">SUMIF($B:$B,$Y13,D:D)</f>
        <v>0</v>
      </c>
      <c r="AB13" s="74" t="str">
        <f aca="false">RIGHT(Y13,LEN(Y13)-FIND("-",Y13))</f>
        <v>PEACH</v>
      </c>
      <c r="AC13" s="19" t="n">
        <f aca="false">SUMIF($B:$B,$Y13,E:E)</f>
        <v>0</v>
      </c>
      <c r="AD13" s="19" t="n">
        <f aca="false">SUMIF($B:$B,$Y13,H:H)</f>
        <v>0</v>
      </c>
      <c r="AE13" s="19" t="n">
        <f aca="false">SUMIF($B:$B,$Y13,I:I)</f>
        <v>0</v>
      </c>
      <c r="AF13" s="19" t="n">
        <f aca="false">SUMIF($B:$B,$Y13,M:M)</f>
        <v>0</v>
      </c>
      <c r="AG13" s="19" t="n">
        <f aca="false">SUMIF($B:$B,$Y13,O:O)</f>
        <v>0</v>
      </c>
      <c r="AH13" s="9" t="n">
        <f aca="false">SUMIF($B:$B,$Y13,V:V)</f>
        <v>0</v>
      </c>
    </row>
    <row r="14" customFormat="false" ht="15" hidden="false" customHeight="false" outlineLevel="0" collapsed="false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Q14" s="1"/>
      <c r="R14" s="1"/>
      <c r="S14" s="1"/>
      <c r="T14" s="1"/>
      <c r="U14" s="1"/>
      <c r="V14" s="1"/>
      <c r="Y14" s="1" t="str">
        <f aca="false">PoolData!A20</f>
        <v>BNB-MILK</v>
      </c>
      <c r="Z14" s="74" t="str">
        <f aca="false">LEFT(Y14,FIND("-",Y14)-1)</f>
        <v>BNB</v>
      </c>
      <c r="AA14" s="16" t="n">
        <f aca="false">SUMIF($B:$B,$Y14,D:D)</f>
        <v>0</v>
      </c>
      <c r="AB14" s="74" t="str">
        <f aca="false">RIGHT(Y14,LEN(Y14)-FIND("-",Y14))</f>
        <v>MILK</v>
      </c>
      <c r="AC14" s="19" t="n">
        <f aca="false">SUMIF($B:$B,$Y14,E:E)</f>
        <v>0</v>
      </c>
      <c r="AD14" s="19" t="n">
        <f aca="false">SUMIF($B:$B,$Y14,H:H)</f>
        <v>0</v>
      </c>
      <c r="AE14" s="19" t="n">
        <f aca="false">SUMIF($B:$B,$Y14,I:I)</f>
        <v>0</v>
      </c>
      <c r="AF14" s="19" t="n">
        <f aca="false">SUMIF($B:$B,$Y14,M:M)</f>
        <v>0</v>
      </c>
      <c r="AG14" s="19" t="n">
        <f aca="false">SUMIF($B:$B,$Y14,O:O)</f>
        <v>0</v>
      </c>
      <c r="AH14" s="9" t="n">
        <f aca="false">SUMIF($B:$B,$Y14,V:V)</f>
        <v>0</v>
      </c>
    </row>
    <row r="15" customFormat="false" ht="15" hidden="false" customHeight="false" outlineLevel="0" collapsed="false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Q15" s="1"/>
      <c r="R15" s="1"/>
      <c r="S15" s="1"/>
      <c r="T15" s="1"/>
      <c r="U15" s="1"/>
      <c r="V15" s="1"/>
      <c r="Y15" s="1" t="str">
        <f aca="false">PoolData!A21</f>
        <v>BNB-TUNA</v>
      </c>
      <c r="Z15" s="74" t="str">
        <f aca="false">LEFT(Y15,FIND("-",Y15)-1)</f>
        <v>BNB</v>
      </c>
      <c r="AA15" s="16" t="n">
        <f aca="false">SUMIF($B:$B,$Y15,D:D)</f>
        <v>0</v>
      </c>
      <c r="AB15" s="74" t="str">
        <f aca="false">RIGHT(Y15,LEN(Y15)-FIND("-",Y15))</f>
        <v>TUNA</v>
      </c>
      <c r="AC15" s="19" t="n">
        <f aca="false">SUMIF($B:$B,$Y15,E:E)</f>
        <v>0</v>
      </c>
      <c r="AD15" s="19" t="n">
        <f aca="false">SUMIF($B:$B,$Y15,H:H)</f>
        <v>0</v>
      </c>
      <c r="AE15" s="19" t="n">
        <f aca="false">SUMIF($B:$B,$Y15,I:I)</f>
        <v>0</v>
      </c>
      <c r="AF15" s="19" t="n">
        <f aca="false">SUMIF($B:$B,$Y15,M:M)</f>
        <v>0</v>
      </c>
      <c r="AG15" s="19" t="n">
        <f aca="false">SUMIF($B:$B,$Y15,O:O)</f>
        <v>0</v>
      </c>
      <c r="AH15" s="9" t="n">
        <f aca="false">SUMIF($B:$B,$Y15,V:V)</f>
        <v>0</v>
      </c>
    </row>
    <row r="16" customFormat="false" ht="15" hidden="false" customHeight="false" outlineLevel="0" collapsed="false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Q16" s="1"/>
      <c r="R16" s="1"/>
      <c r="S16" s="1"/>
      <c r="T16" s="1"/>
      <c r="U16" s="1"/>
      <c r="V16" s="1"/>
      <c r="Y16" s="1" t="str">
        <f aca="false">PoolData!A22</f>
        <v>BNB-PROM</v>
      </c>
      <c r="Z16" s="74" t="str">
        <f aca="false">LEFT(Y16,FIND("-",Y16)-1)</f>
        <v>BNB</v>
      </c>
      <c r="AA16" s="16" t="n">
        <f aca="false">SUMIF($B:$B,$Y16,D:D)</f>
        <v>0</v>
      </c>
      <c r="AB16" s="74" t="str">
        <f aca="false">RIGHT(Y16,LEN(Y16)-FIND("-",Y16))</f>
        <v>PROM</v>
      </c>
      <c r="AC16" s="19" t="n">
        <f aca="false">SUMIF($B:$B,$Y16,E:E)</f>
        <v>0</v>
      </c>
      <c r="AD16" s="19" t="n">
        <f aca="false">SUMIF($B:$B,$Y16,H:H)</f>
        <v>0</v>
      </c>
      <c r="AE16" s="19" t="n">
        <f aca="false">SUMIF($B:$B,$Y16,I:I)</f>
        <v>0</v>
      </c>
      <c r="AF16" s="19" t="n">
        <f aca="false">SUMIF($B:$B,$Y16,M:M)</f>
        <v>0</v>
      </c>
      <c r="AG16" s="19" t="n">
        <f aca="false">SUMIF($B:$B,$Y16,O:O)</f>
        <v>0</v>
      </c>
      <c r="AH16" s="9" t="n">
        <f aca="false">SUMIF($B:$B,$Y16,V:V)</f>
        <v>0</v>
      </c>
    </row>
    <row r="17" customFormat="false" ht="15" hidden="false" customHeight="false" outlineLevel="0" collapsed="false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Q17" s="1"/>
      <c r="R17" s="1"/>
      <c r="S17" s="1"/>
      <c r="T17" s="1"/>
      <c r="U17" s="1"/>
      <c r="V17" s="1"/>
      <c r="Y17" s="1" t="str">
        <f aca="false">PoolData!A23</f>
        <v>-</v>
      </c>
      <c r="Z17" s="74" t="str">
        <f aca="false">LEFT(Y17,FIND("-",Y17)-1)</f>
        <v/>
      </c>
      <c r="AA17" s="16" t="n">
        <f aca="false">SUMIF($B:$B,$Y17,D:D)</f>
        <v>0</v>
      </c>
      <c r="AB17" s="74" t="str">
        <f aca="false">RIGHT(Y17,LEN(Y17)-FIND("-",Y17))</f>
        <v/>
      </c>
      <c r="AC17" s="19" t="n">
        <f aca="false">SUMIF($B:$B,$Y17,E:E)</f>
        <v>0</v>
      </c>
      <c r="AD17" s="19" t="n">
        <f aca="false">SUMIF($B:$B,$Y17,H:H)</f>
        <v>0</v>
      </c>
      <c r="AE17" s="19" t="n">
        <f aca="false">SUMIF($B:$B,$Y17,I:I)</f>
        <v>0</v>
      </c>
      <c r="AF17" s="19" t="n">
        <f aca="false">SUMIF($B:$B,$Y17,M:M)</f>
        <v>0</v>
      </c>
      <c r="AG17" s="19" t="n">
        <f aca="false">SUMIF($B:$B,$Y17,O:O)</f>
        <v>0</v>
      </c>
      <c r="AH17" s="9" t="n">
        <f aca="false">SUMIF($B:$B,$Y17,V:V)</f>
        <v>0</v>
      </c>
    </row>
    <row r="18" customFormat="false" ht="15" hidden="false" customHeight="false" outlineLevel="0" collapsed="false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Q18" s="1"/>
      <c r="R18" s="1"/>
      <c r="S18" s="1"/>
      <c r="T18" s="1"/>
      <c r="U18" s="1"/>
      <c r="V18" s="1"/>
      <c r="Y18" s="1" t="str">
        <f aca="false">PoolData!A24</f>
        <v>-</v>
      </c>
      <c r="Z18" s="74" t="str">
        <f aca="false">LEFT(Y18,FIND("-",Y18)-1)</f>
        <v/>
      </c>
      <c r="AA18" s="16" t="n">
        <f aca="false">SUMIF($B:$B,$Y18,D:D)</f>
        <v>0</v>
      </c>
      <c r="AB18" s="74" t="str">
        <f aca="false">RIGHT(Y18,LEN(Y18)-FIND("-",Y18))</f>
        <v/>
      </c>
      <c r="AC18" s="19" t="n">
        <f aca="false">SUMIF($B:$B,$Y18,E:E)</f>
        <v>0</v>
      </c>
      <c r="AD18" s="19" t="n">
        <f aca="false">SUMIF($B:$B,$Y18,H:H)</f>
        <v>0</v>
      </c>
      <c r="AE18" s="19" t="n">
        <f aca="false">SUMIF($B:$B,$Y18,I:I)</f>
        <v>0</v>
      </c>
      <c r="AF18" s="19" t="n">
        <f aca="false">SUMIF($B:$B,$Y18,M:M)</f>
        <v>0</v>
      </c>
      <c r="AG18" s="19" t="n">
        <f aca="false">SUMIF($B:$B,$Y18,O:O)</f>
        <v>0</v>
      </c>
      <c r="AH18" s="9" t="n">
        <f aca="false">SUMIF($B:$B,$Y18,V:V)</f>
        <v>0</v>
      </c>
    </row>
    <row r="19" customFormat="false" ht="15" hidden="false" customHeight="false" outlineLevel="0" collapsed="false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Q19" s="1"/>
      <c r="R19" s="1"/>
      <c r="S19" s="1"/>
      <c r="T19" s="1"/>
      <c r="U19" s="1"/>
      <c r="V19" s="1"/>
      <c r="Y19" s="1" t="str">
        <f aca="false">PoolData!A25</f>
        <v>-</v>
      </c>
      <c r="Z19" s="74" t="str">
        <f aca="false">LEFT(Y19,FIND("-",Y19)-1)</f>
        <v/>
      </c>
      <c r="AA19" s="16" t="n">
        <f aca="false">SUMIF($B:$B,$Y19,D:D)</f>
        <v>0</v>
      </c>
      <c r="AB19" s="74" t="str">
        <f aca="false">RIGHT(Y19,LEN(Y19)-FIND("-",Y19))</f>
        <v/>
      </c>
      <c r="AC19" s="19" t="n">
        <f aca="false">SUMIF($B:$B,$Y19,E:E)</f>
        <v>0</v>
      </c>
      <c r="AD19" s="19" t="n">
        <f aca="false">SUMIF($B:$B,$Y19,H:H)</f>
        <v>0</v>
      </c>
      <c r="AE19" s="19" t="n">
        <f aca="false">SUMIF($B:$B,$Y19,I:I)</f>
        <v>0</v>
      </c>
      <c r="AF19" s="19" t="n">
        <f aca="false">SUMIF($B:$B,$Y19,M:M)</f>
        <v>0</v>
      </c>
      <c r="AG19" s="19" t="n">
        <f aca="false">SUMIF($B:$B,$Y19,O:O)</f>
        <v>0</v>
      </c>
      <c r="AH19" s="9" t="n">
        <f aca="false">SUMIF($B:$B,$Y19,V:V)</f>
        <v>0</v>
      </c>
    </row>
    <row r="20" customFormat="false" ht="15" hidden="false" customHeight="false" outlineLevel="0" collapsed="false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Q20" s="1"/>
      <c r="R20" s="1"/>
      <c r="S20" s="1"/>
      <c r="T20" s="1"/>
      <c r="U20" s="1"/>
      <c r="V20" s="1"/>
      <c r="Y20" s="1" t="str">
        <f aca="false">PoolData!A26</f>
        <v>-</v>
      </c>
      <c r="Z20" s="74" t="str">
        <f aca="false">LEFT(Y20,FIND("-",Y20)-1)</f>
        <v/>
      </c>
      <c r="AA20" s="16" t="n">
        <f aca="false">SUMIF($B:$B,$Y20,D:D)</f>
        <v>0</v>
      </c>
      <c r="AB20" s="74" t="str">
        <f aca="false">RIGHT(Y20,LEN(Y20)-FIND("-",Y20))</f>
        <v/>
      </c>
      <c r="AC20" s="19" t="n">
        <f aca="false">SUMIF($B:$B,$Y20,E:E)</f>
        <v>0</v>
      </c>
      <c r="AD20" s="19" t="n">
        <f aca="false">SUMIF($B:$B,$Y20,H:H)</f>
        <v>0</v>
      </c>
      <c r="AE20" s="19" t="n">
        <f aca="false">SUMIF($B:$B,$Y20,I:I)</f>
        <v>0</v>
      </c>
      <c r="AF20" s="19" t="n">
        <f aca="false">SUMIF($B:$B,$Y20,M:M)</f>
        <v>0</v>
      </c>
      <c r="AG20" s="19" t="n">
        <f aca="false">SUMIF($B:$B,$Y20,O:O)</f>
        <v>0</v>
      </c>
      <c r="AH20" s="9" t="n">
        <f aca="false">SUMIF($B:$B,$Y20,V:V)</f>
        <v>0</v>
      </c>
    </row>
    <row r="21" customFormat="false" ht="15" hidden="false" customHeight="false" outlineLevel="0" collapsed="false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Q21" s="1"/>
      <c r="R21" s="1"/>
      <c r="S21" s="1"/>
      <c r="T21" s="1"/>
      <c r="U21" s="1"/>
      <c r="V21" s="1"/>
      <c r="Y21" s="1" t="str">
        <f aca="false">PoolData!A27</f>
        <v>-</v>
      </c>
      <c r="Z21" s="74" t="str">
        <f aca="false">LEFT(Y21,FIND("-",Y21)-1)</f>
        <v/>
      </c>
      <c r="AA21" s="16" t="n">
        <f aca="false">SUMIF($B:$B,$Y21,D:D)</f>
        <v>0</v>
      </c>
      <c r="AB21" s="74" t="str">
        <f aca="false">RIGHT(Y21,LEN(Y21)-FIND("-",Y21))</f>
        <v/>
      </c>
      <c r="AC21" s="19" t="n">
        <f aca="false">SUMIF($B:$B,$Y21,E:E)</f>
        <v>0</v>
      </c>
      <c r="AD21" s="19" t="n">
        <f aca="false">SUMIF($B:$B,$Y21,H:H)</f>
        <v>0</v>
      </c>
      <c r="AE21" s="19" t="n">
        <f aca="false">SUMIF($B:$B,$Y21,I:I)</f>
        <v>0</v>
      </c>
      <c r="AF21" s="19" t="n">
        <f aca="false">SUMIF($B:$B,$Y21,M:M)</f>
        <v>0</v>
      </c>
      <c r="AG21" s="19" t="n">
        <f aca="false">SUMIF($B:$B,$Y21,O:O)</f>
        <v>0</v>
      </c>
      <c r="AH21" s="9" t="n">
        <f aca="false">SUMIF($B:$B,$Y21,V:V)</f>
        <v>0</v>
      </c>
    </row>
    <row r="22" customFormat="false" ht="15" hidden="false" customHeight="false" outlineLevel="0" collapsed="false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Q22" s="1"/>
      <c r="R22" s="1"/>
      <c r="S22" s="1"/>
      <c r="T22" s="1"/>
      <c r="U22" s="1"/>
      <c r="V22" s="1"/>
      <c r="Y22" s="1" t="str">
        <f aca="false">PoolData!A28</f>
        <v>-</v>
      </c>
      <c r="Z22" s="74" t="str">
        <f aca="false">LEFT(Y22,FIND("-",Y22)-1)</f>
        <v/>
      </c>
      <c r="AA22" s="16" t="n">
        <f aca="false">SUMIF($B:$B,$Y22,D:D)</f>
        <v>0</v>
      </c>
      <c r="AB22" s="74" t="str">
        <f aca="false">RIGHT(Y22,LEN(Y22)-FIND("-",Y22))</f>
        <v/>
      </c>
      <c r="AC22" s="19" t="n">
        <f aca="false">SUMIF($B:$B,$Y22,E:E)</f>
        <v>0</v>
      </c>
      <c r="AD22" s="19" t="n">
        <f aca="false">SUMIF($B:$B,$Y22,H:H)</f>
        <v>0</v>
      </c>
      <c r="AE22" s="19" t="n">
        <f aca="false">SUMIF($B:$B,$Y22,I:I)</f>
        <v>0</v>
      </c>
      <c r="AF22" s="19" t="n">
        <f aca="false">SUMIF($B:$B,$Y22,M:M)</f>
        <v>0</v>
      </c>
      <c r="AG22" s="19" t="n">
        <f aca="false">SUMIF($B:$B,$Y22,O:O)</f>
        <v>0</v>
      </c>
      <c r="AH22" s="9" t="n">
        <f aca="false">SUMIF($B:$B,$Y22,V:V)</f>
        <v>0</v>
      </c>
    </row>
    <row r="23" customFormat="false" ht="15" hidden="false" customHeight="false" outlineLevel="0" collapsed="false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Q23" s="1"/>
      <c r="R23" s="1"/>
      <c r="S23" s="1"/>
      <c r="T23" s="1"/>
      <c r="U23" s="1"/>
      <c r="V23" s="1"/>
      <c r="Y23" s="1" t="str">
        <f aca="false">PoolData!A29</f>
        <v>-</v>
      </c>
      <c r="Z23" s="74" t="str">
        <f aca="false">LEFT(Y23,FIND("-",Y23)-1)</f>
        <v/>
      </c>
      <c r="AA23" s="16" t="n">
        <f aca="false">SUMIF($B:$B,$Y23,D:D)</f>
        <v>0</v>
      </c>
      <c r="AB23" s="74" t="str">
        <f aca="false">RIGHT(Y23,LEN(Y23)-FIND("-",Y23))</f>
        <v/>
      </c>
      <c r="AC23" s="19" t="n">
        <f aca="false">SUMIF($B:$B,$Y23,E:E)</f>
        <v>0</v>
      </c>
      <c r="AD23" s="19" t="n">
        <f aca="false">SUMIF($B:$B,$Y23,H:H)</f>
        <v>0</v>
      </c>
      <c r="AE23" s="19" t="n">
        <f aca="false">SUMIF($B:$B,$Y23,I:I)</f>
        <v>0</v>
      </c>
      <c r="AF23" s="19" t="n">
        <f aca="false">SUMIF($B:$B,$Y23,M:M)</f>
        <v>0</v>
      </c>
      <c r="AG23" s="19" t="n">
        <f aca="false">SUMIF($B:$B,$Y23,O:O)</f>
        <v>0</v>
      </c>
      <c r="AH23" s="9" t="n">
        <f aca="false">SUMIF($B:$B,$Y23,V:V)</f>
        <v>0</v>
      </c>
    </row>
    <row r="24" customFormat="false" ht="15" hidden="false" customHeight="false" outlineLevel="0" collapsed="false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Q24" s="1"/>
      <c r="R24" s="1"/>
      <c r="S24" s="1"/>
      <c r="T24" s="1"/>
      <c r="U24" s="1"/>
      <c r="V24" s="1"/>
      <c r="Y24" s="1" t="str">
        <f aca="false">PoolData!A30</f>
        <v>-</v>
      </c>
      <c r="Z24" s="74" t="str">
        <f aca="false">LEFT(Y24,FIND("-",Y24)-1)</f>
        <v/>
      </c>
      <c r="AA24" s="16" t="n">
        <f aca="false">SUMIF($B:$B,$Y24,D:D)</f>
        <v>0</v>
      </c>
      <c r="AB24" s="74" t="str">
        <f aca="false">RIGHT(Y24,LEN(Y24)-FIND("-",Y24))</f>
        <v/>
      </c>
      <c r="AC24" s="19" t="n">
        <f aca="false">SUMIF($B:$B,$Y24,E:E)</f>
        <v>0</v>
      </c>
      <c r="AD24" s="19" t="n">
        <f aca="false">SUMIF($B:$B,$Y24,H:H)</f>
        <v>0</v>
      </c>
      <c r="AE24" s="19" t="n">
        <f aca="false">SUMIF($B:$B,$Y24,I:I)</f>
        <v>0</v>
      </c>
      <c r="AF24" s="19" t="n">
        <f aca="false">SUMIF($B:$B,$Y24,M:M)</f>
        <v>0</v>
      </c>
      <c r="AG24" s="19" t="n">
        <f aca="false">SUMIF($B:$B,$Y24,O:O)</f>
        <v>0</v>
      </c>
      <c r="AH24" s="9" t="n">
        <f aca="false">SUMIF($B:$B,$Y24,V:V)</f>
        <v>0</v>
      </c>
    </row>
    <row r="25" customFormat="false" ht="15" hidden="false" customHeight="false" outlineLevel="0" collapsed="false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Q25" s="1"/>
      <c r="R25" s="1"/>
      <c r="S25" s="1"/>
      <c r="T25" s="1"/>
      <c r="U25" s="1"/>
      <c r="V25" s="1"/>
      <c r="Y25" s="1" t="str">
        <f aca="false">PoolData!A31</f>
        <v>-</v>
      </c>
      <c r="Z25" s="74" t="str">
        <f aca="false">LEFT(Y25,FIND("-",Y25)-1)</f>
        <v/>
      </c>
      <c r="AA25" s="16" t="n">
        <f aca="false">SUMIF($B:$B,$Y25,D:D)</f>
        <v>0</v>
      </c>
      <c r="AB25" s="74" t="str">
        <f aca="false">RIGHT(Y25,LEN(Y25)-FIND("-",Y25))</f>
        <v/>
      </c>
      <c r="AC25" s="19" t="n">
        <f aca="false">SUMIF($B:$B,$Y25,E:E)</f>
        <v>0</v>
      </c>
      <c r="AD25" s="19" t="n">
        <f aca="false">SUMIF($B:$B,$Y25,H:H)</f>
        <v>0</v>
      </c>
      <c r="AE25" s="19" t="n">
        <f aca="false">SUMIF($B:$B,$Y25,I:I)</f>
        <v>0</v>
      </c>
      <c r="AF25" s="19" t="n">
        <f aca="false">SUMIF($B:$B,$Y25,M:M)</f>
        <v>0</v>
      </c>
      <c r="AG25" s="19" t="n">
        <f aca="false">SUMIF($B:$B,$Y25,O:O)</f>
        <v>0</v>
      </c>
      <c r="AH25" s="9" t="n">
        <f aca="false">SUMIF($B:$B,$Y25,V:V)</f>
        <v>0</v>
      </c>
    </row>
    <row r="26" customFormat="false" ht="15" hidden="false" customHeight="false" outlineLevel="0" collapsed="false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Q26" s="1"/>
      <c r="R26" s="1"/>
      <c r="S26" s="1"/>
      <c r="T26" s="1"/>
      <c r="U26" s="1"/>
      <c r="V26" s="1"/>
      <c r="Y26" s="1" t="str">
        <f aca="false">PoolData!A32</f>
        <v>-</v>
      </c>
      <c r="Z26" s="74" t="str">
        <f aca="false">LEFT(Y26,FIND("-",Y26)-1)</f>
        <v/>
      </c>
      <c r="AA26" s="16" t="n">
        <f aca="false">SUMIF($B:$B,$Y26,D:D)</f>
        <v>0</v>
      </c>
      <c r="AB26" s="74" t="str">
        <f aca="false">RIGHT(Y26,LEN(Y26)-FIND("-",Y26))</f>
        <v/>
      </c>
      <c r="AC26" s="19" t="n">
        <f aca="false">SUMIF($B:$B,$Y26,E:E)</f>
        <v>0</v>
      </c>
      <c r="AD26" s="19" t="n">
        <f aca="false">SUMIF($B:$B,$Y26,H:H)</f>
        <v>0</v>
      </c>
      <c r="AE26" s="19" t="n">
        <f aca="false">SUMIF($B:$B,$Y26,I:I)</f>
        <v>0</v>
      </c>
      <c r="AF26" s="19" t="n">
        <f aca="false">SUMIF($B:$B,$Y26,M:M)</f>
        <v>0</v>
      </c>
      <c r="AG26" s="19" t="n">
        <f aca="false">SUMIF($B:$B,$Y26,O:O)</f>
        <v>0</v>
      </c>
      <c r="AH26" s="9" t="n">
        <f aca="false">SUMIF($B:$B,$Y26,V:V)</f>
        <v>0</v>
      </c>
    </row>
    <row r="27" customFormat="false" ht="15" hidden="false" customHeight="false" outlineLevel="0" collapsed="false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Q27" s="1"/>
      <c r="R27" s="1"/>
      <c r="S27" s="1"/>
      <c r="T27" s="1"/>
      <c r="U27" s="1"/>
      <c r="V27" s="1"/>
      <c r="Y27" s="1" t="str">
        <f aca="false">PoolData!A33</f>
        <v>-</v>
      </c>
      <c r="Z27" s="74" t="str">
        <f aca="false">LEFT(Y27,FIND("-",Y27)-1)</f>
        <v/>
      </c>
      <c r="AA27" s="16" t="n">
        <f aca="false">SUMIF($B:$B,$Y27,D:D)</f>
        <v>0</v>
      </c>
      <c r="AB27" s="74" t="str">
        <f aca="false">RIGHT(Y27,LEN(Y27)-FIND("-",Y27))</f>
        <v/>
      </c>
      <c r="AC27" s="19" t="n">
        <f aca="false">SUMIF($B:$B,$Y27,E:E)</f>
        <v>0</v>
      </c>
      <c r="AD27" s="19" t="n">
        <f aca="false">SUMIF($B:$B,$Y27,H:H)</f>
        <v>0</v>
      </c>
      <c r="AE27" s="19" t="n">
        <f aca="false">SUMIF($B:$B,$Y27,I:I)</f>
        <v>0</v>
      </c>
      <c r="AF27" s="19" t="n">
        <f aca="false">SUMIF($B:$B,$Y27,M:M)</f>
        <v>0</v>
      </c>
      <c r="AG27" s="19" t="n">
        <f aca="false">SUMIF($B:$B,$Y27,O:O)</f>
        <v>0</v>
      </c>
      <c r="AH27" s="9" t="n">
        <f aca="false">SUMIF($B:$B,$Y27,V:V)</f>
        <v>0</v>
      </c>
    </row>
    <row r="28" customFormat="false" ht="15" hidden="false" customHeight="false" outlineLevel="0" collapsed="false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Q28" s="1"/>
      <c r="R28" s="1"/>
      <c r="S28" s="1"/>
      <c r="T28" s="1"/>
      <c r="U28" s="1"/>
      <c r="V28" s="1"/>
      <c r="Y28" s="1" t="str">
        <f aca="false">PoolData!A34</f>
        <v>-</v>
      </c>
      <c r="Z28" s="74" t="str">
        <f aca="false">LEFT(Y28,FIND("-",Y28)-1)</f>
        <v/>
      </c>
      <c r="AA28" s="16" t="n">
        <f aca="false">SUMIF($B:$B,$Y28,D:D)</f>
        <v>0</v>
      </c>
      <c r="AB28" s="74" t="str">
        <f aca="false">RIGHT(Y28,LEN(Y28)-FIND("-",Y28))</f>
        <v/>
      </c>
      <c r="AC28" s="19" t="n">
        <f aca="false">SUMIF($B:$B,$Y28,E:E)</f>
        <v>0</v>
      </c>
      <c r="AD28" s="19" t="n">
        <f aca="false">SUMIF($B:$B,$Y28,H:H)</f>
        <v>0</v>
      </c>
      <c r="AE28" s="19" t="n">
        <f aca="false">SUMIF($B:$B,$Y28,I:I)</f>
        <v>0</v>
      </c>
      <c r="AF28" s="19" t="n">
        <f aca="false">SUMIF($B:$B,$Y28,M:M)</f>
        <v>0</v>
      </c>
      <c r="AG28" s="19" t="n">
        <f aca="false">SUMIF($B:$B,$Y28,O:O)</f>
        <v>0</v>
      </c>
      <c r="AH28" s="9" t="n">
        <f aca="false">SUMIF($B:$B,$Y28,V:V)</f>
        <v>0</v>
      </c>
    </row>
    <row r="29" customFormat="false" ht="15" hidden="false" customHeight="false" outlineLevel="0" collapsed="false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Q29" s="1"/>
      <c r="R29" s="1"/>
      <c r="S29" s="1"/>
      <c r="T29" s="1"/>
      <c r="U29" s="1"/>
      <c r="V29" s="1"/>
      <c r="Y29" s="1" t="str">
        <f aca="false">PoolData!A35</f>
        <v>-</v>
      </c>
      <c r="Z29" s="74" t="str">
        <f aca="false">LEFT(Y29,FIND("-",Y29)-1)</f>
        <v/>
      </c>
      <c r="AA29" s="16" t="n">
        <f aca="false">SUMIF($B:$B,$Y29,D:D)</f>
        <v>0</v>
      </c>
      <c r="AB29" s="74" t="str">
        <f aca="false">RIGHT(Y29,LEN(Y29)-FIND("-",Y29))</f>
        <v/>
      </c>
      <c r="AC29" s="19" t="n">
        <f aca="false">SUMIF($B:$B,$Y29,E:E)</f>
        <v>0</v>
      </c>
      <c r="AD29" s="19" t="n">
        <f aca="false">SUMIF($B:$B,$Y29,H:H)</f>
        <v>0</v>
      </c>
      <c r="AE29" s="19" t="n">
        <f aca="false">SUMIF($B:$B,$Y29,I:I)</f>
        <v>0</v>
      </c>
      <c r="AF29" s="19" t="n">
        <f aca="false">SUMIF($B:$B,$Y29,M:M)</f>
        <v>0</v>
      </c>
      <c r="AG29" s="19" t="n">
        <f aca="false">SUMIF($B:$B,$Y29,O:O)</f>
        <v>0</v>
      </c>
      <c r="AH29" s="9" t="n">
        <f aca="false">SUMIF($B:$B,$Y29,V:V)</f>
        <v>0</v>
      </c>
    </row>
    <row r="30" customFormat="false" ht="15" hidden="false" customHeight="false" outlineLevel="0" collapsed="false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Q30" s="1"/>
      <c r="R30" s="1"/>
      <c r="S30" s="1"/>
      <c r="T30" s="1"/>
      <c r="U30" s="1"/>
      <c r="V30" s="1"/>
      <c r="Y30" s="1" t="str">
        <f aca="false">PoolData!A36</f>
        <v>-</v>
      </c>
      <c r="Z30" s="74" t="str">
        <f aca="false">LEFT(Y30,FIND("-",Y30)-1)</f>
        <v/>
      </c>
      <c r="AA30" s="16" t="n">
        <f aca="false">SUMIF($B:$B,$Y30,D:D)</f>
        <v>0</v>
      </c>
      <c r="AB30" s="74" t="str">
        <f aca="false">RIGHT(Y30,LEN(Y30)-FIND("-",Y30))</f>
        <v/>
      </c>
      <c r="AC30" s="19" t="n">
        <f aca="false">SUMIF($B:$B,$Y30,E:E)</f>
        <v>0</v>
      </c>
      <c r="AD30" s="19" t="n">
        <f aca="false">SUMIF($B:$B,$Y30,H:H)</f>
        <v>0</v>
      </c>
      <c r="AE30" s="19" t="n">
        <f aca="false">SUMIF($B:$B,$Y30,I:I)</f>
        <v>0</v>
      </c>
      <c r="AF30" s="19" t="n">
        <f aca="false">SUMIF($B:$B,$Y30,M:M)</f>
        <v>0</v>
      </c>
      <c r="AG30" s="19" t="n">
        <f aca="false">SUMIF($B:$B,$Y30,O:O)</f>
        <v>0</v>
      </c>
      <c r="AH30" s="9" t="n">
        <f aca="false">SUMIF($B:$B,$Y30,V:V)</f>
        <v>0</v>
      </c>
    </row>
    <row r="31" customFormat="false" ht="15" hidden="false" customHeight="false" outlineLevel="0" collapsed="false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Q31" s="1"/>
      <c r="R31" s="1"/>
      <c r="S31" s="1"/>
      <c r="T31" s="1"/>
      <c r="U31" s="1"/>
      <c r="V31" s="1"/>
      <c r="Y31" s="1" t="str">
        <f aca="false">PoolData!A37</f>
        <v>-</v>
      </c>
      <c r="Z31" s="74" t="str">
        <f aca="false">LEFT(Y31,FIND("-",Y31)-1)</f>
        <v/>
      </c>
      <c r="AA31" s="16" t="n">
        <f aca="false">SUMIF($B:$B,$Y31,D:D)</f>
        <v>0</v>
      </c>
      <c r="AB31" s="74" t="str">
        <f aca="false">RIGHT(Y31,LEN(Y31)-FIND("-",Y31))</f>
        <v/>
      </c>
      <c r="AC31" s="19" t="n">
        <f aca="false">SUMIF($B:$B,$Y31,E:E)</f>
        <v>0</v>
      </c>
      <c r="AD31" s="19" t="n">
        <f aca="false">SUMIF($B:$B,$Y31,H:H)</f>
        <v>0</v>
      </c>
      <c r="AE31" s="19" t="n">
        <f aca="false">SUMIF($B:$B,$Y31,I:I)</f>
        <v>0</v>
      </c>
      <c r="AF31" s="19" t="n">
        <f aca="false">SUMIF($B:$B,$Y31,M:M)</f>
        <v>0</v>
      </c>
      <c r="AG31" s="19" t="n">
        <f aca="false">SUMIF($B:$B,$Y31,O:O)</f>
        <v>0</v>
      </c>
      <c r="AH31" s="9" t="n">
        <f aca="false">SUMIF($B:$B,$Y31,V:V)</f>
        <v>0</v>
      </c>
    </row>
    <row r="32" customFormat="false" ht="15" hidden="false" customHeight="false" outlineLevel="0" collapsed="false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Q32" s="1"/>
      <c r="R32" s="1"/>
      <c r="S32" s="1"/>
      <c r="T32" s="1"/>
      <c r="U32" s="1"/>
      <c r="V32" s="1"/>
      <c r="Y32" s="1" t="str">
        <f aca="false">PoolData!A38</f>
        <v>-</v>
      </c>
      <c r="Z32" s="74" t="str">
        <f aca="false">LEFT(Y32,FIND("-",Y32)-1)</f>
        <v/>
      </c>
      <c r="AA32" s="16" t="n">
        <f aca="false">SUMIF($B:$B,$Y32,D:D)</f>
        <v>0</v>
      </c>
      <c r="AB32" s="74" t="str">
        <f aca="false">RIGHT(Y32,LEN(Y32)-FIND("-",Y32))</f>
        <v/>
      </c>
      <c r="AC32" s="19" t="n">
        <f aca="false">SUMIF($B:$B,$Y32,E:E)</f>
        <v>0</v>
      </c>
      <c r="AD32" s="19" t="n">
        <f aca="false">SUMIF($B:$B,$Y32,H:H)</f>
        <v>0</v>
      </c>
      <c r="AE32" s="19" t="n">
        <f aca="false">SUMIF($B:$B,$Y32,I:I)</f>
        <v>0</v>
      </c>
      <c r="AF32" s="19" t="n">
        <f aca="false">SUMIF($B:$B,$Y32,M:M)</f>
        <v>0</v>
      </c>
      <c r="AG32" s="19" t="n">
        <f aca="false">SUMIF($B:$B,$Y32,O:O)</f>
        <v>0</v>
      </c>
      <c r="AH32" s="9" t="n">
        <f aca="false">SUMIF($B:$B,$Y32,V:V)</f>
        <v>0</v>
      </c>
    </row>
    <row r="33" customFormat="false" ht="15" hidden="false" customHeight="false" outlineLevel="0" collapsed="false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Q33" s="1"/>
      <c r="R33" s="1"/>
      <c r="S33" s="1"/>
      <c r="T33" s="1"/>
      <c r="U33" s="1"/>
      <c r="V33" s="1"/>
      <c r="Y33" s="1" t="str">
        <f aca="false">PoolData!A39</f>
        <v>-</v>
      </c>
      <c r="Z33" s="74" t="str">
        <f aca="false">LEFT(Y33,FIND("-",Y33)-1)</f>
        <v/>
      </c>
      <c r="AA33" s="16" t="n">
        <f aca="false">SUMIF($B:$B,$Y33,D:D)</f>
        <v>0</v>
      </c>
      <c r="AB33" s="74" t="str">
        <f aca="false">RIGHT(Y33,LEN(Y33)-FIND("-",Y33))</f>
        <v/>
      </c>
      <c r="AC33" s="19" t="n">
        <f aca="false">SUMIF($B:$B,$Y33,E:E)</f>
        <v>0</v>
      </c>
      <c r="AD33" s="19" t="n">
        <f aca="false">SUMIF($B:$B,$Y33,H:H)</f>
        <v>0</v>
      </c>
      <c r="AE33" s="19" t="n">
        <f aca="false">SUMIF($B:$B,$Y33,I:I)</f>
        <v>0</v>
      </c>
      <c r="AF33" s="19" t="n">
        <f aca="false">SUMIF($B:$B,$Y33,M:M)</f>
        <v>0</v>
      </c>
      <c r="AG33" s="19" t="n">
        <f aca="false">SUMIF($B:$B,$Y33,O:O)</f>
        <v>0</v>
      </c>
      <c r="AH33" s="9" t="n">
        <f aca="false">SUMIF($B:$B,$Y33,V:V)</f>
        <v>0</v>
      </c>
    </row>
    <row r="34" customFormat="false" ht="15" hidden="false" customHeight="false" outlineLevel="0" collapsed="false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Q34" s="1"/>
      <c r="R34" s="1"/>
      <c r="S34" s="1"/>
      <c r="T34" s="1"/>
      <c r="U34" s="1"/>
      <c r="V34" s="1"/>
      <c r="Y34" s="1" t="str">
        <f aca="false">PoolData!A40</f>
        <v>-</v>
      </c>
      <c r="Z34" s="74" t="str">
        <f aca="false">LEFT(Y34,FIND("-",Y34)-1)</f>
        <v/>
      </c>
      <c r="AA34" s="16" t="n">
        <f aca="false">SUMIF($B:$B,$Y34,D:D)</f>
        <v>0</v>
      </c>
      <c r="AB34" s="74" t="str">
        <f aca="false">RIGHT(Y34,LEN(Y34)-FIND("-",Y34))</f>
        <v/>
      </c>
      <c r="AC34" s="19" t="n">
        <f aca="false">SUMIF($B:$B,$Y34,E:E)</f>
        <v>0</v>
      </c>
      <c r="AD34" s="19" t="n">
        <f aca="false">SUMIF($B:$B,$Y34,H:H)</f>
        <v>0</v>
      </c>
      <c r="AE34" s="19" t="n">
        <f aca="false">SUMIF($B:$B,$Y34,I:I)</f>
        <v>0</v>
      </c>
      <c r="AF34" s="19" t="n">
        <f aca="false">SUMIF($B:$B,$Y34,M:M)</f>
        <v>0</v>
      </c>
      <c r="AG34" s="19" t="n">
        <f aca="false">SUMIF($B:$B,$Y34,O:O)</f>
        <v>0</v>
      </c>
      <c r="AH34" s="9" t="n">
        <f aca="false">SUMIF($B:$B,$Y34,V:V)</f>
        <v>0</v>
      </c>
    </row>
    <row r="35" customFormat="false" ht="15" hidden="false" customHeight="false" outlineLevel="0" collapsed="false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Q35" s="1"/>
      <c r="R35" s="1"/>
      <c r="S35" s="1"/>
      <c r="T35" s="1"/>
      <c r="U35" s="1"/>
      <c r="V35" s="1"/>
      <c r="Y35" s="1" t="str">
        <f aca="false">PoolData!A41</f>
        <v>-</v>
      </c>
      <c r="Z35" s="74" t="str">
        <f aca="false">LEFT(Y35,FIND("-",Y35)-1)</f>
        <v/>
      </c>
      <c r="AA35" s="16" t="n">
        <f aca="false">SUMIF($B:$B,$Y35,D:D)</f>
        <v>0</v>
      </c>
      <c r="AB35" s="74" t="str">
        <f aca="false">RIGHT(Y35,LEN(Y35)-FIND("-",Y35))</f>
        <v/>
      </c>
      <c r="AC35" s="19" t="n">
        <f aca="false">SUMIF($B:$B,$Y35,E:E)</f>
        <v>0</v>
      </c>
      <c r="AD35" s="19" t="n">
        <f aca="false">SUMIF($B:$B,$Y35,H:H)</f>
        <v>0</v>
      </c>
      <c r="AE35" s="19" t="n">
        <f aca="false">SUMIF($B:$B,$Y35,I:I)</f>
        <v>0</v>
      </c>
      <c r="AF35" s="19" t="n">
        <f aca="false">SUMIF($B:$B,$Y35,M:M)</f>
        <v>0</v>
      </c>
      <c r="AG35" s="19" t="n">
        <f aca="false">SUMIF($B:$B,$Y35,O:O)</f>
        <v>0</v>
      </c>
      <c r="AH35" s="9" t="n">
        <f aca="false">SUMIF($B:$B,$Y35,V:V)</f>
        <v>0</v>
      </c>
    </row>
    <row r="36" customFormat="false" ht="15" hidden="false" customHeight="false" outlineLevel="0" collapsed="false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Q36" s="1"/>
      <c r="R36" s="1"/>
      <c r="S36" s="1"/>
      <c r="T36" s="1"/>
      <c r="U36" s="1"/>
      <c r="V36" s="1"/>
      <c r="Y36" s="1" t="str">
        <f aca="false">PoolData!A42</f>
        <v>-</v>
      </c>
      <c r="Z36" s="74" t="str">
        <f aca="false">LEFT(Y36,FIND("-",Y36)-1)</f>
        <v/>
      </c>
      <c r="AA36" s="16" t="n">
        <f aca="false">SUMIF($B:$B,$Y36,D:D)</f>
        <v>0</v>
      </c>
      <c r="AB36" s="74" t="str">
        <f aca="false">RIGHT(Y36,LEN(Y36)-FIND("-",Y36))</f>
        <v/>
      </c>
      <c r="AC36" s="19" t="n">
        <f aca="false">SUMIF($B:$B,$Y36,E:E)</f>
        <v>0</v>
      </c>
      <c r="AD36" s="19" t="n">
        <f aca="false">SUMIF($B:$B,$Y36,H:H)</f>
        <v>0</v>
      </c>
      <c r="AE36" s="19" t="n">
        <f aca="false">SUMIF($B:$B,$Y36,I:I)</f>
        <v>0</v>
      </c>
      <c r="AF36" s="19" t="n">
        <f aca="false">SUMIF($B:$B,$Y36,M:M)</f>
        <v>0</v>
      </c>
      <c r="AG36" s="19" t="n">
        <f aca="false">SUMIF($B:$B,$Y36,O:O)</f>
        <v>0</v>
      </c>
      <c r="AH36" s="9" t="n">
        <f aca="false">SUMIF($B:$B,$Y36,V:V)</f>
        <v>0</v>
      </c>
    </row>
    <row r="37" customFormat="false" ht="15" hidden="false" customHeight="false" outlineLevel="0" collapsed="false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Q37" s="1"/>
      <c r="R37" s="1"/>
      <c r="S37" s="1"/>
      <c r="T37" s="1"/>
      <c r="U37" s="1"/>
      <c r="V37" s="1"/>
      <c r="Y37" s="1" t="str">
        <f aca="false">PoolData!A43</f>
        <v>-</v>
      </c>
      <c r="Z37" s="74" t="str">
        <f aca="false">LEFT(Y37,FIND("-",Y37)-1)</f>
        <v/>
      </c>
      <c r="AA37" s="16" t="n">
        <f aca="false">SUMIF($B:$B,$Y37,D:D)</f>
        <v>0</v>
      </c>
      <c r="AB37" s="74" t="str">
        <f aca="false">RIGHT(Y37,LEN(Y37)-FIND("-",Y37))</f>
        <v/>
      </c>
      <c r="AC37" s="19" t="n">
        <f aca="false">SUMIF($B:$B,$Y37,E:E)</f>
        <v>0</v>
      </c>
      <c r="AD37" s="19" t="n">
        <f aca="false">SUMIF($B:$B,$Y37,H:H)</f>
        <v>0</v>
      </c>
      <c r="AE37" s="19" t="n">
        <f aca="false">SUMIF($B:$B,$Y37,I:I)</f>
        <v>0</v>
      </c>
      <c r="AF37" s="19" t="n">
        <f aca="false">SUMIF($B:$B,$Y37,M:M)</f>
        <v>0</v>
      </c>
      <c r="AG37" s="19" t="n">
        <f aca="false">SUMIF($B:$B,$Y37,O:O)</f>
        <v>0</v>
      </c>
      <c r="AH37" s="9" t="n">
        <f aca="false">SUMIF($B:$B,$Y37,V:V)</f>
        <v>0</v>
      </c>
    </row>
    <row r="38" customFormat="false" ht="15" hidden="false" customHeight="false" outlineLevel="0" collapsed="false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Q38" s="1"/>
      <c r="R38" s="1"/>
      <c r="S38" s="1"/>
      <c r="T38" s="1"/>
      <c r="U38" s="1"/>
      <c r="V38" s="1"/>
      <c r="Y38" s="1" t="str">
        <f aca="false">PoolData!A44</f>
        <v>-</v>
      </c>
      <c r="Z38" s="74" t="str">
        <f aca="false">LEFT(Y38,FIND("-",Y38)-1)</f>
        <v/>
      </c>
      <c r="AA38" s="16" t="n">
        <f aca="false">SUMIF($B:$B,$Y38,D:D)</f>
        <v>0</v>
      </c>
      <c r="AB38" s="74" t="str">
        <f aca="false">RIGHT(Y38,LEN(Y38)-FIND("-",Y38))</f>
        <v/>
      </c>
      <c r="AC38" s="19" t="n">
        <f aca="false">SUMIF($B:$B,$Y38,E:E)</f>
        <v>0</v>
      </c>
      <c r="AD38" s="19" t="n">
        <f aca="false">SUMIF($B:$B,$Y38,H:H)</f>
        <v>0</v>
      </c>
      <c r="AE38" s="19" t="n">
        <f aca="false">SUMIF($B:$B,$Y38,I:I)</f>
        <v>0</v>
      </c>
      <c r="AF38" s="19" t="n">
        <f aca="false">SUMIF($B:$B,$Y38,M:M)</f>
        <v>0</v>
      </c>
      <c r="AG38" s="19" t="n">
        <f aca="false">SUMIF($B:$B,$Y38,O:O)</f>
        <v>0</v>
      </c>
      <c r="AH38" s="9" t="n">
        <f aca="false">SUMIF($B:$B,$Y38,V:V)</f>
        <v>0</v>
      </c>
    </row>
    <row r="39" customFormat="false" ht="15" hidden="false" customHeight="false" outlineLevel="0" collapsed="false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Q39" s="1"/>
      <c r="R39" s="1"/>
      <c r="S39" s="1"/>
      <c r="T39" s="1"/>
      <c r="U39" s="1"/>
      <c r="V39" s="1"/>
      <c r="Y39" s="1" t="str">
        <f aca="false">PoolData!A45</f>
        <v>-</v>
      </c>
      <c r="Z39" s="74" t="str">
        <f aca="false">LEFT(Y39,FIND("-",Y39)-1)</f>
        <v/>
      </c>
      <c r="AA39" s="16" t="n">
        <f aca="false">SUMIF($B:$B,$Y39,D:D)</f>
        <v>0</v>
      </c>
      <c r="AB39" s="74" t="str">
        <f aca="false">RIGHT(Y39,LEN(Y39)-FIND("-",Y39))</f>
        <v/>
      </c>
      <c r="AC39" s="19" t="n">
        <f aca="false">SUMIF($B:$B,$Y39,E:E)</f>
        <v>0</v>
      </c>
      <c r="AD39" s="19" t="n">
        <f aca="false">SUMIF($B:$B,$Y39,H:H)</f>
        <v>0</v>
      </c>
      <c r="AE39" s="19" t="n">
        <f aca="false">SUMIF($B:$B,$Y39,I:I)</f>
        <v>0</v>
      </c>
      <c r="AF39" s="19" t="n">
        <f aca="false">SUMIF($B:$B,$Y39,M:M)</f>
        <v>0</v>
      </c>
      <c r="AG39" s="19" t="n">
        <f aca="false">SUMIF($B:$B,$Y39,O:O)</f>
        <v>0</v>
      </c>
      <c r="AH39" s="9" t="n">
        <f aca="false">SUMIF($B:$B,$Y39,V:V)</f>
        <v>0</v>
      </c>
    </row>
    <row r="40" customFormat="false" ht="15" hidden="false" customHeight="false" outlineLevel="0" collapsed="false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Q40" s="1"/>
      <c r="R40" s="1"/>
      <c r="S40" s="1"/>
      <c r="T40" s="1"/>
      <c r="U40" s="1"/>
      <c r="V40" s="1"/>
      <c r="Y40" s="1" t="str">
        <f aca="false">PoolData!A46</f>
        <v>-</v>
      </c>
      <c r="Z40" s="74" t="str">
        <f aca="false">LEFT(Y40,FIND("-",Y40)-1)</f>
        <v/>
      </c>
      <c r="AA40" s="16" t="n">
        <f aca="false">SUMIF($B:$B,$Y40,D:D)</f>
        <v>0</v>
      </c>
      <c r="AB40" s="74" t="str">
        <f aca="false">RIGHT(Y40,LEN(Y40)-FIND("-",Y40))</f>
        <v/>
      </c>
      <c r="AC40" s="19" t="n">
        <f aca="false">SUMIF($B:$B,$Y40,E:E)</f>
        <v>0</v>
      </c>
      <c r="AD40" s="19" t="n">
        <f aca="false">SUMIF($B:$B,$Y40,H:H)</f>
        <v>0</v>
      </c>
      <c r="AE40" s="19" t="n">
        <f aca="false">SUMIF($B:$B,$Y40,I:I)</f>
        <v>0</v>
      </c>
      <c r="AF40" s="19" t="n">
        <f aca="false">SUMIF($B:$B,$Y40,M:M)</f>
        <v>0</v>
      </c>
      <c r="AG40" s="19" t="n">
        <f aca="false">SUMIF($B:$B,$Y40,O:O)</f>
        <v>0</v>
      </c>
      <c r="AH40" s="9" t="n">
        <f aca="false">SUMIF($B:$B,$Y40,V:V)</f>
        <v>0</v>
      </c>
    </row>
    <row r="41" customFormat="false" ht="15" hidden="false" customHeight="false" outlineLevel="0" collapsed="false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Q41" s="1"/>
      <c r="R41" s="1"/>
      <c r="S41" s="1"/>
      <c r="T41" s="1"/>
      <c r="U41" s="1"/>
      <c r="V41" s="1"/>
      <c r="Y41" s="1" t="str">
        <f aca="false">PoolData!A47</f>
        <v>-</v>
      </c>
      <c r="Z41" s="74" t="str">
        <f aca="false">LEFT(Y41,FIND("-",Y41)-1)</f>
        <v/>
      </c>
      <c r="AA41" s="16" t="n">
        <f aca="false">SUMIF($B:$B,$Y41,D:D)</f>
        <v>0</v>
      </c>
      <c r="AB41" s="74" t="str">
        <f aca="false">RIGHT(Y41,LEN(Y41)-FIND("-",Y41))</f>
        <v/>
      </c>
      <c r="AC41" s="19" t="n">
        <f aca="false">SUMIF($B:$B,$Y41,E:E)</f>
        <v>0</v>
      </c>
      <c r="AD41" s="19" t="n">
        <f aca="false">SUMIF($B:$B,$Y41,H:H)</f>
        <v>0</v>
      </c>
      <c r="AE41" s="19" t="n">
        <f aca="false">SUMIF($B:$B,$Y41,I:I)</f>
        <v>0</v>
      </c>
      <c r="AF41" s="19" t="n">
        <f aca="false">SUMIF($B:$B,$Y41,M:M)</f>
        <v>0</v>
      </c>
      <c r="AG41" s="19" t="n">
        <f aca="false">SUMIF($B:$B,$Y41,O:O)</f>
        <v>0</v>
      </c>
      <c r="AH41" s="9" t="n">
        <f aca="false">SUMIF($B:$B,$Y41,V:V)</f>
        <v>0</v>
      </c>
    </row>
    <row r="42" customFormat="false" ht="15" hidden="false" customHeight="false" outlineLevel="0" collapsed="false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Q42" s="1"/>
      <c r="R42" s="1"/>
      <c r="S42" s="1"/>
      <c r="T42" s="1"/>
      <c r="U42" s="1"/>
      <c r="V42" s="1"/>
      <c r="Y42" s="1" t="str">
        <f aca="false">PoolData!A48</f>
        <v>-</v>
      </c>
      <c r="Z42" s="74" t="str">
        <f aca="false">LEFT(Y42,FIND("-",Y42)-1)</f>
        <v/>
      </c>
      <c r="AA42" s="16" t="n">
        <f aca="false">SUMIF($B:$B,$Y42,D:D)</f>
        <v>0</v>
      </c>
      <c r="AB42" s="74" t="str">
        <f aca="false">RIGHT(Y42,LEN(Y42)-FIND("-",Y42))</f>
        <v/>
      </c>
      <c r="AC42" s="19" t="n">
        <f aca="false">SUMIF($B:$B,$Y42,E:E)</f>
        <v>0</v>
      </c>
      <c r="AD42" s="19" t="n">
        <f aca="false">SUMIF($B:$B,$Y42,H:H)</f>
        <v>0</v>
      </c>
      <c r="AE42" s="19" t="n">
        <f aca="false">SUMIF($B:$B,$Y42,I:I)</f>
        <v>0</v>
      </c>
      <c r="AF42" s="19" t="n">
        <f aca="false">SUMIF($B:$B,$Y42,M:M)</f>
        <v>0</v>
      </c>
      <c r="AG42" s="19" t="n">
        <f aca="false">SUMIF($B:$B,$Y42,O:O)</f>
        <v>0</v>
      </c>
      <c r="AH42" s="9" t="n">
        <f aca="false">SUMIF($B:$B,$Y42,V:V)</f>
        <v>0</v>
      </c>
    </row>
    <row r="43" customFormat="false" ht="15" hidden="false" customHeight="false" outlineLevel="0" collapsed="false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Q43" s="1"/>
      <c r="R43" s="1"/>
      <c r="S43" s="1"/>
      <c r="T43" s="1"/>
      <c r="U43" s="1"/>
      <c r="V43" s="1"/>
      <c r="Y43" s="1" t="str">
        <f aca="false">PoolData!A49</f>
        <v>-</v>
      </c>
      <c r="Z43" s="74" t="str">
        <f aca="false">LEFT(Y43,FIND("-",Y43)-1)</f>
        <v/>
      </c>
      <c r="AA43" s="16" t="n">
        <f aca="false">SUMIF($B:$B,$Y43,D:D)</f>
        <v>0</v>
      </c>
      <c r="AB43" s="74" t="str">
        <f aca="false">RIGHT(Y43,LEN(Y43)-FIND("-",Y43))</f>
        <v/>
      </c>
      <c r="AC43" s="19" t="n">
        <f aca="false">SUMIF($B:$B,$Y43,E:E)</f>
        <v>0</v>
      </c>
      <c r="AD43" s="19" t="n">
        <f aca="false">SUMIF($B:$B,$Y43,H:H)</f>
        <v>0</v>
      </c>
      <c r="AE43" s="19" t="n">
        <f aca="false">SUMIF($B:$B,$Y43,I:I)</f>
        <v>0</v>
      </c>
      <c r="AF43" s="19" t="n">
        <f aca="false">SUMIF($B:$B,$Y43,M:M)</f>
        <v>0</v>
      </c>
      <c r="AG43" s="19" t="n">
        <f aca="false">SUMIF($B:$B,$Y43,O:O)</f>
        <v>0</v>
      </c>
      <c r="AH43" s="9" t="n">
        <f aca="false">SUMIF($B:$B,$Y43,V:V)</f>
        <v>0</v>
      </c>
    </row>
    <row r="44" customFormat="false" ht="15" hidden="false" customHeight="false" outlineLevel="0" collapsed="false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Q44" s="1"/>
      <c r="R44" s="1"/>
      <c r="S44" s="1"/>
      <c r="T44" s="1"/>
      <c r="U44" s="1"/>
      <c r="V44" s="1"/>
      <c r="Y44" s="1" t="str">
        <f aca="false">PoolData!A50</f>
        <v>-</v>
      </c>
      <c r="Z44" s="74" t="str">
        <f aca="false">LEFT(Y44,FIND("-",Y44)-1)</f>
        <v/>
      </c>
      <c r="AA44" s="16" t="n">
        <f aca="false">SUMIF($B:$B,$Y44,D:D)</f>
        <v>0</v>
      </c>
      <c r="AB44" s="74" t="str">
        <f aca="false">RIGHT(Y44,LEN(Y44)-FIND("-",Y44))</f>
        <v/>
      </c>
      <c r="AC44" s="19" t="n">
        <f aca="false">SUMIF($B:$B,$Y44,E:E)</f>
        <v>0</v>
      </c>
      <c r="AD44" s="19" t="n">
        <f aca="false">SUMIF($B:$B,$Y44,H:H)</f>
        <v>0</v>
      </c>
      <c r="AE44" s="19" t="n">
        <f aca="false">SUMIF($B:$B,$Y44,I:I)</f>
        <v>0</v>
      </c>
      <c r="AF44" s="19" t="n">
        <f aca="false">SUMIF($B:$B,$Y44,M:M)</f>
        <v>0</v>
      </c>
      <c r="AG44" s="19" t="n">
        <f aca="false">SUMIF($B:$B,$Y44,O:O)</f>
        <v>0</v>
      </c>
      <c r="AH44" s="9" t="n">
        <f aca="false">SUMIF($B:$B,$Y44,V:V)</f>
        <v>0</v>
      </c>
    </row>
    <row r="45" customFormat="false" ht="15" hidden="false" customHeight="false" outlineLevel="0" collapsed="false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Q45" s="1"/>
      <c r="R45" s="1"/>
      <c r="S45" s="1"/>
      <c r="T45" s="1"/>
      <c r="U45" s="1"/>
      <c r="V45" s="1"/>
      <c r="Y45" s="1" t="str">
        <f aca="false">PoolData!A51</f>
        <v>-</v>
      </c>
      <c r="Z45" s="74" t="str">
        <f aca="false">LEFT(Y45,FIND("-",Y45)-1)</f>
        <v/>
      </c>
      <c r="AA45" s="16" t="n">
        <f aca="false">SUMIF($B:$B,$Y45,D:D)</f>
        <v>0</v>
      </c>
      <c r="AB45" s="74" t="str">
        <f aca="false">RIGHT(Y45,LEN(Y45)-FIND("-",Y45))</f>
        <v/>
      </c>
      <c r="AC45" s="19" t="n">
        <f aca="false">SUMIF($B:$B,$Y45,E:E)</f>
        <v>0</v>
      </c>
      <c r="AD45" s="19" t="n">
        <f aca="false">SUMIF($B:$B,$Y45,H:H)</f>
        <v>0</v>
      </c>
      <c r="AE45" s="19" t="n">
        <f aca="false">SUMIF($B:$B,$Y45,I:I)</f>
        <v>0</v>
      </c>
      <c r="AF45" s="19" t="n">
        <f aca="false">SUMIF($B:$B,$Y45,M:M)</f>
        <v>0</v>
      </c>
      <c r="AG45" s="19" t="n">
        <f aca="false">SUMIF($B:$B,$Y45,O:O)</f>
        <v>0</v>
      </c>
      <c r="AH45" s="9" t="n">
        <f aca="false">SUMIF($B:$B,$Y45,V:V)</f>
        <v>0</v>
      </c>
    </row>
    <row r="46" customFormat="false" ht="15" hidden="false" customHeight="false" outlineLevel="0" collapsed="false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Q46" s="1"/>
      <c r="R46" s="1"/>
      <c r="S46" s="1"/>
      <c r="T46" s="1"/>
      <c r="U46" s="1"/>
      <c r="V46" s="1"/>
      <c r="Y46" s="1" t="str">
        <f aca="false">PoolData!A52</f>
        <v>-</v>
      </c>
      <c r="Z46" s="74" t="str">
        <f aca="false">LEFT(Y46,FIND("-",Y46)-1)</f>
        <v/>
      </c>
      <c r="AA46" s="16" t="n">
        <f aca="false">SUMIF($B:$B,$Y46,D:D)</f>
        <v>0</v>
      </c>
      <c r="AB46" s="74" t="str">
        <f aca="false">RIGHT(Y46,LEN(Y46)-FIND("-",Y46))</f>
        <v/>
      </c>
      <c r="AC46" s="19" t="n">
        <f aca="false">SUMIF($B:$B,$Y46,E:E)</f>
        <v>0</v>
      </c>
      <c r="AD46" s="19" t="n">
        <f aca="false">SUMIF($B:$B,$Y46,H:H)</f>
        <v>0</v>
      </c>
      <c r="AE46" s="19" t="n">
        <f aca="false">SUMIF($B:$B,$Y46,I:I)</f>
        <v>0</v>
      </c>
      <c r="AF46" s="19" t="n">
        <f aca="false">SUMIF($B:$B,$Y46,M:M)</f>
        <v>0</v>
      </c>
      <c r="AG46" s="19" t="n">
        <f aca="false">SUMIF($B:$B,$Y46,O:O)</f>
        <v>0</v>
      </c>
      <c r="AH46" s="9" t="n">
        <f aca="false">SUMIF($B:$B,$Y46,V:V)</f>
        <v>0</v>
      </c>
    </row>
    <row r="47" customFormat="false" ht="15" hidden="false" customHeight="false" outlineLevel="0" collapsed="false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Q47" s="1"/>
      <c r="R47" s="1"/>
      <c r="S47" s="1"/>
      <c r="T47" s="1"/>
      <c r="U47" s="1"/>
      <c r="V47" s="1"/>
      <c r="Y47" s="1" t="str">
        <f aca="false">PoolData!A53</f>
        <v>-</v>
      </c>
      <c r="Z47" s="74" t="str">
        <f aca="false">LEFT(Y47,FIND("-",Y47)-1)</f>
        <v/>
      </c>
      <c r="AA47" s="16" t="n">
        <f aca="false">SUMIF($B:$B,$Y47,D:D)</f>
        <v>0</v>
      </c>
      <c r="AB47" s="74" t="str">
        <f aca="false">RIGHT(Y47,LEN(Y47)-FIND("-",Y47))</f>
        <v/>
      </c>
      <c r="AC47" s="19" t="n">
        <f aca="false">SUMIF($B:$B,$Y47,E:E)</f>
        <v>0</v>
      </c>
      <c r="AD47" s="19" t="n">
        <f aca="false">SUMIF($B:$B,$Y47,H:H)</f>
        <v>0</v>
      </c>
      <c r="AE47" s="19" t="n">
        <f aca="false">SUMIF($B:$B,$Y47,I:I)</f>
        <v>0</v>
      </c>
      <c r="AF47" s="19" t="n">
        <f aca="false">SUMIF($B:$B,$Y47,M:M)</f>
        <v>0</v>
      </c>
      <c r="AG47" s="19" t="n">
        <f aca="false">SUMIF($B:$B,$Y47,O:O)</f>
        <v>0</v>
      </c>
      <c r="AH47" s="9" t="n">
        <f aca="false">SUMIF($B:$B,$Y47,V:V)</f>
        <v>0</v>
      </c>
    </row>
    <row r="48" customFormat="false" ht="15" hidden="false" customHeight="false" outlineLevel="0" collapsed="false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Q48" s="1"/>
      <c r="R48" s="1"/>
      <c r="S48" s="1"/>
      <c r="T48" s="1"/>
      <c r="U48" s="1"/>
      <c r="V48" s="1"/>
      <c r="Y48" s="1" t="str">
        <f aca="false">PoolData!A54</f>
        <v>-</v>
      </c>
      <c r="Z48" s="74" t="str">
        <f aca="false">LEFT(Y48,FIND("-",Y48)-1)</f>
        <v/>
      </c>
      <c r="AA48" s="16" t="n">
        <f aca="false">SUMIF($B:$B,$Y48,D:D)</f>
        <v>0</v>
      </c>
      <c r="AB48" s="74" t="str">
        <f aca="false">RIGHT(Y48,LEN(Y48)-FIND("-",Y48))</f>
        <v/>
      </c>
      <c r="AC48" s="19" t="n">
        <f aca="false">SUMIF($B:$B,$Y48,E:E)</f>
        <v>0</v>
      </c>
      <c r="AD48" s="19" t="n">
        <f aca="false">SUMIF($B:$B,$Y48,H:H)</f>
        <v>0</v>
      </c>
      <c r="AE48" s="19" t="n">
        <f aca="false">SUMIF($B:$B,$Y48,I:I)</f>
        <v>0</v>
      </c>
      <c r="AF48" s="19" t="n">
        <f aca="false">SUMIF($B:$B,$Y48,M:M)</f>
        <v>0</v>
      </c>
      <c r="AG48" s="19" t="n">
        <f aca="false">SUMIF($B:$B,$Y48,O:O)</f>
        <v>0</v>
      </c>
      <c r="AH48" s="9" t="n">
        <f aca="false">SUMIF($B:$B,$Y48,V:V)</f>
        <v>0</v>
      </c>
    </row>
    <row r="49" customFormat="false" ht="15" hidden="false" customHeight="false" outlineLevel="0" collapsed="false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Q49" s="1"/>
      <c r="R49" s="1"/>
      <c r="S49" s="1"/>
      <c r="T49" s="1"/>
      <c r="U49" s="1"/>
      <c r="V49" s="1"/>
      <c r="Y49" s="1" t="str">
        <f aca="false">PoolData!A55</f>
        <v>-</v>
      </c>
      <c r="Z49" s="74" t="str">
        <f aca="false">LEFT(Y49,FIND("-",Y49)-1)</f>
        <v/>
      </c>
      <c r="AA49" s="16" t="n">
        <f aca="false">SUMIF($B:$B,$Y49,D:D)</f>
        <v>0</v>
      </c>
      <c r="AB49" s="74" t="str">
        <f aca="false">RIGHT(Y49,LEN(Y49)-FIND("-",Y49))</f>
        <v/>
      </c>
      <c r="AC49" s="19" t="n">
        <f aca="false">SUMIF($B:$B,$Y49,E:E)</f>
        <v>0</v>
      </c>
      <c r="AD49" s="19" t="n">
        <f aca="false">SUMIF($B:$B,$Y49,H:H)</f>
        <v>0</v>
      </c>
      <c r="AE49" s="19" t="n">
        <f aca="false">SUMIF($B:$B,$Y49,I:I)</f>
        <v>0</v>
      </c>
      <c r="AF49" s="19" t="n">
        <f aca="false">SUMIF($B:$B,$Y49,M:M)</f>
        <v>0</v>
      </c>
      <c r="AG49" s="19" t="n">
        <f aca="false">SUMIF($B:$B,$Y49,O:O)</f>
        <v>0</v>
      </c>
      <c r="AH49" s="9" t="n">
        <f aca="false">SUMIF($B:$B,$Y49,V:V)</f>
        <v>0</v>
      </c>
    </row>
    <row r="50" customFormat="false" ht="15" hidden="false" customHeight="false" outlineLevel="0" collapsed="false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Q50" s="1"/>
      <c r="R50" s="1"/>
      <c r="S50" s="1"/>
      <c r="T50" s="1"/>
      <c r="U50" s="1"/>
      <c r="V50" s="1"/>
      <c r="Y50" s="1" t="str">
        <f aca="false">PoolData!A56</f>
        <v>-</v>
      </c>
      <c r="Z50" s="74" t="str">
        <f aca="false">LEFT(Y50,FIND("-",Y50)-1)</f>
        <v/>
      </c>
      <c r="AA50" s="16" t="n">
        <f aca="false">SUMIF($B:$B,$Y50,D:D)</f>
        <v>0</v>
      </c>
      <c r="AB50" s="74" t="str">
        <f aca="false">RIGHT(Y50,LEN(Y50)-FIND("-",Y50))</f>
        <v/>
      </c>
      <c r="AC50" s="19" t="n">
        <f aca="false">SUMIF($B:$B,$Y50,E:E)</f>
        <v>0</v>
      </c>
      <c r="AD50" s="19" t="n">
        <f aca="false">SUMIF($B:$B,$Y50,H:H)</f>
        <v>0</v>
      </c>
      <c r="AE50" s="19" t="n">
        <f aca="false">SUMIF($B:$B,$Y50,I:I)</f>
        <v>0</v>
      </c>
      <c r="AF50" s="19" t="n">
        <f aca="false">SUMIF($B:$B,$Y50,M:M)</f>
        <v>0</v>
      </c>
      <c r="AG50" s="19" t="n">
        <f aca="false">SUMIF($B:$B,$Y50,O:O)</f>
        <v>0</v>
      </c>
      <c r="AH50" s="9" t="n">
        <f aca="false">SUMIF($B:$B,$Y50,V:V)</f>
        <v>0</v>
      </c>
    </row>
    <row r="51" customFormat="false" ht="15" hidden="false" customHeight="false" outlineLevel="0" collapsed="false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Q51" s="1"/>
      <c r="R51" s="1"/>
      <c r="S51" s="1"/>
      <c r="T51" s="1"/>
      <c r="U51" s="1"/>
      <c r="V51" s="1"/>
      <c r="Y51" s="1" t="str">
        <f aca="false">PoolData!A57</f>
        <v>-</v>
      </c>
      <c r="Z51" s="74" t="str">
        <f aca="false">LEFT(Y51,FIND("-",Y51)-1)</f>
        <v/>
      </c>
      <c r="AA51" s="16" t="n">
        <f aca="false">SUMIF($B:$B,$Y51,D:D)</f>
        <v>0</v>
      </c>
      <c r="AB51" s="74" t="str">
        <f aca="false">RIGHT(Y51,LEN(Y51)-FIND("-",Y51))</f>
        <v/>
      </c>
      <c r="AC51" s="19" t="n">
        <f aca="false">SUMIF($B:$B,$Y51,E:E)</f>
        <v>0</v>
      </c>
      <c r="AD51" s="19" t="n">
        <f aca="false">SUMIF($B:$B,$Y51,H:H)</f>
        <v>0</v>
      </c>
      <c r="AE51" s="19" t="n">
        <f aca="false">SUMIF($B:$B,$Y51,I:I)</f>
        <v>0</v>
      </c>
      <c r="AF51" s="19" t="n">
        <f aca="false">SUMIF($B:$B,$Y51,M:M)</f>
        <v>0</v>
      </c>
      <c r="AG51" s="19" t="n">
        <f aca="false">SUMIF($B:$B,$Y51,O:O)</f>
        <v>0</v>
      </c>
      <c r="AH51" s="9" t="n">
        <f aca="false">SUMIF($B:$B,$Y51,V:V)</f>
        <v>0</v>
      </c>
    </row>
    <row r="52" customFormat="false" ht="15" hidden="false" customHeight="false" outlineLevel="0" collapsed="false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Q52" s="1"/>
      <c r="R52" s="1"/>
      <c r="S52" s="1"/>
      <c r="T52" s="1"/>
      <c r="U52" s="1"/>
      <c r="V52" s="1"/>
      <c r="Y52" s="1" t="str">
        <f aca="false">PoolData!A58</f>
        <v>-</v>
      </c>
      <c r="Z52" s="74" t="str">
        <f aca="false">LEFT(Y52,FIND("-",Y52)-1)</f>
        <v/>
      </c>
      <c r="AA52" s="16" t="n">
        <f aca="false">SUMIF($B:$B,$Y52,D:D)</f>
        <v>0</v>
      </c>
      <c r="AB52" s="74" t="str">
        <f aca="false">RIGHT(Y52,LEN(Y52)-FIND("-",Y52))</f>
        <v/>
      </c>
      <c r="AC52" s="19" t="n">
        <f aca="false">SUMIF($B:$B,$Y52,E:E)</f>
        <v>0</v>
      </c>
      <c r="AD52" s="19" t="n">
        <f aca="false">SUMIF($B:$B,$Y52,H:H)</f>
        <v>0</v>
      </c>
      <c r="AE52" s="19" t="n">
        <f aca="false">SUMIF($B:$B,$Y52,I:I)</f>
        <v>0</v>
      </c>
      <c r="AF52" s="19" t="n">
        <f aca="false">SUMIF($B:$B,$Y52,M:M)</f>
        <v>0</v>
      </c>
      <c r="AG52" s="19" t="n">
        <f aca="false">SUMIF($B:$B,$Y52,O:O)</f>
        <v>0</v>
      </c>
      <c r="AH52" s="9" t="n">
        <f aca="false">SUMIF($B:$B,$Y52,V:V)</f>
        <v>0</v>
      </c>
    </row>
    <row r="53" customFormat="false" ht="15" hidden="false" customHeight="false" outlineLevel="0" collapsed="false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Q53" s="1"/>
      <c r="R53" s="1"/>
      <c r="S53" s="1"/>
      <c r="T53" s="1"/>
      <c r="U53" s="1"/>
      <c r="V53" s="1"/>
      <c r="Y53" s="1" t="str">
        <f aca="false">PoolData!A59</f>
        <v>-</v>
      </c>
      <c r="Z53" s="74" t="str">
        <f aca="false">LEFT(Y53,FIND("-",Y53)-1)</f>
        <v/>
      </c>
      <c r="AA53" s="16" t="n">
        <f aca="false">SUMIF($B:$B,$Y53,D:D)</f>
        <v>0</v>
      </c>
      <c r="AB53" s="74" t="str">
        <f aca="false">RIGHT(Y53,LEN(Y53)-FIND("-",Y53))</f>
        <v/>
      </c>
      <c r="AC53" s="19" t="n">
        <f aca="false">SUMIF($B:$B,$Y53,E:E)</f>
        <v>0</v>
      </c>
      <c r="AD53" s="19" t="n">
        <f aca="false">SUMIF($B:$B,$Y53,H:H)</f>
        <v>0</v>
      </c>
      <c r="AE53" s="19" t="n">
        <f aca="false">SUMIF($B:$B,$Y53,I:I)</f>
        <v>0</v>
      </c>
      <c r="AF53" s="19" t="n">
        <f aca="false">SUMIF($B:$B,$Y53,M:M)</f>
        <v>0</v>
      </c>
      <c r="AG53" s="19" t="n">
        <f aca="false">SUMIF($B:$B,$Y53,O:O)</f>
        <v>0</v>
      </c>
      <c r="AH53" s="9" t="n">
        <f aca="false">SUMIF($B:$B,$Y53,V:V)</f>
        <v>0</v>
      </c>
    </row>
    <row r="54" customFormat="false" ht="15" hidden="false" customHeight="false" outlineLevel="0" collapsed="false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Q54" s="1"/>
      <c r="R54" s="1"/>
      <c r="S54" s="1"/>
      <c r="T54" s="1"/>
      <c r="U54" s="1"/>
      <c r="V54" s="1"/>
      <c r="Y54" s="1" t="str">
        <f aca="false">PoolData!A60</f>
        <v>-</v>
      </c>
      <c r="Z54" s="74" t="str">
        <f aca="false">LEFT(Y54,FIND("-",Y54)-1)</f>
        <v/>
      </c>
      <c r="AA54" s="16" t="n">
        <f aca="false">SUMIF($B:$B,$Y54,D:D)</f>
        <v>0</v>
      </c>
      <c r="AB54" s="74" t="str">
        <f aca="false">RIGHT(Y54,LEN(Y54)-FIND("-",Y54))</f>
        <v/>
      </c>
      <c r="AC54" s="19" t="n">
        <f aca="false">SUMIF($B:$B,$Y54,E:E)</f>
        <v>0</v>
      </c>
      <c r="AD54" s="19" t="n">
        <f aca="false">SUMIF($B:$B,$Y54,H:H)</f>
        <v>0</v>
      </c>
      <c r="AE54" s="19" t="n">
        <f aca="false">SUMIF($B:$B,$Y54,I:I)</f>
        <v>0</v>
      </c>
      <c r="AF54" s="19" t="n">
        <f aca="false">SUMIF($B:$B,$Y54,M:M)</f>
        <v>0</v>
      </c>
      <c r="AG54" s="19" t="n">
        <f aca="false">SUMIF($B:$B,$Y54,O:O)</f>
        <v>0</v>
      </c>
      <c r="AH54" s="9" t="n">
        <f aca="false">SUMIF($B:$B,$Y54,V:V)</f>
        <v>0</v>
      </c>
    </row>
    <row r="55" customFormat="false" ht="15" hidden="false" customHeight="false" outlineLevel="0" collapsed="false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Q55" s="1"/>
      <c r="R55" s="1"/>
      <c r="S55" s="1"/>
      <c r="T55" s="1"/>
      <c r="U55" s="1"/>
      <c r="V55" s="1"/>
      <c r="Y55" s="1" t="str">
        <f aca="false">PoolData!A61</f>
        <v>-</v>
      </c>
      <c r="Z55" s="74" t="str">
        <f aca="false">LEFT(Y55,FIND("-",Y55)-1)</f>
        <v/>
      </c>
      <c r="AA55" s="16" t="n">
        <f aca="false">SUMIF($B:$B,$Y55,D:D)</f>
        <v>0</v>
      </c>
      <c r="AB55" s="74" t="str">
        <f aca="false">RIGHT(Y55,LEN(Y55)-FIND("-",Y55))</f>
        <v/>
      </c>
      <c r="AC55" s="19" t="n">
        <f aca="false">SUMIF($B:$B,$Y55,E:E)</f>
        <v>0</v>
      </c>
      <c r="AD55" s="19" t="n">
        <f aca="false">SUMIF($B:$B,$Y55,H:H)</f>
        <v>0</v>
      </c>
      <c r="AE55" s="19" t="n">
        <f aca="false">SUMIF($B:$B,$Y55,I:I)</f>
        <v>0</v>
      </c>
      <c r="AF55" s="19" t="n">
        <f aca="false">SUMIF($B:$B,$Y55,M:M)</f>
        <v>0</v>
      </c>
      <c r="AG55" s="19" t="n">
        <f aca="false">SUMIF($B:$B,$Y55,O:O)</f>
        <v>0</v>
      </c>
      <c r="AH55" s="9" t="n">
        <f aca="false">SUMIF($B:$B,$Y55,V:V)</f>
        <v>0</v>
      </c>
    </row>
    <row r="56" customFormat="false" ht="15" hidden="false" customHeight="false" outlineLevel="0" collapsed="false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Q56" s="1"/>
      <c r="R56" s="1"/>
      <c r="S56" s="1"/>
      <c r="T56" s="1"/>
      <c r="U56" s="1"/>
      <c r="V56" s="1"/>
      <c r="Y56" s="1" t="str">
        <f aca="false">PoolData!A62</f>
        <v>-</v>
      </c>
      <c r="Z56" s="74" t="str">
        <f aca="false">LEFT(Y56,FIND("-",Y56)-1)</f>
        <v/>
      </c>
      <c r="AA56" s="16" t="n">
        <f aca="false">SUMIF($B:$B,$Y56,D:D)</f>
        <v>0</v>
      </c>
      <c r="AB56" s="74" t="str">
        <f aca="false">RIGHT(Y56,LEN(Y56)-FIND("-",Y56))</f>
        <v/>
      </c>
      <c r="AC56" s="19" t="n">
        <f aca="false">SUMIF($B:$B,$Y56,E:E)</f>
        <v>0</v>
      </c>
      <c r="AD56" s="19" t="n">
        <f aca="false">SUMIF($B:$B,$Y56,H:H)</f>
        <v>0</v>
      </c>
      <c r="AE56" s="19" t="n">
        <f aca="false">SUMIF($B:$B,$Y56,I:I)</f>
        <v>0</v>
      </c>
      <c r="AF56" s="19" t="n">
        <f aca="false">SUMIF($B:$B,$Y56,M:M)</f>
        <v>0</v>
      </c>
      <c r="AG56" s="19" t="n">
        <f aca="false">SUMIF($B:$B,$Y56,O:O)</f>
        <v>0</v>
      </c>
      <c r="AH56" s="9" t="n">
        <f aca="false">SUMIF($B:$B,$Y56,V:V)</f>
        <v>0</v>
      </c>
    </row>
    <row r="57" customFormat="false" ht="15" hidden="false" customHeight="false" outlineLevel="0" collapsed="false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Q57" s="1"/>
      <c r="R57" s="1"/>
      <c r="S57" s="1"/>
      <c r="T57" s="1"/>
      <c r="U57" s="1"/>
      <c r="V57" s="1"/>
      <c r="Y57" s="1" t="str">
        <f aca="false">PoolData!A63</f>
        <v>-</v>
      </c>
      <c r="Z57" s="74" t="str">
        <f aca="false">LEFT(Y57,FIND("-",Y57)-1)</f>
        <v/>
      </c>
      <c r="AA57" s="16" t="n">
        <f aca="false">SUMIF($B:$B,$Y57,D:D)</f>
        <v>0</v>
      </c>
      <c r="AB57" s="74" t="str">
        <f aca="false">RIGHT(Y57,LEN(Y57)-FIND("-",Y57))</f>
        <v/>
      </c>
      <c r="AC57" s="19" t="n">
        <f aca="false">SUMIF($B:$B,$Y57,E:E)</f>
        <v>0</v>
      </c>
      <c r="AD57" s="19" t="n">
        <f aca="false">SUMIF($B:$B,$Y57,H:H)</f>
        <v>0</v>
      </c>
      <c r="AE57" s="19" t="n">
        <f aca="false">SUMIF($B:$B,$Y57,I:I)</f>
        <v>0</v>
      </c>
      <c r="AF57" s="19" t="n">
        <f aca="false">SUMIF($B:$B,$Y57,M:M)</f>
        <v>0</v>
      </c>
      <c r="AG57" s="19" t="n">
        <f aca="false">SUMIF($B:$B,$Y57,O:O)</f>
        <v>0</v>
      </c>
      <c r="AH57" s="9" t="n">
        <f aca="false">SUMIF($B:$B,$Y57,V:V)</f>
        <v>0</v>
      </c>
    </row>
    <row r="58" customFormat="false" ht="15" hidden="false" customHeight="false" outlineLevel="0" collapsed="false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Q58" s="1"/>
      <c r="R58" s="1"/>
      <c r="S58" s="1"/>
      <c r="T58" s="1"/>
      <c r="U58" s="1"/>
      <c r="V58" s="1"/>
      <c r="Y58" s="1" t="str">
        <f aca="false">PoolData!A64</f>
        <v>-</v>
      </c>
      <c r="Z58" s="74" t="str">
        <f aca="false">LEFT(Y58,FIND("-",Y58)-1)</f>
        <v/>
      </c>
      <c r="AA58" s="16" t="n">
        <f aca="false">SUMIF($B:$B,$Y58,D:D)</f>
        <v>0</v>
      </c>
      <c r="AB58" s="74" t="str">
        <f aca="false">RIGHT(Y58,LEN(Y58)-FIND("-",Y58))</f>
        <v/>
      </c>
      <c r="AC58" s="19" t="n">
        <f aca="false">SUMIF($B:$B,$Y58,E:E)</f>
        <v>0</v>
      </c>
      <c r="AD58" s="19" t="n">
        <f aca="false">SUMIF($B:$B,$Y58,H:H)</f>
        <v>0</v>
      </c>
      <c r="AE58" s="19" t="n">
        <f aca="false">SUMIF($B:$B,$Y58,I:I)</f>
        <v>0</v>
      </c>
      <c r="AF58" s="19" t="n">
        <f aca="false">SUMIF($B:$B,$Y58,M:M)</f>
        <v>0</v>
      </c>
      <c r="AG58" s="19" t="n">
        <f aca="false">SUMIF($B:$B,$Y58,O:O)</f>
        <v>0</v>
      </c>
      <c r="AH58" s="9" t="n">
        <f aca="false">SUMIF($B:$B,$Y58,V:V)</f>
        <v>0</v>
      </c>
    </row>
    <row r="59" customFormat="false" ht="15" hidden="false" customHeight="false" outlineLevel="0" collapsed="false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Q59" s="1"/>
      <c r="R59" s="1"/>
      <c r="S59" s="1"/>
      <c r="T59" s="1"/>
      <c r="U59" s="1"/>
      <c r="V59" s="1"/>
      <c r="Y59" s="1" t="str">
        <f aca="false">PoolData!A65</f>
        <v>-</v>
      </c>
      <c r="Z59" s="74" t="str">
        <f aca="false">LEFT(Y59,FIND("-",Y59)-1)</f>
        <v/>
      </c>
      <c r="AA59" s="16" t="n">
        <f aca="false">SUMIF($B:$B,$Y59,D:D)</f>
        <v>0</v>
      </c>
      <c r="AB59" s="74" t="str">
        <f aca="false">RIGHT(Y59,LEN(Y59)-FIND("-",Y59))</f>
        <v/>
      </c>
      <c r="AC59" s="19" t="n">
        <f aca="false">SUMIF($B:$B,$Y59,E:E)</f>
        <v>0</v>
      </c>
      <c r="AD59" s="19" t="n">
        <f aca="false">SUMIF($B:$B,$Y59,H:H)</f>
        <v>0</v>
      </c>
      <c r="AE59" s="19" t="n">
        <f aca="false">SUMIF($B:$B,$Y59,I:I)</f>
        <v>0</v>
      </c>
      <c r="AF59" s="19" t="n">
        <f aca="false">SUMIF($B:$B,$Y59,M:M)</f>
        <v>0</v>
      </c>
      <c r="AG59" s="19" t="n">
        <f aca="false">SUMIF($B:$B,$Y59,O:O)</f>
        <v>0</v>
      </c>
      <c r="AH59" s="9" t="n">
        <f aca="false">SUMIF($B:$B,$Y59,V:V)</f>
        <v>0</v>
      </c>
    </row>
    <row r="60" customFormat="false" ht="15" hidden="false" customHeight="false" outlineLevel="0" collapsed="false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Q60" s="1"/>
      <c r="R60" s="1"/>
      <c r="S60" s="1"/>
      <c r="T60" s="1"/>
      <c r="U60" s="1"/>
      <c r="V60" s="1"/>
      <c r="Y60" s="1" t="str">
        <f aca="false">PoolData!A66</f>
        <v>-</v>
      </c>
      <c r="Z60" s="74" t="str">
        <f aca="false">LEFT(Y60,FIND("-",Y60)-1)</f>
        <v/>
      </c>
      <c r="AA60" s="16" t="n">
        <f aca="false">SUMIF($B:$B,$Y60,D:D)</f>
        <v>0</v>
      </c>
      <c r="AB60" s="74" t="str">
        <f aca="false">RIGHT(Y60,LEN(Y60)-FIND("-",Y60))</f>
        <v/>
      </c>
      <c r="AC60" s="19" t="n">
        <f aca="false">SUMIF($B:$B,$Y60,E:E)</f>
        <v>0</v>
      </c>
      <c r="AD60" s="19" t="n">
        <f aca="false">SUMIF($B:$B,$Y60,H:H)</f>
        <v>0</v>
      </c>
      <c r="AE60" s="19" t="n">
        <f aca="false">SUMIF($B:$B,$Y60,I:I)</f>
        <v>0</v>
      </c>
      <c r="AF60" s="19" t="n">
        <f aca="false">SUMIF($B:$B,$Y60,M:M)</f>
        <v>0</v>
      </c>
      <c r="AG60" s="19" t="n">
        <f aca="false">SUMIF($B:$B,$Y60,O:O)</f>
        <v>0</v>
      </c>
      <c r="AH60" s="9" t="n">
        <f aca="false">SUMIF($B:$B,$Y60,V:V)</f>
        <v>0</v>
      </c>
    </row>
    <row r="61" customFormat="false" ht="15" hidden="false" customHeight="false" outlineLevel="0" collapsed="false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Q61" s="1"/>
      <c r="R61" s="1"/>
      <c r="S61" s="1"/>
      <c r="T61" s="1"/>
      <c r="U61" s="1"/>
      <c r="V61" s="1"/>
      <c r="Y61" s="1" t="str">
        <f aca="false">PoolData!A67</f>
        <v>-</v>
      </c>
      <c r="Z61" s="74" t="str">
        <f aca="false">LEFT(Y61,FIND("-",Y61)-1)</f>
        <v/>
      </c>
      <c r="AA61" s="16" t="n">
        <f aca="false">SUMIF($B:$B,$Y61,D:D)</f>
        <v>0</v>
      </c>
      <c r="AB61" s="74" t="str">
        <f aca="false">RIGHT(Y61,LEN(Y61)-FIND("-",Y61))</f>
        <v/>
      </c>
      <c r="AC61" s="19" t="n">
        <f aca="false">SUMIF($B:$B,$Y61,E:E)</f>
        <v>0</v>
      </c>
      <c r="AD61" s="19" t="n">
        <f aca="false">SUMIF($B:$B,$Y61,H:H)</f>
        <v>0</v>
      </c>
      <c r="AE61" s="19" t="n">
        <f aca="false">SUMIF($B:$B,$Y61,I:I)</f>
        <v>0</v>
      </c>
      <c r="AF61" s="19" t="n">
        <f aca="false">SUMIF($B:$B,$Y61,M:M)</f>
        <v>0</v>
      </c>
      <c r="AG61" s="19" t="n">
        <f aca="false">SUMIF($B:$B,$Y61,O:O)</f>
        <v>0</v>
      </c>
      <c r="AH61" s="9" t="n">
        <f aca="false">SUMIF($B:$B,$Y61,V:V)</f>
        <v>0</v>
      </c>
    </row>
    <row r="62" customFormat="false" ht="15" hidden="false" customHeight="false" outlineLevel="0" collapsed="false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Q62" s="1"/>
      <c r="R62" s="1"/>
      <c r="S62" s="1"/>
      <c r="T62" s="1"/>
      <c r="U62" s="1"/>
      <c r="V62" s="1"/>
      <c r="Y62" s="1" t="str">
        <f aca="false">PoolData!A68</f>
        <v>-</v>
      </c>
      <c r="Z62" s="74" t="str">
        <f aca="false">LEFT(Y62,FIND("-",Y62)-1)</f>
        <v/>
      </c>
      <c r="AA62" s="16" t="n">
        <f aca="false">SUMIF($B:$B,$Y62,D:D)</f>
        <v>0</v>
      </c>
      <c r="AB62" s="74" t="str">
        <f aca="false">RIGHT(Y62,LEN(Y62)-FIND("-",Y62))</f>
        <v/>
      </c>
      <c r="AC62" s="19" t="n">
        <f aca="false">SUMIF($B:$B,$Y62,E:E)</f>
        <v>0</v>
      </c>
      <c r="AD62" s="19" t="n">
        <f aca="false">SUMIF($B:$B,$Y62,H:H)</f>
        <v>0</v>
      </c>
      <c r="AE62" s="19" t="n">
        <f aca="false">SUMIF($B:$B,$Y62,I:I)</f>
        <v>0</v>
      </c>
      <c r="AF62" s="19" t="n">
        <f aca="false">SUMIF($B:$B,$Y62,M:M)</f>
        <v>0</v>
      </c>
      <c r="AG62" s="19" t="n">
        <f aca="false">SUMIF($B:$B,$Y62,O:O)</f>
        <v>0</v>
      </c>
      <c r="AH62" s="9" t="n">
        <f aca="false">SUMIF($B:$B,$Y62,V:V)</f>
        <v>0</v>
      </c>
    </row>
    <row r="63" customFormat="false" ht="15" hidden="false" customHeight="false" outlineLevel="0" collapsed="false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Q63" s="1"/>
      <c r="R63" s="1"/>
      <c r="S63" s="1"/>
      <c r="T63" s="1"/>
      <c r="U63" s="1"/>
      <c r="V63" s="1"/>
      <c r="Y63" s="1" t="str">
        <f aca="false">PoolData!A69</f>
        <v>-</v>
      </c>
      <c r="Z63" s="74" t="str">
        <f aca="false">LEFT(Y63,FIND("-",Y63)-1)</f>
        <v/>
      </c>
      <c r="AA63" s="16" t="n">
        <f aca="false">SUMIF($B:$B,$Y63,D:D)</f>
        <v>0</v>
      </c>
      <c r="AB63" s="74" t="str">
        <f aca="false">RIGHT(Y63,LEN(Y63)-FIND("-",Y63))</f>
        <v/>
      </c>
      <c r="AC63" s="19" t="n">
        <f aca="false">SUMIF($B:$B,$Y63,E:E)</f>
        <v>0</v>
      </c>
      <c r="AD63" s="19" t="n">
        <f aca="false">SUMIF($B:$B,$Y63,H:H)</f>
        <v>0</v>
      </c>
      <c r="AE63" s="19" t="n">
        <f aca="false">SUMIF($B:$B,$Y63,I:I)</f>
        <v>0</v>
      </c>
      <c r="AF63" s="19" t="n">
        <f aca="false">SUMIF($B:$B,$Y63,M:M)</f>
        <v>0</v>
      </c>
      <c r="AG63" s="19" t="n">
        <f aca="false">SUMIF($B:$B,$Y63,O:O)</f>
        <v>0</v>
      </c>
      <c r="AH63" s="9" t="n">
        <f aca="false">SUMIF($B:$B,$Y63,V:V)</f>
        <v>0</v>
      </c>
    </row>
    <row r="64" customFormat="false" ht="15" hidden="false" customHeight="false" outlineLevel="0" collapsed="false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Q64" s="1"/>
      <c r="R64" s="1"/>
      <c r="S64" s="1"/>
      <c r="T64" s="1"/>
      <c r="U64" s="1"/>
      <c r="V64" s="1"/>
      <c r="Y64" s="1" t="str">
        <f aca="false">PoolData!A70</f>
        <v>-</v>
      </c>
      <c r="Z64" s="74" t="str">
        <f aca="false">LEFT(Y64,FIND("-",Y64)-1)</f>
        <v/>
      </c>
      <c r="AA64" s="16" t="n">
        <f aca="false">SUMIF($B:$B,$Y64,D:D)</f>
        <v>0</v>
      </c>
      <c r="AB64" s="74" t="str">
        <f aca="false">RIGHT(Y64,LEN(Y64)-FIND("-",Y64))</f>
        <v/>
      </c>
      <c r="AC64" s="19" t="n">
        <f aca="false">SUMIF($B:$B,$Y64,E:E)</f>
        <v>0</v>
      </c>
      <c r="AD64" s="19" t="n">
        <f aca="false">SUMIF($B:$B,$Y64,H:H)</f>
        <v>0</v>
      </c>
      <c r="AE64" s="19" t="n">
        <f aca="false">SUMIF($B:$B,$Y64,I:I)</f>
        <v>0</v>
      </c>
      <c r="AF64" s="19" t="n">
        <f aca="false">SUMIF($B:$B,$Y64,M:M)</f>
        <v>0</v>
      </c>
      <c r="AG64" s="19" t="n">
        <f aca="false">SUMIF($B:$B,$Y64,O:O)</f>
        <v>0</v>
      </c>
      <c r="AH64" s="9" t="n">
        <f aca="false">SUMIF($B:$B,$Y64,V:V)</f>
        <v>0</v>
      </c>
    </row>
    <row r="65" customFormat="false" ht="15" hidden="false" customHeight="false" outlineLevel="0" collapsed="false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Q65" s="1"/>
      <c r="R65" s="1"/>
      <c r="S65" s="1"/>
      <c r="T65" s="1"/>
      <c r="U65" s="1"/>
      <c r="V65" s="1"/>
      <c r="Y65" s="1" t="str">
        <f aca="false">PoolData!A71</f>
        <v>-</v>
      </c>
      <c r="Z65" s="74" t="str">
        <f aca="false">LEFT(Y65,FIND("-",Y65)-1)</f>
        <v/>
      </c>
      <c r="AA65" s="16" t="n">
        <f aca="false">SUMIF($B:$B,$Y65,D:D)</f>
        <v>0</v>
      </c>
      <c r="AB65" s="74" t="str">
        <f aca="false">RIGHT(Y65,LEN(Y65)-FIND("-",Y65))</f>
        <v/>
      </c>
      <c r="AC65" s="19" t="n">
        <f aca="false">SUMIF($B:$B,$Y65,E:E)</f>
        <v>0</v>
      </c>
      <c r="AD65" s="19" t="n">
        <f aca="false">SUMIF($B:$B,$Y65,H:H)</f>
        <v>0</v>
      </c>
      <c r="AE65" s="19" t="n">
        <f aca="false">SUMIF($B:$B,$Y65,I:I)</f>
        <v>0</v>
      </c>
      <c r="AF65" s="19" t="n">
        <f aca="false">SUMIF($B:$B,$Y65,M:M)</f>
        <v>0</v>
      </c>
      <c r="AG65" s="19" t="n">
        <f aca="false">SUMIF($B:$B,$Y65,O:O)</f>
        <v>0</v>
      </c>
      <c r="AH65" s="9" t="n">
        <f aca="false">SUMIF($B:$B,$Y65,V:V)</f>
        <v>0</v>
      </c>
    </row>
    <row r="66" customFormat="false" ht="15" hidden="false" customHeight="false" outlineLevel="0" collapsed="false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Q66" s="1"/>
      <c r="R66" s="1"/>
      <c r="S66" s="1"/>
      <c r="T66" s="1"/>
      <c r="U66" s="1"/>
      <c r="V66" s="1"/>
      <c r="Y66" s="1" t="str">
        <f aca="false">PoolData!A72</f>
        <v>-</v>
      </c>
      <c r="Z66" s="74" t="str">
        <f aca="false">LEFT(Y66,FIND("-",Y66)-1)</f>
        <v/>
      </c>
      <c r="AA66" s="16" t="n">
        <f aca="false">SUMIF($B:$B,$Y66,D:D)</f>
        <v>0</v>
      </c>
      <c r="AB66" s="74" t="str">
        <f aca="false">RIGHT(Y66,LEN(Y66)-FIND("-",Y66))</f>
        <v/>
      </c>
      <c r="AC66" s="19" t="n">
        <f aca="false">SUMIF($B:$B,$Y66,E:E)</f>
        <v>0</v>
      </c>
      <c r="AD66" s="19" t="n">
        <f aca="false">SUMIF($B:$B,$Y66,H:H)</f>
        <v>0</v>
      </c>
      <c r="AE66" s="19" t="n">
        <f aca="false">SUMIF($B:$B,$Y66,I:I)</f>
        <v>0</v>
      </c>
      <c r="AF66" s="19" t="n">
        <f aca="false">SUMIF($B:$B,$Y66,M:M)</f>
        <v>0</v>
      </c>
      <c r="AG66" s="19" t="n">
        <f aca="false">SUMIF($B:$B,$Y66,O:O)</f>
        <v>0</v>
      </c>
      <c r="AH66" s="9" t="n">
        <f aca="false">SUMIF($B:$B,$Y66,V:V)</f>
        <v>0</v>
      </c>
    </row>
    <row r="67" customFormat="false" ht="15" hidden="false" customHeight="false" outlineLevel="0" collapsed="false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Q67" s="1"/>
      <c r="R67" s="1"/>
      <c r="S67" s="1"/>
      <c r="T67" s="1"/>
      <c r="U67" s="1"/>
      <c r="V67" s="1"/>
      <c r="Y67" s="1" t="str">
        <f aca="false">PoolData!A73</f>
        <v>-</v>
      </c>
      <c r="Z67" s="74" t="str">
        <f aca="false">LEFT(Y67,FIND("-",Y67)-1)</f>
        <v/>
      </c>
      <c r="AA67" s="16" t="n">
        <f aca="false">SUMIF($B:$B,$Y67,D:D)</f>
        <v>0</v>
      </c>
      <c r="AB67" s="74" t="str">
        <f aca="false">RIGHT(Y67,LEN(Y67)-FIND("-",Y67))</f>
        <v/>
      </c>
      <c r="AC67" s="19" t="n">
        <f aca="false">SUMIF($B:$B,$Y67,E:E)</f>
        <v>0</v>
      </c>
      <c r="AD67" s="19" t="n">
        <f aca="false">SUMIF($B:$B,$Y67,H:H)</f>
        <v>0</v>
      </c>
      <c r="AE67" s="19" t="n">
        <f aca="false">SUMIF($B:$B,$Y67,I:I)</f>
        <v>0</v>
      </c>
      <c r="AF67" s="19" t="n">
        <f aca="false">SUMIF($B:$B,$Y67,M:M)</f>
        <v>0</v>
      </c>
      <c r="AG67" s="19" t="n">
        <f aca="false">SUMIF($B:$B,$Y67,O:O)</f>
        <v>0</v>
      </c>
      <c r="AH67" s="9" t="n">
        <f aca="false">SUMIF($B:$B,$Y67,V:V)</f>
        <v>0</v>
      </c>
    </row>
    <row r="68" customFormat="false" ht="15" hidden="false" customHeight="false" outlineLevel="0" collapsed="false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Q68" s="1"/>
      <c r="R68" s="1"/>
      <c r="S68" s="1"/>
      <c r="T68" s="1"/>
      <c r="U68" s="1"/>
      <c r="V68" s="1"/>
      <c r="Y68" s="1" t="str">
        <f aca="false">PoolData!A74</f>
        <v>-</v>
      </c>
      <c r="Z68" s="74" t="str">
        <f aca="false">LEFT(Y68,FIND("-",Y68)-1)</f>
        <v/>
      </c>
      <c r="AA68" s="16" t="n">
        <f aca="false">SUMIF($B:$B,$Y68,D:D)</f>
        <v>0</v>
      </c>
      <c r="AB68" s="74" t="str">
        <f aca="false">RIGHT(Y68,LEN(Y68)-FIND("-",Y68))</f>
        <v/>
      </c>
      <c r="AC68" s="19" t="n">
        <f aca="false">SUMIF($B:$B,$Y68,E:E)</f>
        <v>0</v>
      </c>
      <c r="AD68" s="19" t="n">
        <f aca="false">SUMIF($B:$B,$Y68,H:H)</f>
        <v>0</v>
      </c>
      <c r="AE68" s="19" t="n">
        <f aca="false">SUMIF($B:$B,$Y68,I:I)</f>
        <v>0</v>
      </c>
      <c r="AF68" s="19" t="n">
        <f aca="false">SUMIF($B:$B,$Y68,M:M)</f>
        <v>0</v>
      </c>
      <c r="AG68" s="19" t="n">
        <f aca="false">SUMIF($B:$B,$Y68,O:O)</f>
        <v>0</v>
      </c>
      <c r="AH68" s="9" t="n">
        <f aca="false">SUMIF($B:$B,$Y68,V:V)</f>
        <v>0</v>
      </c>
    </row>
    <row r="69" customFormat="false" ht="15" hidden="false" customHeight="false" outlineLevel="0" collapsed="false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Q69" s="1"/>
      <c r="R69" s="1"/>
      <c r="S69" s="1"/>
      <c r="T69" s="1"/>
      <c r="U69" s="1"/>
      <c r="V69" s="1"/>
      <c r="Y69" s="1" t="str">
        <f aca="false">PoolData!A75</f>
        <v>-</v>
      </c>
      <c r="Z69" s="74" t="str">
        <f aca="false">LEFT(Y69,FIND("-",Y69)-1)</f>
        <v/>
      </c>
      <c r="AA69" s="16" t="n">
        <f aca="false">SUMIF($B:$B,$Y69,D:D)</f>
        <v>0</v>
      </c>
      <c r="AB69" s="74" t="str">
        <f aca="false">RIGHT(Y69,LEN(Y69)-FIND("-",Y69))</f>
        <v/>
      </c>
      <c r="AC69" s="19" t="n">
        <f aca="false">SUMIF($B:$B,$Y69,E:E)</f>
        <v>0</v>
      </c>
      <c r="AD69" s="19" t="n">
        <f aca="false">SUMIF($B:$B,$Y69,H:H)</f>
        <v>0</v>
      </c>
      <c r="AE69" s="19" t="n">
        <f aca="false">SUMIF($B:$B,$Y69,I:I)</f>
        <v>0</v>
      </c>
      <c r="AF69" s="19" t="n">
        <f aca="false">SUMIF($B:$B,$Y69,M:M)</f>
        <v>0</v>
      </c>
      <c r="AG69" s="19" t="n">
        <f aca="false">SUMIF($B:$B,$Y69,O:O)</f>
        <v>0</v>
      </c>
      <c r="AH69" s="9" t="n">
        <f aca="false">SUMIF($B:$B,$Y69,V:V)</f>
        <v>0</v>
      </c>
    </row>
    <row r="70" customFormat="false" ht="15" hidden="false" customHeight="false" outlineLevel="0" collapsed="false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Q70" s="1"/>
      <c r="R70" s="1"/>
      <c r="S70" s="1"/>
      <c r="T70" s="1"/>
      <c r="U70" s="1"/>
      <c r="V70" s="1"/>
      <c r="Y70" s="1" t="str">
        <f aca="false">PoolData!A76</f>
        <v>-</v>
      </c>
      <c r="Z70" s="74" t="str">
        <f aca="false">LEFT(Y70,FIND("-",Y70)-1)</f>
        <v/>
      </c>
      <c r="AA70" s="16" t="n">
        <f aca="false">SUMIF($B:$B,$Y70,D:D)</f>
        <v>0</v>
      </c>
      <c r="AB70" s="74" t="str">
        <f aca="false">RIGHT(Y70,LEN(Y70)-FIND("-",Y70))</f>
        <v/>
      </c>
      <c r="AC70" s="19" t="n">
        <f aca="false">SUMIF($B:$B,$Y70,E:E)</f>
        <v>0</v>
      </c>
      <c r="AD70" s="19" t="n">
        <f aca="false">SUMIF($B:$B,$Y70,H:H)</f>
        <v>0</v>
      </c>
      <c r="AE70" s="19" t="n">
        <f aca="false">SUMIF($B:$B,$Y70,I:I)</f>
        <v>0</v>
      </c>
      <c r="AF70" s="19" t="n">
        <f aca="false">SUMIF($B:$B,$Y70,M:M)</f>
        <v>0</v>
      </c>
      <c r="AG70" s="19" t="n">
        <f aca="false">SUMIF($B:$B,$Y70,O:O)</f>
        <v>0</v>
      </c>
      <c r="AH70" s="9" t="n">
        <f aca="false">SUMIF($B:$B,$Y70,V:V)</f>
        <v>0</v>
      </c>
    </row>
    <row r="71" customFormat="false" ht="15" hidden="false" customHeight="false" outlineLevel="0" collapsed="false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Q71" s="1"/>
      <c r="R71" s="1"/>
      <c r="S71" s="1"/>
      <c r="T71" s="1"/>
      <c r="U71" s="1"/>
      <c r="V71" s="1"/>
      <c r="Y71" s="1" t="str">
        <f aca="false">PoolData!A77</f>
        <v>-</v>
      </c>
      <c r="Z71" s="74" t="str">
        <f aca="false">LEFT(Y71,FIND("-",Y71)-1)</f>
        <v/>
      </c>
      <c r="AA71" s="16" t="n">
        <f aca="false">SUMIF($B:$B,$Y71,D:D)</f>
        <v>0</v>
      </c>
      <c r="AB71" s="74" t="str">
        <f aca="false">RIGHT(Y71,LEN(Y71)-FIND("-",Y71))</f>
        <v/>
      </c>
      <c r="AC71" s="19" t="n">
        <f aca="false">SUMIF($B:$B,$Y71,E:E)</f>
        <v>0</v>
      </c>
      <c r="AD71" s="19" t="n">
        <f aca="false">SUMIF($B:$B,$Y71,H:H)</f>
        <v>0</v>
      </c>
      <c r="AE71" s="19" t="n">
        <f aca="false">SUMIF($B:$B,$Y71,I:I)</f>
        <v>0</v>
      </c>
      <c r="AF71" s="19" t="n">
        <f aca="false">SUMIF($B:$B,$Y71,M:M)</f>
        <v>0</v>
      </c>
      <c r="AG71" s="19" t="n">
        <f aca="false">SUMIF($B:$B,$Y71,O:O)</f>
        <v>0</v>
      </c>
      <c r="AH71" s="9" t="n">
        <f aca="false">SUMIF($B:$B,$Y71,V:V)</f>
        <v>0</v>
      </c>
    </row>
    <row r="72" customFormat="false" ht="15" hidden="false" customHeight="false" outlineLevel="0" collapsed="false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Q72" s="1"/>
      <c r="R72" s="1"/>
      <c r="S72" s="1"/>
      <c r="T72" s="1"/>
      <c r="U72" s="1"/>
      <c r="V72" s="1"/>
      <c r="Y72" s="1" t="str">
        <f aca="false">PoolData!A78</f>
        <v>-</v>
      </c>
      <c r="Z72" s="74" t="str">
        <f aca="false">LEFT(Y72,FIND("-",Y72)-1)</f>
        <v/>
      </c>
      <c r="AA72" s="16" t="n">
        <f aca="false">SUMIF($B:$B,$Y72,D:D)</f>
        <v>0</v>
      </c>
      <c r="AB72" s="74" t="str">
        <f aca="false">RIGHT(Y72,LEN(Y72)-FIND("-",Y72))</f>
        <v/>
      </c>
      <c r="AC72" s="19" t="n">
        <f aca="false">SUMIF($B:$B,$Y72,E:E)</f>
        <v>0</v>
      </c>
      <c r="AD72" s="19" t="n">
        <f aca="false">SUMIF($B:$B,$Y72,H:H)</f>
        <v>0</v>
      </c>
      <c r="AE72" s="19" t="n">
        <f aca="false">SUMIF($B:$B,$Y72,I:I)</f>
        <v>0</v>
      </c>
      <c r="AF72" s="19" t="n">
        <f aca="false">SUMIF($B:$B,$Y72,M:M)</f>
        <v>0</v>
      </c>
      <c r="AG72" s="19" t="n">
        <f aca="false">SUMIF($B:$B,$Y72,O:O)</f>
        <v>0</v>
      </c>
      <c r="AH72" s="9" t="n">
        <f aca="false">SUMIF($B:$B,$Y72,V:V)</f>
        <v>0</v>
      </c>
    </row>
    <row r="73" customFormat="false" ht="15" hidden="false" customHeight="false" outlineLevel="0" collapsed="false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Q73" s="1"/>
      <c r="R73" s="1"/>
      <c r="S73" s="1"/>
      <c r="T73" s="1"/>
      <c r="U73" s="1"/>
      <c r="V73" s="1"/>
      <c r="Y73" s="1" t="str">
        <f aca="false">PoolData!A79</f>
        <v>-</v>
      </c>
      <c r="Z73" s="74" t="str">
        <f aca="false">LEFT(Y73,FIND("-",Y73)-1)</f>
        <v/>
      </c>
      <c r="AA73" s="16" t="n">
        <f aca="false">SUMIF($B:$B,$Y73,D:D)</f>
        <v>0</v>
      </c>
      <c r="AB73" s="74" t="str">
        <f aca="false">RIGHT(Y73,LEN(Y73)-FIND("-",Y73))</f>
        <v/>
      </c>
      <c r="AC73" s="19" t="n">
        <f aca="false">SUMIF($B:$B,$Y73,E:E)</f>
        <v>0</v>
      </c>
      <c r="AD73" s="19" t="n">
        <f aca="false">SUMIF($B:$B,$Y73,H:H)</f>
        <v>0</v>
      </c>
      <c r="AE73" s="19" t="n">
        <f aca="false">SUMIF($B:$B,$Y73,I:I)</f>
        <v>0</v>
      </c>
      <c r="AF73" s="19" t="n">
        <f aca="false">SUMIF($B:$B,$Y73,M:M)</f>
        <v>0</v>
      </c>
      <c r="AG73" s="19" t="n">
        <f aca="false">SUMIF($B:$B,$Y73,O:O)</f>
        <v>0</v>
      </c>
      <c r="AH73" s="9" t="n">
        <f aca="false">SUMIF($B:$B,$Y73,V:V)</f>
        <v>0</v>
      </c>
    </row>
    <row r="74" customFormat="false" ht="15" hidden="false" customHeight="false" outlineLevel="0" collapsed="false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Q74" s="1"/>
      <c r="R74" s="1"/>
      <c r="S74" s="1"/>
      <c r="T74" s="1"/>
      <c r="U74" s="1"/>
      <c r="V74" s="1"/>
      <c r="Y74" s="1" t="str">
        <f aca="false">PoolData!A80</f>
        <v>-</v>
      </c>
      <c r="Z74" s="74" t="str">
        <f aca="false">LEFT(Y74,FIND("-",Y74)-1)</f>
        <v/>
      </c>
      <c r="AA74" s="16" t="n">
        <f aca="false">SUMIF($B:$B,$Y74,D:D)</f>
        <v>0</v>
      </c>
      <c r="AB74" s="74" t="str">
        <f aca="false">RIGHT(Y74,LEN(Y74)-FIND("-",Y74))</f>
        <v/>
      </c>
      <c r="AC74" s="19" t="n">
        <f aca="false">SUMIF($B:$B,$Y74,E:E)</f>
        <v>0</v>
      </c>
      <c r="AD74" s="19" t="n">
        <f aca="false">SUMIF($B:$B,$Y74,H:H)</f>
        <v>0</v>
      </c>
      <c r="AE74" s="19" t="n">
        <f aca="false">SUMIF($B:$B,$Y74,I:I)</f>
        <v>0</v>
      </c>
      <c r="AF74" s="19" t="n">
        <f aca="false">SUMIF($B:$B,$Y74,M:M)</f>
        <v>0</v>
      </c>
      <c r="AG74" s="19" t="n">
        <f aca="false">SUMIF($B:$B,$Y74,O:O)</f>
        <v>0</v>
      </c>
      <c r="AH74" s="9" t="n">
        <f aca="false">SUMIF($B:$B,$Y74,V:V)</f>
        <v>0</v>
      </c>
    </row>
    <row r="75" customFormat="false" ht="15" hidden="false" customHeight="false" outlineLevel="0" collapsed="false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Q75" s="1"/>
      <c r="R75" s="1"/>
      <c r="S75" s="1"/>
      <c r="T75" s="1"/>
      <c r="U75" s="1"/>
      <c r="V75" s="1"/>
      <c r="Y75" s="1" t="str">
        <f aca="false">PoolData!A81</f>
        <v>-</v>
      </c>
      <c r="Z75" s="74" t="str">
        <f aca="false">LEFT(Y75,FIND("-",Y75)-1)</f>
        <v/>
      </c>
      <c r="AA75" s="16" t="n">
        <f aca="false">SUMIF($B:$B,$Y75,D:D)</f>
        <v>0</v>
      </c>
      <c r="AB75" s="74" t="str">
        <f aca="false">RIGHT(Y75,LEN(Y75)-FIND("-",Y75))</f>
        <v/>
      </c>
      <c r="AC75" s="19" t="n">
        <f aca="false">SUMIF($B:$B,$Y75,E:E)</f>
        <v>0</v>
      </c>
      <c r="AD75" s="19" t="n">
        <f aca="false">SUMIF($B:$B,$Y75,H:H)</f>
        <v>0</v>
      </c>
      <c r="AE75" s="19" t="n">
        <f aca="false">SUMIF($B:$B,$Y75,I:I)</f>
        <v>0</v>
      </c>
      <c r="AF75" s="19" t="n">
        <f aca="false">SUMIF($B:$B,$Y75,M:M)</f>
        <v>0</v>
      </c>
      <c r="AG75" s="19" t="n">
        <f aca="false">SUMIF($B:$B,$Y75,O:O)</f>
        <v>0</v>
      </c>
      <c r="AH75" s="9" t="n">
        <f aca="false">SUMIF($B:$B,$Y75,V:V)</f>
        <v>0</v>
      </c>
    </row>
    <row r="76" customFormat="false" ht="15" hidden="false" customHeight="false" outlineLevel="0" collapsed="false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Q76" s="1"/>
      <c r="R76" s="1"/>
      <c r="S76" s="1"/>
      <c r="T76" s="1"/>
      <c r="U76" s="1"/>
      <c r="V76" s="1"/>
      <c r="Y76" s="1" t="str">
        <f aca="false">PoolData!A82</f>
        <v>-</v>
      </c>
      <c r="Z76" s="74" t="str">
        <f aca="false">LEFT(Y76,FIND("-",Y76)-1)</f>
        <v/>
      </c>
      <c r="AA76" s="16" t="n">
        <f aca="false">SUMIF($B:$B,$Y76,D:D)</f>
        <v>0</v>
      </c>
      <c r="AB76" s="74" t="str">
        <f aca="false">RIGHT(Y76,LEN(Y76)-FIND("-",Y76))</f>
        <v/>
      </c>
      <c r="AC76" s="19" t="n">
        <f aca="false">SUMIF($B:$B,$Y76,E:E)</f>
        <v>0</v>
      </c>
      <c r="AD76" s="19" t="n">
        <f aca="false">SUMIF($B:$B,$Y76,H:H)</f>
        <v>0</v>
      </c>
      <c r="AE76" s="19" t="n">
        <f aca="false">SUMIF($B:$B,$Y76,I:I)</f>
        <v>0</v>
      </c>
      <c r="AF76" s="19" t="n">
        <f aca="false">SUMIF($B:$B,$Y76,M:M)</f>
        <v>0</v>
      </c>
      <c r="AG76" s="19" t="n">
        <f aca="false">SUMIF($B:$B,$Y76,O:O)</f>
        <v>0</v>
      </c>
      <c r="AH76" s="9" t="n">
        <f aca="false">SUMIF($B:$B,$Y76,V:V)</f>
        <v>0</v>
      </c>
    </row>
    <row r="77" customFormat="false" ht="15" hidden="false" customHeight="false" outlineLevel="0" collapsed="false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Q77" s="1"/>
      <c r="R77" s="1"/>
      <c r="S77" s="1"/>
      <c r="T77" s="1"/>
      <c r="U77" s="1"/>
      <c r="V77" s="1"/>
      <c r="Y77" s="1" t="str">
        <f aca="false">PoolData!A83</f>
        <v>-</v>
      </c>
      <c r="Z77" s="74" t="str">
        <f aca="false">LEFT(Y77,FIND("-",Y77)-1)</f>
        <v/>
      </c>
      <c r="AA77" s="16" t="n">
        <f aca="false">SUMIF($B:$B,$Y77,D:D)</f>
        <v>0</v>
      </c>
      <c r="AB77" s="74" t="str">
        <f aca="false">RIGHT(Y77,LEN(Y77)-FIND("-",Y77))</f>
        <v/>
      </c>
      <c r="AC77" s="19" t="n">
        <f aca="false">SUMIF($B:$B,$Y77,E:E)</f>
        <v>0</v>
      </c>
      <c r="AD77" s="19" t="n">
        <f aca="false">SUMIF($B:$B,$Y77,H:H)</f>
        <v>0</v>
      </c>
      <c r="AE77" s="19" t="n">
        <f aca="false">SUMIF($B:$B,$Y77,I:I)</f>
        <v>0</v>
      </c>
      <c r="AF77" s="19" t="n">
        <f aca="false">SUMIF($B:$B,$Y77,M:M)</f>
        <v>0</v>
      </c>
      <c r="AG77" s="19" t="n">
        <f aca="false">SUMIF($B:$B,$Y77,O:O)</f>
        <v>0</v>
      </c>
      <c r="AH77" s="9" t="n">
        <f aca="false">SUMIF($B:$B,$Y77,V:V)</f>
        <v>0</v>
      </c>
    </row>
    <row r="78" customFormat="false" ht="15" hidden="false" customHeight="false" outlineLevel="0" collapsed="false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Q78" s="1"/>
      <c r="R78" s="1"/>
      <c r="S78" s="1"/>
      <c r="T78" s="1"/>
      <c r="U78" s="1"/>
      <c r="V78" s="1"/>
      <c r="Y78" s="1" t="str">
        <f aca="false">PoolData!A84</f>
        <v>-</v>
      </c>
      <c r="Z78" s="74" t="str">
        <f aca="false">LEFT(Y78,FIND("-",Y78)-1)</f>
        <v/>
      </c>
      <c r="AA78" s="16" t="n">
        <f aca="false">SUMIF($B:$B,$Y78,D:D)</f>
        <v>0</v>
      </c>
      <c r="AB78" s="74" t="str">
        <f aca="false">RIGHT(Y78,LEN(Y78)-FIND("-",Y78))</f>
        <v/>
      </c>
      <c r="AC78" s="19" t="n">
        <f aca="false">SUMIF($B:$B,$Y78,E:E)</f>
        <v>0</v>
      </c>
      <c r="AD78" s="19" t="n">
        <f aca="false">SUMIF($B:$B,$Y78,H:H)</f>
        <v>0</v>
      </c>
      <c r="AE78" s="19" t="n">
        <f aca="false">SUMIF($B:$B,$Y78,I:I)</f>
        <v>0</v>
      </c>
      <c r="AF78" s="19" t="n">
        <f aca="false">SUMIF($B:$B,$Y78,M:M)</f>
        <v>0</v>
      </c>
      <c r="AG78" s="19" t="n">
        <f aca="false">SUMIF($B:$B,$Y78,O:O)</f>
        <v>0</v>
      </c>
      <c r="AH78" s="9" t="n">
        <f aca="false">SUMIF($B:$B,$Y78,V:V)</f>
        <v>0</v>
      </c>
    </row>
    <row r="79" customFormat="false" ht="15" hidden="false" customHeight="false" outlineLevel="0" collapsed="false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Q79" s="1"/>
      <c r="R79" s="1"/>
      <c r="S79" s="1"/>
      <c r="T79" s="1"/>
      <c r="U79" s="1"/>
      <c r="V79" s="1"/>
      <c r="Y79" s="1" t="str">
        <f aca="false">PoolData!A85</f>
        <v>-</v>
      </c>
      <c r="Z79" s="74" t="str">
        <f aca="false">LEFT(Y79,FIND("-",Y79)-1)</f>
        <v/>
      </c>
      <c r="AA79" s="16" t="n">
        <f aca="false">SUMIF($B:$B,$Y79,D:D)</f>
        <v>0</v>
      </c>
      <c r="AB79" s="74" t="str">
        <f aca="false">RIGHT(Y79,LEN(Y79)-FIND("-",Y79))</f>
        <v/>
      </c>
      <c r="AC79" s="19" t="n">
        <f aca="false">SUMIF($B:$B,$Y79,E:E)</f>
        <v>0</v>
      </c>
      <c r="AD79" s="19" t="n">
        <f aca="false">SUMIF($B:$B,$Y79,H:H)</f>
        <v>0</v>
      </c>
      <c r="AE79" s="19" t="n">
        <f aca="false">SUMIF($B:$B,$Y79,I:I)</f>
        <v>0</v>
      </c>
      <c r="AF79" s="19" t="n">
        <f aca="false">SUMIF($B:$B,$Y79,M:M)</f>
        <v>0</v>
      </c>
      <c r="AG79" s="19" t="n">
        <f aca="false">SUMIF($B:$B,$Y79,O:O)</f>
        <v>0</v>
      </c>
      <c r="AH79" s="9" t="n">
        <f aca="false">SUMIF($B:$B,$Y79,V:V)</f>
        <v>0</v>
      </c>
    </row>
    <row r="80" customFormat="false" ht="15" hidden="false" customHeight="false" outlineLevel="0" collapsed="false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Q80" s="1"/>
      <c r="R80" s="1"/>
      <c r="S80" s="1"/>
      <c r="T80" s="1"/>
      <c r="U80" s="1"/>
      <c r="V80" s="1"/>
      <c r="Y80" s="1" t="str">
        <f aca="false">PoolData!A86</f>
        <v>-</v>
      </c>
      <c r="Z80" s="74" t="str">
        <f aca="false">LEFT(Y80,FIND("-",Y80)-1)</f>
        <v/>
      </c>
      <c r="AA80" s="16" t="n">
        <f aca="false">SUMIF($B:$B,$Y80,D:D)</f>
        <v>0</v>
      </c>
      <c r="AB80" s="74" t="str">
        <f aca="false">RIGHT(Y80,LEN(Y80)-FIND("-",Y80))</f>
        <v/>
      </c>
      <c r="AC80" s="19" t="n">
        <f aca="false">SUMIF($B:$B,$Y80,E:E)</f>
        <v>0</v>
      </c>
      <c r="AD80" s="19" t="n">
        <f aca="false">SUMIF($B:$B,$Y80,H:H)</f>
        <v>0</v>
      </c>
      <c r="AE80" s="19" t="n">
        <f aca="false">SUMIF($B:$B,$Y80,I:I)</f>
        <v>0</v>
      </c>
      <c r="AF80" s="19" t="n">
        <f aca="false">SUMIF($B:$B,$Y80,M:M)</f>
        <v>0</v>
      </c>
      <c r="AG80" s="19" t="n">
        <f aca="false">SUMIF($B:$B,$Y80,O:O)</f>
        <v>0</v>
      </c>
      <c r="AH80" s="9" t="n">
        <f aca="false">SUMIF($B:$B,$Y80,V:V)</f>
        <v>0</v>
      </c>
    </row>
    <row r="81" customFormat="false" ht="15" hidden="false" customHeight="false" outlineLevel="0" collapsed="false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Q81" s="1"/>
      <c r="R81" s="1"/>
      <c r="S81" s="1"/>
      <c r="T81" s="1"/>
      <c r="U81" s="1"/>
      <c r="V81" s="1"/>
      <c r="Y81" s="1" t="str">
        <f aca="false">PoolData!A87</f>
        <v>-</v>
      </c>
      <c r="Z81" s="74" t="str">
        <f aca="false">LEFT(Y81,FIND("-",Y81)-1)</f>
        <v/>
      </c>
      <c r="AA81" s="16" t="n">
        <f aca="false">SUMIF($B:$B,$Y81,D:D)</f>
        <v>0</v>
      </c>
      <c r="AB81" s="74" t="str">
        <f aca="false">RIGHT(Y81,LEN(Y81)-FIND("-",Y81))</f>
        <v/>
      </c>
      <c r="AC81" s="19" t="n">
        <f aca="false">SUMIF($B:$B,$Y81,E:E)</f>
        <v>0</v>
      </c>
      <c r="AD81" s="19" t="n">
        <f aca="false">SUMIF($B:$B,$Y81,H:H)</f>
        <v>0</v>
      </c>
      <c r="AE81" s="19" t="n">
        <f aca="false">SUMIF($B:$B,$Y81,I:I)</f>
        <v>0</v>
      </c>
      <c r="AF81" s="19" t="n">
        <f aca="false">SUMIF($B:$B,$Y81,M:M)</f>
        <v>0</v>
      </c>
      <c r="AG81" s="19" t="n">
        <f aca="false">SUMIF($B:$B,$Y81,O:O)</f>
        <v>0</v>
      </c>
      <c r="AH81" s="9" t="n">
        <f aca="false">SUMIF($B:$B,$Y81,V:V)</f>
        <v>0</v>
      </c>
    </row>
    <row r="82" customFormat="false" ht="15" hidden="false" customHeight="false" outlineLevel="0" collapsed="false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Q82" s="1"/>
      <c r="R82" s="1"/>
      <c r="S82" s="1"/>
      <c r="T82" s="1"/>
      <c r="U82" s="1"/>
      <c r="V82" s="1"/>
      <c r="Y82" s="1" t="str">
        <f aca="false">PoolData!A88</f>
        <v>-</v>
      </c>
      <c r="Z82" s="74" t="str">
        <f aca="false">LEFT(Y82,FIND("-",Y82)-1)</f>
        <v/>
      </c>
      <c r="AA82" s="16" t="n">
        <f aca="false">SUMIF($B:$B,$Y82,D:D)</f>
        <v>0</v>
      </c>
      <c r="AB82" s="74" t="str">
        <f aca="false">RIGHT(Y82,LEN(Y82)-FIND("-",Y82))</f>
        <v/>
      </c>
      <c r="AC82" s="19" t="n">
        <f aca="false">SUMIF($B:$B,$Y82,E:E)</f>
        <v>0</v>
      </c>
      <c r="AD82" s="19" t="n">
        <f aca="false">SUMIF($B:$B,$Y82,H:H)</f>
        <v>0</v>
      </c>
      <c r="AE82" s="19" t="n">
        <f aca="false">SUMIF($B:$B,$Y82,I:I)</f>
        <v>0</v>
      </c>
      <c r="AF82" s="19" t="n">
        <f aca="false">SUMIF($B:$B,$Y82,M:M)</f>
        <v>0</v>
      </c>
      <c r="AG82" s="19" t="n">
        <f aca="false">SUMIF($B:$B,$Y82,O:O)</f>
        <v>0</v>
      </c>
      <c r="AH82" s="9" t="n">
        <f aca="false">SUMIF($B:$B,$Y82,V:V)</f>
        <v>0</v>
      </c>
    </row>
    <row r="83" customFormat="false" ht="15" hidden="false" customHeight="false" outlineLevel="0" collapsed="false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Q83" s="1"/>
      <c r="R83" s="1"/>
      <c r="S83" s="1"/>
      <c r="T83" s="1"/>
      <c r="U83" s="1"/>
      <c r="V83" s="1"/>
      <c r="Y83" s="1" t="str">
        <f aca="false">PoolData!A89</f>
        <v>-</v>
      </c>
      <c r="Z83" s="74" t="str">
        <f aca="false">LEFT(Y83,FIND("-",Y83)-1)</f>
        <v/>
      </c>
      <c r="AA83" s="16" t="n">
        <f aca="false">SUMIF($B:$B,$Y83,D:D)</f>
        <v>0</v>
      </c>
      <c r="AB83" s="74" t="str">
        <f aca="false">RIGHT(Y83,LEN(Y83)-FIND("-",Y83))</f>
        <v/>
      </c>
      <c r="AC83" s="19" t="n">
        <f aca="false">SUMIF($B:$B,$Y83,E:E)</f>
        <v>0</v>
      </c>
      <c r="AD83" s="19" t="n">
        <f aca="false">SUMIF($B:$B,$Y83,H:H)</f>
        <v>0</v>
      </c>
      <c r="AE83" s="19" t="n">
        <f aca="false">SUMIF($B:$B,$Y83,I:I)</f>
        <v>0</v>
      </c>
      <c r="AF83" s="19" t="n">
        <f aca="false">SUMIF($B:$B,$Y83,M:M)</f>
        <v>0</v>
      </c>
      <c r="AG83" s="19" t="n">
        <f aca="false">SUMIF($B:$B,$Y83,O:O)</f>
        <v>0</v>
      </c>
      <c r="AH83" s="9" t="n">
        <f aca="false">SUMIF($B:$B,$Y83,V:V)</f>
        <v>0</v>
      </c>
    </row>
    <row r="84" customFormat="false" ht="15" hidden="false" customHeight="false" outlineLevel="0" collapsed="false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Q84" s="1"/>
      <c r="R84" s="1"/>
      <c r="S84" s="1"/>
      <c r="T84" s="1"/>
      <c r="U84" s="1"/>
      <c r="V84" s="1"/>
      <c r="Y84" s="1" t="str">
        <f aca="false">PoolData!A90</f>
        <v>-</v>
      </c>
      <c r="Z84" s="74" t="str">
        <f aca="false">LEFT(Y84,FIND("-",Y84)-1)</f>
        <v/>
      </c>
      <c r="AA84" s="16" t="n">
        <f aca="false">SUMIF($B:$B,$Y84,D:D)</f>
        <v>0</v>
      </c>
      <c r="AB84" s="74" t="str">
        <f aca="false">RIGHT(Y84,LEN(Y84)-FIND("-",Y84))</f>
        <v/>
      </c>
      <c r="AC84" s="19" t="n">
        <f aca="false">SUMIF($B:$B,$Y84,E:E)</f>
        <v>0</v>
      </c>
      <c r="AD84" s="19" t="n">
        <f aca="false">SUMIF($B:$B,$Y84,H:H)</f>
        <v>0</v>
      </c>
      <c r="AE84" s="19" t="n">
        <f aca="false">SUMIF($B:$B,$Y84,I:I)</f>
        <v>0</v>
      </c>
      <c r="AF84" s="19" t="n">
        <f aca="false">SUMIF($B:$B,$Y84,M:M)</f>
        <v>0</v>
      </c>
      <c r="AG84" s="19" t="n">
        <f aca="false">SUMIF($B:$B,$Y84,O:O)</f>
        <v>0</v>
      </c>
      <c r="AH84" s="9" t="n">
        <f aca="false">SUMIF($B:$B,$Y84,V:V)</f>
        <v>0</v>
      </c>
    </row>
    <row r="85" customFormat="false" ht="15" hidden="false" customHeight="false" outlineLevel="0" collapsed="false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Q85" s="1"/>
      <c r="R85" s="1"/>
      <c r="S85" s="1"/>
      <c r="T85" s="1"/>
      <c r="U85" s="1"/>
      <c r="V85" s="1"/>
      <c r="Y85" s="1" t="str">
        <f aca="false">PoolData!A91</f>
        <v>-</v>
      </c>
      <c r="Z85" s="74" t="str">
        <f aca="false">LEFT(Y85,FIND("-",Y85)-1)</f>
        <v/>
      </c>
      <c r="AA85" s="16" t="n">
        <f aca="false">SUMIF($B:$B,$Y85,D:D)</f>
        <v>0</v>
      </c>
      <c r="AB85" s="74" t="str">
        <f aca="false">RIGHT(Y85,LEN(Y85)-FIND("-",Y85))</f>
        <v/>
      </c>
      <c r="AC85" s="19" t="n">
        <f aca="false">SUMIF($B:$B,$Y85,E:E)</f>
        <v>0</v>
      </c>
      <c r="AD85" s="19" t="n">
        <f aca="false">SUMIF($B:$B,$Y85,H:H)</f>
        <v>0</v>
      </c>
      <c r="AE85" s="19" t="n">
        <f aca="false">SUMIF($B:$B,$Y85,I:I)</f>
        <v>0</v>
      </c>
      <c r="AF85" s="19" t="n">
        <f aca="false">SUMIF($B:$B,$Y85,M:M)</f>
        <v>0</v>
      </c>
      <c r="AG85" s="19" t="n">
        <f aca="false">SUMIF($B:$B,$Y85,O:O)</f>
        <v>0</v>
      </c>
      <c r="AH85" s="9" t="n">
        <f aca="false">SUMIF($B:$B,$Y85,V:V)</f>
        <v>0</v>
      </c>
    </row>
    <row r="86" customFormat="false" ht="15" hidden="false" customHeight="false" outlineLevel="0" collapsed="false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Q86" s="1"/>
      <c r="R86" s="1"/>
      <c r="S86" s="1"/>
      <c r="T86" s="1"/>
      <c r="U86" s="1"/>
      <c r="V86" s="1"/>
      <c r="Y86" s="1" t="str">
        <f aca="false">PoolData!A92</f>
        <v>-</v>
      </c>
      <c r="Z86" s="74" t="str">
        <f aca="false">LEFT(Y86,FIND("-",Y86)-1)</f>
        <v/>
      </c>
      <c r="AA86" s="16" t="n">
        <f aca="false">SUMIF($B:$B,$Y86,D:D)</f>
        <v>0</v>
      </c>
      <c r="AB86" s="74" t="str">
        <f aca="false">RIGHT(Y86,LEN(Y86)-FIND("-",Y86))</f>
        <v/>
      </c>
      <c r="AC86" s="19" t="n">
        <f aca="false">SUMIF($B:$B,$Y86,E:E)</f>
        <v>0</v>
      </c>
      <c r="AD86" s="19" t="n">
        <f aca="false">SUMIF($B:$B,$Y86,H:H)</f>
        <v>0</v>
      </c>
      <c r="AE86" s="19" t="n">
        <f aca="false">SUMIF($B:$B,$Y86,I:I)</f>
        <v>0</v>
      </c>
      <c r="AF86" s="19" t="n">
        <f aca="false">SUMIF($B:$B,$Y86,M:M)</f>
        <v>0</v>
      </c>
      <c r="AG86" s="19" t="n">
        <f aca="false">SUMIF($B:$B,$Y86,O:O)</f>
        <v>0</v>
      </c>
      <c r="AH86" s="9" t="n">
        <f aca="false">SUMIF($B:$B,$Y86,V:V)</f>
        <v>0</v>
      </c>
    </row>
    <row r="87" customFormat="false" ht="15" hidden="false" customHeight="false" outlineLevel="0" collapsed="false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Q87" s="1"/>
      <c r="R87" s="1"/>
      <c r="S87" s="1"/>
      <c r="T87" s="1"/>
      <c r="U87" s="1"/>
      <c r="V87" s="1"/>
      <c r="Y87" s="1" t="str">
        <f aca="false">PoolData!A93</f>
        <v>-</v>
      </c>
      <c r="Z87" s="74" t="str">
        <f aca="false">LEFT(Y87,FIND("-",Y87)-1)</f>
        <v/>
      </c>
      <c r="AA87" s="16" t="n">
        <f aca="false">SUMIF($B:$B,$Y87,D:D)</f>
        <v>0</v>
      </c>
      <c r="AB87" s="74" t="str">
        <f aca="false">RIGHT(Y87,LEN(Y87)-FIND("-",Y87))</f>
        <v/>
      </c>
      <c r="AC87" s="19" t="n">
        <f aca="false">SUMIF($B:$B,$Y87,E:E)</f>
        <v>0</v>
      </c>
      <c r="AD87" s="19" t="n">
        <f aca="false">SUMIF($B:$B,$Y87,H:H)</f>
        <v>0</v>
      </c>
      <c r="AE87" s="19" t="n">
        <f aca="false">SUMIF($B:$B,$Y87,I:I)</f>
        <v>0</v>
      </c>
      <c r="AF87" s="19" t="n">
        <f aca="false">SUMIF($B:$B,$Y87,M:M)</f>
        <v>0</v>
      </c>
      <c r="AG87" s="19" t="n">
        <f aca="false">SUMIF($B:$B,$Y87,O:O)</f>
        <v>0</v>
      </c>
      <c r="AH87" s="9" t="n">
        <f aca="false">SUMIF($B:$B,$Y87,V:V)</f>
        <v>0</v>
      </c>
    </row>
    <row r="88" customFormat="false" ht="15" hidden="false" customHeight="false" outlineLevel="0" collapsed="false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Q88" s="1"/>
      <c r="R88" s="1"/>
      <c r="S88" s="1"/>
      <c r="T88" s="1"/>
      <c r="U88" s="1"/>
      <c r="V88" s="1"/>
      <c r="Y88" s="1" t="str">
        <f aca="false">PoolData!A94</f>
        <v>-</v>
      </c>
      <c r="Z88" s="74" t="str">
        <f aca="false">LEFT(Y88,FIND("-",Y88)-1)</f>
        <v/>
      </c>
      <c r="AA88" s="16" t="n">
        <f aca="false">SUMIF($B:$B,$Y88,D:D)</f>
        <v>0</v>
      </c>
      <c r="AB88" s="74" t="str">
        <f aca="false">RIGHT(Y88,LEN(Y88)-FIND("-",Y88))</f>
        <v/>
      </c>
      <c r="AC88" s="19" t="n">
        <f aca="false">SUMIF($B:$B,$Y88,E:E)</f>
        <v>0</v>
      </c>
      <c r="AD88" s="19" t="n">
        <f aca="false">SUMIF($B:$B,$Y88,H:H)</f>
        <v>0</v>
      </c>
      <c r="AE88" s="19" t="n">
        <f aca="false">SUMIF($B:$B,$Y88,I:I)</f>
        <v>0</v>
      </c>
      <c r="AF88" s="19" t="n">
        <f aca="false">SUMIF($B:$B,$Y88,M:M)</f>
        <v>0</v>
      </c>
      <c r="AG88" s="19" t="n">
        <f aca="false">SUMIF($B:$B,$Y88,O:O)</f>
        <v>0</v>
      </c>
      <c r="AH88" s="9" t="n">
        <f aca="false">SUMIF($B:$B,$Y88,V:V)</f>
        <v>0</v>
      </c>
    </row>
    <row r="89" customFormat="false" ht="15" hidden="false" customHeight="false" outlineLevel="0" collapsed="false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Q89" s="1"/>
      <c r="R89" s="1"/>
      <c r="S89" s="1"/>
      <c r="T89" s="1"/>
      <c r="U89" s="1"/>
      <c r="V89" s="1"/>
      <c r="Y89" s="1" t="str">
        <f aca="false">PoolData!A95</f>
        <v>-</v>
      </c>
      <c r="Z89" s="74" t="str">
        <f aca="false">LEFT(Y89,FIND("-",Y89)-1)</f>
        <v/>
      </c>
      <c r="AA89" s="16" t="n">
        <f aca="false">SUMIF($B:$B,$Y89,D:D)</f>
        <v>0</v>
      </c>
      <c r="AB89" s="74" t="str">
        <f aca="false">RIGHT(Y89,LEN(Y89)-FIND("-",Y89))</f>
        <v/>
      </c>
      <c r="AC89" s="19" t="n">
        <f aca="false">SUMIF($B:$B,$Y89,E:E)</f>
        <v>0</v>
      </c>
      <c r="AD89" s="19" t="n">
        <f aca="false">SUMIF($B:$B,$Y89,H:H)</f>
        <v>0</v>
      </c>
      <c r="AE89" s="19" t="n">
        <f aca="false">SUMIF($B:$B,$Y89,I:I)</f>
        <v>0</v>
      </c>
      <c r="AF89" s="19" t="n">
        <f aca="false">SUMIF($B:$B,$Y89,M:M)</f>
        <v>0</v>
      </c>
      <c r="AG89" s="19" t="n">
        <f aca="false">SUMIF($B:$B,$Y89,O:O)</f>
        <v>0</v>
      </c>
      <c r="AH89" s="9" t="n">
        <f aca="false">SUMIF($B:$B,$Y89,V:V)</f>
        <v>0</v>
      </c>
    </row>
    <row r="90" customFormat="false" ht="15" hidden="false" customHeight="false" outlineLevel="0" collapsed="false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Q90" s="1"/>
      <c r="R90" s="1"/>
      <c r="S90" s="1"/>
      <c r="T90" s="1"/>
      <c r="U90" s="1"/>
      <c r="V90" s="1"/>
      <c r="Y90" s="1" t="str">
        <f aca="false">PoolData!A96</f>
        <v>-</v>
      </c>
      <c r="Z90" s="74" t="str">
        <f aca="false">LEFT(Y90,FIND("-",Y90)-1)</f>
        <v/>
      </c>
      <c r="AA90" s="16" t="n">
        <f aca="false">SUMIF($B:$B,$Y90,D:D)</f>
        <v>0</v>
      </c>
      <c r="AB90" s="74" t="str">
        <f aca="false">RIGHT(Y90,LEN(Y90)-FIND("-",Y90))</f>
        <v/>
      </c>
      <c r="AC90" s="19" t="n">
        <f aca="false">SUMIF($B:$B,$Y90,E:E)</f>
        <v>0</v>
      </c>
      <c r="AD90" s="19" t="n">
        <f aca="false">SUMIF($B:$B,$Y90,H:H)</f>
        <v>0</v>
      </c>
      <c r="AE90" s="19" t="n">
        <f aca="false">SUMIF($B:$B,$Y90,I:I)</f>
        <v>0</v>
      </c>
      <c r="AF90" s="19" t="n">
        <f aca="false">SUMIF($B:$B,$Y90,M:M)</f>
        <v>0</v>
      </c>
      <c r="AG90" s="19" t="n">
        <f aca="false">SUMIF($B:$B,$Y90,O:O)</f>
        <v>0</v>
      </c>
      <c r="AH90" s="9" t="n">
        <f aca="false">SUMIF($B:$B,$Y90,V:V)</f>
        <v>0</v>
      </c>
    </row>
    <row r="91" customFormat="false" ht="15" hidden="false" customHeight="false" outlineLevel="0" collapsed="false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Q91" s="1"/>
      <c r="R91" s="1"/>
      <c r="S91" s="1"/>
      <c r="T91" s="1"/>
      <c r="U91" s="1"/>
      <c r="V91" s="1"/>
      <c r="Y91" s="1" t="str">
        <f aca="false">PoolData!A97</f>
        <v>-</v>
      </c>
      <c r="Z91" s="74" t="str">
        <f aca="false">LEFT(Y91,FIND("-",Y91)-1)</f>
        <v/>
      </c>
      <c r="AA91" s="16" t="n">
        <f aca="false">SUMIF($B:$B,$Y91,D:D)</f>
        <v>0</v>
      </c>
      <c r="AB91" s="74" t="str">
        <f aca="false">RIGHT(Y91,LEN(Y91)-FIND("-",Y91))</f>
        <v/>
      </c>
      <c r="AC91" s="19" t="n">
        <f aca="false">SUMIF($B:$B,$Y91,E:E)</f>
        <v>0</v>
      </c>
      <c r="AD91" s="19" t="n">
        <f aca="false">SUMIF($B:$B,$Y91,H:H)</f>
        <v>0</v>
      </c>
      <c r="AE91" s="19" t="n">
        <f aca="false">SUMIF($B:$B,$Y91,I:I)</f>
        <v>0</v>
      </c>
      <c r="AF91" s="19" t="n">
        <f aca="false">SUMIF($B:$B,$Y91,M:M)</f>
        <v>0</v>
      </c>
      <c r="AG91" s="19" t="n">
        <f aca="false">SUMIF($B:$B,$Y91,O:O)</f>
        <v>0</v>
      </c>
      <c r="AH91" s="9" t="n">
        <f aca="false">SUMIF($B:$B,$Y91,V:V)</f>
        <v>0</v>
      </c>
    </row>
    <row r="92" customFormat="false" ht="15" hidden="false" customHeight="false" outlineLevel="0" collapsed="false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Q92" s="1"/>
      <c r="R92" s="1"/>
      <c r="S92" s="1"/>
      <c r="T92" s="1"/>
      <c r="U92" s="1"/>
      <c r="V92" s="1"/>
      <c r="Y92" s="1" t="str">
        <f aca="false">PoolData!A98</f>
        <v>-</v>
      </c>
      <c r="Z92" s="74" t="str">
        <f aca="false">LEFT(Y92,FIND("-",Y92)-1)</f>
        <v/>
      </c>
      <c r="AA92" s="16" t="n">
        <f aca="false">SUMIF($B:$B,$Y92,D:D)</f>
        <v>0</v>
      </c>
      <c r="AB92" s="74" t="str">
        <f aca="false">RIGHT(Y92,LEN(Y92)-FIND("-",Y92))</f>
        <v/>
      </c>
      <c r="AC92" s="19" t="n">
        <f aca="false">SUMIF($B:$B,$Y92,E:E)</f>
        <v>0</v>
      </c>
      <c r="AD92" s="19" t="n">
        <f aca="false">SUMIF($B:$B,$Y92,H:H)</f>
        <v>0</v>
      </c>
      <c r="AE92" s="19" t="n">
        <f aca="false">SUMIF($B:$B,$Y92,I:I)</f>
        <v>0</v>
      </c>
      <c r="AF92" s="19" t="n">
        <f aca="false">SUMIF($B:$B,$Y92,M:M)</f>
        <v>0</v>
      </c>
      <c r="AG92" s="19" t="n">
        <f aca="false">SUMIF($B:$B,$Y92,O:O)</f>
        <v>0</v>
      </c>
      <c r="AH92" s="9" t="n">
        <f aca="false">SUMIF($B:$B,$Y92,V:V)</f>
        <v>0</v>
      </c>
    </row>
    <row r="93" customFormat="false" ht="15" hidden="false" customHeight="false" outlineLevel="0" collapsed="false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Q93" s="1"/>
      <c r="R93" s="1"/>
      <c r="S93" s="1"/>
      <c r="T93" s="1"/>
      <c r="U93" s="1"/>
      <c r="V93" s="1"/>
      <c r="Y93" s="1" t="str">
        <f aca="false">PoolData!A99</f>
        <v>-</v>
      </c>
      <c r="Z93" s="74" t="str">
        <f aca="false">LEFT(Y93,FIND("-",Y93)-1)</f>
        <v/>
      </c>
      <c r="AA93" s="16" t="n">
        <f aca="false">SUMIF($B:$B,$Y93,D:D)</f>
        <v>0</v>
      </c>
      <c r="AB93" s="74" t="str">
        <f aca="false">RIGHT(Y93,LEN(Y93)-FIND("-",Y93))</f>
        <v/>
      </c>
      <c r="AC93" s="19" t="n">
        <f aca="false">SUMIF($B:$B,$Y93,E:E)</f>
        <v>0</v>
      </c>
      <c r="AD93" s="19" t="n">
        <f aca="false">SUMIF($B:$B,$Y93,H:H)</f>
        <v>0</v>
      </c>
      <c r="AE93" s="19" t="n">
        <f aca="false">SUMIF($B:$B,$Y93,I:I)</f>
        <v>0</v>
      </c>
      <c r="AF93" s="19" t="n">
        <f aca="false">SUMIF($B:$B,$Y93,M:M)</f>
        <v>0</v>
      </c>
      <c r="AG93" s="19" t="n">
        <f aca="false">SUMIF($B:$B,$Y93,O:O)</f>
        <v>0</v>
      </c>
      <c r="AH93" s="9" t="n">
        <f aca="false">SUMIF($B:$B,$Y93,V:V)</f>
        <v>0</v>
      </c>
    </row>
    <row r="94" customFormat="false" ht="15" hidden="false" customHeight="false" outlineLevel="0" collapsed="false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Q94" s="1"/>
      <c r="R94" s="1"/>
      <c r="S94" s="1"/>
      <c r="T94" s="1"/>
      <c r="U94" s="1"/>
      <c r="V94" s="1"/>
      <c r="Y94" s="1" t="str">
        <f aca="false">PoolData!A100</f>
        <v>-</v>
      </c>
      <c r="Z94" s="74" t="str">
        <f aca="false">LEFT(Y94,FIND("-",Y94)-1)</f>
        <v/>
      </c>
      <c r="AA94" s="16" t="n">
        <f aca="false">SUMIF($B:$B,$Y94,D:D)</f>
        <v>0</v>
      </c>
      <c r="AB94" s="74" t="str">
        <f aca="false">RIGHT(Y94,LEN(Y94)-FIND("-",Y94))</f>
        <v/>
      </c>
      <c r="AC94" s="19" t="n">
        <f aca="false">SUMIF($B:$B,$Y94,E:E)</f>
        <v>0</v>
      </c>
      <c r="AD94" s="19" t="n">
        <f aca="false">SUMIF($B:$B,$Y94,H:H)</f>
        <v>0</v>
      </c>
      <c r="AE94" s="19" t="n">
        <f aca="false">SUMIF($B:$B,$Y94,I:I)</f>
        <v>0</v>
      </c>
      <c r="AF94" s="19" t="n">
        <f aca="false">SUMIF($B:$B,$Y94,M:M)</f>
        <v>0</v>
      </c>
      <c r="AG94" s="19" t="n">
        <f aca="false">SUMIF($B:$B,$Y94,O:O)</f>
        <v>0</v>
      </c>
      <c r="AH94" s="9" t="n">
        <f aca="false">SUMIF($B:$B,$Y94,V:V)</f>
        <v>0</v>
      </c>
    </row>
  </sheetData>
  <mergeCells count="4">
    <mergeCell ref="D3:E3"/>
    <mergeCell ref="H3:I3"/>
    <mergeCell ref="M3:O3"/>
    <mergeCell ref="Y3:AH3"/>
  </mergeCells>
  <conditionalFormatting sqref="M5:M7 O5:O7">
    <cfRule type="cellIs" priority="2" operator="lessThan" aboveAverage="0" equalAverage="0" bottom="0" percent="0" rank="0" text="" dxfId="12">
      <formula>0</formula>
    </cfRule>
  </conditionalFormatting>
  <conditionalFormatting sqref="V5:V7">
    <cfRule type="cellIs" priority="3" operator="lessThan" aboveAverage="0" equalAverage="0" bottom="0" percent="0" rank="0" text="" dxfId="13">
      <formula>0</formula>
    </cfRule>
  </conditionalFormatting>
  <conditionalFormatting sqref="T5:V7">
    <cfRule type="cellIs" priority="4" operator="lessThan" aboveAverage="0" equalAverage="0" bottom="0" percent="0" rank="0" text="" dxfId="14">
      <formula>0</formula>
    </cfRule>
  </conditionalFormatting>
  <conditionalFormatting sqref="V1">
    <cfRule type="cellIs" priority="5" operator="lessThan" aboveAverage="0" equalAverage="0" bottom="0" percent="0" rank="0" text="" dxfId="15">
      <formula>0</formula>
    </cfRule>
  </conditionalFormatting>
  <conditionalFormatting sqref="V1">
    <cfRule type="cellIs" priority="6" operator="lessThan" aboveAverage="0" equalAverage="0" bottom="0" percent="0" rank="0" text="" dxfId="16">
      <formula>0</formula>
    </cfRule>
  </conditionalFormatting>
  <conditionalFormatting sqref="AF5:AG7 AF9:AG94">
    <cfRule type="cellIs" priority="7" operator="lessThan" aboveAverage="0" equalAverage="0" bottom="0" percent="0" rank="0" text="" dxfId="17">
      <formula>0</formula>
    </cfRule>
  </conditionalFormatting>
  <conditionalFormatting sqref="AH5:AH7 AH9:AH94">
    <cfRule type="cellIs" priority="8" operator="lessThan" aboveAverage="0" equalAverage="0" bottom="0" percent="0" rank="0" text="" dxfId="18">
      <formula>0</formula>
    </cfRule>
  </conditionalFormatting>
  <conditionalFormatting sqref="AH5:AH7 AH9:AH94">
    <cfRule type="cellIs" priority="9" operator="lessThan" aboveAverage="0" equalAverage="0" bottom="0" percent="0" rank="0" text="" dxfId="19">
      <formula>0</formula>
    </cfRule>
  </conditionalFormatting>
  <conditionalFormatting sqref="AH1">
    <cfRule type="cellIs" priority="10" operator="lessThan" aboveAverage="0" equalAverage="0" bottom="0" percent="0" rank="0" text="" dxfId="20">
      <formula>0</formula>
    </cfRule>
  </conditionalFormatting>
  <conditionalFormatting sqref="AH1">
    <cfRule type="cellIs" priority="11" operator="lessThan" aboveAverage="0" equalAverage="0" bottom="0" percent="0" rank="0" text="" dxfId="21">
      <formula>0</formula>
    </cfRule>
  </conditionalFormatting>
  <conditionalFormatting sqref="AD5">
    <cfRule type="cellIs" priority="12" operator="lessThan" aboveAverage="0" equalAverage="0" bottom="0" percent="0" rank="0" text="" dxfId="22">
      <formula>0</formula>
    </cfRule>
  </conditionalFormatting>
  <conditionalFormatting sqref="AE5">
    <cfRule type="cellIs" priority="13" operator="lessThan" aboveAverage="0" equalAverage="0" bottom="0" percent="0" rank="0" text="" dxfId="23">
      <formula>0</formula>
    </cfRule>
  </conditionalFormatting>
  <conditionalFormatting sqref="AD6">
    <cfRule type="cellIs" priority="14" operator="lessThan" aboveAverage="0" equalAverage="0" bottom="0" percent="0" rank="0" text="" dxfId="24">
      <formula>0</formula>
    </cfRule>
  </conditionalFormatting>
  <conditionalFormatting sqref="AE6">
    <cfRule type="cellIs" priority="15" operator="lessThan" aboveAverage="0" equalAverage="0" bottom="0" percent="0" rank="0" text="" dxfId="25">
      <formula>0</formula>
    </cfRule>
  </conditionalFormatting>
  <conditionalFormatting sqref="AD7 AD9:AD94">
    <cfRule type="cellIs" priority="16" operator="lessThan" aboveAverage="0" equalAverage="0" bottom="0" percent="0" rank="0" text="" dxfId="26">
      <formula>0</formula>
    </cfRule>
  </conditionalFormatting>
  <conditionalFormatting sqref="AE7 AE9:AE94">
    <cfRule type="cellIs" priority="17" operator="lessThan" aboveAverage="0" equalAverage="0" bottom="0" percent="0" rank="0" text="" dxfId="27">
      <formula>0</formula>
    </cfRule>
  </conditionalFormatting>
  <conditionalFormatting sqref="AC5:AC7 AA5:AA7 AA9:AA94 AC9:AC94">
    <cfRule type="cellIs" priority="18" operator="lessThan" aboveAverage="0" equalAverage="0" bottom="0" percent="0" rank="0" text="" dxfId="28">
      <formula>0</formula>
    </cfRule>
  </conditionalFormatting>
  <conditionalFormatting sqref="M9 O9">
    <cfRule type="cellIs" priority="19" operator="lessThan" aboveAverage="0" equalAverage="0" bottom="0" percent="0" rank="0" text="" dxfId="29">
      <formula>0</formula>
    </cfRule>
  </conditionalFormatting>
  <conditionalFormatting sqref="V9">
    <cfRule type="cellIs" priority="20" operator="lessThan" aboveAverage="0" equalAverage="0" bottom="0" percent="0" rank="0" text="" dxfId="30">
      <formula>0</formula>
    </cfRule>
  </conditionalFormatting>
  <conditionalFormatting sqref="T9:V9">
    <cfRule type="cellIs" priority="21" operator="lessThan" aboveAverage="0" equalAverage="0" bottom="0" percent="0" rank="0" text="" dxfId="31">
      <formula>0</formula>
    </cfRule>
  </conditionalFormatting>
  <conditionalFormatting sqref="M8 O8">
    <cfRule type="cellIs" priority="22" operator="lessThan" aboveAverage="0" equalAverage="0" bottom="0" percent="0" rank="0" text="" dxfId="32">
      <formula>0</formula>
    </cfRule>
  </conditionalFormatting>
  <conditionalFormatting sqref="V8">
    <cfRule type="cellIs" priority="23" operator="lessThan" aboveAverage="0" equalAverage="0" bottom="0" percent="0" rank="0" text="" dxfId="33">
      <formula>0</formula>
    </cfRule>
  </conditionalFormatting>
  <conditionalFormatting sqref="T8:V8">
    <cfRule type="cellIs" priority="24" operator="lessThan" aboveAverage="0" equalAverage="0" bottom="0" percent="0" rank="0" text="" dxfId="34">
      <formula>0</formula>
    </cfRule>
  </conditionalFormatting>
  <conditionalFormatting sqref="AF8:AG8">
    <cfRule type="cellIs" priority="25" operator="lessThan" aboveAverage="0" equalAverage="0" bottom="0" percent="0" rank="0" text="" dxfId="35">
      <formula>0</formula>
    </cfRule>
  </conditionalFormatting>
  <conditionalFormatting sqref="AH8">
    <cfRule type="cellIs" priority="26" operator="lessThan" aboveAverage="0" equalAverage="0" bottom="0" percent="0" rank="0" text="" dxfId="36">
      <formula>0</formula>
    </cfRule>
  </conditionalFormatting>
  <conditionalFormatting sqref="AH8">
    <cfRule type="cellIs" priority="27" operator="lessThan" aboveAverage="0" equalAverage="0" bottom="0" percent="0" rank="0" text="" dxfId="37">
      <formula>0</formula>
    </cfRule>
  </conditionalFormatting>
  <conditionalFormatting sqref="AD8">
    <cfRule type="cellIs" priority="28" operator="lessThan" aboveAverage="0" equalAverage="0" bottom="0" percent="0" rank="0" text="" dxfId="38">
      <formula>0</formula>
    </cfRule>
  </conditionalFormatting>
  <conditionalFormatting sqref="AE8">
    <cfRule type="cellIs" priority="29" operator="lessThan" aboveAverage="0" equalAverage="0" bottom="0" percent="0" rank="0" text="" dxfId="39">
      <formula>0</formula>
    </cfRule>
  </conditionalFormatting>
  <conditionalFormatting sqref="AC8 AA8">
    <cfRule type="cellIs" priority="30" operator="lessThan" aboveAverage="0" equalAverage="0" bottom="0" percent="0" rank="0" text="" dxfId="40">
      <formula>0</formula>
    </cfRule>
  </conditionalFormatting>
  <dataValidations count="1">
    <dataValidation allowBlank="true" operator="between" showDropDown="false" showErrorMessage="true" showInputMessage="true" sqref="B5" type="list">
      <formula1>PoolData!$A$11:$A$100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B4C7E7"/>
    <pageSetUpPr fitToPage="false"/>
  </sheetPr>
  <dimension ref="A1:BC815"/>
  <sheetViews>
    <sheetView showFormulas="false" showGridLines="true" showRowColHeaders="true" showZeros="true" rightToLeft="false" tabSelected="false" showOutlineSymbols="true" defaultGridColor="true" view="normal" topLeftCell="D1" colorId="64" zoomScale="55" zoomScaleNormal="55" zoomScalePageLayoutView="100" workbookViewId="0">
      <pane xSplit="2" ySplit="0" topLeftCell="N1" activePane="topRight" state="frozen"/>
      <selection pane="topLeft" activeCell="D1" activeCellId="0" sqref="D1"/>
      <selection pane="topRight" activeCell="K4" activeCellId="0" sqref="K4"/>
    </sheetView>
  </sheetViews>
  <sheetFormatPr defaultRowHeight="15" zeroHeight="false" outlineLevelRow="0" outlineLevelCol="0"/>
  <cols>
    <col collapsed="false" customWidth="true" hidden="true" outlineLevel="0" max="3" min="1" style="0" width="17.71"/>
    <col collapsed="false" customWidth="true" hidden="false" outlineLevel="0" max="4" min="4" style="0" width="45.42"/>
    <col collapsed="false" customWidth="true" hidden="false" outlineLevel="0" max="5" min="5" style="0" width="64.28"/>
    <col collapsed="false" customWidth="true" hidden="true" outlineLevel="0" max="6" min="6" style="0" width="15.71"/>
    <col collapsed="false" customWidth="true" hidden="true" outlineLevel="0" max="7" min="7" style="0" width="15.86"/>
    <col collapsed="false" customWidth="true" hidden="true" outlineLevel="0" max="8" min="8" style="15" width="17.86"/>
    <col collapsed="false" customWidth="true" hidden="true" outlineLevel="0" max="9" min="9" style="0" width="26.85"/>
    <col collapsed="false" customWidth="true" hidden="false" outlineLevel="0" max="10" min="10" style="0" width="31.15"/>
    <col collapsed="false" customWidth="true" hidden="false" outlineLevel="0" max="11" min="11" style="0" width="13.14"/>
    <col collapsed="false" customWidth="true" hidden="false" outlineLevel="0" max="12" min="12" style="0" width="23.42"/>
    <col collapsed="false" customWidth="true" hidden="false" outlineLevel="0" max="13" min="13" style="0" width="13.01"/>
    <col collapsed="false" customWidth="true" hidden="false" outlineLevel="0" max="14" min="14" style="0" width="59.71"/>
    <col collapsed="false" customWidth="true" hidden="false" outlineLevel="0" max="15" min="15" style="0" width="11.71"/>
    <col collapsed="false" customWidth="true" hidden="false" outlineLevel="0" max="16" min="16" style="0" width="8.86"/>
    <col collapsed="false" customWidth="true" hidden="false" outlineLevel="0" max="17" min="17" style="0" width="55.86"/>
    <col collapsed="false" customWidth="true" hidden="false" outlineLevel="0" max="18" min="18" style="0" width="2.99"/>
    <col collapsed="false" customWidth="true" hidden="false" outlineLevel="0" max="21" min="19" style="0" width="7.15"/>
    <col collapsed="false" customWidth="true" hidden="false" outlineLevel="0" max="22" min="22" style="0" width="13.14"/>
    <col collapsed="false" customWidth="true" hidden="false" outlineLevel="0" max="23" min="23" style="0" width="13.86"/>
    <col collapsed="false" customWidth="true" hidden="false" outlineLevel="0" max="24" min="24" style="0" width="15"/>
    <col collapsed="false" customWidth="true" hidden="false" outlineLevel="0" max="25" min="25" style="0" width="2.99"/>
    <col collapsed="false" customWidth="true" hidden="false" outlineLevel="0" max="27" min="26" style="0" width="17.71"/>
    <col collapsed="false" customWidth="true" hidden="false" outlineLevel="0" max="1025" min="28" style="0" width="8.67"/>
  </cols>
  <sheetData>
    <row r="1" customFormat="false" ht="84" hidden="false" customHeight="true" outlineLevel="0" collapsed="false">
      <c r="D1" s="79" t="s">
        <v>82</v>
      </c>
      <c r="E1" s="80" t="s">
        <v>111</v>
      </c>
      <c r="J1" s="81" t="str">
        <f aca="false">"ENTRY POOL SIZE "&amp;D3</f>
        <v>ENTRY POOL SIZE BNB</v>
      </c>
      <c r="K1" s="82" t="n">
        <f aca="false">VLOOKUP($D$3&amp;"-"&amp;$D$4,PoolData!$A$10:$N$1048576,MATCH("Coin 1 Pool Size",PoolData!$A$10:$N$10,0),0)</f>
        <v>70.71202</v>
      </c>
      <c r="N1" s="83" t="s">
        <v>112</v>
      </c>
      <c r="O1" s="84" t="n">
        <v>0.02</v>
      </c>
      <c r="P1" s="85"/>
      <c r="Q1" s="85"/>
      <c r="R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</row>
    <row r="2" customFormat="false" ht="15" hidden="false" customHeight="false" outlineLevel="0" collapsed="false">
      <c r="J2" s="81" t="str">
        <f aca="false">"ENTRY POOL SIZE "&amp;D4</f>
        <v>ENTRY POOL SIZE UNI</v>
      </c>
      <c r="K2" s="82" t="n">
        <f aca="false">VLOOKUP($D$3&amp;"-"&amp;$D$4,PoolData!$A$10:$N$1048576,MATCH("Coin 2 Pool Size",PoolData!$A$10:$N$10,0),0)</f>
        <v>376.91186</v>
      </c>
      <c r="L2" s="86" t="str">
        <f aca="false">D4&amp;"  required to pool"</f>
        <v>UNI  required to pool</v>
      </c>
      <c r="P2" s="85"/>
      <c r="Q2" s="85"/>
      <c r="R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</row>
    <row r="3" customFormat="false" ht="15" hidden="false" customHeight="false" outlineLevel="0" collapsed="false">
      <c r="D3" s="56" t="str">
        <f aca="false">LEFT(D1,FIND("-",D1)-1)</f>
        <v>BNB</v>
      </c>
      <c r="J3" s="44" t="s">
        <v>113</v>
      </c>
      <c r="K3" s="82" t="n">
        <f aca="false">IF(IFERROR(VLOOKUP($D$3&amp;"-"&amp;$D$4,'Your Pooling'!$A:$B,2,0),1000)=0,1000,IFERROR(VLOOKUP($D$3&amp;"-"&amp;$D$4,'Your Pooling'!$A:$B,2,0),1000))</f>
        <v>1000</v>
      </c>
      <c r="L3" s="87" t="n">
        <f aca="false">K3/(K1/K2)</f>
        <v>5330.23749003352</v>
      </c>
      <c r="P3" s="85"/>
      <c r="Q3" s="85"/>
      <c r="R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</row>
    <row r="4" customFormat="false" ht="21" hidden="false" customHeight="false" outlineLevel="0" collapsed="false">
      <c r="D4" s="56" t="str">
        <f aca="false">RIGHT(D1,LEN(D1)-FIND("-",D1))</f>
        <v>UNI</v>
      </c>
      <c r="J4" s="1" t="s">
        <v>114</v>
      </c>
      <c r="K4" s="23" t="n">
        <f aca="false">K3/(K1)</f>
        <v>14.1418672525548</v>
      </c>
      <c r="N4" s="88" t="str">
        <f aca="false">"Starting Balance is "&amp;ROUND(K3,3)&amp;" "&amp;$D$3&amp;" and "&amp;ROUND(L3,3)&amp;" "&amp;$D$4&amp;" - equivalent of "&amp;ROUND(2*K3,0)&amp;" FSN or "&amp;ROUND(2*L3,3)&amp;" "&amp;$D$4</f>
        <v>Starting Balance is 1000 BNB and 5330.237 UNI - equivalent of 2000 FSN or 10660.475 UNI</v>
      </c>
      <c r="P4" s="85"/>
      <c r="Q4" s="85"/>
      <c r="R4" s="85"/>
      <c r="T4" s="85"/>
      <c r="U4" s="85"/>
      <c r="V4" s="85"/>
      <c r="W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</row>
    <row r="5" customFormat="false" ht="15" hidden="false" customHeight="false" outlineLevel="0" collapsed="false">
      <c r="J5" s="1" t="s">
        <v>115</v>
      </c>
      <c r="K5" s="9" t="n">
        <f aca="false">FSNPRICE</f>
        <v>25.3164727469084</v>
      </c>
      <c r="N5" s="89" t="s">
        <v>116</v>
      </c>
      <c r="P5" s="85"/>
      <c r="R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</row>
    <row r="6" customFormat="false" ht="15" hidden="false" customHeight="false" outlineLevel="0" collapsed="false">
      <c r="D6" s="6"/>
      <c r="N6" s="90" t="s">
        <v>117</v>
      </c>
      <c r="O6" s="90"/>
      <c r="P6" s="90"/>
      <c r="Q6" s="90"/>
      <c r="R6" s="85"/>
      <c r="S6" s="90" t="s">
        <v>118</v>
      </c>
      <c r="T6" s="90"/>
      <c r="U6" s="90"/>
      <c r="V6" s="91" t="s">
        <v>119</v>
      </c>
      <c r="W6" s="91"/>
      <c r="X6" s="91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</row>
    <row r="7" customFormat="false" ht="15" hidden="false" customHeight="false" outlineLevel="0" collapsed="false">
      <c r="D7" s="6"/>
      <c r="F7" s="92" t="str">
        <f aca="false">D4&amp;":"&amp;D3&amp;" Ratio"</f>
        <v>UNI:BNB Ratio</v>
      </c>
      <c r="G7" s="92" t="str">
        <f aca="false">$D$3&amp;" pool  Size"</f>
        <v>BNB pool  Size</v>
      </c>
      <c r="H7" s="93" t="str">
        <f aca="false">$D$4&amp;" Pool Size"</f>
        <v>UNI Pool Size</v>
      </c>
      <c r="I7" s="92" t="s">
        <v>120</v>
      </c>
      <c r="M7" s="94" t="str">
        <f aca="false">$D$4&amp;" Price"</f>
        <v>UNI Price</v>
      </c>
      <c r="N7" s="95" t="str">
        <f aca="false">F7</f>
        <v>UNI:BNB Ratio</v>
      </c>
      <c r="O7" s="96" t="str">
        <f aca="false">"#"&amp;$D$3</f>
        <v>#BNB</v>
      </c>
      <c r="P7" s="96" t="str">
        <f aca="false">"#"&amp;$D$4</f>
        <v>#UNI</v>
      </c>
      <c r="Q7" s="95" t="str">
        <f aca="false">"Equivalent USD Pooling at current FSN Price"</f>
        <v>Equivalent USD Pooling at current FSN Price</v>
      </c>
      <c r="R7" s="85"/>
      <c r="S7" s="96" t="str">
        <f aca="false">"HODL "&amp;ROUND(K3*2,3)&amp;" "&amp;$D$3&amp;" (at current fsn price)"</f>
        <v>HODL 2000 BNB (at current fsn price)</v>
      </c>
      <c r="T7" s="96" t="str">
        <f aca="false">"HODL "&amp;ROUND(L3*2,3)&amp;" "&amp;$D$4&amp;" (at current fsn price)"</f>
        <v>HODL 10660.475 UNI (at current fsn price)</v>
      </c>
      <c r="U7" s="96" t="str">
        <f aca="false">"HODL "&amp;ROUND(K3,3)&amp;" "&amp;$D$3&amp;"&amp; "&amp;ROUND(L3,3)&amp;" "&amp;$D$4&amp;" (at current fsn price)"</f>
        <v>HODL 1000 BNB&amp; 5330.237 UNI (at current fsn price)</v>
      </c>
      <c r="V7" s="96" t="str">
        <f aca="false">"HODL"&amp;$D$3</f>
        <v>HODLBNB</v>
      </c>
      <c r="W7" s="96" t="str">
        <f aca="false">"HODL "&amp;$D$4</f>
        <v>HODL UNI</v>
      </c>
      <c r="X7" s="96" t="s">
        <v>121</v>
      </c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</row>
    <row r="8" customFormat="false" ht="15" hidden="false" customHeight="false" outlineLevel="0" collapsed="false">
      <c r="A8" s="97"/>
      <c r="B8" s="97"/>
      <c r="C8" s="97"/>
      <c r="D8" s="98"/>
      <c r="E8" s="97"/>
      <c r="F8" s="99" t="n">
        <f aca="false">G8/H8</f>
        <v>0.914675784186445</v>
      </c>
      <c r="G8" s="52" t="n">
        <f aca="false">G9*(1+$O$1)</f>
        <v>156.134944854327</v>
      </c>
      <c r="H8" s="15" t="n">
        <f aca="false">I8/G8</f>
        <v>170.69976876364</v>
      </c>
      <c r="I8" s="0" t="n">
        <f aca="false">I9</f>
        <v>26652.1989825572</v>
      </c>
      <c r="J8" s="97"/>
      <c r="K8" s="97"/>
      <c r="L8" s="97"/>
      <c r="M8" s="100" t="n">
        <f aca="false">N8*$K$5</f>
        <v>23.1563645626132</v>
      </c>
      <c r="N8" s="101" t="n">
        <f aca="false">F8</f>
        <v>0.914675784186445</v>
      </c>
      <c r="O8" s="83" t="n">
        <f aca="false">$O$48/$G$48*G8</f>
        <v>2208.03966361485</v>
      </c>
      <c r="P8" s="102" t="n">
        <f aca="false">O8/F8</f>
        <v>2414.01346989719</v>
      </c>
      <c r="Q8" s="81" t="n">
        <f aca="false">(O8+P8*N8)*$K$5</f>
        <v>111799.551935996</v>
      </c>
      <c r="R8" s="85"/>
      <c r="S8" s="103" t="n">
        <f aca="false">$Q$48</f>
        <v>50632.9454938167</v>
      </c>
      <c r="T8" s="103" t="n">
        <f aca="false">$P$48*2*N8*$K$5</f>
        <v>246857.845049049</v>
      </c>
      <c r="U8" s="103" t="n">
        <f aca="false">($O$48+N8*$P$48)*$K$5</f>
        <v>148745.395271433</v>
      </c>
      <c r="V8" s="45" t="n">
        <f aca="false">S8/$Q8-1</f>
        <v>-0.547109584814764</v>
      </c>
      <c r="W8" s="45" t="n">
        <f aca="false">T8/$Q8-1</f>
        <v>1.20803966361485</v>
      </c>
      <c r="X8" s="45" t="n">
        <f aca="false">U8/$Q8-1</f>
        <v>0.330465039400045</v>
      </c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</row>
    <row r="9" customFormat="false" ht="15" hidden="false" customHeight="false" outlineLevel="0" collapsed="false">
      <c r="A9" s="97"/>
      <c r="B9" s="97"/>
      <c r="C9" s="97"/>
      <c r="D9" s="97"/>
      <c r="E9" s="97"/>
      <c r="F9" s="99" t="n">
        <f aca="false">G9/H9</f>
        <v>0.879157808714384</v>
      </c>
      <c r="G9" s="52" t="n">
        <f aca="false">G10*(1+$O$1)</f>
        <v>153.073475347379</v>
      </c>
      <c r="H9" s="15" t="n">
        <f aca="false">I9/G9</f>
        <v>174.113764138912</v>
      </c>
      <c r="I9" s="0" t="n">
        <f aca="false">I10</f>
        <v>26652.1989825572</v>
      </c>
      <c r="J9" s="97"/>
      <c r="K9" s="97"/>
      <c r="L9" s="97"/>
      <c r="M9" s="100" t="n">
        <f aca="false">N9*$K$5</f>
        <v>22.2571747045494</v>
      </c>
      <c r="N9" s="101" t="n">
        <f aca="false">F9</f>
        <v>0.879157808714384</v>
      </c>
      <c r="O9" s="83" t="n">
        <f aca="false">$O$48/$G$48*G9</f>
        <v>2164.74476824986</v>
      </c>
      <c r="P9" s="102" t="n">
        <f aca="false">O9/F9</f>
        <v>2462.29373929513</v>
      </c>
      <c r="Q9" s="81" t="n">
        <f aca="false">(O9+P9*N9)*$K$5</f>
        <v>109607.40385882</v>
      </c>
      <c r="R9" s="85"/>
      <c r="S9" s="103" t="n">
        <f aca="false">$Q$48</f>
        <v>50632.9454938167</v>
      </c>
      <c r="T9" s="103" t="n">
        <f aca="false">$P$48*2*N9*$K$5</f>
        <v>237272.054064829</v>
      </c>
      <c r="U9" s="103" t="n">
        <f aca="false">($O$48+N9*$P$48)*$K$5</f>
        <v>143952.499779323</v>
      </c>
      <c r="V9" s="45" t="n">
        <f aca="false">S9/$Q9-1</f>
        <v>-0.538051776511059</v>
      </c>
      <c r="W9" s="45" t="n">
        <f aca="false">T9/$Q9-1</f>
        <v>1.16474476824986</v>
      </c>
      <c r="X9" s="45" t="n">
        <f aca="false">U9/$Q9-1</f>
        <v>0.313346495869399</v>
      </c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</row>
    <row r="10" customFormat="false" ht="15" hidden="false" customHeight="false" outlineLevel="0" collapsed="false">
      <c r="A10" s="97"/>
      <c r="B10" s="97"/>
      <c r="C10" s="97"/>
      <c r="D10" s="97"/>
      <c r="E10" s="97"/>
      <c r="F10" s="99" t="n">
        <f aca="false">G10/H10</f>
        <v>0.845019039517862</v>
      </c>
      <c r="G10" s="52" t="n">
        <f aca="false">G11*(1+$O$1)</f>
        <v>150.072034654293</v>
      </c>
      <c r="H10" s="15" t="n">
        <f aca="false">I10/G10</f>
        <v>177.596039421691</v>
      </c>
      <c r="I10" s="0" t="n">
        <f aca="false">I11</f>
        <v>26652.1989825572</v>
      </c>
      <c r="J10" s="97"/>
      <c r="K10" s="85"/>
      <c r="L10" s="85"/>
      <c r="M10" s="100" t="n">
        <f aca="false">N10*$K$5</f>
        <v>21.3929014845726</v>
      </c>
      <c r="N10" s="101" t="n">
        <f aca="false">F10</f>
        <v>0.845019039517862</v>
      </c>
      <c r="O10" s="83" t="n">
        <f aca="false">$O$48/$G$48*G10</f>
        <v>2122.29879240182</v>
      </c>
      <c r="P10" s="102" t="n">
        <f aca="false">O10/F10</f>
        <v>2511.53961408104</v>
      </c>
      <c r="Q10" s="81" t="n">
        <f aca="false">(O10+P10*N10)*$K$5</f>
        <v>107458.239077274</v>
      </c>
      <c r="R10" s="85"/>
      <c r="S10" s="103" t="n">
        <f aca="false">$Q$48</f>
        <v>50632.9454938167</v>
      </c>
      <c r="T10" s="103" t="n">
        <f aca="false">$P$48*2*N10*$K$5</f>
        <v>228058.491027326</v>
      </c>
      <c r="U10" s="103" t="n">
        <f aca="false">($O$48+N10*$P$48)*$K$5</f>
        <v>139345.718260571</v>
      </c>
      <c r="V10" s="45" t="n">
        <f aca="false">S10/$Q10-1</f>
        <v>-0.52881281204128</v>
      </c>
      <c r="W10" s="45" t="n">
        <f aca="false">T10/$Q10-1</f>
        <v>1.12229879240182</v>
      </c>
      <c r="X10" s="45" t="n">
        <f aca="false">U10/$Q10-1</f>
        <v>0.29674299018027</v>
      </c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</row>
    <row r="11" customFormat="false" ht="15" hidden="false" customHeight="false" outlineLevel="0" collapsed="false">
      <c r="D11" s="97"/>
      <c r="E11" s="97"/>
      <c r="F11" s="99" t="n">
        <f aca="false">G11/H11</f>
        <v>0.812205920336277</v>
      </c>
      <c r="G11" s="52" t="n">
        <f aca="false">G12*(1+$O$1)</f>
        <v>147.129445739503</v>
      </c>
      <c r="H11" s="15" t="n">
        <f aca="false">I11/G11</f>
        <v>181.147960210124</v>
      </c>
      <c r="I11" s="0" t="n">
        <f aca="false">I12</f>
        <v>26652.1989825572</v>
      </c>
      <c r="J11" s="85"/>
      <c r="K11" s="85"/>
      <c r="L11" s="85"/>
      <c r="M11" s="100" t="n">
        <f aca="false">N11*$K$5</f>
        <v>20.562189047071</v>
      </c>
      <c r="N11" s="101" t="n">
        <f aca="false">F11</f>
        <v>0.812205920336277</v>
      </c>
      <c r="O11" s="83" t="n">
        <f aca="false">$O$48/$G$48*G11</f>
        <v>2080.68509059002</v>
      </c>
      <c r="P11" s="102" t="n">
        <f aca="false">O11/F11</f>
        <v>2561.77040636266</v>
      </c>
      <c r="Q11" s="81" t="n">
        <f aca="false">(O11+P11*N11)*$K$5</f>
        <v>105351.214781642</v>
      </c>
      <c r="R11" s="85"/>
      <c r="S11" s="103" t="n">
        <f aca="false">$Q$48</f>
        <v>50632.9454938167</v>
      </c>
      <c r="T11" s="103" t="n">
        <f aca="false">$P$48*2*N11*$K$5</f>
        <v>219202.701871709</v>
      </c>
      <c r="U11" s="103" t="n">
        <f aca="false">($O$48+N11*$P$48)*$K$5</f>
        <v>134917.823682763</v>
      </c>
      <c r="V11" s="45" t="n">
        <f aca="false">S11/$Q11-1</f>
        <v>-0.519389068282106</v>
      </c>
      <c r="W11" s="45" t="n">
        <f aca="false">T11/$Q11-1</f>
        <v>1.08068509059002</v>
      </c>
      <c r="X11" s="45" t="n">
        <f aca="false">U11/$Q11-1</f>
        <v>0.280648011153957</v>
      </c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</row>
    <row r="12" customFormat="false" ht="15" hidden="false" customHeight="false" outlineLevel="0" collapsed="false">
      <c r="D12" s="97"/>
      <c r="E12" s="97"/>
      <c r="F12" s="99" t="n">
        <f aca="false">G12/H12</f>
        <v>0.780666974563895</v>
      </c>
      <c r="G12" s="52" t="n">
        <f aca="false">G13*(1+$O$1)</f>
        <v>144.244554646572</v>
      </c>
      <c r="H12" s="15" t="n">
        <f aca="false">I12/G12</f>
        <v>184.770919414327</v>
      </c>
      <c r="I12" s="0" t="n">
        <f aca="false">I13</f>
        <v>26652.1989825572</v>
      </c>
      <c r="J12" s="85"/>
      <c r="K12" s="85"/>
      <c r="L12" s="85"/>
      <c r="M12" s="100" t="n">
        <f aca="false">N12*$K$5</f>
        <v>19.7637341859582</v>
      </c>
      <c r="N12" s="101" t="n">
        <f aca="false">F12</f>
        <v>0.780666974563895</v>
      </c>
      <c r="O12" s="83" t="n">
        <f aca="false">$O$48/$G$48*G12</f>
        <v>2039.88734371571</v>
      </c>
      <c r="P12" s="102" t="n">
        <f aca="false">O12/F12</f>
        <v>2613.00581448991</v>
      </c>
      <c r="Q12" s="81" t="n">
        <f aca="false">(O12+P12*N12)*$K$5</f>
        <v>103285.504687884</v>
      </c>
      <c r="R12" s="85"/>
      <c r="S12" s="103" t="n">
        <f aca="false">$Q$48</f>
        <v>50632.9454938167</v>
      </c>
      <c r="T12" s="103" t="n">
        <f aca="false">$P$48*2*N12*$K$5</f>
        <v>210690.793802104</v>
      </c>
      <c r="U12" s="103" t="n">
        <f aca="false">($O$48+N12*$P$48)*$K$5</f>
        <v>130661.86964796</v>
      </c>
      <c r="V12" s="45" t="n">
        <f aca="false">S12/$Q12-1</f>
        <v>-0.509776849647748</v>
      </c>
      <c r="W12" s="45" t="n">
        <f aca="false">T12/$Q12-1</f>
        <v>1.03988734371571</v>
      </c>
      <c r="X12" s="45" t="n">
        <f aca="false">U12/$Q12-1</f>
        <v>0.265055247033979</v>
      </c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</row>
    <row r="13" customFormat="false" ht="15" hidden="false" customHeight="false" outlineLevel="0" collapsed="false">
      <c r="D13" s="97"/>
      <c r="E13" s="97"/>
      <c r="F13" s="99" t="n">
        <f aca="false">G13/H13</f>
        <v>0.750352724494325</v>
      </c>
      <c r="G13" s="52" t="n">
        <f aca="false">G14*(1+$O$1)</f>
        <v>141.416230045659</v>
      </c>
      <c r="H13" s="15" t="n">
        <f aca="false">I13/G13</f>
        <v>188.466337802613</v>
      </c>
      <c r="I13" s="0" t="n">
        <f aca="false">I14</f>
        <v>26652.1989825572</v>
      </c>
      <c r="J13" s="85"/>
      <c r="K13" s="85"/>
      <c r="L13" s="85"/>
      <c r="M13" s="100" t="n">
        <f aca="false">N13*$K$5</f>
        <v>18.996284300229</v>
      </c>
      <c r="N13" s="101" t="n">
        <f aca="false">F13</f>
        <v>0.750352724494325</v>
      </c>
      <c r="O13" s="83" t="n">
        <f aca="false">$O$48/$G$48*G13</f>
        <v>1999.88955266246</v>
      </c>
      <c r="P13" s="102" t="n">
        <f aca="false">O13/F13</f>
        <v>2665.26593077971</v>
      </c>
      <c r="Q13" s="81" t="n">
        <f aca="false">(O13+P13*N13)*$K$5</f>
        <v>101260.298713612</v>
      </c>
      <c r="R13" s="85"/>
      <c r="S13" s="103" t="n">
        <f aca="false">$Q$48</f>
        <v>50632.9454938167</v>
      </c>
      <c r="T13" s="103" t="n">
        <f aca="false">$P$48*2*N13*$K$5</f>
        <v>202509.413496832</v>
      </c>
      <c r="U13" s="103" t="n">
        <f aca="false">($O$48+N13*$P$48)*$K$5</f>
        <v>126571.179495324</v>
      </c>
      <c r="V13" s="45" t="n">
        <f aca="false">S13/$Q13-1</f>
        <v>-0.499972386640703</v>
      </c>
      <c r="W13" s="45" t="n">
        <f aca="false">T13/$Q13-1</f>
        <v>0.999889552662457</v>
      </c>
      <c r="X13" s="45" t="n">
        <f aca="false">U13/$Q13-1</f>
        <v>0.249958583010877</v>
      </c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</row>
    <row r="14" customFormat="false" ht="15" hidden="false" customHeight="false" outlineLevel="0" collapsed="false">
      <c r="F14" s="99" t="n">
        <f aca="false">G14/H14</f>
        <v>0.721215613700812</v>
      </c>
      <c r="G14" s="52" t="n">
        <f aca="false">G15*(1+$O$1)</f>
        <v>138.643362789861</v>
      </c>
      <c r="H14" s="15" t="n">
        <f aca="false">I14/G14</f>
        <v>192.235664558666</v>
      </c>
      <c r="I14" s="0" t="n">
        <f aca="false">I15</f>
        <v>26652.1989825572</v>
      </c>
      <c r="J14" s="85"/>
      <c r="K14" s="85"/>
      <c r="L14" s="85"/>
      <c r="M14" s="100" t="n">
        <f aca="false">N14*$K$5</f>
        <v>18.2586354289014</v>
      </c>
      <c r="N14" s="101" t="n">
        <f aca="false">F14</f>
        <v>0.721215613700812</v>
      </c>
      <c r="O14" s="83" t="n">
        <f aca="false">$O$48/$G$48*G14</f>
        <v>1960.67603202202</v>
      </c>
      <c r="P14" s="102" t="n">
        <f aca="false">O14/F14</f>
        <v>2718.5712493953</v>
      </c>
      <c r="Q14" s="81" t="n">
        <f aca="false">(O14+P14*N14)*$K$5</f>
        <v>99274.8026604036</v>
      </c>
      <c r="R14" s="85"/>
      <c r="S14" s="103" t="n">
        <f aca="false">$Q$48</f>
        <v>50632.9454938167</v>
      </c>
      <c r="T14" s="103" t="n">
        <f aca="false">$P$48*2*N14*$K$5</f>
        <v>194645.726159969</v>
      </c>
      <c r="U14" s="103" t="n">
        <f aca="false">($O$48+N14*$P$48)*$K$5</f>
        <v>122639.335826893</v>
      </c>
      <c r="V14" s="45" t="n">
        <f aca="false">S14/$Q14-1</f>
        <v>-0.489971834373517</v>
      </c>
      <c r="W14" s="45" t="n">
        <f aca="false">T14/$Q14-1</f>
        <v>0.960676032022016</v>
      </c>
      <c r="X14" s="45" t="n">
        <f aca="false">U14/$Q14-1</f>
        <v>0.235352098824249</v>
      </c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</row>
    <row r="15" customFormat="false" ht="15" hidden="false" customHeight="false" outlineLevel="0" collapsed="false">
      <c r="F15" s="99" t="n">
        <f aca="false">G15/H15</f>
        <v>0.693209932430615</v>
      </c>
      <c r="G15" s="52" t="n">
        <f aca="false">G16*(1+$O$1)</f>
        <v>135.924865480256</v>
      </c>
      <c r="H15" s="15" t="n">
        <f aca="false">I15/G15</f>
        <v>196.080377849839</v>
      </c>
      <c r="I15" s="0" t="n">
        <f aca="false">I16</f>
        <v>26652.1989825572</v>
      </c>
      <c r="J15" s="85"/>
      <c r="K15" s="85"/>
      <c r="L15" s="85"/>
      <c r="M15" s="100" t="n">
        <f aca="false">N15*$K$5</f>
        <v>17.5496303622658</v>
      </c>
      <c r="N15" s="101" t="n">
        <f aca="false">F15</f>
        <v>0.693209932430615</v>
      </c>
      <c r="O15" s="83" t="n">
        <f aca="false">$O$48/$G$48*G15</f>
        <v>1922.23140394315</v>
      </c>
      <c r="P15" s="102" t="n">
        <f aca="false">O15/F15</f>
        <v>2772.94267438321</v>
      </c>
      <c r="Q15" s="81" t="n">
        <f aca="false">(O15+P15*N15)*$K$5</f>
        <v>97328.2379023564</v>
      </c>
      <c r="R15" s="85"/>
      <c r="S15" s="103" t="n">
        <f aca="false">$Q$48</f>
        <v>50632.9454938167</v>
      </c>
      <c r="T15" s="103" t="n">
        <f aca="false">$P$48*2*N15*$K$5</f>
        <v>187087.39538636</v>
      </c>
      <c r="U15" s="103" t="n">
        <f aca="false">($O$48+N15*$P$48)*$K$5</f>
        <v>118860.170440088</v>
      </c>
      <c r="V15" s="45" t="n">
        <f aca="false">S15/$Q15-1</f>
        <v>-0.479771271060988</v>
      </c>
      <c r="W15" s="45" t="n">
        <f aca="false">T15/$Q15-1</f>
        <v>0.922231403943153</v>
      </c>
      <c r="X15" s="45" t="n">
        <f aca="false">U15/$Q15-1</f>
        <v>0.221230066441083</v>
      </c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</row>
    <row r="16" customFormat="false" ht="15" hidden="false" customHeight="false" outlineLevel="0" collapsed="false">
      <c r="F16" s="99" t="n">
        <f aca="false">G16/H16</f>
        <v>0.6662917458964</v>
      </c>
      <c r="G16" s="52" t="n">
        <f aca="false">G17*(1+$O$1)</f>
        <v>133.259672039467</v>
      </c>
      <c r="H16" s="15" t="n">
        <f aca="false">I16/G16</f>
        <v>200.001985406836</v>
      </c>
      <c r="I16" s="0" t="n">
        <f aca="false">I17</f>
        <v>26652.1989825572</v>
      </c>
      <c r="J16" s="85"/>
      <c r="K16" s="85"/>
      <c r="L16" s="85"/>
      <c r="M16" s="100" t="n">
        <f aca="false">N16*$K$5</f>
        <v>16.8681568264762</v>
      </c>
      <c r="N16" s="101" t="n">
        <f aca="false">F16</f>
        <v>0.6662917458964</v>
      </c>
      <c r="O16" s="83" t="n">
        <f aca="false">$O$48/$G$48*G16</f>
        <v>1884.54059210113</v>
      </c>
      <c r="P16" s="102" t="n">
        <f aca="false">O16/F16</f>
        <v>2828.40152787087</v>
      </c>
      <c r="Q16" s="81" t="n">
        <f aca="false">(O16+P16*N16)*$K$5</f>
        <v>95419.8410807416</v>
      </c>
      <c r="R16" s="85"/>
      <c r="S16" s="103" t="n">
        <f aca="false">$Q$48</f>
        <v>50632.9454938167</v>
      </c>
      <c r="T16" s="103" t="n">
        <f aca="false">$P$48*2*N16*$K$5</f>
        <v>179822.563808497</v>
      </c>
      <c r="U16" s="103" t="n">
        <f aca="false">($O$48+N16*$P$48)*$K$5</f>
        <v>115227.754651157</v>
      </c>
      <c r="V16" s="45" t="n">
        <f aca="false">S16/$Q16-1</f>
        <v>-0.469366696482207</v>
      </c>
      <c r="W16" s="45" t="n">
        <f aca="false">T16/$Q16-1</f>
        <v>0.884540592101131</v>
      </c>
      <c r="X16" s="45" t="n">
        <f aca="false">U16/$Q16-1</f>
        <v>0.207586947809462</v>
      </c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</row>
    <row r="17" customFormat="false" ht="15" hidden="false" customHeight="false" outlineLevel="0" collapsed="false">
      <c r="F17" s="99" t="n">
        <f aca="false">G17/H17</f>
        <v>0.640418825352172</v>
      </c>
      <c r="G17" s="52" t="n">
        <f aca="false">G18*(1+$O$1)</f>
        <v>130.646737293595</v>
      </c>
      <c r="H17" s="15" t="n">
        <f aca="false">I17/G17</f>
        <v>204.002025114973</v>
      </c>
      <c r="I17" s="0" t="n">
        <f aca="false">I18</f>
        <v>26652.1989825572</v>
      </c>
      <c r="K17" s="85"/>
      <c r="L17" s="85"/>
      <c r="M17" s="100" t="n">
        <f aca="false">N17*$K$5</f>
        <v>16.2131457386353</v>
      </c>
      <c r="N17" s="101" t="n">
        <f aca="false">F17</f>
        <v>0.640418825352172</v>
      </c>
      <c r="O17" s="83" t="n">
        <f aca="false">$O$48/$G$48*G17</f>
        <v>1847.58881578542</v>
      </c>
      <c r="P17" s="102" t="n">
        <f aca="false">O17/F17</f>
        <v>2884.96955842829</v>
      </c>
      <c r="Q17" s="81" t="n">
        <f aca="false">(O17+P17*N17)*$K$5</f>
        <v>93548.8638046486</v>
      </c>
      <c r="R17" s="85"/>
      <c r="S17" s="103" t="n">
        <f aca="false">$Q$48</f>
        <v>50632.9454938167</v>
      </c>
      <c r="T17" s="103" t="n">
        <f aca="false">$P$48*2*N17*$K$5</f>
        <v>172839.834494902</v>
      </c>
      <c r="U17" s="103" t="n">
        <f aca="false">($O$48+N17*$P$48)*$K$5</f>
        <v>111736.38999436</v>
      </c>
      <c r="V17" s="45" t="n">
        <f aca="false">S17/$Q17-1</f>
        <v>-0.458754030411851</v>
      </c>
      <c r="W17" s="45" t="n">
        <f aca="false">T17/$Q17-1</f>
        <v>0.847588815785422</v>
      </c>
      <c r="X17" s="45" t="n">
        <f aca="false">U17/$Q17-1</f>
        <v>0.194417392686785</v>
      </c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</row>
    <row r="18" customFormat="false" ht="15" hidden="false" customHeight="false" outlineLevel="0" collapsed="false">
      <c r="F18" s="99" t="n">
        <f aca="false">G18/H18</f>
        <v>0.61555058184561</v>
      </c>
      <c r="G18" s="52" t="n">
        <f aca="false">G19*(1+$O$1)</f>
        <v>128.085036562348</v>
      </c>
      <c r="H18" s="15" t="n">
        <f aca="false">I18/G18</f>
        <v>208.082065617272</v>
      </c>
      <c r="I18" s="0" t="n">
        <f aca="false">I19</f>
        <v>26652.1989825572</v>
      </c>
      <c r="J18" s="85"/>
      <c r="K18" s="85"/>
      <c r="L18" s="85"/>
      <c r="M18" s="100" t="n">
        <f aca="false">N18*$K$5</f>
        <v>15.583569529638</v>
      </c>
      <c r="N18" s="101" t="n">
        <f aca="false">F18</f>
        <v>0.61555058184561</v>
      </c>
      <c r="O18" s="83" t="n">
        <f aca="false">$O$48/$G$48*G18</f>
        <v>1811.36158410336</v>
      </c>
      <c r="P18" s="102" t="n">
        <f aca="false">O18/F18</f>
        <v>2942.66894959686</v>
      </c>
      <c r="Q18" s="81" t="n">
        <f aca="false">(O18+P18*N18)*$K$5</f>
        <v>91714.5723574987</v>
      </c>
      <c r="R18" s="85"/>
      <c r="S18" s="103" t="n">
        <f aca="false">$Q$48</f>
        <v>50632.9454938167</v>
      </c>
      <c r="T18" s="103" t="n">
        <f aca="false">$P$48*2*N18*$K$5</f>
        <v>166128.253070841</v>
      </c>
      <c r="U18" s="103" t="n">
        <f aca="false">($O$48+N18*$P$48)*$K$5</f>
        <v>108380.599282329</v>
      </c>
      <c r="V18" s="45" t="n">
        <f aca="false">S18/$Q18-1</f>
        <v>-0.447929111020089</v>
      </c>
      <c r="W18" s="45" t="n">
        <f aca="false">T18/$Q18-1</f>
        <v>0.811361584103355</v>
      </c>
      <c r="X18" s="45" t="n">
        <f aca="false">U18/$Q18-1</f>
        <v>0.181716236541633</v>
      </c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</row>
    <row r="19" customFormat="false" ht="15" hidden="false" customHeight="false" outlineLevel="0" collapsed="false">
      <c r="F19" s="99" t="n">
        <f aca="false">G19/H19</f>
        <v>0.591648002542877</v>
      </c>
      <c r="G19" s="52" t="n">
        <f aca="false">G20*(1+$O$1)</f>
        <v>125.573565257204</v>
      </c>
      <c r="H19" s="15" t="n">
        <f aca="false">I19/G19</f>
        <v>212.243706929617</v>
      </c>
      <c r="I19" s="0" t="n">
        <f aca="false">I20</f>
        <v>26652.1989825572</v>
      </c>
      <c r="J19" s="85"/>
      <c r="K19" s="85"/>
      <c r="L19" s="85"/>
      <c r="M19" s="100" t="n">
        <f aca="false">N19*$K$5</f>
        <v>14.9784405321395</v>
      </c>
      <c r="N19" s="101" t="n">
        <f aca="false">F19</f>
        <v>0.591648002542877</v>
      </c>
      <c r="O19" s="83" t="n">
        <f aca="false">$O$48/$G$48*G19</f>
        <v>1775.84469029741</v>
      </c>
      <c r="P19" s="102" t="n">
        <f aca="false">O19/F19</f>
        <v>3001.52232858879</v>
      </c>
      <c r="Q19" s="81" t="n">
        <f aca="false">(O19+P19*N19)*$K$5</f>
        <v>89916.2474093124</v>
      </c>
      <c r="R19" s="85"/>
      <c r="S19" s="103" t="n">
        <f aca="false">$Q$48</f>
        <v>50632.9454938167</v>
      </c>
      <c r="T19" s="103" t="n">
        <f aca="false">$P$48*2*N19*$K$5</f>
        <v>159677.290533295</v>
      </c>
      <c r="U19" s="103" t="n">
        <f aca="false">($O$48+N19*$P$48)*$K$5</f>
        <v>105155.118013556</v>
      </c>
      <c r="V19" s="45" t="n">
        <f aca="false">S19/$Q19-1</f>
        <v>-0.43688769324049</v>
      </c>
      <c r="W19" s="45" t="n">
        <f aca="false">T19/$Q19-1</f>
        <v>0.775844690297407</v>
      </c>
      <c r="X19" s="45" t="n">
        <f aca="false">U19/$Q19-1</f>
        <v>0.169478498528458</v>
      </c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</row>
    <row r="20" customFormat="false" ht="15" hidden="false" customHeight="false" outlineLevel="0" collapsed="false">
      <c r="F20" s="99" t="n">
        <f aca="false">G20/H20</f>
        <v>0.568673589526026</v>
      </c>
      <c r="G20" s="52" t="n">
        <f aca="false">G21*(1+$O$1)</f>
        <v>123.111338487455</v>
      </c>
      <c r="H20" s="15" t="n">
        <f aca="false">I20/G20</f>
        <v>216.48858106821</v>
      </c>
      <c r="I20" s="0" t="n">
        <f aca="false">I21</f>
        <v>26652.1989825572</v>
      </c>
      <c r="J20" s="85"/>
      <c r="K20" s="85"/>
      <c r="L20" s="85"/>
      <c r="M20" s="100" t="n">
        <f aca="false">N20*$K$5</f>
        <v>14.3968094311222</v>
      </c>
      <c r="N20" s="101" t="n">
        <f aca="false">F20</f>
        <v>0.568673589526026</v>
      </c>
      <c r="O20" s="83" t="n">
        <f aca="false">$O$48/$G$48*G20</f>
        <v>1741.02420617393</v>
      </c>
      <c r="P20" s="102" t="n">
        <f aca="false">O20/F20</f>
        <v>3061.55277516057</v>
      </c>
      <c r="Q20" s="81" t="n">
        <f aca="false">(O20+P20*N20)*$K$5</f>
        <v>88153.18373462</v>
      </c>
      <c r="R20" s="85"/>
      <c r="S20" s="103" t="n">
        <f aca="false">$Q$48</f>
        <v>50632.9454938167</v>
      </c>
      <c r="T20" s="103" t="n">
        <f aca="false">$P$48*2*N20*$K$5</f>
        <v>153476.826733271</v>
      </c>
      <c r="U20" s="103" t="n">
        <f aca="false">($O$48+N20*$P$48)*$K$5</f>
        <v>102054.886113544</v>
      </c>
      <c r="V20" s="45" t="n">
        <f aca="false">S20/$Q20-1</f>
        <v>-0.4256254471053</v>
      </c>
      <c r="W20" s="45" t="n">
        <f aca="false">T20/$Q20-1</f>
        <v>0.741024206173928</v>
      </c>
      <c r="X20" s="45" t="n">
        <f aca="false">U20/$Q20-1</f>
        <v>0.157699379534314</v>
      </c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</row>
    <row r="21" customFormat="false" ht="15" hidden="false" customHeight="false" outlineLevel="0" collapsed="false">
      <c r="F21" s="99" t="n">
        <f aca="false">G21/H21</f>
        <v>0.546591300966961</v>
      </c>
      <c r="G21" s="52" t="n">
        <f aca="false">G22*(1+$O$1)</f>
        <v>120.697390673975</v>
      </c>
      <c r="H21" s="15" t="n">
        <f aca="false">I21/G21</f>
        <v>220.818352689574</v>
      </c>
      <c r="I21" s="0" t="n">
        <f aca="false">I22</f>
        <v>26652.1989825572</v>
      </c>
      <c r="J21" s="85"/>
      <c r="K21" s="85"/>
      <c r="L21" s="85"/>
      <c r="M21" s="100" t="n">
        <f aca="false">N21*$K$5</f>
        <v>13.8377637746272</v>
      </c>
      <c r="N21" s="101" t="n">
        <f aca="false">F21</f>
        <v>0.546591300966961</v>
      </c>
      <c r="O21" s="83" t="n">
        <f aca="false">$O$48/$G$48*G21</f>
        <v>1706.88647664111</v>
      </c>
      <c r="P21" s="102" t="n">
        <f aca="false">O21/F21</f>
        <v>3122.78383066378</v>
      </c>
      <c r="Q21" s="81" t="n">
        <f aca="false">(O21+P21*N21)*$K$5</f>
        <v>86424.689935902</v>
      </c>
      <c r="R21" s="85"/>
      <c r="S21" s="103" t="n">
        <f aca="false">$Q$48</f>
        <v>50632.9454938167</v>
      </c>
      <c r="T21" s="103" t="n">
        <f aca="false">$P$48*2*N21*$K$5</f>
        <v>147517.134499492</v>
      </c>
      <c r="U21" s="103" t="n">
        <f aca="false">($O$48+N21*$P$48)*$K$5</f>
        <v>99075.0399966542</v>
      </c>
      <c r="V21" s="45" t="n">
        <f aca="false">S21/$Q21-1</f>
        <v>-0.414137956047406</v>
      </c>
      <c r="W21" s="45" t="n">
        <f aca="false">T21/$Q21-1</f>
        <v>0.706886476641106</v>
      </c>
      <c r="X21" s="45" t="n">
        <f aca="false">U21/$Q21-1</f>
        <v>0.14637426029685</v>
      </c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</row>
    <row r="22" customFormat="false" ht="15" hidden="false" customHeight="false" outlineLevel="0" collapsed="false">
      <c r="F22" s="99" t="n">
        <f aca="false">G22/H22</f>
        <v>0.525366494585699</v>
      </c>
      <c r="G22" s="52" t="n">
        <f aca="false">G23*(1+$O$1)</f>
        <v>118.330775170564</v>
      </c>
      <c r="H22" s="15" t="n">
        <f aca="false">I22/G22</f>
        <v>225.234719743365</v>
      </c>
      <c r="I22" s="0" t="n">
        <f aca="false">I23</f>
        <v>26652.1989825572</v>
      </c>
      <c r="J22" s="85"/>
      <c r="K22" s="85"/>
      <c r="L22" s="85"/>
      <c r="M22" s="100" t="n">
        <f aca="false">N22*$K$5</f>
        <v>13.3004265423176</v>
      </c>
      <c r="N22" s="101" t="n">
        <f aca="false">F22</f>
        <v>0.525366494585699</v>
      </c>
      <c r="O22" s="83" t="n">
        <f aca="false">$O$48/$G$48*G22</f>
        <v>1673.41811435403</v>
      </c>
      <c r="P22" s="102" t="n">
        <f aca="false">O22/F22</f>
        <v>3185.23950727706</v>
      </c>
      <c r="Q22" s="81" t="n">
        <f aca="false">(O22+P22*N22)*$K$5</f>
        <v>84730.0881724529</v>
      </c>
      <c r="R22" s="85"/>
      <c r="S22" s="103" t="n">
        <f aca="false">$Q$48</f>
        <v>50632.9454938167</v>
      </c>
      <c r="T22" s="103" t="n">
        <f aca="false">$P$48*2*N22*$K$5</f>
        <v>141788.864378596</v>
      </c>
      <c r="U22" s="103" t="n">
        <f aca="false">($O$48+N22*$P$48)*$K$5</f>
        <v>96210.9049362066</v>
      </c>
      <c r="V22" s="45" t="n">
        <f aca="false">S22/$Q22-1</f>
        <v>-0.402420715168354</v>
      </c>
      <c r="W22" s="45" t="n">
        <f aca="false">T22/$Q22-1</f>
        <v>0.673418114354025</v>
      </c>
      <c r="X22" s="45" t="n">
        <f aca="false">U22/$Q22-1</f>
        <v>0.135498699592836</v>
      </c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</row>
    <row r="23" customFormat="false" ht="15" hidden="false" customHeight="false" outlineLevel="0" collapsed="false">
      <c r="F23" s="99" t="n">
        <f aca="false">G23/H23</f>
        <v>0.504965873304209</v>
      </c>
      <c r="G23" s="52" t="n">
        <f aca="false">G24*(1+$O$1)</f>
        <v>116.01056389271</v>
      </c>
      <c r="H23" s="15" t="n">
        <f aca="false">I23/G23</f>
        <v>229.739414138233</v>
      </c>
      <c r="I23" s="0" t="n">
        <f aca="false">I24</f>
        <v>26652.1989825572</v>
      </c>
      <c r="J23" s="85"/>
      <c r="K23" s="85"/>
      <c r="L23" s="85"/>
      <c r="M23" s="100" t="n">
        <f aca="false">N23*$K$5</f>
        <v>12.7839547696248</v>
      </c>
      <c r="N23" s="101" t="n">
        <f aca="false">F23</f>
        <v>0.504965873304209</v>
      </c>
      <c r="O23" s="83" t="n">
        <f aca="false">$O$48/$G$48*G23</f>
        <v>1640.60599446473</v>
      </c>
      <c r="P23" s="102" t="n">
        <f aca="false">O23/F23</f>
        <v>3248.9442974226</v>
      </c>
      <c r="Q23" s="81" t="n">
        <f aca="false">(O23+P23*N23)*$K$5</f>
        <v>83068.7138945617</v>
      </c>
      <c r="R23" s="85"/>
      <c r="S23" s="103" t="n">
        <f aca="false">$Q$48</f>
        <v>50632.9454938167</v>
      </c>
      <c r="T23" s="103" t="n">
        <f aca="false">$P$48*2*N23*$K$5</f>
        <v>136283.029967894</v>
      </c>
      <c r="U23" s="103" t="n">
        <f aca="false">($O$48+N23*$P$48)*$K$5</f>
        <v>93457.9877308552</v>
      </c>
      <c r="V23" s="45" t="n">
        <f aca="false">S23/$Q23-1</f>
        <v>-0.390469129471721</v>
      </c>
      <c r="W23" s="45" t="n">
        <f aca="false">T23/$Q23-1</f>
        <v>0.640605994464731</v>
      </c>
      <c r="X23" s="45" t="n">
        <f aca="false">U23/$Q23-1</f>
        <v>0.125068432496505</v>
      </c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</row>
    <row r="24" customFormat="false" ht="15" hidden="false" customHeight="false" outlineLevel="0" collapsed="false">
      <c r="F24" s="99" t="n">
        <f aca="false">G24/H24</f>
        <v>0.485357433010581</v>
      </c>
      <c r="G24" s="52" t="n">
        <f aca="false">G25*(1+$O$1)</f>
        <v>113.735846953637</v>
      </c>
      <c r="H24" s="15" t="n">
        <f aca="false">I24/G24</f>
        <v>234.334202420997</v>
      </c>
      <c r="I24" s="0" t="n">
        <f aca="false">I25</f>
        <v>26652.1989825572</v>
      </c>
      <c r="J24" s="85"/>
      <c r="K24" s="85"/>
      <c r="L24" s="85"/>
      <c r="M24" s="100" t="n">
        <f aca="false">N24*$K$5</f>
        <v>12.2875382253218</v>
      </c>
      <c r="N24" s="101" t="n">
        <f aca="false">F24</f>
        <v>0.485357433010581</v>
      </c>
      <c r="O24" s="83" t="n">
        <f aca="false">$O$48/$G$48*G24</f>
        <v>1608.43724947523</v>
      </c>
      <c r="P24" s="102" t="n">
        <f aca="false">O24/F24</f>
        <v>3313.92318337105</v>
      </c>
      <c r="Q24" s="81" t="n">
        <f aca="false">(O24+P24*N24)*$K$5</f>
        <v>81439.9155829036</v>
      </c>
      <c r="R24" s="85"/>
      <c r="S24" s="103" t="n">
        <f aca="false">$Q$48</f>
        <v>50632.9454938167</v>
      </c>
      <c r="T24" s="103" t="n">
        <f aca="false">$P$48*2*N24*$K$5</f>
        <v>130990.99381766</v>
      </c>
      <c r="U24" s="103" t="n">
        <f aca="false">($O$48+N24*$P$48)*$K$5</f>
        <v>90811.9696557384</v>
      </c>
      <c r="V24" s="45" t="n">
        <f aca="false">S24/$Q24-1</f>
        <v>-0.378278512061156</v>
      </c>
      <c r="W24" s="45" t="n">
        <f aca="false">T24/$Q24-1</f>
        <v>0.608437249475226</v>
      </c>
      <c r="X24" s="45" t="n">
        <f aca="false">U24/$Q24-1</f>
        <v>0.115079368707035</v>
      </c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</row>
    <row r="25" customFormat="false" ht="15" hidden="false" customHeight="false" outlineLevel="0" collapsed="false">
      <c r="F25" s="99" t="n">
        <f aca="false">G25/H25</f>
        <v>0.466510412351577</v>
      </c>
      <c r="G25" s="52" t="n">
        <f aca="false">G26*(1+$O$1)</f>
        <v>111.505732307487</v>
      </c>
      <c r="H25" s="15" t="n">
        <f aca="false">I25/G25</f>
        <v>239.020886469417</v>
      </c>
      <c r="I25" s="0" t="n">
        <f aca="false">I26</f>
        <v>26652.1989825572</v>
      </c>
      <c r="J25" s="85"/>
      <c r="K25" s="85"/>
      <c r="L25" s="85"/>
      <c r="M25" s="100" t="n">
        <f aca="false">N25*$K$5</f>
        <v>11.8103981404477</v>
      </c>
      <c r="N25" s="101" t="n">
        <f aca="false">F25</f>
        <v>0.466510412351577</v>
      </c>
      <c r="O25" s="83" t="n">
        <f aca="false">$O$48/$G$48*G25</f>
        <v>1576.8992641914</v>
      </c>
      <c r="P25" s="102" t="n">
        <f aca="false">O25/F25</f>
        <v>3380.20164703847</v>
      </c>
      <c r="Q25" s="81" t="n">
        <f aca="false">(O25+P25*N25)*$K$5</f>
        <v>79843.0544930428</v>
      </c>
      <c r="R25" s="85"/>
      <c r="S25" s="103" t="n">
        <f aca="false">$Q$48</f>
        <v>50632.9454938167</v>
      </c>
      <c r="T25" s="103" t="n">
        <f aca="false">$P$48*2*N25*$K$5</f>
        <v>125904.453880873</v>
      </c>
      <c r="U25" s="103" t="n">
        <f aca="false">($O$48+N25*$P$48)*$K$5</f>
        <v>88268.6996873448</v>
      </c>
      <c r="V25" s="45" t="n">
        <f aca="false">S25/$Q25-1</f>
        <v>-0.365844082302379</v>
      </c>
      <c r="W25" s="45" t="n">
        <f aca="false">T25/$Q25-1</f>
        <v>0.576899264191398</v>
      </c>
      <c r="X25" s="45" t="n">
        <f aca="false">U25/$Q25-1</f>
        <v>0.10552759094451</v>
      </c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</row>
    <row r="26" customFormat="false" ht="15" hidden="false" customHeight="false" outlineLevel="0" collapsed="false">
      <c r="F26" s="99" t="n">
        <f aca="false">G26/H26</f>
        <v>0.448395244474796</v>
      </c>
      <c r="G26" s="52" t="n">
        <f aca="false">G27*(1+$O$1)</f>
        <v>109.319345399498</v>
      </c>
      <c r="H26" s="15" t="n">
        <f aca="false">I26/G26</f>
        <v>243.801304198806</v>
      </c>
      <c r="I26" s="0" t="n">
        <f aca="false">I27</f>
        <v>26652.1989825572</v>
      </c>
      <c r="J26" s="85"/>
      <c r="K26" s="85"/>
      <c r="L26" s="85"/>
      <c r="M26" s="100" t="n">
        <f aca="false">N26*$K$5</f>
        <v>11.3517859865895</v>
      </c>
      <c r="N26" s="101" t="n">
        <f aca="false">F26</f>
        <v>0.448395244474796</v>
      </c>
      <c r="O26" s="83" t="n">
        <f aca="false">$O$48/$G$48*G26</f>
        <v>1545.97967077588</v>
      </c>
      <c r="P26" s="102" t="n">
        <f aca="false">O26/F26</f>
        <v>3447.80567997924</v>
      </c>
      <c r="Q26" s="81" t="n">
        <f aca="false">(O26+P26*N26)*$K$5</f>
        <v>78277.5044049439</v>
      </c>
      <c r="R26" s="85"/>
      <c r="S26" s="103" t="n">
        <f aca="false">$Q$48</f>
        <v>50632.9454938167</v>
      </c>
      <c r="T26" s="103" t="n">
        <f aca="false">$P$48*2*N26*$K$5</f>
        <v>121015.430489113</v>
      </c>
      <c r="U26" s="103" t="n">
        <f aca="false">($O$48+N26*$P$48)*$K$5</f>
        <v>85824.1879914647</v>
      </c>
      <c r="V26" s="45" t="n">
        <f aca="false">S26/$Q26-1</f>
        <v>-0.353160963948426</v>
      </c>
      <c r="W26" s="45" t="n">
        <f aca="false">T26/$Q26-1</f>
        <v>0.545979670775881</v>
      </c>
      <c r="X26" s="45" t="n">
        <f aca="false">U26/$Q26-1</f>
        <v>0.0964093534137271</v>
      </c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</row>
    <row r="27" customFormat="false" ht="15" hidden="false" customHeight="false" outlineLevel="0" collapsed="false">
      <c r="F27" s="99" t="n">
        <f aca="false">G27/H27</f>
        <v>0.430983510644748</v>
      </c>
      <c r="G27" s="52" t="n">
        <f aca="false">G28*(1+$O$1)</f>
        <v>107.175828823037</v>
      </c>
      <c r="H27" s="15" t="n">
        <f aca="false">I27/G27</f>
        <v>248.677330282782</v>
      </c>
      <c r="I27" s="0" t="n">
        <f aca="false">I28</f>
        <v>26652.1989825572</v>
      </c>
      <c r="J27" s="85"/>
      <c r="K27" s="85"/>
      <c r="L27" s="85"/>
      <c r="M27" s="100" t="n">
        <f aca="false">N27*$K$5</f>
        <v>10.9109823016046</v>
      </c>
      <c r="N27" s="101" t="n">
        <f aca="false">F27</f>
        <v>0.430983510644748</v>
      </c>
      <c r="O27" s="83" t="n">
        <f aca="false">$O$48/$G$48*G27</f>
        <v>1515.66634389792</v>
      </c>
      <c r="P27" s="102" t="n">
        <f aca="false">O27/F27</f>
        <v>3516.76179357883</v>
      </c>
      <c r="Q27" s="81" t="n">
        <f aca="false">(O27+P27*N27)*$K$5</f>
        <v>76742.6513773959</v>
      </c>
      <c r="R27" s="85"/>
      <c r="S27" s="103" t="n">
        <f aca="false">$Q$48</f>
        <v>50632.9454938167</v>
      </c>
      <c r="T27" s="103" t="n">
        <f aca="false">$P$48*2*N27*$K$5</f>
        <v>116316.253834211</v>
      </c>
      <c r="U27" s="103" t="n">
        <f aca="false">($O$48+N27*$P$48)*$K$5</f>
        <v>83474.5996640136</v>
      </c>
      <c r="V27" s="45" t="n">
        <f aca="false">S27/$Q27-1</f>
        <v>-0.340224183227395</v>
      </c>
      <c r="W27" s="45" t="n">
        <f aca="false">T27/$Q27-1</f>
        <v>0.515666343897922</v>
      </c>
      <c r="X27" s="45" t="n">
        <f aca="false">U27/$Q27-1</f>
        <v>0.0877210803352637</v>
      </c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</row>
    <row r="28" customFormat="false" ht="15" hidden="false" customHeight="false" outlineLevel="0" collapsed="false">
      <c r="F28" s="99" t="n">
        <f aca="false">G28/H28</f>
        <v>0.41424789566008</v>
      </c>
      <c r="G28" s="52" t="n">
        <f aca="false">G29*(1+$O$1)</f>
        <v>105.074341983369</v>
      </c>
      <c r="H28" s="15" t="n">
        <f aca="false">I28/G28</f>
        <v>253.650876888437</v>
      </c>
      <c r="I28" s="0" t="n">
        <f aca="false">I29</f>
        <v>26652.1989825572</v>
      </c>
      <c r="J28" s="85"/>
      <c r="K28" s="85"/>
      <c r="L28" s="85"/>
      <c r="M28" s="100" t="n">
        <f aca="false">N28*$K$5</f>
        <v>10.4872955609426</v>
      </c>
      <c r="N28" s="101" t="n">
        <f aca="false">F28</f>
        <v>0.41424789566008</v>
      </c>
      <c r="O28" s="83" t="n">
        <f aca="false">$O$48/$G$48*G28</f>
        <v>1485.94739597836</v>
      </c>
      <c r="P28" s="102" t="n">
        <f aca="false">O28/F28</f>
        <v>3587.0970294504</v>
      </c>
      <c r="Q28" s="81" t="n">
        <f aca="false">(O28+P28*N28)*$K$5</f>
        <v>75237.8935072509</v>
      </c>
      <c r="R28" s="85"/>
      <c r="S28" s="103" t="n">
        <f aca="false">$Q$48</f>
        <v>50632.9454938167</v>
      </c>
      <c r="T28" s="103" t="n">
        <f aca="false">$P$48*2*N28*$K$5</f>
        <v>111799.551935996</v>
      </c>
      <c r="U28" s="103" t="n">
        <f aca="false">($O$48+N28*$P$48)*$K$5</f>
        <v>81216.2487149065</v>
      </c>
      <c r="V28" s="45" t="n">
        <f aca="false">S28/$Q28-1</f>
        <v>-0.327028666891943</v>
      </c>
      <c r="W28" s="45" t="n">
        <f aca="false">T28/$Q28-1</f>
        <v>0.485947395978355</v>
      </c>
      <c r="X28" s="45" t="n">
        <f aca="false">U28/$Q28-1</f>
        <v>0.079459364543206</v>
      </c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</row>
    <row r="29" customFormat="false" ht="15" hidden="false" customHeight="false" outlineLevel="0" collapsed="false">
      <c r="F29" s="99" t="n">
        <f aca="false">G29/H29</f>
        <v>0.398162145002</v>
      </c>
      <c r="G29" s="52" t="n">
        <f aca="false">G30*(1+$O$1)</f>
        <v>103.014060768009</v>
      </c>
      <c r="H29" s="15" t="n">
        <f aca="false">I29/G29</f>
        <v>258.723894426206</v>
      </c>
      <c r="I29" s="0" t="n">
        <f aca="false">I30</f>
        <v>26652.1989825572</v>
      </c>
      <c r="J29" s="85"/>
      <c r="K29" s="85"/>
      <c r="L29" s="85"/>
      <c r="M29" s="100" t="n">
        <f aca="false">N29*$K$5</f>
        <v>10.0800610927937</v>
      </c>
      <c r="N29" s="101" t="n">
        <f aca="false">F29</f>
        <v>0.398162145002</v>
      </c>
      <c r="O29" s="83" t="n">
        <f aca="false">$O$48/$G$48*G29</f>
        <v>1456.8111725278</v>
      </c>
      <c r="P29" s="102" t="n">
        <f aca="false">O29/F29</f>
        <v>3658.83897003941</v>
      </c>
      <c r="Q29" s="81" t="n">
        <f aca="false">(O29+P29*N29)*$K$5</f>
        <v>73762.6406933832</v>
      </c>
      <c r="R29" s="85"/>
      <c r="S29" s="103" t="n">
        <f aca="false">$Q$48</f>
        <v>50632.9454938167</v>
      </c>
      <c r="T29" s="103" t="n">
        <f aca="false">$P$48*2*N29*$K$5</f>
        <v>107458.239077274</v>
      </c>
      <c r="U29" s="103" t="n">
        <f aca="false">($O$48+N29*$P$48)*$K$5</f>
        <v>79045.5922855456</v>
      </c>
      <c r="V29" s="45" t="n">
        <f aca="false">S29/$Q29-1</f>
        <v>-0.313569240229781</v>
      </c>
      <c r="W29" s="45" t="n">
        <f aca="false">T29/$Q29-1</f>
        <v>0.456811172527799</v>
      </c>
      <c r="X29" s="45" t="n">
        <f aca="false">U29/$Q29-1</f>
        <v>0.0716209661490088</v>
      </c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</row>
    <row r="30" customFormat="false" ht="15" hidden="false" customHeight="false" outlineLevel="0" collapsed="false">
      <c r="F30" s="99" t="n">
        <f aca="false">G30/H30</f>
        <v>0.382701023646674</v>
      </c>
      <c r="G30" s="52" t="n">
        <f aca="false">G31*(1+$O$1)</f>
        <v>100.994177223538</v>
      </c>
      <c r="H30" s="15" t="n">
        <f aca="false">I30/G30</f>
        <v>263.89837231473</v>
      </c>
      <c r="I30" s="0" t="n">
        <f aca="false">I31</f>
        <v>26652.1989825572</v>
      </c>
      <c r="J30" s="85"/>
      <c r="K30" s="85"/>
      <c r="L30" s="85"/>
      <c r="M30" s="100" t="n">
        <f aca="false">N30*$K$5</f>
        <v>9.68864003536495</v>
      </c>
      <c r="N30" s="101" t="n">
        <f aca="false">F30</f>
        <v>0.382701023646674</v>
      </c>
      <c r="O30" s="83" t="n">
        <f aca="false">$O$48/$G$48*G30</f>
        <v>1428.24624757627</v>
      </c>
      <c r="P30" s="102" t="n">
        <f aca="false">O30/F30</f>
        <v>3732.0157494402</v>
      </c>
      <c r="Q30" s="81" t="n">
        <f aca="false">(O30+P30*N30)*$K$5</f>
        <v>72316.3144052777</v>
      </c>
      <c r="R30" s="85"/>
      <c r="S30" s="103" t="n">
        <f aca="false">$Q$48</f>
        <v>50632.9454938167</v>
      </c>
      <c r="T30" s="103" t="n">
        <f aca="false">$P$48*2*N30*$K$5</f>
        <v>103285.504687884</v>
      </c>
      <c r="U30" s="103" t="n">
        <f aca="false">($O$48+N30*$P$48)*$K$5</f>
        <v>76959.2250908503</v>
      </c>
      <c r="V30" s="45" t="n">
        <f aca="false">S30/$Q30-1</f>
        <v>-0.299840625034377</v>
      </c>
      <c r="W30" s="45" t="n">
        <f aca="false">T30/$Q30-1</f>
        <v>0.428246247576273</v>
      </c>
      <c r="X30" s="45" t="n">
        <f aca="false">U30/$Q30-1</f>
        <v>0.0642028112709483</v>
      </c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</row>
    <row r="31" customFormat="false" ht="15" hidden="false" customHeight="false" outlineLevel="0" collapsed="false">
      <c r="F31" s="99" t="n">
        <f aca="false">G31/H31</f>
        <v>0.367840276477003</v>
      </c>
      <c r="G31" s="52" t="n">
        <f aca="false">G32*(1+$O$1)</f>
        <v>99.0138992387631</v>
      </c>
      <c r="H31" s="15" t="n">
        <f aca="false">I31/G31</f>
        <v>269.176339761025</v>
      </c>
      <c r="I31" s="0" t="n">
        <f aca="false">I32</f>
        <v>26652.1989825572</v>
      </c>
      <c r="J31" s="85"/>
      <c r="K31" s="85"/>
      <c r="L31" s="85"/>
      <c r="M31" s="100" t="n">
        <f aca="false">N31*$K$5</f>
        <v>9.31241833464528</v>
      </c>
      <c r="N31" s="101" t="n">
        <f aca="false">F31</f>
        <v>0.367840276477003</v>
      </c>
      <c r="O31" s="83" t="n">
        <f aca="false">$O$48/$G$48*G31</f>
        <v>1400.24141919242</v>
      </c>
      <c r="P31" s="102" t="n">
        <f aca="false">O31/F31</f>
        <v>3806.656064429</v>
      </c>
      <c r="Q31" s="81" t="n">
        <f aca="false">(O31+P31*N31)*$K$5</f>
        <v>70898.3474561546</v>
      </c>
      <c r="R31" s="85"/>
      <c r="S31" s="103" t="n">
        <f aca="false">$Q$48</f>
        <v>50632.9454938167</v>
      </c>
      <c r="T31" s="103" t="n">
        <f aca="false">$P$48*2*N31*$K$5</f>
        <v>99274.8026604036</v>
      </c>
      <c r="U31" s="103" t="n">
        <f aca="false">($O$48+N31*$P$48)*$K$5</f>
        <v>74953.8740771101</v>
      </c>
      <c r="V31" s="45" t="n">
        <f aca="false">S31/$Q31-1</f>
        <v>-0.285837437535065</v>
      </c>
      <c r="W31" s="45" t="n">
        <f aca="false">T31/$Q31-1</f>
        <v>0.400241419192425</v>
      </c>
      <c r="X31" s="45" t="n">
        <f aca="false">U31/$Q31-1</f>
        <v>0.0572019908286801</v>
      </c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</row>
    <row r="32" customFormat="false" ht="15" hidden="false" customHeight="false" outlineLevel="0" collapsed="false">
      <c r="F32" s="99" t="n">
        <f aca="false">G32/H32</f>
        <v>0.353556590231645</v>
      </c>
      <c r="G32" s="52" t="n">
        <f aca="false">G33*(1+$O$1)</f>
        <v>97.0724502340815</v>
      </c>
      <c r="H32" s="15" t="n">
        <f aca="false">I32/G32</f>
        <v>274.559866556245</v>
      </c>
      <c r="I32" s="0" t="n">
        <f aca="false">I33</f>
        <v>26652.1989825572</v>
      </c>
      <c r="J32" s="85"/>
      <c r="K32" s="85"/>
      <c r="L32" s="85"/>
      <c r="M32" s="100" t="n">
        <f aca="false">N32*$K$5</f>
        <v>8.95080578108927</v>
      </c>
      <c r="N32" s="101" t="n">
        <f aca="false">F32</f>
        <v>0.353556590231645</v>
      </c>
      <c r="O32" s="83" t="n">
        <f aca="false">$O$48/$G$48*G32</f>
        <v>1372.78570509061</v>
      </c>
      <c r="P32" s="102" t="n">
        <f aca="false">O32/F32</f>
        <v>3882.78918571758</v>
      </c>
      <c r="Q32" s="81" t="n">
        <f aca="false">(O32+P32*N32)*$K$5</f>
        <v>69508.1837805437</v>
      </c>
      <c r="R32" s="85"/>
      <c r="S32" s="103" t="n">
        <f aca="false">$Q$48</f>
        <v>50632.9454938167</v>
      </c>
      <c r="T32" s="103" t="n">
        <f aca="false">$P$48*2*N32*$K$5</f>
        <v>95419.8410807416</v>
      </c>
      <c r="U32" s="103" t="n">
        <f aca="false">($O$48+N32*$P$48)*$K$5</f>
        <v>73026.3932872792</v>
      </c>
      <c r="V32" s="45" t="n">
        <f aca="false">S32/$Q32-1</f>
        <v>-0.271554186285766</v>
      </c>
      <c r="W32" s="45" t="n">
        <f aca="false">T32/$Q32-1</f>
        <v>0.372785705090613</v>
      </c>
      <c r="X32" s="45" t="n">
        <f aca="false">U32/$Q32-1</f>
        <v>0.0506157594024235</v>
      </c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</row>
    <row r="33" customFormat="false" ht="15" hidden="false" customHeight="false" outlineLevel="0" collapsed="false">
      <c r="F33" s="99" t="n">
        <f aca="false">G33/H33</f>
        <v>0.339827556931608</v>
      </c>
      <c r="G33" s="52" t="n">
        <f aca="false">G34*(1+$O$1)</f>
        <v>95.1690688569427</v>
      </c>
      <c r="H33" s="15" t="n">
        <f aca="false">I33/G33</f>
        <v>280.05106388737</v>
      </c>
      <c r="I33" s="0" t="n">
        <f aca="false">I34</f>
        <v>26652.1989825572</v>
      </c>
      <c r="J33" s="85"/>
      <c r="K33" s="85"/>
      <c r="L33" s="85"/>
      <c r="M33" s="100" t="n">
        <f aca="false">N33*$K$5</f>
        <v>8.60323508370749</v>
      </c>
      <c r="N33" s="101" t="n">
        <f aca="false">F33</f>
        <v>0.339827556931608</v>
      </c>
      <c r="O33" s="83" t="n">
        <f aca="false">$O$48/$G$48*G33</f>
        <v>1345.86833832413</v>
      </c>
      <c r="P33" s="102" t="n">
        <f aca="false">O33/F33</f>
        <v>3960.44496943194</v>
      </c>
      <c r="Q33" s="81" t="n">
        <f aca="false">(O33+P33*N33)*$K$5</f>
        <v>68145.2782162193</v>
      </c>
      <c r="R33" s="85"/>
      <c r="S33" s="103" t="n">
        <f aca="false">$Q$48</f>
        <v>50632.9454938167</v>
      </c>
      <c r="T33" s="103" t="n">
        <f aca="false">$P$48*2*N33*$K$5</f>
        <v>91714.5723574986</v>
      </c>
      <c r="U33" s="103" t="n">
        <f aca="false">($O$48+N33*$P$48)*$K$5</f>
        <v>71173.7589256577</v>
      </c>
      <c r="V33" s="45" t="n">
        <f aca="false">S33/$Q33-1</f>
        <v>-0.256985270011481</v>
      </c>
      <c r="W33" s="45" t="n">
        <f aca="false">T33/$Q33-1</f>
        <v>0.34586833832413</v>
      </c>
      <c r="X33" s="45" t="n">
        <f aca="false">U33/$Q33-1</f>
        <v>0.0444415341563245</v>
      </c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5"/>
      <c r="AK33" s="85"/>
      <c r="AL33" s="85"/>
      <c r="AM33" s="85"/>
      <c r="AN33" s="85"/>
      <c r="AO33" s="85"/>
      <c r="AP33" s="85"/>
      <c r="AQ33" s="85"/>
      <c r="AR33" s="85"/>
      <c r="AS33" s="85"/>
      <c r="AT33" s="85"/>
      <c r="AU33" s="85"/>
      <c r="AV33" s="85"/>
      <c r="AW33" s="85"/>
      <c r="AX33" s="85"/>
      <c r="AY33" s="85"/>
      <c r="AZ33" s="85"/>
      <c r="BA33" s="85"/>
      <c r="BB33" s="85"/>
      <c r="BC33" s="85"/>
    </row>
    <row r="34" customFormat="false" ht="15" hidden="false" customHeight="false" outlineLevel="0" collapsed="false">
      <c r="F34" s="99" t="n">
        <f aca="false">G34/H34</f>
        <v>0.326631638727035</v>
      </c>
      <c r="G34" s="52" t="n">
        <f aca="false">G35*(1+$O$1)</f>
        <v>93.3030086832771</v>
      </c>
      <c r="H34" s="15" t="n">
        <f aca="false">I34/G34</f>
        <v>285.652085165118</v>
      </c>
      <c r="I34" s="0" t="n">
        <f aca="false">I35</f>
        <v>26652.1989825572</v>
      </c>
      <c r="J34" s="85"/>
      <c r="K34" s="85"/>
      <c r="L34" s="85"/>
      <c r="M34" s="100" t="n">
        <f aca="false">N34*$K$5</f>
        <v>8.26916098011101</v>
      </c>
      <c r="N34" s="101" t="n">
        <f aca="false">F34</f>
        <v>0.326631638727035</v>
      </c>
      <c r="O34" s="83" t="n">
        <f aca="false">$O$48/$G$48*G34</f>
        <v>1319.47876306287</v>
      </c>
      <c r="P34" s="102" t="n">
        <f aca="false">O34/F34</f>
        <v>4039.65386882058</v>
      </c>
      <c r="Q34" s="81" t="n">
        <f aca="false">(O34+P34*N34)*$K$5</f>
        <v>66809.0962904111</v>
      </c>
      <c r="R34" s="85"/>
      <c r="S34" s="103" t="n">
        <f aca="false">$Q$48</f>
        <v>50632.9454938167</v>
      </c>
      <c r="T34" s="103" t="n">
        <f aca="false">$P$48*2*N34*$K$5</f>
        <v>88153.18373462</v>
      </c>
      <c r="U34" s="103" t="n">
        <f aca="false">($O$48+N34*$P$48)*$K$5</f>
        <v>69393.0646142184</v>
      </c>
      <c r="V34" s="45" t="n">
        <f aca="false">S34/$Q34-1</f>
        <v>-0.242124975411711</v>
      </c>
      <c r="W34" s="45" t="n">
        <f aca="false">T34/$Q34-1</f>
        <v>0.319478763062872</v>
      </c>
      <c r="X34" s="45" t="n">
        <f aca="false">U34/$Q34-1</f>
        <v>0.038676893825581</v>
      </c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5"/>
      <c r="AM34" s="85"/>
      <c r="AN34" s="85"/>
      <c r="AO34" s="85"/>
      <c r="AP34" s="85"/>
      <c r="AQ34" s="85"/>
      <c r="AR34" s="85"/>
      <c r="AS34" s="85"/>
      <c r="AT34" s="85"/>
      <c r="AU34" s="85"/>
      <c r="AV34" s="85"/>
      <c r="AW34" s="85"/>
      <c r="AX34" s="85"/>
      <c r="AY34" s="85"/>
      <c r="AZ34" s="85"/>
      <c r="BA34" s="85"/>
      <c r="BB34" s="85"/>
      <c r="BC34" s="85"/>
    </row>
    <row r="35" customFormat="false" ht="15" hidden="false" customHeight="false" outlineLevel="0" collapsed="false">
      <c r="F35" s="99" t="n">
        <f aca="false">G35/H35</f>
        <v>0.31394813410903</v>
      </c>
      <c r="G35" s="52" t="n">
        <f aca="false">G36*(1+$O$1)</f>
        <v>91.4735379247815</v>
      </c>
      <c r="H35" s="15" t="n">
        <f aca="false">I35/G35</f>
        <v>291.36512686842</v>
      </c>
      <c r="I35" s="0" t="n">
        <f aca="false">I36</f>
        <v>26652.1989825572</v>
      </c>
      <c r="J35" s="85"/>
      <c r="K35" s="85"/>
      <c r="L35" s="85"/>
      <c r="M35" s="100" t="n">
        <f aca="false">N35*$K$5</f>
        <v>7.948059381114</v>
      </c>
      <c r="N35" s="101" t="n">
        <f aca="false">F35</f>
        <v>0.31394813410903</v>
      </c>
      <c r="O35" s="83" t="n">
        <f aca="false">$O$48/$G$48*G35</f>
        <v>1293.6066304538</v>
      </c>
      <c r="P35" s="102" t="n">
        <f aca="false">O35/F35</f>
        <v>4120.44694619699</v>
      </c>
      <c r="Q35" s="81" t="n">
        <f aca="false">(O35+P35*N35)*$K$5</f>
        <v>65499.114010207</v>
      </c>
      <c r="R35" s="85"/>
      <c r="S35" s="103" t="n">
        <f aca="false">$Q$48</f>
        <v>50632.9454938167</v>
      </c>
      <c r="T35" s="103" t="n">
        <f aca="false">$P$48*2*N35*$K$5</f>
        <v>84730.0881724529</v>
      </c>
      <c r="U35" s="103" t="n">
        <f aca="false">($O$48+N35*$P$48)*$K$5</f>
        <v>67681.5168331348</v>
      </c>
      <c r="V35" s="45" t="n">
        <f aca="false">S35/$Q35-1</f>
        <v>-0.226967474919945</v>
      </c>
      <c r="W35" s="45" t="n">
        <f aca="false">T35/$Q35-1</f>
        <v>0.293606630453797</v>
      </c>
      <c r="X35" s="45" t="n">
        <f aca="false">U35/$Q35-1</f>
        <v>0.033319577766926</v>
      </c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5"/>
      <c r="AK35" s="85"/>
      <c r="AL35" s="85"/>
      <c r="AM35" s="85"/>
      <c r="AN35" s="85"/>
      <c r="AO35" s="85"/>
      <c r="AP35" s="85"/>
      <c r="AQ35" s="85"/>
      <c r="AR35" s="85"/>
      <c r="AS35" s="85"/>
      <c r="AT35" s="85"/>
      <c r="AU35" s="85"/>
      <c r="AV35" s="85"/>
      <c r="AW35" s="85"/>
      <c r="AX35" s="85"/>
      <c r="AY35" s="85"/>
      <c r="AZ35" s="85"/>
      <c r="BA35" s="85"/>
      <c r="BB35" s="85"/>
      <c r="BC35" s="85"/>
    </row>
    <row r="36" customFormat="false" ht="15" hidden="false" customHeight="false" outlineLevel="0" collapsed="false">
      <c r="F36" s="99" t="n">
        <f aca="false">G36/H36</f>
        <v>0.301757145433516</v>
      </c>
      <c r="G36" s="52" t="n">
        <f aca="false">G37*(1+$O$1)</f>
        <v>89.6799391419426</v>
      </c>
      <c r="H36" s="15" t="n">
        <f aca="false">I36/G36</f>
        <v>297.192429405789</v>
      </c>
      <c r="I36" s="0" t="n">
        <f aca="false">I37</f>
        <v>26652.1989825572</v>
      </c>
      <c r="J36" s="85"/>
      <c r="K36" s="85"/>
      <c r="L36" s="85"/>
      <c r="M36" s="100" t="n">
        <f aca="false">N36*$K$5</f>
        <v>7.63942654855248</v>
      </c>
      <c r="N36" s="101" t="n">
        <f aca="false">F36</f>
        <v>0.301757145433516</v>
      </c>
      <c r="O36" s="83" t="n">
        <f aca="false">$O$48/$G$48*G36</f>
        <v>1268.24179456255</v>
      </c>
      <c r="P36" s="102" t="n">
        <f aca="false">O36/F36</f>
        <v>4202.85588512093</v>
      </c>
      <c r="Q36" s="81" t="n">
        <f aca="false">(O36+P36*N36)*$K$5</f>
        <v>64214.8176570657</v>
      </c>
      <c r="R36" s="85"/>
      <c r="S36" s="103" t="n">
        <f aca="false">$Q$48</f>
        <v>50632.9454938167</v>
      </c>
      <c r="T36" s="103" t="n">
        <f aca="false">$P$48*2*N36*$K$5</f>
        <v>81439.9155829036</v>
      </c>
      <c r="U36" s="103" t="n">
        <f aca="false">($O$48+N36*$P$48)*$K$5</f>
        <v>66036.4305383602</v>
      </c>
      <c r="V36" s="45" t="n">
        <f aca="false">S36/$Q36-1</f>
        <v>-0.211506824418344</v>
      </c>
      <c r="W36" s="45" t="n">
        <f aca="false">T36/$Q36-1</f>
        <v>0.268241794562545</v>
      </c>
      <c r="X36" s="45" t="n">
        <f aca="false">U36/$Q36-1</f>
        <v>0.0283674850721007</v>
      </c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  <c r="AM36" s="85"/>
      <c r="AN36" s="85"/>
      <c r="AO36" s="85"/>
      <c r="AP36" s="85"/>
      <c r="AQ36" s="85"/>
      <c r="AR36" s="85"/>
      <c r="AS36" s="85"/>
      <c r="AT36" s="85"/>
      <c r="AU36" s="85"/>
      <c r="AV36" s="85"/>
      <c r="AW36" s="85"/>
      <c r="AX36" s="85"/>
      <c r="AY36" s="85"/>
      <c r="AZ36" s="85"/>
      <c r="BA36" s="85"/>
      <c r="BB36" s="85"/>
      <c r="BC36" s="85"/>
    </row>
    <row r="37" customFormat="false" ht="15" hidden="false" customHeight="false" outlineLevel="0" collapsed="false">
      <c r="F37" s="99" t="n">
        <f aca="false">G37/H37</f>
        <v>0.290039547706186</v>
      </c>
      <c r="G37" s="52" t="n">
        <f aca="false">G38*(1+$O$1)</f>
        <v>87.9215089626888</v>
      </c>
      <c r="H37" s="15" t="n">
        <f aca="false">I37/G37</f>
        <v>303.136277993904</v>
      </c>
      <c r="I37" s="0" t="n">
        <f aca="false">I38</f>
        <v>26652.1989825572</v>
      </c>
      <c r="J37" s="85"/>
      <c r="K37" s="85"/>
      <c r="L37" s="85"/>
      <c r="M37" s="100" t="n">
        <f aca="false">N37*$K$5</f>
        <v>7.34277830502929</v>
      </c>
      <c r="N37" s="101" t="n">
        <f aca="false">F37</f>
        <v>0.290039547706186</v>
      </c>
      <c r="O37" s="83" t="n">
        <f aca="false">$O$48/$G$48*G37</f>
        <v>1243.37430839465</v>
      </c>
      <c r="P37" s="102" t="n">
        <f aca="false">O37/F37</f>
        <v>4286.91300282335</v>
      </c>
      <c r="Q37" s="81" t="n">
        <f aca="false">(O37+P37*N37)*$K$5</f>
        <v>62955.7035853585</v>
      </c>
      <c r="R37" s="85"/>
      <c r="S37" s="103" t="n">
        <f aca="false">$Q$48</f>
        <v>50632.9454938167</v>
      </c>
      <c r="T37" s="103" t="n">
        <f aca="false">$P$48*2*N37*$K$5</f>
        <v>78277.5044049438</v>
      </c>
      <c r="U37" s="103" t="n">
        <f aca="false">($O$48+N37*$P$48)*$K$5</f>
        <v>64455.2249493803</v>
      </c>
      <c r="V37" s="45" t="n">
        <f aca="false">S37/$Q37-1</f>
        <v>-0.195736960906711</v>
      </c>
      <c r="W37" s="45" t="n">
        <f aca="false">T37/$Q37-1</f>
        <v>0.243374308394652</v>
      </c>
      <c r="X37" s="45" t="n">
        <f aca="false">U37/$Q37-1</f>
        <v>0.023818673743971</v>
      </c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  <c r="AL37" s="85"/>
      <c r="AM37" s="85"/>
      <c r="AN37" s="85"/>
      <c r="AO37" s="85"/>
      <c r="AP37" s="85"/>
      <c r="AQ37" s="85"/>
      <c r="AR37" s="85"/>
      <c r="AS37" s="85"/>
      <c r="AT37" s="85"/>
      <c r="AU37" s="85"/>
      <c r="AV37" s="85"/>
      <c r="AW37" s="85"/>
      <c r="AX37" s="85"/>
      <c r="AY37" s="85"/>
      <c r="AZ37" s="85"/>
      <c r="BA37" s="85"/>
      <c r="BB37" s="85"/>
      <c r="BC37" s="85"/>
    </row>
    <row r="38" customFormat="false" ht="15" hidden="false" customHeight="false" outlineLevel="0" collapsed="false">
      <c r="F38" s="99" t="n">
        <f aca="false">G38/H38</f>
        <v>0.278776958579572</v>
      </c>
      <c r="G38" s="52" t="n">
        <f aca="false">G39*(1+$O$1)</f>
        <v>86.1975578065577</v>
      </c>
      <c r="H38" s="15" t="n">
        <f aca="false">I38/G38</f>
        <v>309.199003553782</v>
      </c>
      <c r="I38" s="0" t="n">
        <f aca="false">I39</f>
        <v>26652.1989825572</v>
      </c>
      <c r="J38" s="85"/>
      <c r="K38" s="85"/>
      <c r="L38" s="85"/>
      <c r="M38" s="100" t="n">
        <f aca="false">N38*$K$5</f>
        <v>7.05764927434573</v>
      </c>
      <c r="N38" s="101" t="n">
        <f aca="false">F38</f>
        <v>0.278776958579572</v>
      </c>
      <c r="O38" s="83" t="n">
        <f aca="false">$O$48/$G$48*G38</f>
        <v>1218.99441999476</v>
      </c>
      <c r="P38" s="102" t="n">
        <f aca="false">O38/F38</f>
        <v>4372.65126287981</v>
      </c>
      <c r="Q38" s="81" t="n">
        <f aca="false">(O38+P38*N38)*$K$5</f>
        <v>61721.2780248613</v>
      </c>
      <c r="R38" s="85"/>
      <c r="S38" s="103" t="n">
        <f aca="false">$Q$48</f>
        <v>50632.9454938167</v>
      </c>
      <c r="T38" s="103" t="n">
        <f aca="false">$P$48*2*N38*$K$5</f>
        <v>75237.8935072509</v>
      </c>
      <c r="U38" s="103" t="n">
        <f aca="false">($O$48+N38*$P$48)*$K$5</f>
        <v>62935.4195005338</v>
      </c>
      <c r="V38" s="45" t="n">
        <f aca="false">S38/$Q38-1</f>
        <v>-0.179651700124845</v>
      </c>
      <c r="W38" s="45" t="n">
        <f aca="false">T38/$Q38-1</f>
        <v>0.218994419994757</v>
      </c>
      <c r="X38" s="45" t="n">
        <f aca="false">U38/$Q38-1</f>
        <v>0.0196713599349563</v>
      </c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5"/>
      <c r="BC38" s="85"/>
    </row>
    <row r="39" customFormat="false" ht="15" hidden="false" customHeight="false" outlineLevel="0" collapsed="false">
      <c r="F39" s="99" t="n">
        <f aca="false">G39/H39</f>
        <v>0.267951709515159</v>
      </c>
      <c r="G39" s="52" t="n">
        <f aca="false">G40*(1+$O$1)</f>
        <v>84.5074096142722</v>
      </c>
      <c r="H39" s="15" t="n">
        <f aca="false">I39/G39</f>
        <v>315.382983624858</v>
      </c>
      <c r="I39" s="0" t="n">
        <f aca="false">I40</f>
        <v>26652.1989825572</v>
      </c>
      <c r="J39" s="85"/>
      <c r="K39" s="85"/>
      <c r="L39" s="85"/>
      <c r="M39" s="100" t="n">
        <f aca="false">N39*$K$5</f>
        <v>6.78359215142804</v>
      </c>
      <c r="N39" s="101" t="n">
        <f aca="false">F39</f>
        <v>0.267951709515159</v>
      </c>
      <c r="O39" s="83" t="n">
        <f aca="false">$O$48/$G$48*G39</f>
        <v>1195.09256862231</v>
      </c>
      <c r="P39" s="102" t="n">
        <f aca="false">O39/F39</f>
        <v>4460.10428813741</v>
      </c>
      <c r="Q39" s="81" t="n">
        <f aca="false">(O39+P39*N39)*$K$5</f>
        <v>60511.0568871189</v>
      </c>
      <c r="R39" s="85"/>
      <c r="S39" s="103" t="n">
        <f aca="false">$Q$48</f>
        <v>50632.9454938167</v>
      </c>
      <c r="T39" s="103" t="n">
        <f aca="false">$P$48*2*N39*$K$5</f>
        <v>72316.3144052777</v>
      </c>
      <c r="U39" s="103" t="n">
        <f aca="false">($O$48+N39*$P$48)*$K$5</f>
        <v>61474.6299495472</v>
      </c>
      <c r="V39" s="45" t="n">
        <f aca="false">S39/$Q39-1</f>
        <v>-0.163244734127342</v>
      </c>
      <c r="W39" s="45" t="n">
        <f aca="false">T39/$Q39-1</f>
        <v>0.195092568622311</v>
      </c>
      <c r="X39" s="45" t="n">
        <f aca="false">U39/$Q39-1</f>
        <v>0.0159239172474848</v>
      </c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  <c r="AL39" s="85"/>
      <c r="AM39" s="85"/>
      <c r="AN39" s="85"/>
      <c r="AO39" s="85"/>
      <c r="AP39" s="85"/>
      <c r="AQ39" s="85"/>
      <c r="AR39" s="85"/>
      <c r="AS39" s="85"/>
      <c r="AT39" s="85"/>
      <c r="AU39" s="85"/>
      <c r="AV39" s="85"/>
      <c r="AW39" s="85"/>
      <c r="AX39" s="85"/>
      <c r="AY39" s="85"/>
      <c r="AZ39" s="85"/>
      <c r="BA39" s="85"/>
      <c r="BB39" s="85"/>
      <c r="BC39" s="85"/>
    </row>
    <row r="40" customFormat="false" ht="15" hidden="false" customHeight="false" outlineLevel="0" collapsed="false">
      <c r="F40" s="99" t="n">
        <f aca="false">G40/H40</f>
        <v>0.25754681806532</v>
      </c>
      <c r="G40" s="52" t="n">
        <f aca="false">G41*(1+$O$1)</f>
        <v>82.8504015826198</v>
      </c>
      <c r="H40" s="15" t="n">
        <f aca="false">I40/G40</f>
        <v>321.690643297355</v>
      </c>
      <c r="I40" s="0" t="n">
        <f aca="false">I41</f>
        <v>26652.1989825572</v>
      </c>
      <c r="J40" s="85"/>
      <c r="K40" s="85"/>
      <c r="L40" s="85"/>
      <c r="M40" s="100" t="n">
        <f aca="false">N40*$K$5</f>
        <v>6.52017700060365</v>
      </c>
      <c r="N40" s="101" t="n">
        <f aca="false">F40</f>
        <v>0.25754681806532</v>
      </c>
      <c r="O40" s="83" t="n">
        <f aca="false">$O$48/$G$48*G40</f>
        <v>1171.65938100227</v>
      </c>
      <c r="P40" s="102" t="n">
        <f aca="false">O40/F40</f>
        <v>4549.30637390016</v>
      </c>
      <c r="Q40" s="81" t="n">
        <f aca="false">(O40+P40*N40)*$K$5</f>
        <v>59324.5655756068</v>
      </c>
      <c r="R40" s="85"/>
      <c r="S40" s="103" t="n">
        <f aca="false">$Q$48</f>
        <v>50632.9454938167</v>
      </c>
      <c r="T40" s="103" t="n">
        <f aca="false">$P$48*2*N40*$K$5</f>
        <v>69508.1837805437</v>
      </c>
      <c r="U40" s="103" t="n">
        <f aca="false">($O$48+N40*$P$48)*$K$5</f>
        <v>60070.5646371802</v>
      </c>
      <c r="V40" s="45" t="n">
        <f aca="false">S40/$Q40-1</f>
        <v>-0.146509628809889</v>
      </c>
      <c r="W40" s="45" t="n">
        <f aca="false">T40/$Q40-1</f>
        <v>0.171659381002266</v>
      </c>
      <c r="X40" s="45" t="n">
        <f aca="false">U40/$Q40-1</f>
        <v>0.0125748760961883</v>
      </c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  <c r="AL40" s="85"/>
      <c r="AM40" s="85"/>
      <c r="AN40" s="85"/>
      <c r="AO40" s="85"/>
      <c r="AP40" s="85"/>
      <c r="AQ40" s="85"/>
      <c r="AR40" s="85"/>
      <c r="AS40" s="85"/>
      <c r="AT40" s="85"/>
      <c r="AU40" s="85"/>
      <c r="AV40" s="85"/>
      <c r="AW40" s="85"/>
      <c r="AX40" s="85"/>
      <c r="AY40" s="85"/>
      <c r="AZ40" s="85"/>
      <c r="BA40" s="85"/>
      <c r="BB40" s="85"/>
      <c r="BC40" s="85"/>
    </row>
    <row r="41" customFormat="false" ht="15" hidden="false" customHeight="false" outlineLevel="0" collapsed="false">
      <c r="F41" s="99" t="n">
        <f aca="false">G41/H41</f>
        <v>0.247545961231565</v>
      </c>
      <c r="G41" s="52" t="n">
        <f aca="false">G42*(1+$O$1)</f>
        <v>81.2258839045293</v>
      </c>
      <c r="H41" s="15" t="n">
        <f aca="false">I41/G41</f>
        <v>328.124456163302</v>
      </c>
      <c r="I41" s="0" t="n">
        <f aca="false">I42</f>
        <v>26652.1989825572</v>
      </c>
      <c r="J41" s="85"/>
      <c r="K41" s="85"/>
      <c r="L41" s="85"/>
      <c r="M41" s="100" t="n">
        <f aca="false">N41*$K$5</f>
        <v>6.26699058112615</v>
      </c>
      <c r="N41" s="101" t="n">
        <f aca="false">F41</f>
        <v>0.247545961231565</v>
      </c>
      <c r="O41" s="83" t="n">
        <f aca="false">$O$48/$G$48*G41</f>
        <v>1148.68566764928</v>
      </c>
      <c r="P41" s="102" t="n">
        <f aca="false">O41/F41</f>
        <v>4640.29250137816</v>
      </c>
      <c r="Q41" s="81" t="n">
        <f aca="false">(O41+P41*N41)*$K$5</f>
        <v>58161.3387996145</v>
      </c>
      <c r="R41" s="85"/>
      <c r="S41" s="103" t="n">
        <f aca="false">$Q$48</f>
        <v>50632.9454938167</v>
      </c>
      <c r="T41" s="103" t="n">
        <f aca="false">$P$48*2*N41*$K$5</f>
        <v>66809.0962904111</v>
      </c>
      <c r="U41" s="103" t="n">
        <f aca="false">($O$48+N41*$P$48)*$K$5</f>
        <v>58721.0208921139</v>
      </c>
      <c r="V41" s="45" t="n">
        <f aca="false">S41/$Q41-1</f>
        <v>-0.129439821386086</v>
      </c>
      <c r="W41" s="45" t="n">
        <f aca="false">T41/$Q41-1</f>
        <v>0.14868566764928</v>
      </c>
      <c r="X41" s="45" t="n">
        <f aca="false">U41/$Q41-1</f>
        <v>0.00962292313159696</v>
      </c>
      <c r="Y41" s="85"/>
      <c r="Z41" s="104"/>
      <c r="AA41" s="104"/>
      <c r="AB41" s="104"/>
    </row>
    <row r="42" customFormat="false" ht="15" hidden="false" customHeight="false" outlineLevel="0" collapsed="false">
      <c r="F42" s="99" t="n">
        <f aca="false">G42/H42</f>
        <v>0.237933449857329</v>
      </c>
      <c r="G42" s="52" t="n">
        <f aca="false">G43*(1+$O$1)</f>
        <v>79.6332195142444</v>
      </c>
      <c r="H42" s="15" t="n">
        <f aca="false">I42/G42</f>
        <v>334.686945286568</v>
      </c>
      <c r="I42" s="0" t="n">
        <f aca="false">I43</f>
        <v>26652.1989825572</v>
      </c>
      <c r="J42" s="85"/>
      <c r="K42" s="85"/>
      <c r="L42" s="85"/>
      <c r="M42" s="100" t="n">
        <f aca="false">N42*$K$5</f>
        <v>6.02363569889096</v>
      </c>
      <c r="N42" s="101" t="n">
        <f aca="false">F42</f>
        <v>0.237933449857329</v>
      </c>
      <c r="O42" s="83" t="n">
        <f aca="false">$O$48/$G$48*G42</f>
        <v>1126.162419264</v>
      </c>
      <c r="P42" s="102" t="n">
        <f aca="false">O42/F42</f>
        <v>4733.09835140572</v>
      </c>
      <c r="Q42" s="81" t="n">
        <f aca="false">(O42+P42*N42)*$K$5</f>
        <v>57020.9203917789</v>
      </c>
      <c r="R42" s="85"/>
      <c r="S42" s="103" t="n">
        <f aca="false">$Q$48</f>
        <v>50632.9454938167</v>
      </c>
      <c r="T42" s="103" t="n">
        <f aca="false">$P$48*2*N42*$K$5</f>
        <v>64214.8176570657</v>
      </c>
      <c r="U42" s="103" t="n">
        <f aca="false">($O$48+N42*$P$48)*$K$5</f>
        <v>57423.8815754412</v>
      </c>
      <c r="V42" s="45" t="n">
        <f aca="false">S42/$Q42-1</f>
        <v>-0.112028617813808</v>
      </c>
      <c r="W42" s="45" t="n">
        <f aca="false">T42/$Q42-1</f>
        <v>0.126162419264</v>
      </c>
      <c r="X42" s="45" t="n">
        <f aca="false">U42/$Q42-1</f>
        <v>0.00706690072509608</v>
      </c>
      <c r="Y42" s="85"/>
      <c r="Z42" s="104"/>
      <c r="AA42" s="104"/>
      <c r="AB42" s="104"/>
    </row>
    <row r="43" customFormat="false" ht="15" hidden="false" customHeight="false" outlineLevel="0" collapsed="false">
      <c r="F43" s="99" t="n">
        <f aca="false">G43/H43</f>
        <v>0.228694204015118</v>
      </c>
      <c r="G43" s="52" t="n">
        <f aca="false">G44*(1+$O$1)</f>
        <v>78.0717838374945</v>
      </c>
      <c r="H43" s="15" t="n">
        <f aca="false">I43/G43</f>
        <v>341.3806841923</v>
      </c>
      <c r="I43" s="0" t="n">
        <f aca="false">I44</f>
        <v>26652.1989825572</v>
      </c>
      <c r="J43" s="85"/>
      <c r="K43" s="85"/>
      <c r="L43" s="85"/>
      <c r="M43" s="100" t="n">
        <f aca="false">N43*$K$5</f>
        <v>5.78973058332464</v>
      </c>
      <c r="N43" s="101" t="n">
        <f aca="false">F43</f>
        <v>0.228694204015118</v>
      </c>
      <c r="O43" s="83" t="n">
        <f aca="false">$O$48/$G$48*G43</f>
        <v>1104.0808032</v>
      </c>
      <c r="P43" s="102" t="n">
        <f aca="false">O43/F43</f>
        <v>4827.76031843384</v>
      </c>
      <c r="Q43" s="81" t="n">
        <f aca="false">(O43+P43*N43)*$K$5</f>
        <v>55902.863129195</v>
      </c>
      <c r="R43" s="85"/>
      <c r="S43" s="103" t="n">
        <f aca="false">$Q$48</f>
        <v>50632.9454938167</v>
      </c>
      <c r="T43" s="103" t="n">
        <f aca="false">$P$48*2*N43*$K$5</f>
        <v>61721.2780248613</v>
      </c>
      <c r="U43" s="103" t="n">
        <f aca="false">($O$48+N43*$P$48)*$K$5</f>
        <v>56177.111759339</v>
      </c>
      <c r="V43" s="45" t="n">
        <f aca="false">S43/$Q43-1</f>
        <v>-0.0942691901700842</v>
      </c>
      <c r="W43" s="45" t="n">
        <f aca="false">T43/$Q43-1</f>
        <v>0.1040808032</v>
      </c>
      <c r="X43" s="45" t="n">
        <f aca="false">U43/$Q43-1</f>
        <v>0.00490580651495787</v>
      </c>
      <c r="Y43" s="85"/>
      <c r="Z43" s="104"/>
      <c r="AA43" s="104"/>
      <c r="AB43" s="104"/>
    </row>
    <row r="44" customFormat="false" ht="15" hidden="false" customHeight="false" outlineLevel="0" collapsed="false">
      <c r="F44" s="99" t="n">
        <f aca="false">G44/H44</f>
        <v>0.219813729349402</v>
      </c>
      <c r="G44" s="52" t="n">
        <f aca="false">G45*(1+$O$1)</f>
        <v>76.5409645465632</v>
      </c>
      <c r="H44" s="15" t="n">
        <f aca="false">I44/G44</f>
        <v>348.208297876146</v>
      </c>
      <c r="I44" s="0" t="n">
        <f aca="false">I45</f>
        <v>26652.1989825572</v>
      </c>
      <c r="J44" s="85"/>
      <c r="K44" s="85"/>
      <c r="L44" s="85"/>
      <c r="M44" s="100" t="n">
        <f aca="false">N44*$K$5</f>
        <v>5.56490828847043</v>
      </c>
      <c r="N44" s="101" t="n">
        <f aca="false">F44</f>
        <v>0.219813729349402</v>
      </c>
      <c r="O44" s="83" t="n">
        <f aca="false">$O$48/$G$48*G44</f>
        <v>1082.43216</v>
      </c>
      <c r="P44" s="102" t="n">
        <f aca="false">O44/F44</f>
        <v>4924.31552480251</v>
      </c>
      <c r="Q44" s="81" t="n">
        <f aca="false">(O44+P44*N44)*$K$5</f>
        <v>54806.7285580343</v>
      </c>
      <c r="R44" s="85"/>
      <c r="S44" s="103" t="n">
        <f aca="false">$Q$48</f>
        <v>50632.9454938167</v>
      </c>
      <c r="T44" s="103" t="n">
        <f aca="false">$P$48*2*N44*$K$5</f>
        <v>59324.5655756067</v>
      </c>
      <c r="U44" s="103" t="n">
        <f aca="false">($O$48+N44*$P$48)*$K$5</f>
        <v>54978.7555347117</v>
      </c>
      <c r="V44" s="45" t="n">
        <f aca="false">S44/$Q44-1</f>
        <v>-0.0761545739734859</v>
      </c>
      <c r="W44" s="45" t="n">
        <f aca="false">T44/$Q44-1</f>
        <v>0.08243216</v>
      </c>
      <c r="X44" s="45" t="n">
        <f aca="false">U44/$Q44-1</f>
        <v>0.00313879301325715</v>
      </c>
      <c r="Y44" s="85"/>
      <c r="Z44" s="104"/>
      <c r="AA44" s="104"/>
      <c r="AB44" s="104"/>
    </row>
    <row r="45" customFormat="false" ht="15" hidden="false" customHeight="false" outlineLevel="0" collapsed="false">
      <c r="F45" s="99" t="n">
        <f aca="false">G45/H45</f>
        <v>0.211278094338141</v>
      </c>
      <c r="G45" s="52" t="n">
        <f aca="false">G46*(1+$O$1)</f>
        <v>75.04016132016</v>
      </c>
      <c r="H45" s="15" t="n">
        <f aca="false">I45/G45</f>
        <v>355.172463833669</v>
      </c>
      <c r="I45" s="0" t="n">
        <f aca="false">I46</f>
        <v>26652.1989825572</v>
      </c>
      <c r="J45" s="85"/>
      <c r="K45" s="85"/>
      <c r="L45" s="85"/>
      <c r="M45" s="100" t="n">
        <f aca="false">N45*$K$5</f>
        <v>5.34881611733029</v>
      </c>
      <c r="N45" s="101" t="n">
        <f aca="false">F45</f>
        <v>0.211278094338141</v>
      </c>
      <c r="O45" s="83" t="n">
        <f aca="false">$O$48/$G$48*G45</f>
        <v>1061.208</v>
      </c>
      <c r="P45" s="102" t="n">
        <f aca="false">O45/F45</f>
        <v>5022.80183529857</v>
      </c>
      <c r="Q45" s="81" t="n">
        <f aca="false">(O45+P45*N45)*$K$5</f>
        <v>53732.0868216022</v>
      </c>
      <c r="R45" s="105"/>
      <c r="S45" s="103" t="n">
        <f aca="false">$Q$48</f>
        <v>50632.9454938167</v>
      </c>
      <c r="T45" s="103" t="n">
        <f aca="false">$P$48*2*N45*$K$5</f>
        <v>57020.9203917789</v>
      </c>
      <c r="U45" s="103" t="n">
        <f aca="false">($O$48+N45*$P$48)*$K$5</f>
        <v>53826.9329427978</v>
      </c>
      <c r="V45" s="45" t="n">
        <f aca="false">S45/$Q45-1</f>
        <v>-0.0576776654529556</v>
      </c>
      <c r="W45" s="45" t="n">
        <f aca="false">T45/$Q45-1</f>
        <v>0.0612079999999999</v>
      </c>
      <c r="X45" s="45" t="n">
        <f aca="false">U45/$Q45-1</f>
        <v>0.00176516727352238</v>
      </c>
      <c r="Y45" s="85"/>
      <c r="Z45" s="104"/>
      <c r="AA45" s="104"/>
      <c r="AB45" s="104"/>
    </row>
    <row r="46" customFormat="false" ht="15" hidden="false" customHeight="false" outlineLevel="0" collapsed="false">
      <c r="F46" s="99" t="n">
        <f aca="false">G46/H46</f>
        <v>0.203073908437275</v>
      </c>
      <c r="G46" s="52" t="n">
        <f aca="false">G47*(1+$O$1)</f>
        <v>73.568785608</v>
      </c>
      <c r="H46" s="15" t="n">
        <f aca="false">I46/G46</f>
        <v>362.275913110342</v>
      </c>
      <c r="I46" s="0" t="n">
        <f aca="false">I47</f>
        <v>26652.1989825572</v>
      </c>
      <c r="J46" s="85"/>
      <c r="K46" s="85"/>
      <c r="L46" s="85"/>
      <c r="M46" s="100" t="n">
        <f aca="false">N46*$K$5</f>
        <v>5.14111506856045</v>
      </c>
      <c r="N46" s="101" t="n">
        <f aca="false">F46</f>
        <v>0.203073908437275</v>
      </c>
      <c r="O46" s="83" t="n">
        <f aca="false">$O$48/$G$48*G46</f>
        <v>1040.4</v>
      </c>
      <c r="P46" s="102" t="n">
        <f aca="false">O46/F46</f>
        <v>5123.25787200454</v>
      </c>
      <c r="Q46" s="81" t="n">
        <f aca="false">(O46+P46*N46)*$K$5</f>
        <v>52678.5164917669</v>
      </c>
      <c r="R46" s="105"/>
      <c r="S46" s="103" t="n">
        <f aca="false">$Q$48</f>
        <v>50632.9454938167</v>
      </c>
      <c r="T46" s="103" t="n">
        <f aca="false">$P$48*2*N46*$K$5</f>
        <v>54806.7285580343</v>
      </c>
      <c r="U46" s="103" t="n">
        <f aca="false">($O$48+N46*$P$48)*$K$5</f>
        <v>52719.8370259255</v>
      </c>
      <c r="V46" s="45" t="n">
        <f aca="false">S46/$Q46-1</f>
        <v>-0.0388312187620147</v>
      </c>
      <c r="W46" s="45" t="n">
        <f aca="false">T46/$Q46-1</f>
        <v>0.0404</v>
      </c>
      <c r="X46" s="45" t="n">
        <f aca="false">U46/$Q46-1</f>
        <v>0.000784390618992825</v>
      </c>
      <c r="Y46" s="85"/>
      <c r="Z46" s="104"/>
      <c r="AA46" s="104"/>
      <c r="AB46" s="104"/>
    </row>
    <row r="47" customFormat="false" ht="15" hidden="false" customHeight="false" outlineLevel="0" collapsed="false">
      <c r="F47" s="99" t="n">
        <f aca="false">G47/H47</f>
        <v>0.19518830107389</v>
      </c>
      <c r="G47" s="52" t="n">
        <f aca="false">G48*(1+$O$1)</f>
        <v>72.1262604</v>
      </c>
      <c r="H47" s="15" t="n">
        <f aca="false">I47/G47</f>
        <v>369.521431372549</v>
      </c>
      <c r="I47" s="0" t="n">
        <f aca="false">I48</f>
        <v>26652.1989825572</v>
      </c>
      <c r="J47" s="85"/>
      <c r="K47" s="85"/>
      <c r="L47" s="85"/>
      <c r="M47" s="100" t="n">
        <f aca="false">N47*$K$5</f>
        <v>4.94147930465249</v>
      </c>
      <c r="N47" s="101" t="n">
        <f aca="false">F47</f>
        <v>0.19518830107389</v>
      </c>
      <c r="O47" s="83" t="n">
        <f aca="false">$O$48/$G$48*G47</f>
        <v>1020</v>
      </c>
      <c r="P47" s="102" t="n">
        <f aca="false">O47/F47</f>
        <v>5225.72302944463</v>
      </c>
      <c r="Q47" s="81" t="n">
        <f aca="false">(O47+P47*N47)*$K$5</f>
        <v>51645.604403693</v>
      </c>
      <c r="R47" s="105"/>
      <c r="S47" s="103" t="n">
        <f aca="false">$Q$48</f>
        <v>50632.9454938167</v>
      </c>
      <c r="T47" s="103" t="n">
        <f aca="false">$P$48*2*N47*$K$5</f>
        <v>52678.5164917669</v>
      </c>
      <c r="U47" s="103" t="n">
        <f aca="false">($O$48+N47*$P$48)*$K$5</f>
        <v>51655.7309927918</v>
      </c>
      <c r="V47" s="45" t="n">
        <f aca="false">S47/$Q47-1</f>
        <v>-0.0196078431372549</v>
      </c>
      <c r="W47" s="45" t="n">
        <f aca="false">T47/$Q47-1</f>
        <v>0.0199999999999998</v>
      </c>
      <c r="X47" s="45" t="n">
        <f aca="false">U47/$Q47-1</f>
        <v>0.000196078431372593</v>
      </c>
      <c r="Y47" s="85"/>
      <c r="Z47" s="104"/>
      <c r="AA47" s="104"/>
      <c r="AB47" s="104"/>
    </row>
    <row r="48" s="2" customFormat="true" ht="18.75" hidden="false" customHeight="false" outlineLevel="0" collapsed="false">
      <c r="D48" s="106" t="s">
        <v>122</v>
      </c>
      <c r="E48" s="106"/>
      <c r="F48" s="107" t="n">
        <f aca="false">G48/H48</f>
        <v>0.187608901455104</v>
      </c>
      <c r="G48" s="108" t="n">
        <f aca="false">K1</f>
        <v>70.71202</v>
      </c>
      <c r="H48" s="109" t="n">
        <f aca="false">K2</f>
        <v>376.91186</v>
      </c>
      <c r="I48" s="110" t="n">
        <f aca="false">G48*H48</f>
        <v>26652.1989825572</v>
      </c>
      <c r="J48" s="111"/>
      <c r="K48" s="111"/>
      <c r="L48" s="111"/>
      <c r="M48" s="100" t="n">
        <f aca="false">N48*$K$5</f>
        <v>4.74959564076556</v>
      </c>
      <c r="N48" s="112" t="n">
        <f aca="false">F48</f>
        <v>0.187608901455104</v>
      </c>
      <c r="O48" s="113" t="n">
        <f aca="false">K3</f>
        <v>1000</v>
      </c>
      <c r="P48" s="114" t="n">
        <f aca="false">O48/F48</f>
        <v>5330.23749003352</v>
      </c>
      <c r="Q48" s="113" t="n">
        <f aca="false">(O48+P48*N48)*$K$5</f>
        <v>50632.9454938167</v>
      </c>
      <c r="R48" s="115"/>
      <c r="S48" s="116" t="n">
        <f aca="false">$Q$48</f>
        <v>50632.9454938167</v>
      </c>
      <c r="T48" s="116" t="n">
        <f aca="false">$P$48*2*N48*$K$5</f>
        <v>50632.9454938167</v>
      </c>
      <c r="U48" s="116" t="n">
        <f aca="false">($O$48+N48*$P$48)*$K$5</f>
        <v>50632.9454938167</v>
      </c>
      <c r="V48" s="117" t="n">
        <f aca="false">S48/$Q48-1</f>
        <v>0</v>
      </c>
      <c r="W48" s="117" t="n">
        <f aca="false">T48/$Q48-1</f>
        <v>0</v>
      </c>
      <c r="X48" s="117" t="n">
        <f aca="false">U48/$Q48-1</f>
        <v>0</v>
      </c>
      <c r="Y48" s="118"/>
      <c r="Z48" s="119"/>
      <c r="AA48" s="119"/>
      <c r="AB48" s="119"/>
    </row>
    <row r="49" customFormat="false" ht="15" hidden="false" customHeight="false" outlineLevel="0" collapsed="false">
      <c r="F49" s="99" t="n">
        <f aca="false">G49/H49</f>
        <v>0.180179588957482</v>
      </c>
      <c r="G49" s="52" t="n">
        <f aca="false">G48*(1-$O$1)</f>
        <v>69.2977796</v>
      </c>
      <c r="H49" s="15" t="n">
        <f aca="false">I49/G49</f>
        <v>384.60393877551</v>
      </c>
      <c r="I49" s="0" t="n">
        <f aca="false">I48</f>
        <v>26652.1989825572</v>
      </c>
      <c r="J49" s="85"/>
      <c r="K49" s="85"/>
      <c r="L49" s="85"/>
      <c r="M49" s="100" t="n">
        <f aca="false">N49*$K$5</f>
        <v>4.56151165339124</v>
      </c>
      <c r="N49" s="101" t="n">
        <f aca="false">F49</f>
        <v>0.180179588957482</v>
      </c>
      <c r="O49" s="83" t="n">
        <f aca="false">$O$48/$G$48*G49</f>
        <v>980</v>
      </c>
      <c r="P49" s="102" t="n">
        <f aca="false">O49/F49</f>
        <v>5439.01784697298</v>
      </c>
      <c r="Q49" s="81" t="n">
        <f aca="false">(O49+P49*N49)*$K$5</f>
        <v>49620.2865839404</v>
      </c>
      <c r="R49" s="105"/>
      <c r="S49" s="103" t="n">
        <f aca="false">$Q$48</f>
        <v>50632.9454938167</v>
      </c>
      <c r="T49" s="103" t="n">
        <f aca="false">$P$48*2*N49*$K$5</f>
        <v>48627.8808522616</v>
      </c>
      <c r="U49" s="103" t="n">
        <f aca="false">($O$48+N49*$P$48)*$K$5</f>
        <v>49630.4131730391</v>
      </c>
      <c r="V49" s="45" t="n">
        <f aca="false">S49/$Q49-1</f>
        <v>0.0204081632653059</v>
      </c>
      <c r="W49" s="45" t="n">
        <f aca="false">T49/$Q49-1</f>
        <v>-0.0199999999999999</v>
      </c>
      <c r="X49" s="45" t="n">
        <f aca="false">U49/$Q49-1</f>
        <v>0.000204081632652953</v>
      </c>
      <c r="Y49" s="85"/>
      <c r="Z49" s="104"/>
      <c r="AA49" s="104"/>
      <c r="AB49" s="104"/>
    </row>
    <row r="50" customFormat="false" ht="15" hidden="false" customHeight="false" outlineLevel="0" collapsed="false">
      <c r="F50" s="99" t="n">
        <f aca="false">G50/H50</f>
        <v>0.173044477234766</v>
      </c>
      <c r="G50" s="52" t="n">
        <f aca="false">G49*(1-$O$1)</f>
        <v>67.911824008</v>
      </c>
      <c r="H50" s="15" t="n">
        <f aca="false">I50/G50</f>
        <v>392.452998750521</v>
      </c>
      <c r="I50" s="0" t="n">
        <f aca="false">I49</f>
        <v>26652.1989825572</v>
      </c>
      <c r="J50" s="85"/>
      <c r="K50" s="85"/>
      <c r="L50" s="85"/>
      <c r="M50" s="100" t="n">
        <f aca="false">N50*$K$5</f>
        <v>4.38087579191695</v>
      </c>
      <c r="N50" s="101" t="n">
        <f aca="false">F50</f>
        <v>0.173044477234766</v>
      </c>
      <c r="O50" s="83" t="n">
        <f aca="false">$O$48/$G$48*G50</f>
        <v>960.4</v>
      </c>
      <c r="P50" s="102" t="n">
        <f aca="false">O50/F50</f>
        <v>5550.01821119692</v>
      </c>
      <c r="Q50" s="81" t="n">
        <f aca="false">(O50+P50*N50)*$K$5</f>
        <v>48627.8808522616</v>
      </c>
      <c r="R50" s="105"/>
      <c r="S50" s="103" t="n">
        <f aca="false">$Q$48</f>
        <v>50632.9454938167</v>
      </c>
      <c r="T50" s="103" t="n">
        <f aca="false">$P$48*2*N50*$K$5</f>
        <v>46702.216770512</v>
      </c>
      <c r="U50" s="103" t="n">
        <f aca="false">($O$48+N50*$P$48)*$K$5</f>
        <v>48667.5811321644</v>
      </c>
      <c r="V50" s="45" t="n">
        <f aca="false">S50/$Q50-1</f>
        <v>0.0412328196584755</v>
      </c>
      <c r="W50" s="45" t="n">
        <f aca="false">T50/$Q50-1</f>
        <v>-0.0396000000000001</v>
      </c>
      <c r="X50" s="45" t="n">
        <f aca="false">U50/$Q50-1</f>
        <v>0.000816409829237808</v>
      </c>
      <c r="Y50" s="85"/>
      <c r="Z50" s="104"/>
      <c r="AA50" s="104"/>
      <c r="AB50" s="104"/>
    </row>
    <row r="51" customFormat="false" ht="15" hidden="false" customHeight="false" outlineLevel="0" collapsed="false">
      <c r="F51" s="99" t="n">
        <f aca="false">G51/H51</f>
        <v>0.166191915936269</v>
      </c>
      <c r="G51" s="52" t="n">
        <f aca="false">G50*(1-$O$1)</f>
        <v>66.55358752784</v>
      </c>
      <c r="H51" s="15" t="n">
        <f aca="false">I51/G51</f>
        <v>400.46224362298</v>
      </c>
      <c r="I51" s="0" t="n">
        <f aca="false">I50</f>
        <v>26652.1989825572</v>
      </c>
      <c r="J51" s="85"/>
      <c r="K51" s="85"/>
      <c r="L51" s="85"/>
      <c r="M51" s="100" t="n">
        <f aca="false">N51*$K$5</f>
        <v>4.20739311055704</v>
      </c>
      <c r="N51" s="101" t="n">
        <f aca="false">F51</f>
        <v>0.166191915936269</v>
      </c>
      <c r="O51" s="83" t="n">
        <f aca="false">$O$48/$G$48*G51</f>
        <v>941.192</v>
      </c>
      <c r="P51" s="102" t="n">
        <f aca="false">O51/F51</f>
        <v>5663.28388897645</v>
      </c>
      <c r="Q51" s="81" t="n">
        <f aca="false">(O51+P51*N51)*$K$5</f>
        <v>47655.3232352163</v>
      </c>
      <c r="R51" s="105"/>
      <c r="S51" s="103" t="n">
        <f aca="false">$Q$48</f>
        <v>50632.9454938167</v>
      </c>
      <c r="T51" s="103" t="n">
        <f aca="false">$P$48*2*N51*$K$5</f>
        <v>44852.8089863997</v>
      </c>
      <c r="U51" s="103" t="n">
        <f aca="false">($O$48+N51*$P$48)*$K$5</f>
        <v>47742.8772401082</v>
      </c>
      <c r="V51" s="45" t="n">
        <f aca="false">S51/$Q51-1</f>
        <v>0.0624824690392609</v>
      </c>
      <c r="W51" s="45" t="n">
        <f aca="false">T51/$Q51-1</f>
        <v>-0.0588080000000002</v>
      </c>
      <c r="X51" s="45" t="n">
        <f aca="false">U51/$Q51-1</f>
        <v>0.00183723451963047</v>
      </c>
      <c r="Y51" s="85"/>
      <c r="Z51" s="104"/>
      <c r="AA51" s="104"/>
      <c r="AB51" s="104"/>
    </row>
    <row r="52" customFormat="false" ht="15" hidden="false" customHeight="false" outlineLevel="0" collapsed="false">
      <c r="F52" s="99" t="n">
        <f aca="false">G52/H52</f>
        <v>0.159610716065193</v>
      </c>
      <c r="G52" s="52" t="n">
        <f aca="false">G51*(1-$O$1)</f>
        <v>65.2225157772832</v>
      </c>
      <c r="H52" s="15" t="n">
        <f aca="false">I52/G52</f>
        <v>408.634942472429</v>
      </c>
      <c r="I52" s="0" t="n">
        <f aca="false">I51</f>
        <v>26652.1989825572</v>
      </c>
      <c r="J52" s="85"/>
      <c r="K52" s="85"/>
      <c r="L52" s="85"/>
      <c r="M52" s="100" t="n">
        <f aca="false">N52*$K$5</f>
        <v>4.04078034337898</v>
      </c>
      <c r="N52" s="101" t="n">
        <f aca="false">F52</f>
        <v>0.159610716065193</v>
      </c>
      <c r="O52" s="83" t="n">
        <f aca="false">$O$48/$G$48*G52</f>
        <v>922.36816</v>
      </c>
      <c r="P52" s="102" t="n">
        <f aca="false">O52/F52</f>
        <v>5778.86111120045</v>
      </c>
      <c r="Q52" s="81" t="n">
        <f aca="false">(O52+P52*N52)*$K$5</f>
        <v>46702.216770512</v>
      </c>
      <c r="R52" s="105"/>
      <c r="S52" s="103" t="n">
        <f aca="false">$Q$48</f>
        <v>50632.9454938167</v>
      </c>
      <c r="T52" s="103" t="n">
        <f aca="false">$P$48*2*N52*$K$5</f>
        <v>43076.6377505383</v>
      </c>
      <c r="U52" s="103" t="n">
        <f aca="false">($O$48+N52*$P$48)*$K$5</f>
        <v>46854.7916221775</v>
      </c>
      <c r="V52" s="45" t="n">
        <f aca="false">S52/$Q52-1</f>
        <v>0.0841657847339397</v>
      </c>
      <c r="W52" s="45" t="n">
        <f aca="false">T52/$Q52-1</f>
        <v>-0.0776318399999999</v>
      </c>
      <c r="X52" s="45" t="n">
        <f aca="false">U52/$Q52-1</f>
        <v>0.00326697236697004</v>
      </c>
      <c r="Y52" s="85"/>
      <c r="Z52" s="104"/>
      <c r="AA52" s="104"/>
      <c r="AB52" s="104"/>
    </row>
    <row r="53" customFormat="false" ht="15" hidden="false" customHeight="false" outlineLevel="0" collapsed="false">
      <c r="F53" s="99" t="n">
        <f aca="false">G53/H53</f>
        <v>0.153290131709011</v>
      </c>
      <c r="G53" s="52" t="n">
        <f aca="false">G52*(1-$O$1)</f>
        <v>63.9180654617375</v>
      </c>
      <c r="H53" s="15" t="n">
        <f aca="false">I53/G53</f>
        <v>416.974431094315</v>
      </c>
      <c r="I53" s="0" t="n">
        <f aca="false">I52</f>
        <v>26652.1989825572</v>
      </c>
      <c r="J53" s="85"/>
      <c r="K53" s="85"/>
      <c r="L53" s="85"/>
      <c r="M53" s="100" t="n">
        <f aca="false">N53*$K$5</f>
        <v>3.88076544178117</v>
      </c>
      <c r="N53" s="101" t="n">
        <f aca="false">F53</f>
        <v>0.153290131709011</v>
      </c>
      <c r="O53" s="83" t="n">
        <f aca="false">$O$48/$G$48*G53</f>
        <v>903.9207968</v>
      </c>
      <c r="P53" s="102" t="n">
        <f aca="false">O53/F53</f>
        <v>5896.79705224536</v>
      </c>
      <c r="Q53" s="81" t="n">
        <f aca="false">(O53+P53*N53)*$K$5</f>
        <v>45768.1724351018</v>
      </c>
      <c r="R53" s="105"/>
      <c r="S53" s="103" t="n">
        <f aca="false">$Q$48</f>
        <v>50632.9454938167</v>
      </c>
      <c r="T53" s="103" t="n">
        <f aca="false">$P$48*2*N53*$K$5</f>
        <v>41370.802895617</v>
      </c>
      <c r="U53" s="103" t="n">
        <f aca="false">($O$48+N53*$P$48)*$K$5</f>
        <v>46001.8741947168</v>
      </c>
      <c r="V53" s="45" t="n">
        <f aca="false">S53/$Q53-1</f>
        <v>0.106291617075449</v>
      </c>
      <c r="W53" s="45" t="n">
        <f aca="false">T53/$Q53-1</f>
        <v>-0.0960792032000002</v>
      </c>
      <c r="X53" s="45" t="n">
        <f aca="false">U53/$Q53-1</f>
        <v>0.00510620693772434</v>
      </c>
      <c r="Y53" s="85"/>
      <c r="Z53" s="104"/>
      <c r="AA53" s="104"/>
      <c r="AB53" s="104"/>
    </row>
    <row r="54" customFormat="false" ht="15" hidden="false" customHeight="false" outlineLevel="0" collapsed="false">
      <c r="F54" s="99" t="n">
        <f aca="false">G54/H54</f>
        <v>0.147219842493334</v>
      </c>
      <c r="G54" s="52" t="n">
        <f aca="false">G53*(1-$O$1)</f>
        <v>62.6397041525028</v>
      </c>
      <c r="H54" s="15" t="n">
        <f aca="false">I54/G54</f>
        <v>425.484113361546</v>
      </c>
      <c r="I54" s="0" t="n">
        <f aca="false">I53</f>
        <v>26652.1989825572</v>
      </c>
      <c r="J54" s="85"/>
      <c r="K54" s="85"/>
      <c r="L54" s="85"/>
      <c r="M54" s="100" t="n">
        <f aca="false">N54*$K$5</f>
        <v>3.72708713028664</v>
      </c>
      <c r="N54" s="101" t="n">
        <f aca="false">F54</f>
        <v>0.147219842493334</v>
      </c>
      <c r="O54" s="83" t="n">
        <f aca="false">$O$48/$G$48*G54</f>
        <v>885.842380864</v>
      </c>
      <c r="P54" s="102" t="n">
        <f aca="false">O54/F54</f>
        <v>6017.13984922996</v>
      </c>
      <c r="Q54" s="81" t="n">
        <f aca="false">(O54+P54*N54)*$K$5</f>
        <v>44852.8089863997</v>
      </c>
      <c r="R54" s="105"/>
      <c r="S54" s="103" t="n">
        <f aca="false">$Q$48</f>
        <v>50632.9454938167</v>
      </c>
      <c r="T54" s="103" t="n">
        <f aca="false">$P$48*2*N54*$K$5</f>
        <v>39732.5191009505</v>
      </c>
      <c r="U54" s="103" t="n">
        <f aca="false">($O$48+N54*$P$48)*$K$5</f>
        <v>45182.7322973836</v>
      </c>
      <c r="V54" s="45" t="n">
        <f aca="false">S54/$Q54-1</f>
        <v>0.128868997015764</v>
      </c>
      <c r="W54" s="45" t="n">
        <f aca="false">T54/$Q54-1</f>
        <v>-0.114157619136</v>
      </c>
      <c r="X54" s="45" t="n">
        <f aca="false">U54/$Q54-1</f>
        <v>0.00735568893988203</v>
      </c>
      <c r="Y54" s="85"/>
      <c r="Z54" s="104"/>
      <c r="AA54" s="104"/>
      <c r="AB54" s="104"/>
    </row>
    <row r="55" customFormat="false" ht="15" hidden="false" customHeight="false" outlineLevel="0" collapsed="false">
      <c r="F55" s="99" t="n">
        <f aca="false">G55/H55</f>
        <v>0.141389936730598</v>
      </c>
      <c r="G55" s="52" t="n">
        <f aca="false">G54*(1-$O$1)</f>
        <v>61.3869100694527</v>
      </c>
      <c r="H55" s="15" t="n">
        <f aca="false">I55/G55</f>
        <v>434.167462613823</v>
      </c>
      <c r="I55" s="0" t="n">
        <f aca="false">I54</f>
        <v>26652.1989825572</v>
      </c>
      <c r="J55" s="85"/>
      <c r="K55" s="85"/>
      <c r="L55" s="85"/>
      <c r="M55" s="100" t="n">
        <f aca="false">N55*$K$5</f>
        <v>3.57949447992729</v>
      </c>
      <c r="N55" s="101" t="n">
        <f aca="false">F55</f>
        <v>0.141389936730598</v>
      </c>
      <c r="O55" s="83" t="n">
        <f aca="false">$O$48/$G$48*G55</f>
        <v>868.12553324672</v>
      </c>
      <c r="P55" s="102" t="n">
        <f aca="false">O55/F55</f>
        <v>6139.93862166323</v>
      </c>
      <c r="Q55" s="81" t="n">
        <f aca="false">(O55+P55*N55)*$K$5</f>
        <v>43955.7528066717</v>
      </c>
      <c r="R55" s="105"/>
      <c r="S55" s="103" t="n">
        <f aca="false">$Q$48</f>
        <v>50632.9454938167</v>
      </c>
      <c r="T55" s="103" t="n">
        <f aca="false">$P$48*2*N55*$K$5</f>
        <v>38159.1113445529</v>
      </c>
      <c r="U55" s="103" t="n">
        <f aca="false">($O$48+N55*$P$48)*$K$5</f>
        <v>44396.0284191848</v>
      </c>
      <c r="V55" s="45" t="n">
        <f aca="false">S55/$Q55-1</f>
        <v>0.151907139812004</v>
      </c>
      <c r="W55" s="45" t="n">
        <f aca="false">T55/$Q55-1</f>
        <v>-0.13187446675328</v>
      </c>
      <c r="X55" s="45" t="n">
        <f aca="false">U55/$Q55-1</f>
        <v>0.010016336529362</v>
      </c>
      <c r="Y55" s="85"/>
      <c r="Z55" s="104"/>
      <c r="AA55" s="104"/>
      <c r="AB55" s="104"/>
    </row>
    <row r="56" customFormat="false" ht="15" hidden="false" customHeight="false" outlineLevel="0" collapsed="false">
      <c r="F56" s="99" t="n">
        <f aca="false">G56/H56</f>
        <v>0.135790895236066</v>
      </c>
      <c r="G56" s="52" t="n">
        <f aca="false">G55*(1-$O$1)</f>
        <v>60.1591718680637</v>
      </c>
      <c r="H56" s="15" t="n">
        <f aca="false">I56/G56</f>
        <v>443.028023075329</v>
      </c>
      <c r="I56" s="0" t="n">
        <f aca="false">I55</f>
        <v>26652.1989825572</v>
      </c>
      <c r="J56" s="85"/>
      <c r="K56" s="85"/>
      <c r="L56" s="85"/>
      <c r="M56" s="100" t="n">
        <f aca="false">N56*$K$5</f>
        <v>3.43774649852216</v>
      </c>
      <c r="N56" s="101" t="n">
        <f aca="false">F56</f>
        <v>0.135790895236066</v>
      </c>
      <c r="O56" s="83" t="n">
        <f aca="false">$O$48/$G$48*G56</f>
        <v>850.763022581785</v>
      </c>
      <c r="P56" s="102" t="n">
        <f aca="false">O56/F56</f>
        <v>6265.24349149309</v>
      </c>
      <c r="Q56" s="81" t="n">
        <f aca="false">(O56+P56*N56)*$K$5</f>
        <v>43076.6377505383</v>
      </c>
      <c r="R56" s="105"/>
      <c r="S56" s="103" t="n">
        <f aca="false">$Q$48</f>
        <v>50632.9454938167</v>
      </c>
      <c r="T56" s="103" t="n">
        <f aca="false">$P$48*2*N56*$K$5</f>
        <v>36648.0105353086</v>
      </c>
      <c r="U56" s="103" t="n">
        <f aca="false">($O$48+N56*$P$48)*$K$5</f>
        <v>43640.4780145627</v>
      </c>
      <c r="V56" s="45" t="n">
        <f aca="false">S56/$Q56-1</f>
        <v>0.175415448787759</v>
      </c>
      <c r="W56" s="45" t="n">
        <f aca="false">T56/$Q56-1</f>
        <v>-0.149236977418215</v>
      </c>
      <c r="X56" s="45" t="n">
        <f aca="false">U56/$Q56-1</f>
        <v>0.0130892356847723</v>
      </c>
      <c r="Y56" s="85"/>
      <c r="Z56" s="104"/>
      <c r="AA56" s="104"/>
      <c r="AB56" s="104"/>
    </row>
    <row r="57" customFormat="false" ht="15" hidden="false" customHeight="false" outlineLevel="0" collapsed="false">
      <c r="F57" s="99" t="n">
        <f aca="false">G57/H57</f>
        <v>0.130413575784718</v>
      </c>
      <c r="G57" s="52" t="n">
        <f aca="false">G56*(1-$O$1)</f>
        <v>58.9559884307024</v>
      </c>
      <c r="H57" s="15" t="n">
        <f aca="false">I57/G57</f>
        <v>452.069411301356</v>
      </c>
      <c r="I57" s="0" t="n">
        <f aca="false">I56</f>
        <v>26652.1989825572</v>
      </c>
      <c r="J57" s="85"/>
      <c r="K57" s="85"/>
      <c r="L57" s="85"/>
      <c r="M57" s="100" t="n">
        <f aca="false">N57*$K$5</f>
        <v>3.30161173718069</v>
      </c>
      <c r="N57" s="101" t="n">
        <f aca="false">F57</f>
        <v>0.130413575784718</v>
      </c>
      <c r="O57" s="83" t="n">
        <f aca="false">$O$48/$G$48*G57</f>
        <v>833.74776213015</v>
      </c>
      <c r="P57" s="102" t="n">
        <f aca="false">O57/F57</f>
        <v>6393.10560356438</v>
      </c>
      <c r="Q57" s="81" t="n">
        <f aca="false">(O57+P57*N57)*$K$5</f>
        <v>42215.1049955275</v>
      </c>
      <c r="R57" s="105"/>
      <c r="S57" s="103" t="n">
        <f aca="false">$Q$48</f>
        <v>50632.9454938167</v>
      </c>
      <c r="T57" s="103" t="n">
        <f aca="false">$P$48*2*N57*$K$5</f>
        <v>35196.7493181104</v>
      </c>
      <c r="U57" s="103" t="n">
        <f aca="false">($O$48+N57*$P$48)*$K$5</f>
        <v>42914.8474059635</v>
      </c>
      <c r="V57" s="45" t="n">
        <f aca="false">S57/$Q57-1</f>
        <v>0.199403519171183</v>
      </c>
      <c r="W57" s="45" t="n">
        <f aca="false">T57/$Q57-1</f>
        <v>-0.16625223786985</v>
      </c>
      <c r="X57" s="45" t="n">
        <f aca="false">U57/$Q57-1</f>
        <v>0.0165756406506665</v>
      </c>
      <c r="Y57" s="85"/>
      <c r="Z57" s="104"/>
      <c r="AA57" s="104"/>
      <c r="AB57" s="104"/>
    </row>
    <row r="58" customFormat="false" ht="15" hidden="false" customHeight="false" outlineLevel="0" collapsed="false">
      <c r="F58" s="99" t="n">
        <f aca="false">G58/H58</f>
        <v>0.125249198183643</v>
      </c>
      <c r="G58" s="52" t="n">
        <f aca="false">G57*(1-$O$1)</f>
        <v>57.7768686620883</v>
      </c>
      <c r="H58" s="15" t="n">
        <f aca="false">I58/G58</f>
        <v>461.295317654445</v>
      </c>
      <c r="I58" s="0" t="n">
        <f aca="false">I57</f>
        <v>26652.1989825572</v>
      </c>
      <c r="J58" s="85"/>
      <c r="K58" s="85"/>
      <c r="L58" s="85"/>
      <c r="M58" s="100" t="n">
        <f aca="false">N58*$K$5</f>
        <v>3.17086791238833</v>
      </c>
      <c r="N58" s="101" t="n">
        <f aca="false">F58</f>
        <v>0.125249198183643</v>
      </c>
      <c r="O58" s="83" t="n">
        <f aca="false">$O$48/$G$48*G58</f>
        <v>817.072806887547</v>
      </c>
      <c r="P58" s="102" t="n">
        <f aca="false">O58/F58</f>
        <v>6523.57714649426</v>
      </c>
      <c r="Q58" s="81" t="n">
        <f aca="false">(O58+P58*N58)*$K$5</f>
        <v>41370.802895617</v>
      </c>
      <c r="R58" s="105"/>
      <c r="S58" s="103" t="n">
        <f aca="false">$Q$48</f>
        <v>50632.9454938167</v>
      </c>
      <c r="T58" s="103" t="n">
        <f aca="false">$P$48*2*N58*$K$5</f>
        <v>33802.9580451132</v>
      </c>
      <c r="U58" s="103" t="n">
        <f aca="false">($O$48+N58*$P$48)*$K$5</f>
        <v>42217.951769465</v>
      </c>
      <c r="V58" s="45" t="n">
        <f aca="false">S58/$Q58-1</f>
        <v>0.223881142011411</v>
      </c>
      <c r="W58" s="45" t="n">
        <f aca="false">T58/$Q58-1</f>
        <v>-0.182927193112453</v>
      </c>
      <c r="X58" s="45" t="n">
        <f aca="false">U58/$Q58-1</f>
        <v>0.020476974449479</v>
      </c>
      <c r="Y58" s="85"/>
      <c r="Z58" s="104"/>
      <c r="AA58" s="104"/>
      <c r="AB58" s="104"/>
    </row>
    <row r="59" customFormat="false" ht="15" hidden="false" customHeight="false" outlineLevel="0" collapsed="false">
      <c r="F59" s="99" t="n">
        <f aca="false">G59/H59</f>
        <v>0.120289329935571</v>
      </c>
      <c r="G59" s="52" t="n">
        <f aca="false">G58*(1-$O$1)</f>
        <v>56.6213312888466</v>
      </c>
      <c r="H59" s="15" t="n">
        <f aca="false">I59/G59</f>
        <v>470.709507810658</v>
      </c>
      <c r="I59" s="0" t="n">
        <f aca="false">I58</f>
        <v>26652.1989825572</v>
      </c>
      <c r="J59" s="85"/>
      <c r="K59" s="85"/>
      <c r="L59" s="85"/>
      <c r="M59" s="100" t="n">
        <f aca="false">N59*$K$5</f>
        <v>3.04530154305775</v>
      </c>
      <c r="N59" s="101" t="n">
        <f aca="false">F59</f>
        <v>0.120289329935571</v>
      </c>
      <c r="O59" s="83" t="n">
        <f aca="false">$O$48/$G$48*G59</f>
        <v>800.731350749796</v>
      </c>
      <c r="P59" s="102" t="n">
        <f aca="false">O59/F59</f>
        <v>6656.71137397374</v>
      </c>
      <c r="Q59" s="81" t="n">
        <f aca="false">(O59+P59*N59)*$K$5</f>
        <v>40543.3868377046</v>
      </c>
      <c r="R59" s="105"/>
      <c r="S59" s="103" t="n">
        <f aca="false">$Q$48</f>
        <v>50632.9454938167</v>
      </c>
      <c r="T59" s="103" t="n">
        <f aca="false">$P$48*2*N59*$K$5</f>
        <v>32464.3609065267</v>
      </c>
      <c r="U59" s="103" t="n">
        <f aca="false">($O$48+N59*$P$48)*$K$5</f>
        <v>41548.6532001717</v>
      </c>
      <c r="V59" s="45" t="n">
        <f aca="false">S59/$Q59-1</f>
        <v>0.24885830817491</v>
      </c>
      <c r="W59" s="45" t="n">
        <f aca="false">T59/$Q59-1</f>
        <v>-0.199268649250204</v>
      </c>
      <c r="X59" s="45" t="n">
        <f aca="false">U59/$Q59-1</f>
        <v>0.0247948294623528</v>
      </c>
      <c r="Y59" s="85"/>
      <c r="Z59" s="104"/>
      <c r="AA59" s="104"/>
      <c r="AB59" s="104"/>
    </row>
    <row r="60" customFormat="false" ht="15" hidden="false" customHeight="false" outlineLevel="0" collapsed="false">
      <c r="F60" s="99" t="n">
        <f aca="false">G60/H60</f>
        <v>0.115525872470122</v>
      </c>
      <c r="G60" s="52" t="n">
        <f aca="false">G59*(1-$O$1)</f>
        <v>55.4889046630696</v>
      </c>
      <c r="H60" s="15" t="n">
        <f aca="false">I60/G60</f>
        <v>480.31582429659</v>
      </c>
      <c r="I60" s="0" t="n">
        <f aca="false">I59</f>
        <v>26652.1989825572</v>
      </c>
      <c r="J60" s="85"/>
      <c r="K60" s="85"/>
      <c r="L60" s="85"/>
      <c r="M60" s="100" t="n">
        <f aca="false">N60*$K$5</f>
        <v>2.92470760195267</v>
      </c>
      <c r="N60" s="101" t="n">
        <f aca="false">F60</f>
        <v>0.115525872470122</v>
      </c>
      <c r="O60" s="83" t="n">
        <f aca="false">$O$48/$G$48*G60</f>
        <v>784.7167237348</v>
      </c>
      <c r="P60" s="102" t="n">
        <f aca="false">O60/F60</f>
        <v>6792.56262650381</v>
      </c>
      <c r="Q60" s="81" t="n">
        <f aca="false">(O60+P60*N60)*$K$5</f>
        <v>39732.5191009505</v>
      </c>
      <c r="R60" s="105"/>
      <c r="S60" s="103" t="n">
        <f aca="false">$Q$48</f>
        <v>50632.9454938167</v>
      </c>
      <c r="T60" s="103" t="n">
        <f aca="false">$P$48*2*N60*$K$5</f>
        <v>31178.7722146283</v>
      </c>
      <c r="U60" s="103" t="n">
        <f aca="false">($O$48+N60*$P$48)*$K$5</f>
        <v>40905.8588542225</v>
      </c>
      <c r="V60" s="45" t="n">
        <f aca="false">S60/$Q60-1</f>
        <v>0.274345212423377</v>
      </c>
      <c r="W60" s="45" t="n">
        <f aca="false">T60/$Q60-1</f>
        <v>-0.2152832762652</v>
      </c>
      <c r="X60" s="45" t="n">
        <f aca="false">U60/$Q60-1</f>
        <v>0.0295309680790885</v>
      </c>
      <c r="Y60" s="85"/>
      <c r="Z60" s="104"/>
      <c r="AA60" s="104"/>
      <c r="AB60" s="104"/>
    </row>
    <row r="61" customFormat="false" ht="15" hidden="false" customHeight="false" outlineLevel="0" collapsed="false">
      <c r="F61" s="99" t="n">
        <f aca="false">G61/H61</f>
        <v>0.110951047920306</v>
      </c>
      <c r="G61" s="52" t="n">
        <f aca="false">G60*(1-$O$1)</f>
        <v>54.3791265698082</v>
      </c>
      <c r="H61" s="15" t="n">
        <f aca="false">I61/G61</f>
        <v>490.118188057745</v>
      </c>
      <c r="I61" s="0" t="n">
        <f aca="false">I60</f>
        <v>26652.1989825572</v>
      </c>
      <c r="J61" s="85"/>
      <c r="K61" s="85"/>
      <c r="L61" s="85"/>
      <c r="M61" s="100" t="n">
        <f aca="false">N61*$K$5</f>
        <v>2.80888918091534</v>
      </c>
      <c r="N61" s="101" t="n">
        <f aca="false">F61</f>
        <v>0.110951047920306</v>
      </c>
      <c r="O61" s="83" t="n">
        <f aca="false">$O$48/$G$48*G61</f>
        <v>769.022389260104</v>
      </c>
      <c r="P61" s="102" t="n">
        <f aca="false">O61/F61</f>
        <v>6931.18635357532</v>
      </c>
      <c r="Q61" s="81" t="n">
        <f aca="false">(O61+P61*N61)*$K$5</f>
        <v>38937.8687189315</v>
      </c>
      <c r="R61" s="105"/>
      <c r="S61" s="103" t="n">
        <f aca="false">$Q$48</f>
        <v>50632.9454938167</v>
      </c>
      <c r="T61" s="103" t="n">
        <f aca="false">$P$48*2*N61*$K$5</f>
        <v>29944.092834929</v>
      </c>
      <c r="U61" s="103" t="n">
        <f aca="false">($O$48+N61*$P$48)*$K$5</f>
        <v>40288.5191643728</v>
      </c>
      <c r="V61" s="45" t="n">
        <f aca="false">S61/$Q61-1</f>
        <v>0.300352257574875</v>
      </c>
      <c r="W61" s="45" t="n">
        <f aca="false">T61/$Q61-1</f>
        <v>-0.230977610739896</v>
      </c>
      <c r="X61" s="45" t="n">
        <f aca="false">U61/$Q61-1</f>
        <v>0.0346873234174891</v>
      </c>
      <c r="Y61" s="85"/>
      <c r="Z61" s="104"/>
      <c r="AA61" s="104"/>
      <c r="AB61" s="104"/>
    </row>
    <row r="62" customFormat="false" ht="15" hidden="false" customHeight="false" outlineLevel="0" collapsed="false">
      <c r="F62" s="99" t="n">
        <f aca="false">G62/H62</f>
        <v>0.106557386422662</v>
      </c>
      <c r="G62" s="52" t="n">
        <f aca="false">G61*(1-$O$1)</f>
        <v>53.2915440384121</v>
      </c>
      <c r="H62" s="15" t="n">
        <f aca="false">I62/G62</f>
        <v>500.120600058924</v>
      </c>
      <c r="I62" s="0" t="n">
        <f aca="false">I61</f>
        <v>26652.1989825572</v>
      </c>
      <c r="J62" s="85"/>
      <c r="K62" s="85"/>
      <c r="L62" s="85"/>
      <c r="M62" s="100" t="n">
        <f aca="false">N62*$K$5</f>
        <v>2.69765716935109</v>
      </c>
      <c r="N62" s="101" t="n">
        <f aca="false">F62</f>
        <v>0.106557386422662</v>
      </c>
      <c r="O62" s="83" t="n">
        <f aca="false">$O$48/$G$48*G62</f>
        <v>753.641941474902</v>
      </c>
      <c r="P62" s="102" t="n">
        <f aca="false">O62/F62</f>
        <v>7072.63913630135</v>
      </c>
      <c r="Q62" s="81" t="n">
        <f aca="false">(O62+P62*N62)*$K$5</f>
        <v>38159.1113445529</v>
      </c>
      <c r="R62" s="105"/>
      <c r="S62" s="103" t="n">
        <f aca="false">$Q$48</f>
        <v>50632.9454938167</v>
      </c>
      <c r="T62" s="103" t="n">
        <f aca="false">$P$48*2*N62*$K$5</f>
        <v>28758.3067586658</v>
      </c>
      <c r="U62" s="103" t="n">
        <f aca="false">($O$48+N62*$P$48)*$K$5</f>
        <v>39695.6261262412</v>
      </c>
      <c r="V62" s="45" t="n">
        <f aca="false">S62/$Q62-1</f>
        <v>0.326890058749872</v>
      </c>
      <c r="W62" s="45" t="n">
        <f aca="false">T62/$Q62-1</f>
        <v>-0.246358058525098</v>
      </c>
      <c r="X62" s="45" t="n">
        <f aca="false">U62/$Q62-1</f>
        <v>0.0402660001123869</v>
      </c>
      <c r="Y62" s="85"/>
      <c r="Z62" s="104"/>
      <c r="AA62" s="104"/>
      <c r="AB62" s="104"/>
    </row>
    <row r="63" customFormat="false" ht="15" hidden="false" customHeight="false" outlineLevel="0" collapsed="false">
      <c r="F63" s="99" t="n">
        <f aca="false">G63/H63</f>
        <v>0.102337713920324</v>
      </c>
      <c r="G63" s="52" t="n">
        <f aca="false">G62*(1-$O$1)</f>
        <v>52.2257131576438</v>
      </c>
      <c r="H63" s="15" t="n">
        <f aca="false">I63/G63</f>
        <v>510.327142917269</v>
      </c>
      <c r="I63" s="0" t="n">
        <f aca="false">I62</f>
        <v>26652.1989825572</v>
      </c>
      <c r="J63" s="85"/>
      <c r="K63" s="85"/>
      <c r="L63" s="85"/>
      <c r="M63" s="100" t="n">
        <f aca="false">N63*$K$5</f>
        <v>2.59082994544479</v>
      </c>
      <c r="N63" s="101" t="n">
        <f aca="false">F63</f>
        <v>0.102337713920324</v>
      </c>
      <c r="O63" s="83" t="n">
        <f aca="false">$O$48/$G$48*G63</f>
        <v>738.569102645404</v>
      </c>
      <c r="P63" s="102" t="n">
        <f aca="false">O63/F63</f>
        <v>7216.97871051158</v>
      </c>
      <c r="Q63" s="81" t="n">
        <f aca="false">(O63+P63*N63)*$K$5</f>
        <v>37395.9291176618</v>
      </c>
      <c r="R63" s="105"/>
      <c r="S63" s="103" t="n">
        <f aca="false">$Q$48</f>
        <v>50632.9454938167</v>
      </c>
      <c r="T63" s="103" t="n">
        <f aca="false">$P$48*2*N63*$K$5</f>
        <v>27619.4778110226</v>
      </c>
      <c r="U63" s="103" t="n">
        <f aca="false">($O$48+N63*$P$48)*$K$5</f>
        <v>39126.2116524197</v>
      </c>
      <c r="V63" s="45" t="n">
        <f aca="false">S63/$Q63-1</f>
        <v>0.353969447703951</v>
      </c>
      <c r="W63" s="45" t="n">
        <f aca="false">T63/$Q63-1</f>
        <v>-0.261430897354596</v>
      </c>
      <c r="X63" s="45" t="n">
        <f aca="false">U63/$Q63-1</f>
        <v>0.0462692751746776</v>
      </c>
      <c r="Y63" s="85"/>
      <c r="Z63" s="104"/>
      <c r="AA63" s="104"/>
      <c r="AB63" s="104"/>
    </row>
    <row r="64" customFormat="false" ht="15" hidden="false" customHeight="false" outlineLevel="0" collapsed="false">
      <c r="F64" s="99" t="n">
        <f aca="false">G64/H64</f>
        <v>0.0982851404490793</v>
      </c>
      <c r="G64" s="52" t="n">
        <f aca="false">G63*(1-$O$1)</f>
        <v>51.181198894491</v>
      </c>
      <c r="H64" s="15" t="n">
        <f aca="false">I64/G64</f>
        <v>520.741982568642</v>
      </c>
      <c r="I64" s="0" t="n">
        <f aca="false">I63</f>
        <v>26652.1989825572</v>
      </c>
      <c r="J64" s="85"/>
      <c r="K64" s="85"/>
      <c r="L64" s="85"/>
      <c r="M64" s="100" t="n">
        <f aca="false">N64*$K$5</f>
        <v>2.48823307960518</v>
      </c>
      <c r="N64" s="101" t="n">
        <f aca="false">F64</f>
        <v>0.0982851404490793</v>
      </c>
      <c r="O64" s="83" t="n">
        <f aca="false">$O$48/$G$48*G64</f>
        <v>723.797720592496</v>
      </c>
      <c r="P64" s="102" t="n">
        <f aca="false">O64/F64</f>
        <v>7364.26399031794</v>
      </c>
      <c r="Q64" s="81" t="n">
        <f aca="false">(O64+P64*N64)*$K$5</f>
        <v>36648.0105353086</v>
      </c>
      <c r="R64" s="105"/>
      <c r="S64" s="103" t="n">
        <f aca="false">$Q$48</f>
        <v>50632.9454938167</v>
      </c>
      <c r="T64" s="103" t="n">
        <f aca="false">$P$48*2*N64*$K$5</f>
        <v>26525.7464897061</v>
      </c>
      <c r="U64" s="103" t="n">
        <f aca="false">($O$48+N64*$P$48)*$K$5</f>
        <v>38579.3459917614</v>
      </c>
      <c r="V64" s="45" t="n">
        <f aca="false">S64/$Q64-1</f>
        <v>0.38160147724893</v>
      </c>
      <c r="W64" s="45" t="n">
        <f aca="false">T64/$Q64-1</f>
        <v>-0.276202279407505</v>
      </c>
      <c r="X64" s="45" t="n">
        <f aca="false">U64/$Q64-1</f>
        <v>0.0526995989207126</v>
      </c>
      <c r="Y64" s="85"/>
      <c r="Z64" s="104"/>
      <c r="AA64" s="104"/>
      <c r="AB64" s="104"/>
    </row>
    <row r="65" customFormat="false" ht="15" hidden="false" customHeight="false" outlineLevel="0" collapsed="false">
      <c r="F65" s="99" t="n">
        <f aca="false">G65/H65</f>
        <v>0.0943930488872957</v>
      </c>
      <c r="G65" s="52" t="n">
        <f aca="false">G64*(1-$O$1)</f>
        <v>50.1575749166011</v>
      </c>
      <c r="H65" s="15" t="n">
        <f aca="false">I65/G65</f>
        <v>531.369369968002</v>
      </c>
      <c r="I65" s="0" t="n">
        <f aca="false">I64</f>
        <v>26652.1989825572</v>
      </c>
      <c r="J65" s="85"/>
      <c r="K65" s="85"/>
      <c r="L65" s="85"/>
      <c r="M65" s="100" t="n">
        <f aca="false">N65*$K$5</f>
        <v>2.38969904965281</v>
      </c>
      <c r="N65" s="101" t="n">
        <f aca="false">F65</f>
        <v>0.0943930488872957</v>
      </c>
      <c r="O65" s="83" t="n">
        <f aca="false">$O$48/$G$48*G65</f>
        <v>709.321766180646</v>
      </c>
      <c r="P65" s="102" t="n">
        <f aca="false">O65/F65</f>
        <v>7514.55509216116</v>
      </c>
      <c r="Q65" s="81" t="n">
        <f aca="false">(O65+P65*N65)*$K$5</f>
        <v>35915.0503246024</v>
      </c>
      <c r="R65" s="105"/>
      <c r="S65" s="103" t="n">
        <f aca="false">$Q$48</f>
        <v>50632.9454938167</v>
      </c>
      <c r="T65" s="103" t="n">
        <f aca="false">$P$48*2*N65*$K$5</f>
        <v>25475.3269287138</v>
      </c>
      <c r="U65" s="103" t="n">
        <f aca="false">($O$48+N65*$P$48)*$K$5</f>
        <v>38054.1362112652</v>
      </c>
      <c r="V65" s="45" t="n">
        <f aca="false">S65/$Q65-1</f>
        <v>0.409797425764214</v>
      </c>
      <c r="W65" s="45" t="n">
        <f aca="false">T65/$Q65-1</f>
        <v>-0.290678233819354</v>
      </c>
      <c r="X65" s="45" t="n">
        <f aca="false">U65/$Q65-1</f>
        <v>0.0595595959724298</v>
      </c>
      <c r="Y65" s="85"/>
      <c r="Z65" s="104"/>
      <c r="AA65" s="104"/>
      <c r="AB65" s="104"/>
    </row>
    <row r="66" customFormat="false" ht="15" hidden="false" customHeight="false" outlineLevel="0" collapsed="false">
      <c r="F66" s="99" t="n">
        <f aca="false">G66/H66</f>
        <v>0.0906550841513588</v>
      </c>
      <c r="G66" s="52" t="n">
        <f aca="false">G65*(1-$O$1)</f>
        <v>49.1544234182691</v>
      </c>
      <c r="H66" s="15" t="n">
        <f aca="false">I66/G66</f>
        <v>542.213642824492</v>
      </c>
      <c r="I66" s="0" t="n">
        <f aca="false">I65</f>
        <v>26652.1989825572</v>
      </c>
      <c r="J66" s="85"/>
      <c r="K66" s="85"/>
      <c r="L66" s="85"/>
      <c r="M66" s="100" t="n">
        <f aca="false">N66*$K$5</f>
        <v>2.29506696728656</v>
      </c>
      <c r="N66" s="101" t="n">
        <f aca="false">F66</f>
        <v>0.0906550841513588</v>
      </c>
      <c r="O66" s="83" t="n">
        <f aca="false">$O$48/$G$48*G66</f>
        <v>695.135330857033</v>
      </c>
      <c r="P66" s="102" t="n">
        <f aca="false">O66/F66</f>
        <v>7667.91335934812</v>
      </c>
      <c r="Q66" s="81" t="n">
        <f aca="false">(O66+P66*N66)*$K$5</f>
        <v>35196.7493181104</v>
      </c>
      <c r="R66" s="105"/>
      <c r="S66" s="103" t="n">
        <f aca="false">$Q$48</f>
        <v>50632.9454938167</v>
      </c>
      <c r="T66" s="103" t="n">
        <f aca="false">$P$48*2*N66*$K$5</f>
        <v>24466.5039823367</v>
      </c>
      <c r="U66" s="103" t="n">
        <f aca="false">($O$48+N66*$P$48)*$K$5</f>
        <v>37549.7247380767</v>
      </c>
      <c r="V66" s="45" t="n">
        <f aca="false">S66/$Q66-1</f>
        <v>0.438568801800218</v>
      </c>
      <c r="W66" s="45" t="n">
        <f aca="false">T66/$Q66-1</f>
        <v>-0.304864669142967</v>
      </c>
      <c r="X66" s="45" t="n">
        <f aca="false">U66/$Q66-1</f>
        <v>0.0668520663286256</v>
      </c>
      <c r="Y66" s="85"/>
      <c r="Z66" s="104"/>
      <c r="AA66" s="104"/>
      <c r="AB66" s="104"/>
    </row>
    <row r="67" customFormat="false" ht="15" hidden="false" customHeight="false" outlineLevel="0" collapsed="false">
      <c r="F67" s="99" t="n">
        <f aca="false">G67/H67</f>
        <v>0.087065142818965</v>
      </c>
      <c r="G67" s="52" t="n">
        <f aca="false">G66*(1-$O$1)</f>
        <v>48.1713349499037</v>
      </c>
      <c r="H67" s="15" t="n">
        <f aca="false">I67/G67</f>
        <v>553.27922737193</v>
      </c>
      <c r="I67" s="0" t="n">
        <f aca="false">I66</f>
        <v>26652.1989825572</v>
      </c>
      <c r="J67" s="85"/>
      <c r="K67" s="85"/>
      <c r="L67" s="85"/>
      <c r="M67" s="100" t="n">
        <f aca="false">N67*$K$5</f>
        <v>2.20418231538201</v>
      </c>
      <c r="N67" s="101" t="n">
        <f aca="false">F67</f>
        <v>0.087065142818965</v>
      </c>
      <c r="O67" s="83" t="n">
        <f aca="false">$O$48/$G$48*G67</f>
        <v>681.232624239892</v>
      </c>
      <c r="P67" s="102" t="n">
        <f aca="false">O67/F67</f>
        <v>7824.40138708992</v>
      </c>
      <c r="Q67" s="81" t="n">
        <f aca="false">(O67+P67*N67)*$K$5</f>
        <v>34492.8143317482</v>
      </c>
      <c r="R67" s="105"/>
      <c r="S67" s="103" t="n">
        <f aca="false">$Q$48</f>
        <v>50632.9454938167</v>
      </c>
      <c r="T67" s="103" t="n">
        <f aca="false">$P$48*2*N67*$K$5</f>
        <v>23497.6304246362</v>
      </c>
      <c r="U67" s="103" t="n">
        <f aca="false">($O$48+N67*$P$48)*$K$5</f>
        <v>37065.2879592264</v>
      </c>
      <c r="V67" s="45" t="n">
        <f aca="false">S67/$Q67-1</f>
        <v>0.467927348775733</v>
      </c>
      <c r="W67" s="45" t="n">
        <f aca="false">T67/$Q67-1</f>
        <v>-0.318767375760108</v>
      </c>
      <c r="X67" s="45" t="n">
        <f aca="false">U67/$Q67-1</f>
        <v>0.0745799865078125</v>
      </c>
      <c r="Y67" s="85"/>
      <c r="Z67" s="104"/>
      <c r="AA67" s="104"/>
      <c r="AB67" s="104"/>
    </row>
    <row r="68" customFormat="false" ht="15" hidden="false" customHeight="false" outlineLevel="0" collapsed="false">
      <c r="F68" s="99" t="n">
        <f aca="false">G68/H68</f>
        <v>0.083617363163334</v>
      </c>
      <c r="G68" s="52" t="n">
        <f aca="false">G67*(1-$O$1)</f>
        <v>47.2079082509057</v>
      </c>
      <c r="H68" s="15" t="n">
        <f aca="false">I68/G68</f>
        <v>564.570640175439</v>
      </c>
      <c r="I68" s="0" t="n">
        <f aca="false">I67</f>
        <v>26652.1989825572</v>
      </c>
      <c r="J68" s="85"/>
      <c r="K68" s="85"/>
      <c r="L68" s="85"/>
      <c r="M68" s="100" t="n">
        <f aca="false">N68*$K$5</f>
        <v>2.11689669569288</v>
      </c>
      <c r="N68" s="101" t="n">
        <f aca="false">F68</f>
        <v>0.083617363163334</v>
      </c>
      <c r="O68" s="83" t="n">
        <f aca="false">$O$48/$G$48*G68</f>
        <v>667.607971755094</v>
      </c>
      <c r="P68" s="102" t="n">
        <f aca="false">O68/F68</f>
        <v>7984.08304805094</v>
      </c>
      <c r="Q68" s="81" t="n">
        <f aca="false">(O68+P68*N68)*$K$5</f>
        <v>33802.9580451132</v>
      </c>
      <c r="R68" s="105"/>
      <c r="S68" s="103" t="n">
        <f aca="false">$Q$48</f>
        <v>50632.9454938167</v>
      </c>
      <c r="T68" s="103" t="n">
        <f aca="false">$P$48*2*N68*$K$5</f>
        <v>22567.1242598206</v>
      </c>
      <c r="U68" s="103" t="n">
        <f aca="false">($O$48+N68*$P$48)*$K$5</f>
        <v>36600.0348768186</v>
      </c>
      <c r="V68" s="45" t="n">
        <f aca="false">S68/$Q68-1</f>
        <v>0.497885049771156</v>
      </c>
      <c r="W68" s="45" t="n">
        <f aca="false">T68/$Q68-1</f>
        <v>-0.332392028244906</v>
      </c>
      <c r="X68" s="45" t="n">
        <f aca="false">U68/$Q68-1</f>
        <v>0.0827465107631251</v>
      </c>
      <c r="Y68" s="85"/>
      <c r="Z68" s="104"/>
      <c r="AA68" s="104"/>
      <c r="AB68" s="104"/>
    </row>
    <row r="69" customFormat="false" ht="15" hidden="false" customHeight="false" outlineLevel="0" collapsed="false">
      <c r="F69" s="99" t="n">
        <f aca="false">G69/H69</f>
        <v>0.080306115582066</v>
      </c>
      <c r="G69" s="52" t="n">
        <f aca="false">G68*(1-$O$1)</f>
        <v>46.2637500858875</v>
      </c>
      <c r="H69" s="15" t="n">
        <f aca="false">I69/G69</f>
        <v>576.092489974938</v>
      </c>
      <c r="I69" s="0" t="n">
        <f aca="false">I68</f>
        <v>26652.1989825572</v>
      </c>
      <c r="J69" s="85"/>
      <c r="K69" s="85"/>
      <c r="L69" s="85"/>
      <c r="M69" s="100" t="n">
        <f aca="false">N69*$K$5</f>
        <v>2.03306758654345</v>
      </c>
      <c r="N69" s="101" t="n">
        <f aca="false">F69</f>
        <v>0.080306115582066</v>
      </c>
      <c r="O69" s="83" t="n">
        <f aca="false">$O$48/$G$48*G69</f>
        <v>654.255812319992</v>
      </c>
      <c r="P69" s="102" t="n">
        <f aca="false">O69/F69</f>
        <v>8147.02351841933</v>
      </c>
      <c r="Q69" s="81" t="n">
        <f aca="false">(O69+P69*N69)*$K$5</f>
        <v>33126.8988842109</v>
      </c>
      <c r="R69" s="105"/>
      <c r="S69" s="103" t="n">
        <f aca="false">$Q$48</f>
        <v>50632.9454938167</v>
      </c>
      <c r="T69" s="103" t="n">
        <f aca="false">$P$48*2*N69*$K$5</f>
        <v>21673.4661391317</v>
      </c>
      <c r="U69" s="103" t="n">
        <f aca="false">($O$48+N69*$P$48)*$K$5</f>
        <v>36153.2058164742</v>
      </c>
      <c r="V69" s="45" t="n">
        <f aca="false">S69/$Q69-1</f>
        <v>0.528454132419547</v>
      </c>
      <c r="W69" s="45" t="n">
        <f aca="false">T69/$Q69-1</f>
        <v>-0.345744187680008</v>
      </c>
      <c r="X69" s="45" t="n">
        <f aca="false">U69/$Q69-1</f>
        <v>0.09135497236977</v>
      </c>
      <c r="Y69" s="85"/>
      <c r="Z69" s="104"/>
      <c r="AA69" s="104"/>
      <c r="AB69" s="104"/>
    </row>
    <row r="70" customFormat="false" ht="15" hidden="false" customHeight="false" outlineLevel="0" collapsed="false">
      <c r="F70" s="99" t="n">
        <f aca="false">G70/H70</f>
        <v>0.0771259934050161</v>
      </c>
      <c r="G70" s="52" t="n">
        <f aca="false">G69*(1-$O$1)</f>
        <v>45.3384750841698</v>
      </c>
      <c r="H70" s="15" t="n">
        <f aca="false">I70/G70</f>
        <v>587.849479566263</v>
      </c>
      <c r="I70" s="0" t="n">
        <f aca="false">I69</f>
        <v>26652.1989825572</v>
      </c>
      <c r="J70" s="85"/>
      <c r="K70" s="85"/>
      <c r="L70" s="85"/>
      <c r="M70" s="100" t="n">
        <f aca="false">N70*$K$5</f>
        <v>1.95255811011632</v>
      </c>
      <c r="N70" s="101" t="n">
        <f aca="false">F70</f>
        <v>0.0771259934050161</v>
      </c>
      <c r="O70" s="83" t="n">
        <f aca="false">$O$48/$G$48*G70</f>
        <v>641.170696073592</v>
      </c>
      <c r="P70" s="102" t="n">
        <f aca="false">O70/F70</f>
        <v>8313.28930450952</v>
      </c>
      <c r="Q70" s="81" t="n">
        <f aca="false">(O70+P70*N70)*$K$5</f>
        <v>32464.3609065267</v>
      </c>
      <c r="R70" s="105"/>
      <c r="S70" s="103" t="n">
        <f aca="false">$Q$48</f>
        <v>50632.9454938167</v>
      </c>
      <c r="T70" s="103" t="n">
        <f aca="false">$P$48*2*N70*$K$5</f>
        <v>20815.1968800221</v>
      </c>
      <c r="U70" s="103" t="n">
        <f aca="false">($O$48+N70*$P$48)*$K$5</f>
        <v>35724.0711869194</v>
      </c>
      <c r="V70" s="45" t="n">
        <f aca="false">S70/$Q70-1</f>
        <v>0.559647073897497</v>
      </c>
      <c r="W70" s="45" t="n">
        <f aca="false">T70/$Q70-1</f>
        <v>-0.358829303926408</v>
      </c>
      <c r="X70" s="45" t="n">
        <f aca="false">U70/$Q70-1</f>
        <v>0.100408884985545</v>
      </c>
      <c r="Y70" s="85"/>
      <c r="Z70" s="104"/>
      <c r="AA70" s="104"/>
      <c r="AB70" s="104"/>
    </row>
    <row r="71" customFormat="false" ht="15" hidden="false" customHeight="false" outlineLevel="0" collapsed="false">
      <c r="F71" s="99" t="n">
        <f aca="false">G71/H71</f>
        <v>0.0740718040661775</v>
      </c>
      <c r="G71" s="52" t="n">
        <f aca="false">G70*(1-$O$1)</f>
        <v>44.4317055824864</v>
      </c>
      <c r="H71" s="15" t="n">
        <f aca="false">I71/G71</f>
        <v>599.846407720677</v>
      </c>
      <c r="I71" s="0" t="n">
        <f aca="false">I70</f>
        <v>26652.1989825572</v>
      </c>
      <c r="J71" s="85"/>
      <c r="K71" s="85"/>
      <c r="L71" s="85"/>
      <c r="M71" s="100" t="n">
        <f aca="false">N71*$K$5</f>
        <v>1.87523680895572</v>
      </c>
      <c r="N71" s="120" t="n">
        <f aca="false">F71</f>
        <v>0.0740718040661775</v>
      </c>
      <c r="O71" s="82" t="n">
        <f aca="false">$O$48/$G$48*G71</f>
        <v>628.347282152121</v>
      </c>
      <c r="P71" s="121" t="n">
        <f aca="false">O71/F71</f>
        <v>8482.94826990767</v>
      </c>
      <c r="Q71" s="81" t="n">
        <f aca="false">(O71+P71*N71)*$K$5</f>
        <v>31815.0736883962</v>
      </c>
      <c r="R71" s="105"/>
      <c r="S71" s="103" t="n">
        <f aca="false">$Q$48</f>
        <v>50632.9454938167</v>
      </c>
      <c r="T71" s="103" t="n">
        <f aca="false">$P$48*2*N71*$K$5</f>
        <v>19990.9150835732</v>
      </c>
      <c r="U71" s="103" t="n">
        <f aca="false">($O$48+N71*$P$48)*$K$5</f>
        <v>35311.9302886949</v>
      </c>
      <c r="V71" s="45" t="n">
        <f aca="false">S71/$Q71-1</f>
        <v>0.591476606017854</v>
      </c>
      <c r="W71" s="45" t="n">
        <f aca="false">T71/$Q71-1</f>
        <v>-0.37165271784788</v>
      </c>
      <c r="X71" s="45" t="n">
        <f aca="false">U71/$Q71-1</f>
        <v>0.109911944084987</v>
      </c>
      <c r="Y71" s="85"/>
      <c r="Z71" s="104"/>
      <c r="AA71" s="104"/>
      <c r="AB71" s="104"/>
    </row>
    <row r="72" customFormat="false" ht="15" hidden="false" customHeight="false" outlineLevel="0" collapsed="false">
      <c r="F72" s="99" t="n">
        <f aca="false">G72/H72</f>
        <v>0.0711385606251569</v>
      </c>
      <c r="G72" s="52" t="n">
        <f aca="false">G71*(1-$O$1)</f>
        <v>43.5430714708367</v>
      </c>
      <c r="H72" s="15" t="n">
        <f aca="false">I72/G72</f>
        <v>612.088171143548</v>
      </c>
      <c r="I72" s="0" t="n">
        <f aca="false">I71</f>
        <v>26652.1989825572</v>
      </c>
      <c r="J72" s="85"/>
      <c r="K72" s="85"/>
      <c r="L72" s="85"/>
      <c r="M72" s="100" t="n">
        <f aca="false">N72*$K$5</f>
        <v>1.80097743132107</v>
      </c>
      <c r="N72" s="120" t="n">
        <f aca="false">F72</f>
        <v>0.0711385606251569</v>
      </c>
      <c r="O72" s="82" t="n">
        <f aca="false">$O$48/$G$48*G72</f>
        <v>615.780336509078</v>
      </c>
      <c r="P72" s="121" t="n">
        <f aca="false">O72/F72</f>
        <v>8656.0696631711</v>
      </c>
      <c r="Q72" s="81" t="n">
        <f aca="false">(O72+P72*N72)*$K$5</f>
        <v>31178.7722146283</v>
      </c>
      <c r="R72" s="105"/>
      <c r="S72" s="103" t="n">
        <f aca="false">$Q$48</f>
        <v>50632.9454938167</v>
      </c>
      <c r="T72" s="103" t="n">
        <f aca="false">$P$48*2*N72*$K$5</f>
        <v>19199.2748462637</v>
      </c>
      <c r="U72" s="103" t="n">
        <f aca="false">($O$48+N72*$P$48)*$K$5</f>
        <v>34916.1101700402</v>
      </c>
      <c r="V72" s="45" t="n">
        <f aca="false">S72/$Q72-1</f>
        <v>0.623955720426382</v>
      </c>
      <c r="W72" s="45" t="n">
        <f aca="false">T72/$Q72-1</f>
        <v>-0.384219663490922</v>
      </c>
      <c r="X72" s="45" t="n">
        <f aca="false">U72/$Q72-1</f>
        <v>0.11986802846773</v>
      </c>
      <c r="Y72" s="85"/>
      <c r="Z72" s="104"/>
      <c r="AA72" s="104"/>
      <c r="AB72" s="104"/>
    </row>
    <row r="73" customFormat="false" ht="15" hidden="false" customHeight="false" outlineLevel="0" collapsed="false">
      <c r="F73" s="99" t="n">
        <f aca="false">G73/H73</f>
        <v>0.0683214736244006</v>
      </c>
      <c r="G73" s="52" t="n">
        <f aca="false">G72*(1-$O$1)</f>
        <v>42.6722100414199</v>
      </c>
      <c r="H73" s="15" t="n">
        <f aca="false">I73/G73</f>
        <v>624.579766473008</v>
      </c>
      <c r="I73" s="0" t="n">
        <f aca="false">I72</f>
        <v>26652.1989825572</v>
      </c>
      <c r="J73" s="85"/>
      <c r="K73" s="85"/>
      <c r="L73" s="85"/>
      <c r="M73" s="100" t="n">
        <f aca="false">N73*$K$5</f>
        <v>1.72965872504076</v>
      </c>
      <c r="N73" s="120" t="n">
        <f aca="false">F73</f>
        <v>0.0683214736244006</v>
      </c>
      <c r="O73" s="82" t="n">
        <f aca="false">$O$48/$G$48*G73</f>
        <v>603.464729778897</v>
      </c>
      <c r="P73" s="121" t="n">
        <f aca="false">O73/F73</f>
        <v>8832.72414609296</v>
      </c>
      <c r="Q73" s="81" t="n">
        <f aca="false">(O73+P73*N73)*$K$5</f>
        <v>30555.1967703357</v>
      </c>
      <c r="R73" s="105"/>
      <c r="S73" s="103" t="n">
        <f aca="false">$Q$48</f>
        <v>50632.9454938167</v>
      </c>
      <c r="T73" s="103" t="n">
        <f aca="false">$P$48*2*N73*$K$5</f>
        <v>18438.9835623516</v>
      </c>
      <c r="U73" s="103" t="n">
        <f aca="false">($O$48+N73*$P$48)*$K$5</f>
        <v>34535.9645280842</v>
      </c>
      <c r="V73" s="45" t="n">
        <f aca="false">S73/$Q73-1</f>
        <v>0.657097673904472</v>
      </c>
      <c r="W73" s="45" t="n">
        <f aca="false">T73/$Q73-1</f>
        <v>-0.396535270221104</v>
      </c>
      <c r="X73" s="45" t="n">
        <f aca="false">U73/$Q73-1</f>
        <v>0.130281201841684</v>
      </c>
      <c r="Y73" s="85"/>
      <c r="Z73" s="104"/>
      <c r="AA73" s="104"/>
      <c r="AB73" s="104"/>
    </row>
    <row r="74" customFormat="false" ht="15" hidden="false" customHeight="false" outlineLevel="0" collapsed="false">
      <c r="F74" s="99" t="n">
        <f aca="false">G74/H74</f>
        <v>0.0656159432688744</v>
      </c>
      <c r="G74" s="52" t="n">
        <f aca="false">G73*(1-$O$1)</f>
        <v>41.8187658405915</v>
      </c>
      <c r="H74" s="15" t="n">
        <f aca="false">I74/G74</f>
        <v>637.326292319396</v>
      </c>
      <c r="I74" s="0" t="n">
        <f aca="false">I73</f>
        <v>26652.1989825572</v>
      </c>
      <c r="J74" s="85"/>
      <c r="K74" s="85"/>
      <c r="L74" s="85"/>
      <c r="M74" s="100" t="n">
        <f aca="false">N74*$K$5</f>
        <v>1.66116423952914</v>
      </c>
      <c r="N74" s="120" t="n">
        <f aca="false">F74</f>
        <v>0.0656159432688744</v>
      </c>
      <c r="O74" s="82" t="n">
        <f aca="false">$O$48/$G$48*G74</f>
        <v>591.395435183319</v>
      </c>
      <c r="P74" s="121" t="n">
        <f aca="false">O74/F74</f>
        <v>9012.98382254383</v>
      </c>
      <c r="Q74" s="81" t="n">
        <f aca="false">(O74+P74*N74)*$K$5</f>
        <v>29944.092834929</v>
      </c>
      <c r="R74" s="105"/>
      <c r="S74" s="103" t="n">
        <f aca="false">$Q$48</f>
        <v>50632.9454938167</v>
      </c>
      <c r="T74" s="103" t="n">
        <f aca="false">$P$48*2*N74*$K$5</f>
        <v>17708.7998132825</v>
      </c>
      <c r="U74" s="103" t="n">
        <f aca="false">($O$48+N74*$P$48)*$K$5</f>
        <v>34170.8726535496</v>
      </c>
      <c r="V74" s="45" t="n">
        <f aca="false">S74/$Q74-1</f>
        <v>0.690915993780073</v>
      </c>
      <c r="W74" s="45" t="n">
        <f aca="false">T74/$Q74-1</f>
        <v>-0.408604564816681</v>
      </c>
      <c r="X74" s="45" t="n">
        <f aca="false">U74/$Q74-1</f>
        <v>0.141155714481696</v>
      </c>
      <c r="Y74" s="85"/>
      <c r="Z74" s="104"/>
      <c r="AA74" s="104"/>
      <c r="AB74" s="104"/>
    </row>
    <row r="75" customFormat="false" ht="15" hidden="false" customHeight="false" outlineLevel="0" collapsed="false">
      <c r="F75" s="99" t="n">
        <f aca="false">G75/H75</f>
        <v>0.0630175519154269</v>
      </c>
      <c r="G75" s="52" t="n">
        <f aca="false">G74*(1-$O$1)</f>
        <v>40.9823905237797</v>
      </c>
      <c r="H75" s="15" t="n">
        <f aca="false">I75/G75</f>
        <v>650.332951346322</v>
      </c>
      <c r="I75" s="0" t="n">
        <f aca="false">I74</f>
        <v>26652.1989825572</v>
      </c>
      <c r="J75" s="85"/>
      <c r="K75" s="85"/>
      <c r="L75" s="85"/>
      <c r="M75" s="100" t="n">
        <f aca="false">N75*$K$5</f>
        <v>1.59538213564379</v>
      </c>
      <c r="N75" s="120" t="n">
        <f aca="false">F75</f>
        <v>0.0630175519154269</v>
      </c>
      <c r="O75" s="82" t="n">
        <f aca="false">$O$48/$G$48*G75</f>
        <v>579.567526479652</v>
      </c>
      <c r="P75" s="121" t="n">
        <f aca="false">O75/F75</f>
        <v>9196.92226790187</v>
      </c>
      <c r="Q75" s="81" t="n">
        <f aca="false">(O75+P75*N75)*$K$5</f>
        <v>29345.2109782304</v>
      </c>
      <c r="R75" s="105"/>
      <c r="S75" s="103" t="n">
        <f aca="false">$Q$48</f>
        <v>50632.9454938167</v>
      </c>
      <c r="T75" s="103" t="n">
        <f aca="false">$P$48*2*N75*$K$5</f>
        <v>17007.5313406765</v>
      </c>
      <c r="U75" s="103" t="n">
        <f aca="false">($O$48+N75*$P$48)*$K$5</f>
        <v>33820.2384172466</v>
      </c>
      <c r="V75" s="45" t="n">
        <f aca="false">S75/$Q75-1</f>
        <v>0.725424483449054</v>
      </c>
      <c r="W75" s="45" t="n">
        <f aca="false">T75/$Q75-1</f>
        <v>-0.420432473520348</v>
      </c>
      <c r="X75" s="45" t="n">
        <f aca="false">U75/$Q75-1</f>
        <v>0.152496004964353</v>
      </c>
      <c r="Y75" s="85"/>
      <c r="Z75" s="104"/>
      <c r="AA75" s="104"/>
      <c r="AB75" s="104"/>
    </row>
    <row r="76" customFormat="false" ht="15" hidden="false" customHeight="false" outlineLevel="0" collapsed="false">
      <c r="F76" s="99" t="n">
        <f aca="false">G76/H76</f>
        <v>0.060522056859576</v>
      </c>
      <c r="G76" s="52" t="n">
        <f aca="false">G75*(1-$O$1)</f>
        <v>40.1627427133041</v>
      </c>
      <c r="H76" s="15" t="n">
        <f aca="false">I76/G76</f>
        <v>663.605052394206</v>
      </c>
      <c r="I76" s="0" t="n">
        <f aca="false">I75</f>
        <v>26652.1989825572</v>
      </c>
      <c r="J76" s="85"/>
      <c r="K76" s="85"/>
      <c r="L76" s="85"/>
      <c r="M76" s="100" t="n">
        <f aca="false">N76*$K$5</f>
        <v>1.53220500307229</v>
      </c>
      <c r="N76" s="120" t="n">
        <f aca="false">F76</f>
        <v>0.060522056859576</v>
      </c>
      <c r="O76" s="82" t="n">
        <f aca="false">$O$48/$G$48*G76</f>
        <v>567.976175950059</v>
      </c>
      <c r="P76" s="121" t="n">
        <f aca="false">O76/F76</f>
        <v>9384.61455908354</v>
      </c>
      <c r="Q76" s="81" t="n">
        <f aca="false">(O76+P76*N76)*$K$5</f>
        <v>28758.3067586658</v>
      </c>
      <c r="R76" s="105"/>
      <c r="S76" s="103" t="n">
        <f aca="false">$Q$48</f>
        <v>50632.9454938167</v>
      </c>
      <c r="T76" s="103" t="n">
        <f aca="false">$P$48*2*N76*$K$5</f>
        <v>16334.0330995857</v>
      </c>
      <c r="U76" s="103" t="n">
        <f aca="false">($O$48+N76*$P$48)*$K$5</f>
        <v>33483.4892967012</v>
      </c>
      <c r="V76" s="45" t="n">
        <f aca="false">S76/$Q76-1</f>
        <v>0.760637228009239</v>
      </c>
      <c r="W76" s="45" t="n">
        <f aca="false">T76/$Q76-1</f>
        <v>-0.432023824049941</v>
      </c>
      <c r="X76" s="45" t="n">
        <f aca="false">U76/$Q76-1</f>
        <v>0.164306701979649</v>
      </c>
      <c r="Y76" s="85"/>
      <c r="Z76" s="104"/>
      <c r="AA76" s="104"/>
      <c r="AB76" s="104"/>
    </row>
    <row r="77" customFormat="false" ht="15" hidden="false" customHeight="false" outlineLevel="0" collapsed="false">
      <c r="F77" s="99" t="n">
        <f aca="false">G77/H77</f>
        <v>0.0581253834079368</v>
      </c>
      <c r="G77" s="52" t="n">
        <f aca="false">G76*(1-$O$1)</f>
        <v>39.359487859038</v>
      </c>
      <c r="H77" s="15" t="n">
        <f aca="false">I77/G77</f>
        <v>677.14801264715</v>
      </c>
      <c r="I77" s="0" t="n">
        <f aca="false">I76</f>
        <v>26652.1989825572</v>
      </c>
      <c r="J77" s="85"/>
      <c r="K77" s="85"/>
      <c r="L77" s="85"/>
      <c r="M77" s="100" t="n">
        <f aca="false">N77*$K$5</f>
        <v>1.47152968495063</v>
      </c>
      <c r="N77" s="120" t="n">
        <f aca="false">F77</f>
        <v>0.0581253834079368</v>
      </c>
      <c r="O77" s="82" t="n">
        <f aca="false">$O$48/$G$48*G77</f>
        <v>556.616652431058</v>
      </c>
      <c r="P77" s="121" t="n">
        <f aca="false">O77/F77</f>
        <v>9576.13730518729</v>
      </c>
      <c r="Q77" s="81" t="n">
        <f aca="false">(O77+P77*N77)*$K$5</f>
        <v>28183.1406234925</v>
      </c>
      <c r="R77" s="105"/>
      <c r="S77" s="103" t="n">
        <f aca="false">$Q$48</f>
        <v>50632.9454938167</v>
      </c>
      <c r="T77" s="103" t="n">
        <f aca="false">$P$48*2*N77*$K$5</f>
        <v>15687.2053888421</v>
      </c>
      <c r="U77" s="103" t="n">
        <f aca="false">($O$48+N77*$P$48)*$K$5</f>
        <v>33160.0754413294</v>
      </c>
      <c r="V77" s="45" t="n">
        <f aca="false">S77/$Q77-1</f>
        <v>0.796568600009428</v>
      </c>
      <c r="W77" s="45" t="n">
        <f aca="false">T77/$Q77-1</f>
        <v>-0.443383347568942</v>
      </c>
      <c r="X77" s="45" t="n">
        <f aca="false">U77/$Q77-1</f>
        <v>0.176592626220243</v>
      </c>
      <c r="Y77" s="85"/>
      <c r="Z77" s="104"/>
      <c r="AA77" s="104"/>
      <c r="AB77" s="104"/>
    </row>
    <row r="78" customFormat="false" ht="15" hidden="false" customHeight="false" outlineLevel="0" collapsed="false">
      <c r="F78" s="99" t="n">
        <f aca="false">G78/H78</f>
        <v>0.0558236182249825</v>
      </c>
      <c r="G78" s="52" t="n">
        <f aca="false">G77*(1-$O$1)</f>
        <v>38.5722981018572</v>
      </c>
      <c r="H78" s="15" t="n">
        <f aca="false">I78/G78</f>
        <v>690.96735984403</v>
      </c>
      <c r="I78" s="0" t="n">
        <f aca="false">I77</f>
        <v>26652.1989825572</v>
      </c>
      <c r="J78" s="85"/>
      <c r="K78" s="85"/>
      <c r="L78" s="85"/>
      <c r="M78" s="100" t="n">
        <f aca="false">N78*$K$5</f>
        <v>1.41325710942659</v>
      </c>
      <c r="N78" s="120" t="n">
        <f aca="false">F78</f>
        <v>0.0558236182249825</v>
      </c>
      <c r="O78" s="82" t="n">
        <f aca="false">$O$48/$G$48*G78</f>
        <v>545.484319382437</v>
      </c>
      <c r="P78" s="121" t="n">
        <f aca="false">O78/F78</f>
        <v>9771.56867876254</v>
      </c>
      <c r="Q78" s="81" t="n">
        <f aca="false">(O78+P78*N78)*$K$5</f>
        <v>27619.4778110226</v>
      </c>
      <c r="R78" s="105"/>
      <c r="S78" s="103" t="n">
        <f aca="false">$Q$48</f>
        <v>50632.9454938167</v>
      </c>
      <c r="T78" s="103" t="n">
        <f aca="false">$P$48*2*N78*$K$5</f>
        <v>15065.992055444</v>
      </c>
      <c r="U78" s="103" t="n">
        <f aca="false">($O$48+N78*$P$48)*$K$5</f>
        <v>32849.4687746303</v>
      </c>
      <c r="V78" s="45" t="n">
        <f aca="false">S78/$Q78-1</f>
        <v>0.833233265315743</v>
      </c>
      <c r="W78" s="45" t="n">
        <f aca="false">T78/$Q78-1</f>
        <v>-0.454515680617563</v>
      </c>
      <c r="X78" s="45" t="n">
        <f aca="false">U78/$Q78-1</f>
        <v>0.18935879234909</v>
      </c>
      <c r="Y78" s="85"/>
      <c r="Z78" s="104"/>
      <c r="AA78" s="104"/>
      <c r="AB78" s="104"/>
    </row>
    <row r="79" customFormat="false" ht="15" hidden="false" customHeight="false" outlineLevel="0" collapsed="false">
      <c r="F79" s="99" t="n">
        <f aca="false">G79/H79</f>
        <v>0.0536130029432732</v>
      </c>
      <c r="G79" s="52" t="n">
        <f aca="false">G78*(1-$O$1)</f>
        <v>37.8008521398201</v>
      </c>
      <c r="H79" s="15" t="n">
        <f aca="false">I79/G79</f>
        <v>705.068734534725</v>
      </c>
      <c r="I79" s="0" t="n">
        <f aca="false">I78</f>
        <v>26652.1989825572</v>
      </c>
      <c r="J79" s="85"/>
      <c r="K79" s="85"/>
      <c r="L79" s="85"/>
      <c r="M79" s="100" t="n">
        <f aca="false">N79*$K$5</f>
        <v>1.35729212789329</v>
      </c>
      <c r="N79" s="120" t="n">
        <f aca="false">F79</f>
        <v>0.0536130029432732</v>
      </c>
      <c r="O79" s="82" t="n">
        <f aca="false">$O$48/$G$48*G79</f>
        <v>534.574632994788</v>
      </c>
      <c r="P79" s="121" t="n">
        <f aca="false">O79/F79</f>
        <v>9970.98844771687</v>
      </c>
      <c r="Q79" s="81" t="n">
        <f aca="false">(O79+P79*N79)*$K$5</f>
        <v>27067.0882548022</v>
      </c>
      <c r="R79" s="105"/>
      <c r="S79" s="103" t="n">
        <f aca="false">$Q$48</f>
        <v>50632.9454938167</v>
      </c>
      <c r="T79" s="103" t="n">
        <f aca="false">$P$48*2*N79*$K$5</f>
        <v>14469.3787700484</v>
      </c>
      <c r="U79" s="103" t="n">
        <f aca="false">($O$48+N79*$P$48)*$K$5</f>
        <v>32551.1621319326</v>
      </c>
      <c r="V79" s="45" t="n">
        <f aca="false">S79/$Q79-1</f>
        <v>0.870646189097697</v>
      </c>
      <c r="W79" s="45" t="n">
        <f aca="false">T79/$Q79-1</f>
        <v>-0.465425367005212</v>
      </c>
      <c r="X79" s="45" t="n">
        <f aca="false">U79/$Q79-1</f>
        <v>0.202610411046243</v>
      </c>
      <c r="Y79" s="85"/>
      <c r="Z79" s="104"/>
      <c r="AA79" s="104"/>
      <c r="AB79" s="104"/>
    </row>
    <row r="80" customFormat="false" ht="15" hidden="false" customHeight="false" outlineLevel="0" collapsed="false">
      <c r="F80" s="99" t="n">
        <f aca="false">G80/H80</f>
        <v>0.0514899280267196</v>
      </c>
      <c r="G80" s="52" t="n">
        <f aca="false">G79*(1-$O$1)</f>
        <v>37.0448350970237</v>
      </c>
      <c r="H80" s="15" t="n">
        <f aca="false">I80/G80</f>
        <v>719.457892382372</v>
      </c>
      <c r="I80" s="0" t="n">
        <f aca="false">I79</f>
        <v>26652.1989825572</v>
      </c>
      <c r="J80" s="85"/>
      <c r="K80" s="85"/>
      <c r="L80" s="85"/>
      <c r="M80" s="100" t="n">
        <f aca="false">N80*$K$5</f>
        <v>1.30354335962872</v>
      </c>
      <c r="N80" s="120" t="n">
        <f aca="false">F80</f>
        <v>0.0514899280267196</v>
      </c>
      <c r="O80" s="82" t="n">
        <f aca="false">$O$48/$G$48*G80</f>
        <v>523.883140334892</v>
      </c>
      <c r="P80" s="121" t="n">
        <f aca="false">O80/F80</f>
        <v>10174.4780078744</v>
      </c>
      <c r="Q80" s="81" t="n">
        <f aca="false">(O80+P80*N80)*$K$5</f>
        <v>26525.7464897061</v>
      </c>
      <c r="R80" s="105"/>
      <c r="S80" s="103" t="n">
        <f aca="false">$Q$48</f>
        <v>50632.9454938167</v>
      </c>
      <c r="T80" s="103" t="n">
        <f aca="false">$P$48*2*N80*$K$5</f>
        <v>13896.3913707545</v>
      </c>
      <c r="U80" s="103" t="n">
        <f aca="false">($O$48+N80*$P$48)*$K$5</f>
        <v>32264.6684322856</v>
      </c>
      <c r="V80" s="45" t="n">
        <f aca="false">S80/$Q80-1</f>
        <v>0.908822641936426</v>
      </c>
      <c r="W80" s="45" t="n">
        <f aca="false">T80/$Q80-1</f>
        <v>-0.476116859665108</v>
      </c>
      <c r="X80" s="45" t="n">
        <f aca="false">U80/$Q80-1</f>
        <v>0.216352891135659</v>
      </c>
      <c r="Y80" s="85"/>
      <c r="Z80" s="104"/>
      <c r="AA80" s="104"/>
      <c r="AB80" s="104"/>
    </row>
    <row r="81" customFormat="false" ht="15" hidden="false" customHeight="false" outlineLevel="0" collapsed="false">
      <c r="F81" s="99" t="n">
        <f aca="false">G81/H81</f>
        <v>0.0494509268768615</v>
      </c>
      <c r="G81" s="52" t="n">
        <f aca="false">G80*(1-$O$1)</f>
        <v>36.3039383950832</v>
      </c>
      <c r="H81" s="15" t="n">
        <f aca="false">I81/G81</f>
        <v>734.140706512625</v>
      </c>
      <c r="I81" s="0" t="n">
        <f aca="false">I80</f>
        <v>26652.1989825572</v>
      </c>
      <c r="J81" s="85"/>
      <c r="K81" s="85"/>
      <c r="L81" s="85"/>
      <c r="M81" s="100" t="n">
        <f aca="false">N81*$K$5</f>
        <v>1.25192304258742</v>
      </c>
      <c r="N81" s="120" t="n">
        <f aca="false">F81</f>
        <v>0.0494509268768615</v>
      </c>
      <c r="O81" s="82" t="n">
        <f aca="false">$O$48/$G$48*G81</f>
        <v>513.405477528194</v>
      </c>
      <c r="P81" s="121" t="n">
        <f aca="false">O81/F81</f>
        <v>10382.1204161983</v>
      </c>
      <c r="Q81" s="81" t="n">
        <f aca="false">(O81+P81*N81)*$K$5</f>
        <v>25995.231559912</v>
      </c>
      <c r="R81" s="105"/>
      <c r="S81" s="103" t="n">
        <f aca="false">$Q$48</f>
        <v>50632.9454938167</v>
      </c>
      <c r="T81" s="103" t="n">
        <f aca="false">$P$48*2*N81*$K$5</f>
        <v>13346.0942724726</v>
      </c>
      <c r="U81" s="103" t="n">
        <f aca="false">($O$48+N81*$P$48)*$K$5</f>
        <v>31989.5198831447</v>
      </c>
      <c r="V81" s="45" t="n">
        <f aca="false">S81/$Q81-1</f>
        <v>0.947778206057576</v>
      </c>
      <c r="W81" s="45" t="n">
        <f aca="false">T81/$Q81-1</f>
        <v>-0.486594522471806</v>
      </c>
      <c r="X81" s="45" t="n">
        <f aca="false">U81/$Q81-1</f>
        <v>0.230591841792885</v>
      </c>
      <c r="Y81" s="85"/>
      <c r="Z81" s="104"/>
      <c r="AA81" s="104"/>
      <c r="AB81" s="104"/>
    </row>
    <row r="82" customFormat="false" ht="15" hidden="false" customHeight="false" outlineLevel="0" collapsed="false">
      <c r="F82" s="99" t="n">
        <f aca="false">G82/H82</f>
        <v>0.0474926701725378</v>
      </c>
      <c r="G82" s="52" t="n">
        <f aca="false">G81*(1-$O$1)</f>
        <v>35.5778596271816</v>
      </c>
      <c r="H82" s="15" t="n">
        <f aca="false">I82/G82</f>
        <v>749.123169910841</v>
      </c>
      <c r="I82" s="0" t="n">
        <f aca="false">I81</f>
        <v>26652.1989825572</v>
      </c>
      <c r="J82" s="85"/>
      <c r="K82" s="85"/>
      <c r="L82" s="85"/>
      <c r="M82" s="100" t="n">
        <f aca="false">N82*$K$5</f>
        <v>1.20234689010096</v>
      </c>
      <c r="N82" s="120" t="n">
        <f aca="false">F82</f>
        <v>0.0474926701725378</v>
      </c>
      <c r="O82" s="82" t="n">
        <f aca="false">$O$48/$G$48*G82</f>
        <v>503.137367977631</v>
      </c>
      <c r="P82" s="121" t="n">
        <f aca="false">O82/F82</f>
        <v>10594.0004246922</v>
      </c>
      <c r="Q82" s="81" t="n">
        <f aca="false">(O82+P82*N82)*$K$5</f>
        <v>25475.3269287138</v>
      </c>
      <c r="R82" s="105"/>
      <c r="S82" s="103" t="n">
        <f aca="false">$Q$48</f>
        <v>50632.9454938167</v>
      </c>
      <c r="T82" s="103" t="n">
        <f aca="false">$P$48*2*N82*$K$5</f>
        <v>12817.5889392827</v>
      </c>
      <c r="U82" s="103" t="n">
        <f aca="false">($O$48+N82*$P$48)*$K$5</f>
        <v>31725.2672165497</v>
      </c>
      <c r="V82" s="45" t="n">
        <f aca="false">S82/$Q82-1</f>
        <v>0.987528781691405</v>
      </c>
      <c r="W82" s="45" t="n">
        <f aca="false">T82/$Q82-1</f>
        <v>-0.49686263202237</v>
      </c>
      <c r="X82" s="45" t="n">
        <f aca="false">U82/$Q82-1</f>
        <v>0.245333074834518</v>
      </c>
      <c r="Y82" s="85"/>
      <c r="Z82" s="104"/>
      <c r="AA82" s="104"/>
      <c r="AB82" s="104"/>
    </row>
    <row r="83" customFormat="false" ht="15" hidden="false" customHeight="false" outlineLevel="0" collapsed="false">
      <c r="F83" s="99" t="n">
        <f aca="false">G83/H83</f>
        <v>0.0456119604337053</v>
      </c>
      <c r="G83" s="52" t="n">
        <f aca="false">G82*(1-$O$1)</f>
        <v>34.8663024346379</v>
      </c>
      <c r="H83" s="15" t="n">
        <f aca="false">I83/G83</f>
        <v>764.411397868206</v>
      </c>
      <c r="I83" s="0" t="n">
        <f aca="false">I82</f>
        <v>26652.1989825572</v>
      </c>
      <c r="J83" s="85"/>
      <c r="K83" s="85"/>
      <c r="L83" s="85"/>
      <c r="M83" s="100" t="n">
        <f aca="false">N83*$K$5</f>
        <v>1.15473395325296</v>
      </c>
      <c r="N83" s="120" t="n">
        <f aca="false">F83</f>
        <v>0.0456119604337053</v>
      </c>
      <c r="O83" s="82" t="n">
        <f aca="false">$O$48/$G$48*G83</f>
        <v>493.074620618078</v>
      </c>
      <c r="P83" s="121" t="n">
        <f aca="false">O83/F83</f>
        <v>10810.204514992</v>
      </c>
      <c r="Q83" s="81" t="n">
        <f aca="false">(O83+P83*N83)*$K$5</f>
        <v>24965.8203901395</v>
      </c>
      <c r="R83" s="105"/>
      <c r="S83" s="103" t="n">
        <f aca="false">$Q$48</f>
        <v>50632.9454938167</v>
      </c>
      <c r="T83" s="103" t="n">
        <f aca="false">$P$48*2*N83*$K$5</f>
        <v>12310.0124172871</v>
      </c>
      <c r="U83" s="103" t="n">
        <f aca="false">($O$48+N83*$P$48)*$K$5</f>
        <v>31471.4789555519</v>
      </c>
      <c r="V83" s="45" t="n">
        <f aca="false">S83/$Q83-1</f>
        <v>1.02809059356266</v>
      </c>
      <c r="W83" s="45" t="n">
        <f aca="false">T83/$Q83-1</f>
        <v>-0.506925379381922</v>
      </c>
      <c r="X83" s="45" t="n">
        <f aca="false">U83/$Q83-1</f>
        <v>0.260582607090368</v>
      </c>
      <c r="Y83" s="85"/>
      <c r="Z83" s="104"/>
      <c r="AA83" s="104"/>
      <c r="AB83" s="104"/>
    </row>
    <row r="84" customFormat="false" ht="15" hidden="false" customHeight="false" outlineLevel="0" collapsed="false">
      <c r="F84" s="99" t="n">
        <f aca="false">G84/H84</f>
        <v>0.0438057268005305</v>
      </c>
      <c r="G84" s="52" t="n">
        <f aca="false">G83*(1-$O$1)</f>
        <v>34.1689763859452</v>
      </c>
      <c r="H84" s="15" t="n">
        <f aca="false">I84/G84</f>
        <v>780.011630477761</v>
      </c>
      <c r="I84" s="0" t="n">
        <f aca="false">I83</f>
        <v>26652.1989825572</v>
      </c>
      <c r="J84" s="85"/>
      <c r="K84" s="85"/>
      <c r="L84" s="85"/>
      <c r="M84" s="100" t="n">
        <f aca="false">N84*$K$5</f>
        <v>1.10900648870414</v>
      </c>
      <c r="N84" s="120" t="n">
        <f aca="false">F84</f>
        <v>0.0438057268005305</v>
      </c>
      <c r="O84" s="82" t="n">
        <f aca="false">$O$48/$G$48*G84</f>
        <v>483.213128205716</v>
      </c>
      <c r="P84" s="121" t="n">
        <f aca="false">O84/F84</f>
        <v>11030.8209336653</v>
      </c>
      <c r="Q84" s="81" t="n">
        <f aca="false">(O84+P84*N84)*$K$5</f>
        <v>24466.5039823367</v>
      </c>
      <c r="R84" s="105"/>
      <c r="S84" s="103" t="n">
        <f aca="false">$Q$48</f>
        <v>50632.9454938167</v>
      </c>
      <c r="T84" s="103" t="n">
        <f aca="false">$P$48*2*N84*$K$5</f>
        <v>11822.5359255625</v>
      </c>
      <c r="U84" s="103" t="n">
        <f aca="false">($O$48+N84*$P$48)*$K$5</f>
        <v>31227.7407096896</v>
      </c>
      <c r="V84" s="45" t="n">
        <f aca="false">S84/$Q84-1</f>
        <v>1.06948019751292</v>
      </c>
      <c r="W84" s="45" t="n">
        <f aca="false">T84/$Q84-1</f>
        <v>-0.516786871794284</v>
      </c>
      <c r="X84" s="45" t="n">
        <f aca="false">U84/$Q84-1</f>
        <v>0.276346662859317</v>
      </c>
      <c r="Y84" s="85"/>
      <c r="Z84" s="104"/>
      <c r="AA84" s="104"/>
      <c r="AB84" s="104"/>
    </row>
    <row r="85" customFormat="false" ht="15" hidden="false" customHeight="false" outlineLevel="0" collapsed="false">
      <c r="F85" s="99" t="n">
        <f aca="false">G85/H85</f>
        <v>0.0420710200192295</v>
      </c>
      <c r="G85" s="52" t="n">
        <f aca="false">G84*(1-$O$1)</f>
        <v>33.4855968582263</v>
      </c>
      <c r="H85" s="15" t="n">
        <f aca="false">I85/G85</f>
        <v>795.930235181389</v>
      </c>
      <c r="I85" s="0" t="n">
        <f aca="false">I84</f>
        <v>26652.1989825572</v>
      </c>
      <c r="J85" s="85"/>
      <c r="K85" s="85"/>
      <c r="L85" s="85"/>
      <c r="M85" s="100" t="n">
        <f aca="false">N85*$K$5</f>
        <v>1.06508983175146</v>
      </c>
      <c r="N85" s="120" t="n">
        <f aca="false">F85</f>
        <v>0.0420710200192295</v>
      </c>
      <c r="O85" s="82" t="n">
        <f aca="false">$O$48/$G$48*G85</f>
        <v>473.548865641602</v>
      </c>
      <c r="P85" s="121" t="n">
        <f aca="false">O85/F85</f>
        <v>11255.9397282299</v>
      </c>
      <c r="Q85" s="81" t="n">
        <f aca="false">(O85+P85*N85)*$K$5</f>
        <v>23977.17390269</v>
      </c>
      <c r="R85" s="105"/>
      <c r="S85" s="103" t="n">
        <f aca="false">$Q$48</f>
        <v>50632.9454938167</v>
      </c>
      <c r="T85" s="103" t="n">
        <f aca="false">$P$48*2*N85*$K$5</f>
        <v>11354.3635029103</v>
      </c>
      <c r="U85" s="103" t="n">
        <f aca="false">($O$48+N85*$P$48)*$K$5</f>
        <v>30993.6544983635</v>
      </c>
      <c r="V85" s="45" t="n">
        <f aca="false">S85/$Q85-1</f>
        <v>1.11171448725808</v>
      </c>
      <c r="W85" s="45" t="n">
        <f aca="false">T85/$Q85-1</f>
        <v>-0.526451134358398</v>
      </c>
      <c r="X85" s="45" t="n">
        <f aca="false">U85/$Q85-1</f>
        <v>0.29263167644984</v>
      </c>
      <c r="Y85" s="85"/>
      <c r="Z85" s="104"/>
      <c r="AA85" s="104"/>
      <c r="AB85" s="104"/>
    </row>
    <row r="86" customFormat="false" ht="15" hidden="false" customHeight="false" outlineLevel="0" collapsed="false">
      <c r="F86" s="99" t="n">
        <f aca="false">G86/H86</f>
        <v>0.040405007626468</v>
      </c>
      <c r="G86" s="52" t="n">
        <f aca="false">G85*(1-$O$1)</f>
        <v>32.8158849210617</v>
      </c>
      <c r="H86" s="15" t="n">
        <f aca="false">I86/G86</f>
        <v>812.173709368764</v>
      </c>
      <c r="I86" s="0" t="n">
        <f aca="false">I85</f>
        <v>26652.1989825572</v>
      </c>
      <c r="J86" s="85"/>
      <c r="K86" s="85"/>
      <c r="L86" s="85"/>
      <c r="M86" s="100" t="n">
        <f aca="false">N86*$K$5</f>
        <v>1.0229122744141</v>
      </c>
      <c r="N86" s="120" t="n">
        <f aca="false">F86</f>
        <v>0.040405007626468</v>
      </c>
      <c r="O86" s="82" t="n">
        <f aca="false">$O$48/$G$48*G86</f>
        <v>464.07788832877</v>
      </c>
      <c r="P86" s="121" t="n">
        <f aca="false">O86/F86</f>
        <v>11485.6527839081</v>
      </c>
      <c r="Q86" s="81" t="n">
        <f aca="false">(O86+P86*N86)*$K$5</f>
        <v>23497.6304246362</v>
      </c>
      <c r="R86" s="105"/>
      <c r="S86" s="103" t="n">
        <f aca="false">$Q$48</f>
        <v>50632.9454938167</v>
      </c>
      <c r="T86" s="103" t="n">
        <f aca="false">$P$48*2*N86*$K$5</f>
        <v>10904.730708195</v>
      </c>
      <c r="U86" s="103" t="n">
        <f aca="false">($O$48+N86*$P$48)*$K$5</f>
        <v>30768.8381010059</v>
      </c>
      <c r="V86" s="45" t="n">
        <f aca="false">S86/$Q86-1</f>
        <v>1.15481070128375</v>
      </c>
      <c r="W86" s="45" t="n">
        <f aca="false">T86/$Q86-1</f>
        <v>-0.53592211167123</v>
      </c>
      <c r="X86" s="45" t="n">
        <f aca="false">U86/$Q86-1</f>
        <v>0.309444294806261</v>
      </c>
      <c r="Y86" s="85"/>
      <c r="Z86" s="104"/>
      <c r="AA86" s="104"/>
      <c r="AB86" s="104"/>
    </row>
    <row r="87" customFormat="false" ht="15" hidden="false" customHeight="false" outlineLevel="0" collapsed="false">
      <c r="F87" s="99" t="n">
        <f aca="false">G87/H87</f>
        <v>0.0388049693244599</v>
      </c>
      <c r="G87" s="52" t="n">
        <f aca="false">G86*(1-$O$1)</f>
        <v>32.1595672226405</v>
      </c>
      <c r="H87" s="15" t="n">
        <f aca="false">I87/G87</f>
        <v>828.748683029351</v>
      </c>
      <c r="I87" s="0" t="n">
        <f aca="false">I86</f>
        <v>26652.1989825572</v>
      </c>
      <c r="J87" s="85"/>
      <c r="K87" s="85"/>
      <c r="L87" s="85"/>
      <c r="M87" s="100" t="n">
        <f aca="false">N87*$K$5</f>
        <v>0.982404948347304</v>
      </c>
      <c r="N87" s="120" t="n">
        <f aca="false">F87</f>
        <v>0.0388049693244599</v>
      </c>
      <c r="O87" s="82" t="n">
        <f aca="false">$O$48/$G$48*G87</f>
        <v>454.796330562195</v>
      </c>
      <c r="P87" s="121" t="n">
        <f aca="false">O87/F87</f>
        <v>11720.0538611307</v>
      </c>
      <c r="Q87" s="81" t="n">
        <f aca="false">(O87+P87*N87)*$K$5</f>
        <v>23027.6778161434</v>
      </c>
      <c r="R87" s="105"/>
      <c r="S87" s="103" t="n">
        <f aca="false">$Q$48</f>
        <v>50632.9454938167</v>
      </c>
      <c r="T87" s="103" t="n">
        <f aca="false">$P$48*2*N87*$K$5</f>
        <v>10472.9033721505</v>
      </c>
      <c r="U87" s="103" t="n">
        <f aca="false">($O$48+N87*$P$48)*$K$5</f>
        <v>30552.9244329836</v>
      </c>
      <c r="V87" s="45" t="n">
        <f aca="false">S87/$Q87-1</f>
        <v>1.19878642988138</v>
      </c>
      <c r="W87" s="45" t="n">
        <f aca="false">T87/$Q87-1</f>
        <v>-0.545203669437806</v>
      </c>
      <c r="X87" s="45" t="n">
        <f aca="false">U87/$Q87-1</f>
        <v>0.326791380221788</v>
      </c>
      <c r="Y87" s="85"/>
      <c r="Z87" s="104"/>
      <c r="AA87" s="104"/>
      <c r="AB87" s="104"/>
    </row>
    <row r="88" customFormat="false" ht="15" hidden="false" customHeight="false" outlineLevel="0" collapsed="false">
      <c r="F88" s="99" t="n">
        <f aca="false">G88/H88</f>
        <v>0.0372682925392113</v>
      </c>
      <c r="G88" s="52" t="n">
        <f aca="false">G87*(1-$O$1)</f>
        <v>31.5163758781877</v>
      </c>
      <c r="H88" s="15" t="n">
        <f aca="false">I88/G88</f>
        <v>845.661921458521</v>
      </c>
      <c r="I88" s="0" t="n">
        <f aca="false">I87</f>
        <v>26652.1989825572</v>
      </c>
      <c r="J88" s="85"/>
      <c r="K88" s="85"/>
      <c r="L88" s="85"/>
      <c r="M88" s="100" t="n">
        <f aca="false">N88*$K$5</f>
        <v>0.943501712392751</v>
      </c>
      <c r="N88" s="120" t="n">
        <f aca="false">F88</f>
        <v>0.0372682925392113</v>
      </c>
      <c r="O88" s="82" t="n">
        <f aca="false">$O$48/$G$48*G88</f>
        <v>445.700403950951</v>
      </c>
      <c r="P88" s="121" t="n">
        <f aca="false">O88/F88</f>
        <v>11959.2386338068</v>
      </c>
      <c r="Q88" s="81" t="n">
        <f aca="false">(O88+P88*N88)*$K$5</f>
        <v>22567.1242598206</v>
      </c>
      <c r="R88" s="105"/>
      <c r="S88" s="103" t="n">
        <f aca="false">$Q$48</f>
        <v>50632.9454938167</v>
      </c>
      <c r="T88" s="103" t="n">
        <f aca="false">$P$48*2*N88*$K$5</f>
        <v>10058.1763986133</v>
      </c>
      <c r="U88" s="103" t="n">
        <f aca="false">($O$48+N88*$P$48)*$K$5</f>
        <v>30345.560946215</v>
      </c>
      <c r="V88" s="45" t="n">
        <f aca="false">S88/$Q88-1</f>
        <v>1.24365962232794</v>
      </c>
      <c r="W88" s="45" t="n">
        <f aca="false">T88/$Q88-1</f>
        <v>-0.554299596049049</v>
      </c>
      <c r="X88" s="45" t="n">
        <f aca="false">U88/$Q88-1</f>
        <v>0.344680013139445</v>
      </c>
      <c r="Y88" s="85"/>
      <c r="Z88" s="104"/>
      <c r="AA88" s="104"/>
      <c r="AB88" s="104"/>
    </row>
    <row r="89" customFormat="false" ht="15" hidden="false" customHeight="false" outlineLevel="0" collapsed="false">
      <c r="F89" s="99" t="n">
        <f aca="false">G89/H89</f>
        <v>0.0357924681546585</v>
      </c>
      <c r="G89" s="52" t="n">
        <f aca="false">G88*(1-$O$1)</f>
        <v>30.8860483606239</v>
      </c>
      <c r="H89" s="15" t="n">
        <f aca="false">I89/G89</f>
        <v>862.920328018899</v>
      </c>
      <c r="I89" s="0" t="n">
        <f aca="false">I88</f>
        <v>26652.1989825572</v>
      </c>
      <c r="J89" s="85"/>
      <c r="K89" s="85"/>
      <c r="L89" s="85"/>
      <c r="M89" s="100" t="n">
        <f aca="false">N89*$K$5</f>
        <v>0.906139044581998</v>
      </c>
      <c r="N89" s="120" t="n">
        <f aca="false">F89</f>
        <v>0.0357924681546585</v>
      </c>
      <c r="O89" s="82" t="n">
        <f aca="false">$O$48/$G$48*G89</f>
        <v>436.786395871932</v>
      </c>
      <c r="P89" s="121" t="n">
        <f aca="false">O89/F89</f>
        <v>12203.3047283743</v>
      </c>
      <c r="Q89" s="81" t="n">
        <f aca="false">(O89+P89*N89)*$K$5</f>
        <v>22115.7817746242</v>
      </c>
      <c r="R89" s="105"/>
      <c r="S89" s="103" t="n">
        <f aca="false">$Q$48</f>
        <v>50632.9454938167</v>
      </c>
      <c r="T89" s="103" t="n">
        <f aca="false">$P$48*2*N89*$K$5</f>
        <v>9659.87261322824</v>
      </c>
      <c r="U89" s="103" t="n">
        <f aca="false">($O$48+N89*$P$48)*$K$5</f>
        <v>30146.4090535225</v>
      </c>
      <c r="V89" s="45" t="n">
        <f aca="false">S89/$Q89-1</f>
        <v>1.28944859421218</v>
      </c>
      <c r="W89" s="45" t="n">
        <f aca="false">T89/$Q89-1</f>
        <v>-0.563213604128068</v>
      </c>
      <c r="X89" s="45" t="n">
        <f aca="false">U89/$Q89-1</f>
        <v>0.363117495042058</v>
      </c>
      <c r="Y89" s="85"/>
      <c r="Z89" s="104"/>
      <c r="AA89" s="104"/>
      <c r="AB89" s="104"/>
    </row>
    <row r="90" customFormat="false" ht="15" hidden="false" customHeight="false" outlineLevel="0" collapsed="false">
      <c r="F90" s="99" t="n">
        <f aca="false">G90/H90</f>
        <v>0.034375086415734</v>
      </c>
      <c r="G90" s="52" t="n">
        <f aca="false">G89*(1-$O$1)</f>
        <v>30.2683273934115</v>
      </c>
      <c r="H90" s="15" t="n">
        <f aca="false">I90/G90</f>
        <v>880.530946958061</v>
      </c>
      <c r="I90" s="0" t="n">
        <f aca="false">I89</f>
        <v>26652.1989825572</v>
      </c>
      <c r="J90" s="85"/>
      <c r="K90" s="85"/>
      <c r="L90" s="85"/>
      <c r="M90" s="100" t="n">
        <f aca="false">N90*$K$5</f>
        <v>0.87025593841655</v>
      </c>
      <c r="N90" s="120" t="n">
        <f aca="false">F90</f>
        <v>0.034375086415734</v>
      </c>
      <c r="O90" s="82" t="n">
        <f aca="false">$O$48/$G$48*G90</f>
        <v>428.050667954493</v>
      </c>
      <c r="P90" s="121" t="n">
        <f aca="false">O90/F90</f>
        <v>12452.3517636473</v>
      </c>
      <c r="Q90" s="81" t="n">
        <f aca="false">(O90+P90*N90)*$K$5</f>
        <v>21673.4661391317</v>
      </c>
      <c r="R90" s="105"/>
      <c r="S90" s="103" t="n">
        <f aca="false">$Q$48</f>
        <v>50632.9454938167</v>
      </c>
      <c r="T90" s="103" t="n">
        <f aca="false">$P$48*2*N90*$K$5</f>
        <v>9277.3416577444</v>
      </c>
      <c r="U90" s="103" t="n">
        <f aca="false">($O$48+N90*$P$48)*$K$5</f>
        <v>29955.1435757805</v>
      </c>
      <c r="V90" s="45" t="n">
        <f aca="false">S90/$Q90-1</f>
        <v>1.33617203491039</v>
      </c>
      <c r="W90" s="45" t="n">
        <f aca="false">T90/$Q90-1</f>
        <v>-0.571949332045507</v>
      </c>
      <c r="X90" s="45" t="n">
        <f aca="false">U90/$Q90-1</f>
        <v>0.382111351432442</v>
      </c>
      <c r="Y90" s="85"/>
      <c r="Z90" s="104"/>
      <c r="AA90" s="104"/>
      <c r="AB90" s="104"/>
    </row>
    <row r="91" customFormat="false" ht="15" hidden="false" customHeight="false" outlineLevel="0" collapsed="false">
      <c r="F91" s="99" t="n">
        <f aca="false">G91/H91</f>
        <v>0.033013832993671</v>
      </c>
      <c r="G91" s="52" t="n">
        <f aca="false">G90*(1-$O$1)</f>
        <v>29.6629608455432</v>
      </c>
      <c r="H91" s="15" t="n">
        <f aca="false">I91/G91</f>
        <v>898.500966283735</v>
      </c>
      <c r="I91" s="0" t="n">
        <f aca="false">I90</f>
        <v>26652.1989825572</v>
      </c>
      <c r="J91" s="85"/>
      <c r="K91" s="85"/>
      <c r="L91" s="85"/>
      <c r="M91" s="100" t="n">
        <f aca="false">N91*$K$5</f>
        <v>0.835793803255255</v>
      </c>
      <c r="N91" s="120" t="n">
        <f aca="false">F91</f>
        <v>0.033013832993671</v>
      </c>
      <c r="O91" s="82" t="n">
        <f aca="false">$O$48/$G$48*G91</f>
        <v>419.489654595403</v>
      </c>
      <c r="P91" s="121" t="n">
        <f aca="false">O91/F91</f>
        <v>12706.4813914768</v>
      </c>
      <c r="Q91" s="81" t="n">
        <f aca="false">(O91+P91*N91)*$K$5</f>
        <v>21239.996816349</v>
      </c>
      <c r="R91" s="105"/>
      <c r="S91" s="103" t="n">
        <f aca="false">$Q$48</f>
        <v>50632.9454938167</v>
      </c>
      <c r="T91" s="103" t="n">
        <f aca="false">$P$48*2*N91*$K$5</f>
        <v>8909.95892809772</v>
      </c>
      <c r="U91" s="103" t="n">
        <f aca="false">($O$48+N91*$P$48)*$K$5</f>
        <v>29771.4522109572</v>
      </c>
      <c r="V91" s="45" t="n">
        <f aca="false">S91/$Q91-1</f>
        <v>1.38384901521468</v>
      </c>
      <c r="W91" s="45" t="n">
        <f aca="false">T91/$Q91-1</f>
        <v>-0.580510345404597</v>
      </c>
      <c r="X91" s="45" t="n">
        <f aca="false">U91/$Q91-1</f>
        <v>0.401669334905044</v>
      </c>
      <c r="Y91" s="85"/>
      <c r="Z91" s="104"/>
      <c r="AA91" s="104"/>
      <c r="AB91" s="104"/>
    </row>
    <row r="92" customFormat="false" ht="15" hidden="false" customHeight="false" outlineLevel="0" collapsed="false">
      <c r="F92" s="99" t="n">
        <f aca="false">G92/H92</f>
        <v>0.0317064852071216</v>
      </c>
      <c r="G92" s="52" t="n">
        <f aca="false">G91*(1-$O$1)</f>
        <v>29.0697016286324</v>
      </c>
      <c r="H92" s="15" t="n">
        <f aca="false">I92/G92</f>
        <v>916.837720697689</v>
      </c>
      <c r="I92" s="0" t="n">
        <f aca="false">I91</f>
        <v>26652.1989825572</v>
      </c>
      <c r="J92" s="85"/>
      <c r="K92" s="85"/>
      <c r="L92" s="85"/>
      <c r="M92" s="100" t="n">
        <f aca="false">N92*$K$5</f>
        <v>0.802696368646347</v>
      </c>
      <c r="N92" s="120" t="n">
        <f aca="false">F92</f>
        <v>0.0317064852071216</v>
      </c>
      <c r="O92" s="82" t="n">
        <f aca="false">$O$48/$G$48*G92</f>
        <v>411.099861503495</v>
      </c>
      <c r="P92" s="121" t="n">
        <f aca="false">O92/F92</f>
        <v>12965.7973382416</v>
      </c>
      <c r="Q92" s="81" t="n">
        <f aca="false">(O92+P92*N92)*$K$5</f>
        <v>20815.1968800221</v>
      </c>
      <c r="R92" s="105"/>
      <c r="S92" s="103" t="n">
        <f aca="false">$Q$48</f>
        <v>50632.9454938167</v>
      </c>
      <c r="T92" s="103" t="n">
        <f aca="false">$P$48*2*N92*$K$5</f>
        <v>8557.12455454505</v>
      </c>
      <c r="U92" s="103" t="n">
        <f aca="false">($O$48+N92*$P$48)*$K$5</f>
        <v>29595.0350241809</v>
      </c>
      <c r="V92" s="45" t="n">
        <f aca="false">S92/$Q92-1</f>
        <v>1.43249899511703</v>
      </c>
      <c r="W92" s="45" t="n">
        <f aca="false">T92/$Q92-1</f>
        <v>-0.588900138496505</v>
      </c>
      <c r="X92" s="45" t="n">
        <f aca="false">U92/$Q92-1</f>
        <v>0.42179942831026</v>
      </c>
      <c r="Y92" s="85"/>
      <c r="Z92" s="104"/>
      <c r="AA92" s="104"/>
      <c r="AB92" s="104"/>
    </row>
    <row r="93" customFormat="false" ht="15" hidden="false" customHeight="false" outlineLevel="0" collapsed="false">
      <c r="F93" s="99" t="n">
        <f aca="false">G93/H93</f>
        <v>0.0304509083929196</v>
      </c>
      <c r="G93" s="52" t="n">
        <f aca="false">G92*(1-$O$1)</f>
        <v>28.4883075960597</v>
      </c>
      <c r="H93" s="15" t="n">
        <f aca="false">I93/G93</f>
        <v>935.548694589479</v>
      </c>
      <c r="I93" s="0" t="n">
        <f aca="false">I92</f>
        <v>26652.1989825572</v>
      </c>
      <c r="J93" s="85"/>
      <c r="K93" s="85"/>
      <c r="L93" s="85"/>
      <c r="M93" s="100" t="n">
        <f aca="false">N93*$K$5</f>
        <v>0.770909592447952</v>
      </c>
      <c r="N93" s="120" t="n">
        <f aca="false">F93</f>
        <v>0.0304509083929196</v>
      </c>
      <c r="O93" s="82" t="n">
        <f aca="false">$O$48/$G$48*G93</f>
        <v>402.877864273425</v>
      </c>
      <c r="P93" s="121" t="n">
        <f aca="false">O93/F93</f>
        <v>13230.4054471853</v>
      </c>
      <c r="Q93" s="81" t="n">
        <f aca="false">(O93+P93*N93)*$K$5</f>
        <v>20398.8929424216</v>
      </c>
      <c r="R93" s="105"/>
      <c r="S93" s="103" t="n">
        <f aca="false">$Q$48</f>
        <v>50632.9454938167</v>
      </c>
      <c r="T93" s="103" t="n">
        <f aca="false">$P$48*2*N93*$K$5</f>
        <v>8218.26242218507</v>
      </c>
      <c r="U93" s="103" t="n">
        <f aca="false">($O$48+N93*$P$48)*$K$5</f>
        <v>29425.6039580009</v>
      </c>
      <c r="V93" s="45" t="n">
        <f aca="false">S93/$Q93-1</f>
        <v>1.48214183175207</v>
      </c>
      <c r="W93" s="45" t="n">
        <f aca="false">T93/$Q93-1</f>
        <v>-0.597122135726575</v>
      </c>
      <c r="X93" s="45" t="n">
        <f aca="false">U93/$Q93-1</f>
        <v>0.442509848012746</v>
      </c>
      <c r="Y93" s="85"/>
      <c r="Z93" s="104"/>
      <c r="AA93" s="104"/>
      <c r="AB93" s="104"/>
    </row>
    <row r="94" customFormat="false" ht="15" hidden="false" customHeight="false" outlineLevel="0" collapsed="false">
      <c r="F94" s="99" t="n">
        <f aca="false">G94/H94</f>
        <v>0.02924505242056</v>
      </c>
      <c r="G94" s="52" t="n">
        <f aca="false">G93*(1-$O$1)</f>
        <v>27.9185414441385</v>
      </c>
      <c r="H94" s="15" t="n">
        <f aca="false">I94/G94</f>
        <v>954.641525091305</v>
      </c>
      <c r="I94" s="0" t="n">
        <f aca="false">I93</f>
        <v>26652.1989825572</v>
      </c>
      <c r="J94" s="85"/>
      <c r="K94" s="85"/>
      <c r="L94" s="85"/>
      <c r="M94" s="100" t="n">
        <f aca="false">N94*$K$5</f>
        <v>0.740381572587013</v>
      </c>
      <c r="N94" s="120" t="n">
        <f aca="false">F94</f>
        <v>0.02924505242056</v>
      </c>
      <c r="O94" s="82" t="n">
        <f aca="false">$O$48/$G$48*G94</f>
        <v>394.820306987957</v>
      </c>
      <c r="P94" s="121" t="n">
        <f aca="false">O94/F94</f>
        <v>13500.4137216177</v>
      </c>
      <c r="Q94" s="81" t="n">
        <f aca="false">(O94+P94*N94)*$K$5</f>
        <v>19990.9150835732</v>
      </c>
      <c r="R94" s="105"/>
      <c r="S94" s="103" t="n">
        <f aca="false">$Q$48</f>
        <v>50632.9454938167</v>
      </c>
      <c r="T94" s="103" t="n">
        <f aca="false">$P$48*2*N94*$K$5</f>
        <v>7892.81923026654</v>
      </c>
      <c r="U94" s="103" t="n">
        <f aca="false">($O$48+N94*$P$48)*$K$5</f>
        <v>29262.8823620416</v>
      </c>
      <c r="V94" s="45" t="n">
        <f aca="false">S94/$Q94-1</f>
        <v>1.53279778750211</v>
      </c>
      <c r="W94" s="45" t="n">
        <f aca="false">T94/$Q94-1</f>
        <v>-0.605179693012043</v>
      </c>
      <c r="X94" s="45" t="n">
        <f aca="false">U94/$Q94-1</f>
        <v>0.463809047245033</v>
      </c>
      <c r="Y94" s="85"/>
      <c r="Z94" s="104"/>
      <c r="AA94" s="104"/>
      <c r="AB94" s="104"/>
    </row>
    <row r="95" customFormat="false" ht="15" hidden="false" customHeight="false" outlineLevel="0" collapsed="false">
      <c r="F95" s="99" t="n">
        <f aca="false">G95/H95</f>
        <v>0.0280869483447058</v>
      </c>
      <c r="G95" s="52" t="n">
        <f aca="false">G94*(1-$O$1)</f>
        <v>27.3601706152558</v>
      </c>
      <c r="H95" s="15" t="n">
        <f aca="false">I95/G95</f>
        <v>974.124005195209</v>
      </c>
      <c r="I95" s="0" t="n">
        <f aca="false">I94</f>
        <v>26652.1989825572</v>
      </c>
      <c r="J95" s="85"/>
      <c r="K95" s="85"/>
      <c r="L95" s="85"/>
      <c r="M95" s="100" t="n">
        <f aca="false">N95*$K$5</f>
        <v>0.711062462312567</v>
      </c>
      <c r="N95" s="120" t="n">
        <f aca="false">F95</f>
        <v>0.0280869483447058</v>
      </c>
      <c r="O95" s="82" t="n">
        <f aca="false">$O$48/$G$48*G95</f>
        <v>386.923900848197</v>
      </c>
      <c r="P95" s="121" t="n">
        <f aca="false">O95/F95</f>
        <v>13775.9323689976</v>
      </c>
      <c r="Q95" s="81" t="n">
        <f aca="false">(O95+P95*N95)*$K$5</f>
        <v>19591.0967819017</v>
      </c>
      <c r="R95" s="105"/>
      <c r="S95" s="103" t="n">
        <f aca="false">$Q$48</f>
        <v>50632.9454938167</v>
      </c>
      <c r="T95" s="103" t="n">
        <f aca="false">$P$48*2*N95*$K$5</f>
        <v>7580.26358874798</v>
      </c>
      <c r="U95" s="103" t="n">
        <f aca="false">($O$48+N95*$P$48)*$K$5</f>
        <v>29106.6045412823</v>
      </c>
      <c r="V95" s="45" t="n">
        <f aca="false">S95/$Q95-1</f>
        <v>1.58448753826746</v>
      </c>
      <c r="W95" s="45" t="n">
        <f aca="false">T95/$Q95-1</f>
        <v>-0.613076099151802</v>
      </c>
      <c r="X95" s="45" t="n">
        <f aca="false">U95/$Q95-1</f>
        <v>0.485705719557828</v>
      </c>
      <c r="Y95" s="85"/>
      <c r="Z95" s="104"/>
      <c r="AA95" s="104"/>
      <c r="AB95" s="104"/>
    </row>
    <row r="96" customFormat="false" ht="15" hidden="false" customHeight="false" outlineLevel="0" collapsed="false">
      <c r="F96" s="99" t="n">
        <f aca="false">G96/H96</f>
        <v>0.0269747051902554</v>
      </c>
      <c r="G96" s="52" t="n">
        <f aca="false">G95*(1-$O$1)</f>
        <v>26.8129672029506</v>
      </c>
      <c r="H96" s="15" t="n">
        <f aca="false">I96/G96</f>
        <v>994.004086933887</v>
      </c>
      <c r="I96" s="0" t="n">
        <f aca="false">I95</f>
        <v>26652.1989825572</v>
      </c>
      <c r="J96" s="85"/>
      <c r="K96" s="85"/>
      <c r="L96" s="85"/>
      <c r="M96" s="100" t="n">
        <f aca="false">N96*$K$5</f>
        <v>0.682904388804989</v>
      </c>
      <c r="N96" s="120" t="n">
        <f aca="false">F96</f>
        <v>0.0269747051902554</v>
      </c>
      <c r="O96" s="82" t="n">
        <f aca="false">$O$48/$G$48*G96</f>
        <v>379.185422831233</v>
      </c>
      <c r="P96" s="121" t="n">
        <f aca="false">O96/F96</f>
        <v>14057.073845916</v>
      </c>
      <c r="Q96" s="81" t="n">
        <f aca="false">(O96+P96*N96)*$K$5</f>
        <v>19199.2748462637</v>
      </c>
      <c r="R96" s="105"/>
      <c r="S96" s="103" t="n">
        <f aca="false">$Q$48</f>
        <v>50632.9454938167</v>
      </c>
      <c r="T96" s="103" t="n">
        <f aca="false">$P$48*2*N96*$K$5</f>
        <v>7280.08515063356</v>
      </c>
      <c r="U96" s="103" t="n">
        <f aca="false">($O$48+N96*$P$48)*$K$5</f>
        <v>28956.5153222251</v>
      </c>
      <c r="V96" s="45" t="n">
        <f aca="false">S96/$Q96-1</f>
        <v>1.63723218190557</v>
      </c>
      <c r="W96" s="45" t="n">
        <f aca="false">T96/$Q96-1</f>
        <v>-0.620814577168767</v>
      </c>
      <c r="X96" s="45" t="n">
        <f aca="false">U96/$Q96-1</f>
        <v>0.508208802368402</v>
      </c>
      <c r="Y96" s="85"/>
      <c r="Z96" s="104"/>
      <c r="AA96" s="104"/>
      <c r="AB96" s="104"/>
    </row>
    <row r="97" customFormat="false" ht="15" hidden="false" customHeight="false" outlineLevel="0" collapsed="false">
      <c r="F97" s="99" t="n">
        <f aca="false">G97/H97</f>
        <v>0.0259065068647213</v>
      </c>
      <c r="G97" s="52" t="n">
        <f aca="false">G96*(1-$O$1)</f>
        <v>26.2767078588916</v>
      </c>
      <c r="H97" s="15" t="n">
        <f aca="false">I97/G97</f>
        <v>1014.28988462642</v>
      </c>
      <c r="I97" s="0" t="n">
        <f aca="false">I96</f>
        <v>26652.1989825572</v>
      </c>
      <c r="J97" s="85"/>
      <c r="K97" s="85"/>
      <c r="L97" s="85"/>
      <c r="M97" s="100" t="n">
        <f aca="false">N97*$K$5</f>
        <v>0.655861375008312</v>
      </c>
      <c r="N97" s="120" t="n">
        <f aca="false">F97</f>
        <v>0.0259065068647213</v>
      </c>
      <c r="O97" s="82" t="n">
        <f aca="false">$O$48/$G$48*G97</f>
        <v>371.601714374609</v>
      </c>
      <c r="P97" s="121" t="n">
        <f aca="false">O97/F97</f>
        <v>14343.9529039959</v>
      </c>
      <c r="Q97" s="81" t="n">
        <f aca="false">(O97+P97*N97)*$K$5</f>
        <v>18815.2893493384</v>
      </c>
      <c r="R97" s="105"/>
      <c r="S97" s="103" t="n">
        <f aca="false">$Q$48</f>
        <v>50632.9454938167</v>
      </c>
      <c r="T97" s="103" t="n">
        <f aca="false">$P$48*2*N97*$K$5</f>
        <v>6991.79377866847</v>
      </c>
      <c r="U97" s="103" t="n">
        <f aca="false">($O$48+N97*$P$48)*$K$5</f>
        <v>28812.3696362426</v>
      </c>
      <c r="V97" s="45" t="n">
        <f aca="false">S97/$Q97-1</f>
        <v>1.69105324684242</v>
      </c>
      <c r="W97" s="45" t="n">
        <f aca="false">T97/$Q97-1</f>
        <v>-0.628398285625391</v>
      </c>
      <c r="X97" s="45" t="n">
        <f aca="false">U97/$Q97-1</f>
        <v>0.531327480608514</v>
      </c>
      <c r="Y97" s="85"/>
      <c r="Z97" s="104"/>
      <c r="AA97" s="104"/>
      <c r="AB97" s="104"/>
    </row>
    <row r="98" customFormat="false" ht="15" hidden="false" customHeight="false" outlineLevel="0" collapsed="false">
      <c r="F98" s="99" t="n">
        <f aca="false">G98/H98</f>
        <v>0.0248806091928784</v>
      </c>
      <c r="G98" s="52" t="n">
        <f aca="false">G97*(1-$O$1)</f>
        <v>25.7511737017138</v>
      </c>
      <c r="H98" s="15" t="n">
        <f aca="false">I98/G98</f>
        <v>1034.98967819022</v>
      </c>
      <c r="I98" s="0" t="n">
        <f aca="false">I97</f>
        <v>26652.1989825572</v>
      </c>
      <c r="J98" s="85"/>
      <c r="K98" s="85"/>
      <c r="L98" s="85"/>
      <c r="M98" s="100" t="n">
        <f aca="false">N98*$K$5</f>
        <v>0.629889264557983</v>
      </c>
      <c r="N98" s="120" t="n">
        <f aca="false">F98</f>
        <v>0.0248806091928784</v>
      </c>
      <c r="O98" s="82" t="n">
        <f aca="false">$O$48/$G$48*G98</f>
        <v>364.169680087117</v>
      </c>
      <c r="P98" s="121" t="n">
        <f aca="false">O98/F98</f>
        <v>14636.6866367305</v>
      </c>
      <c r="Q98" s="81" t="n">
        <f aca="false">(O98+P98*N98)*$K$5</f>
        <v>18438.9835623516</v>
      </c>
      <c r="R98" s="105"/>
      <c r="S98" s="103" t="n">
        <f aca="false">$Q$48</f>
        <v>50632.9454938167</v>
      </c>
      <c r="T98" s="103" t="n">
        <f aca="false">$P$48*2*N98*$K$5</f>
        <v>6714.9187450332</v>
      </c>
      <c r="U98" s="103" t="n">
        <f aca="false">($O$48+N98*$P$48)*$K$5</f>
        <v>28673.932119425</v>
      </c>
      <c r="V98" s="45" t="n">
        <f aca="false">S98/$Q98-1</f>
        <v>1.74597270085961</v>
      </c>
      <c r="W98" s="45" t="n">
        <f aca="false">T98/$Q98-1</f>
        <v>-0.635830319912883</v>
      </c>
      <c r="X98" s="45" t="n">
        <f aca="false">U98/$Q98-1</f>
        <v>0.555071190473364</v>
      </c>
      <c r="Y98" s="85"/>
      <c r="Z98" s="104"/>
      <c r="AA98" s="104"/>
      <c r="AB98" s="104"/>
    </row>
    <row r="99" customFormat="false" ht="15" hidden="false" customHeight="false" outlineLevel="0" collapsed="false">
      <c r="F99" s="99" t="n">
        <f aca="false">G99/H99</f>
        <v>0.0238953370688404</v>
      </c>
      <c r="G99" s="52" t="n">
        <f aca="false">G98*(1-$O$1)</f>
        <v>25.2361502276795</v>
      </c>
      <c r="H99" s="15" t="n">
        <f aca="false">I99/G99</f>
        <v>1056.11191652063</v>
      </c>
      <c r="I99" s="0" t="n">
        <f aca="false">I98</f>
        <v>26652.1989825572</v>
      </c>
      <c r="J99" s="85"/>
      <c r="K99" s="85"/>
      <c r="L99" s="85"/>
      <c r="M99" s="100" t="n">
        <f aca="false">N99*$K$5</f>
        <v>0.604945649681486</v>
      </c>
      <c r="N99" s="120" t="n">
        <f aca="false">F99</f>
        <v>0.0238953370688404</v>
      </c>
      <c r="O99" s="82" t="n">
        <f aca="false">$O$48/$G$48*G99</f>
        <v>356.886286485374</v>
      </c>
      <c r="P99" s="121" t="n">
        <f aca="false">O99/F99</f>
        <v>14935.394527276</v>
      </c>
      <c r="Q99" s="81" t="n">
        <f aca="false">(O99+P99*N99)*$K$5</f>
        <v>18070.2038911046</v>
      </c>
      <c r="R99" s="105"/>
      <c r="S99" s="103" t="n">
        <f aca="false">$Q$48</f>
        <v>50632.9454938167</v>
      </c>
      <c r="T99" s="103" t="n">
        <f aca="false">$P$48*2*N99*$K$5</f>
        <v>6449.00796272989</v>
      </c>
      <c r="U99" s="103" t="n">
        <f aca="false">($O$48+N99*$P$48)*$K$5</f>
        <v>28540.9767282733</v>
      </c>
      <c r="V99" s="45" t="n">
        <f aca="false">S99/$Q99-1</f>
        <v>1.80201296006083</v>
      </c>
      <c r="W99" s="45" t="n">
        <f aca="false">T99/$Q99-1</f>
        <v>-0.643113713514626</v>
      </c>
      <c r="X99" s="45" t="n">
        <f aca="false">U99/$Q99-1</f>
        <v>0.579449623273101</v>
      </c>
      <c r="Y99" s="85"/>
      <c r="Z99" s="104"/>
      <c r="AA99" s="104"/>
      <c r="AB99" s="104"/>
    </row>
    <row r="100" customFormat="false" ht="15" hidden="false" customHeight="false" outlineLevel="0" collapsed="false">
      <c r="F100" s="99" t="n">
        <f aca="false">G100/H100</f>
        <v>0.0229490817209143</v>
      </c>
      <c r="G100" s="52" t="n">
        <f aca="false">G99*(1-$O$1)</f>
        <v>24.7314272231259</v>
      </c>
      <c r="H100" s="15" t="n">
        <f aca="false">I100/G100</f>
        <v>1077.66522093942</v>
      </c>
      <c r="I100" s="0" t="n">
        <f aca="false">I99</f>
        <v>26652.1989825572</v>
      </c>
      <c r="J100" s="85"/>
      <c r="K100" s="85"/>
      <c r="L100" s="85"/>
      <c r="M100" s="100" t="n">
        <f aca="false">N100*$K$5</f>
        <v>0.5809898019541</v>
      </c>
      <c r="N100" s="120" t="n">
        <f aca="false">F100</f>
        <v>0.0229490817209143</v>
      </c>
      <c r="O100" s="82" t="n">
        <f aca="false">$O$48/$G$48*G100</f>
        <v>349.748560755667</v>
      </c>
      <c r="P100" s="121" t="n">
        <f aca="false">O100/F100</f>
        <v>15240.1984972204</v>
      </c>
      <c r="Q100" s="81" t="n">
        <f aca="false">(O100+P100*N100)*$K$5</f>
        <v>17708.7998132825</v>
      </c>
      <c r="R100" s="105"/>
      <c r="S100" s="103" t="n">
        <f aca="false">$Q$48</f>
        <v>50632.9454938167</v>
      </c>
      <c r="T100" s="103" t="n">
        <f aca="false">$P$48*2*N100*$K$5</f>
        <v>6193.62724740578</v>
      </c>
      <c r="U100" s="103" t="n">
        <f aca="false">($O$48+N100*$P$48)*$K$5</f>
        <v>28413.2863706112</v>
      </c>
      <c r="V100" s="45" t="n">
        <f aca="false">S100/$Q100-1</f>
        <v>1.85919689802125</v>
      </c>
      <c r="W100" s="45" t="n">
        <f aca="false">T100/$Q100-1</f>
        <v>-0.650251439244333</v>
      </c>
      <c r="X100" s="45" t="n">
        <f aca="false">U100/$Q100-1</f>
        <v>0.604472729388459</v>
      </c>
      <c r="Y100" s="85"/>
      <c r="Z100" s="104"/>
      <c r="AA100" s="104"/>
      <c r="AB100" s="104"/>
    </row>
    <row r="101" customFormat="false" ht="15" hidden="false" customHeight="false" outlineLevel="0" collapsed="false">
      <c r="F101" s="99" t="n">
        <f aca="false">G101/H101</f>
        <v>0.0220402980847661</v>
      </c>
      <c r="G101" s="52" t="n">
        <f aca="false">G100*(1-$O$1)</f>
        <v>24.2367986786634</v>
      </c>
      <c r="H101" s="15" t="n">
        <f aca="false">I101/G101</f>
        <v>1099.65838871369</v>
      </c>
      <c r="I101" s="0" t="n">
        <f aca="false">I100</f>
        <v>26652.1989825572</v>
      </c>
      <c r="J101" s="85"/>
      <c r="K101" s="85"/>
      <c r="L101" s="85"/>
      <c r="M101" s="85"/>
      <c r="N101" s="85"/>
      <c r="O101" s="85"/>
      <c r="P101" s="85"/>
      <c r="Q101" s="85"/>
      <c r="R101" s="85"/>
      <c r="X101" s="122"/>
      <c r="Z101" s="104"/>
      <c r="AA101" s="104"/>
      <c r="AB101" s="104"/>
    </row>
    <row r="102" customFormat="false" ht="15" hidden="false" customHeight="false" outlineLevel="0" collapsed="false">
      <c r="F102" s="99" t="n">
        <f aca="false">G102/H102</f>
        <v>0.0211675022806094</v>
      </c>
      <c r="G102" s="52" t="n">
        <f aca="false">G101*(1-$O$1)</f>
        <v>23.7520627050901</v>
      </c>
      <c r="H102" s="15" t="n">
        <f aca="false">I102/G102</f>
        <v>1122.10039664663</v>
      </c>
      <c r="I102" s="0" t="n">
        <f aca="false">I101</f>
        <v>26652.1989825572</v>
      </c>
      <c r="J102" s="85"/>
      <c r="K102" s="85"/>
      <c r="L102" s="85"/>
      <c r="M102" s="85"/>
      <c r="N102" s="85"/>
      <c r="O102" s="85"/>
      <c r="P102" s="85"/>
      <c r="Q102" s="85"/>
      <c r="R102" s="85"/>
      <c r="X102" s="122"/>
      <c r="Z102" s="104"/>
      <c r="AA102" s="104"/>
      <c r="AB102" s="104"/>
    </row>
    <row r="103" customFormat="false" ht="15" hidden="false" customHeight="false" outlineLevel="0" collapsed="false">
      <c r="F103" s="99" t="n">
        <f aca="false">G103/H103</f>
        <v>0.0203292691902972</v>
      </c>
      <c r="G103" s="52" t="n">
        <f aca="false">G102*(1-$O$1)</f>
        <v>23.2770214509883</v>
      </c>
      <c r="H103" s="15" t="n">
        <f aca="false">I103/G103</f>
        <v>1145.00040474146</v>
      </c>
      <c r="I103" s="0" t="n">
        <f aca="false">I102</f>
        <v>26652.1989825572</v>
      </c>
      <c r="J103" s="85"/>
      <c r="K103" s="85"/>
      <c r="L103" s="85"/>
      <c r="M103" s="85"/>
      <c r="N103" s="85"/>
      <c r="O103" s="85"/>
      <c r="P103" s="85"/>
      <c r="Q103" s="85"/>
      <c r="R103" s="85"/>
      <c r="X103" s="122"/>
      <c r="Z103" s="104"/>
      <c r="AA103" s="104"/>
      <c r="AB103" s="104"/>
    </row>
    <row r="104" customFormat="false" ht="15" hidden="false" customHeight="false" outlineLevel="0" collapsed="false">
      <c r="F104" s="99" t="n">
        <f aca="false">G104/H104</f>
        <v>0.0195242301303615</v>
      </c>
      <c r="G104" s="52" t="n">
        <f aca="false">G103*(1-$O$1)</f>
        <v>22.8114810219686</v>
      </c>
      <c r="H104" s="15" t="n">
        <f aca="false">I104/G104</f>
        <v>1168.36775994026</v>
      </c>
      <c r="I104" s="0" t="n">
        <f aca="false">I103</f>
        <v>26652.1989825572</v>
      </c>
      <c r="J104" s="85"/>
      <c r="K104" s="85"/>
      <c r="L104" s="85"/>
      <c r="M104" s="85"/>
      <c r="N104" s="85"/>
      <c r="O104" s="85"/>
      <c r="P104" s="85"/>
      <c r="Q104" s="85"/>
      <c r="R104" s="85"/>
      <c r="X104" s="122"/>
      <c r="Z104" s="104"/>
      <c r="AA104" s="104"/>
      <c r="AB104" s="104"/>
    </row>
    <row r="105" customFormat="false" ht="15" hidden="false" customHeight="false" outlineLevel="0" collapsed="false">
      <c r="F105" s="99" t="n">
        <f aca="false">G105/H105</f>
        <v>0.0187510706171991</v>
      </c>
      <c r="G105" s="52" t="n">
        <f aca="false">G104*(1-$O$1)</f>
        <v>22.3552514015292</v>
      </c>
      <c r="H105" s="15" t="n">
        <f aca="false">I105/G105</f>
        <v>1192.21199993904</v>
      </c>
      <c r="I105" s="0" t="n">
        <f aca="false">I104</f>
        <v>26652.1989825572</v>
      </c>
      <c r="J105" s="85"/>
      <c r="K105" s="85"/>
      <c r="L105" s="85"/>
      <c r="M105" s="85"/>
      <c r="N105" s="85"/>
      <c r="O105" s="85"/>
      <c r="P105" s="85"/>
      <c r="Q105" s="85"/>
      <c r="R105" s="85"/>
      <c r="X105" s="122"/>
      <c r="Z105" s="104"/>
      <c r="AA105" s="104"/>
      <c r="AB105" s="104"/>
    </row>
    <row r="106" customFormat="false" ht="15" hidden="false" customHeight="false" outlineLevel="0" collapsed="false">
      <c r="F106" s="99" t="n">
        <f aca="false">G106/H106</f>
        <v>0.018008528220758</v>
      </c>
      <c r="G106" s="52" t="n">
        <f aca="false">G105*(1-$O$1)</f>
        <v>21.9081463734986</v>
      </c>
      <c r="H106" s="15" t="n">
        <f aca="false">I106/G106</f>
        <v>1216.54285708066</v>
      </c>
      <c r="I106" s="0" t="n">
        <f aca="false">I105</f>
        <v>26652.1989825572</v>
      </c>
      <c r="J106" s="85"/>
      <c r="K106" s="85"/>
      <c r="L106" s="85"/>
      <c r="M106" s="85"/>
      <c r="N106" s="85"/>
      <c r="O106" s="85"/>
      <c r="P106" s="85"/>
      <c r="Q106" s="85"/>
      <c r="R106" s="85"/>
      <c r="X106" s="122"/>
      <c r="Z106" s="104"/>
      <c r="AA106" s="104"/>
      <c r="AB106" s="104"/>
    </row>
    <row r="107" customFormat="false" ht="15" hidden="false" customHeight="false" outlineLevel="0" collapsed="false">
      <c r="F107" s="99" t="n">
        <f aca="false">G107/H107</f>
        <v>0.017295390503216</v>
      </c>
      <c r="G107" s="52" t="n">
        <f aca="false">G106*(1-$O$1)</f>
        <v>21.4699834460286</v>
      </c>
      <c r="H107" s="15" t="n">
        <f aca="false">I107/G107</f>
        <v>1241.3702623272</v>
      </c>
      <c r="I107" s="0" t="n">
        <f aca="false">I106</f>
        <v>26652.1989825572</v>
      </c>
      <c r="J107" s="85"/>
      <c r="K107" s="85"/>
      <c r="L107" s="85"/>
      <c r="M107" s="85"/>
      <c r="N107" s="85"/>
      <c r="O107" s="85"/>
      <c r="P107" s="85"/>
      <c r="Q107" s="85"/>
      <c r="R107" s="85"/>
      <c r="X107" s="122"/>
      <c r="Z107" s="104"/>
      <c r="AA107" s="104"/>
      <c r="AB107" s="104"/>
    </row>
    <row r="108" customFormat="false" ht="15" hidden="false" customHeight="false" outlineLevel="0" collapsed="false">
      <c r="F108" s="99" t="n">
        <f aca="false">G108/H108</f>
        <v>0.0166104930392887</v>
      </c>
      <c r="G108" s="52" t="n">
        <f aca="false">G107*(1-$O$1)</f>
        <v>21.0405837771081</v>
      </c>
      <c r="H108" s="15" t="n">
        <f aca="false">I108/G108</f>
        <v>1266.70434931347</v>
      </c>
      <c r="I108" s="0" t="n">
        <f aca="false">I107</f>
        <v>26652.1989825572</v>
      </c>
      <c r="J108" s="85"/>
      <c r="K108" s="85"/>
      <c r="L108" s="85"/>
      <c r="M108" s="85"/>
      <c r="N108" s="85"/>
      <c r="O108" s="85"/>
      <c r="P108" s="85"/>
      <c r="Q108" s="85"/>
      <c r="R108" s="85"/>
      <c r="X108" s="122"/>
      <c r="Z108" s="104"/>
      <c r="AA108" s="104"/>
      <c r="AB108" s="104"/>
    </row>
    <row r="109" customFormat="false" ht="15" hidden="false" customHeight="false" outlineLevel="0" collapsed="false">
      <c r="F109" s="99" t="n">
        <f aca="false">G109/H109</f>
        <v>0.0159527175149328</v>
      </c>
      <c r="G109" s="52" t="n">
        <f aca="false">G108*(1-$O$1)</f>
        <v>20.6197721015659</v>
      </c>
      <c r="H109" s="15" t="n">
        <f aca="false">I109/G109</f>
        <v>1292.55545848313</v>
      </c>
      <c r="I109" s="0" t="n">
        <f aca="false">I108</f>
        <v>26652.1989825572</v>
      </c>
      <c r="J109" s="85"/>
      <c r="K109" s="85"/>
      <c r="L109" s="85"/>
      <c r="M109" s="85"/>
      <c r="N109" s="85"/>
      <c r="O109" s="85"/>
      <c r="P109" s="85"/>
      <c r="Q109" s="85"/>
      <c r="R109" s="85"/>
      <c r="X109" s="122"/>
      <c r="Z109" s="104"/>
      <c r="AA109" s="104"/>
      <c r="AB109" s="104"/>
    </row>
    <row r="110" customFormat="false" ht="15" hidden="false" customHeight="false" outlineLevel="0" collapsed="false">
      <c r="F110" s="99" t="n">
        <f aca="false">G110/H110</f>
        <v>0.0153209899013415</v>
      </c>
      <c r="G110" s="52" t="n">
        <f aca="false">G109*(1-$O$1)</f>
        <v>20.2073766595346</v>
      </c>
      <c r="H110" s="15" t="n">
        <f aca="false">I110/G110</f>
        <v>1318.93414130932</v>
      </c>
      <c r="I110" s="0" t="n">
        <f aca="false">I109</f>
        <v>26652.1989825572</v>
      </c>
      <c r="J110" s="85"/>
      <c r="K110" s="85"/>
      <c r="L110" s="85"/>
      <c r="M110" s="85"/>
      <c r="N110" s="85"/>
      <c r="O110" s="85"/>
      <c r="P110" s="85"/>
      <c r="Q110" s="85"/>
      <c r="R110" s="85"/>
      <c r="X110" s="122"/>
      <c r="Z110" s="104"/>
      <c r="AA110" s="104"/>
      <c r="AB110" s="104"/>
    </row>
    <row r="111" customFormat="false" ht="15" hidden="false" customHeight="false" outlineLevel="0" collapsed="false">
      <c r="F111" s="99" t="n">
        <f aca="false">G111/H111</f>
        <v>0.0147142787012484</v>
      </c>
      <c r="G111" s="52" t="n">
        <f aca="false">G110*(1-$O$1)</f>
        <v>19.8032291263439</v>
      </c>
      <c r="H111" s="15" t="n">
        <f aca="false">I111/G111</f>
        <v>1345.85116460134</v>
      </c>
      <c r="I111" s="0" t="n">
        <f aca="false">I110</f>
        <v>26652.1989825572</v>
      </c>
      <c r="J111" s="85"/>
      <c r="K111" s="85"/>
      <c r="L111" s="85"/>
      <c r="M111" s="85"/>
      <c r="N111" s="85"/>
      <c r="O111" s="85"/>
      <c r="P111" s="85"/>
      <c r="Q111" s="85"/>
      <c r="R111" s="85"/>
      <c r="X111" s="122"/>
      <c r="Z111" s="104"/>
      <c r="AA111" s="104"/>
      <c r="AB111" s="104"/>
    </row>
    <row r="112" customFormat="false" ht="15" hidden="false" customHeight="false" outlineLevel="0" collapsed="false">
      <c r="F112" s="99" t="n">
        <f aca="false">G112/H112</f>
        <v>0.0141315932646789</v>
      </c>
      <c r="G112" s="52" t="n">
        <f aca="false">G111*(1-$O$1)</f>
        <v>19.407164543817</v>
      </c>
      <c r="H112" s="15" t="n">
        <f aca="false">I112/G112</f>
        <v>1373.31751489933</v>
      </c>
      <c r="I112" s="0" t="n">
        <f aca="false">I111</f>
        <v>26652.1989825572</v>
      </c>
      <c r="J112" s="85"/>
      <c r="K112" s="85"/>
      <c r="L112" s="85"/>
      <c r="M112" s="85"/>
      <c r="N112" s="85"/>
      <c r="O112" s="85"/>
      <c r="P112" s="85"/>
      <c r="Q112" s="85"/>
      <c r="R112" s="85"/>
      <c r="X112" s="122"/>
      <c r="Z112" s="104"/>
      <c r="AA112" s="104"/>
      <c r="AB112" s="104"/>
    </row>
    <row r="113" customFormat="false" ht="15" hidden="false" customHeight="false" outlineLevel="0" collapsed="false">
      <c r="F113" s="99" t="n">
        <f aca="false">G113/H113</f>
        <v>0.0135719821713977</v>
      </c>
      <c r="G113" s="52" t="n">
        <f aca="false">G112*(1-$O$1)</f>
        <v>19.0190212529407</v>
      </c>
      <c r="H113" s="15" t="n">
        <f aca="false">I113/G113</f>
        <v>1401.3444029585</v>
      </c>
      <c r="I113" s="0" t="n">
        <f aca="false">I112</f>
        <v>26652.1989825572</v>
      </c>
      <c r="J113" s="85"/>
      <c r="K113" s="85"/>
      <c r="L113" s="85"/>
      <c r="M113" s="85"/>
      <c r="N113" s="85"/>
      <c r="O113" s="85"/>
      <c r="P113" s="85"/>
      <c r="Q113" s="85"/>
      <c r="R113" s="85"/>
      <c r="X113" s="122"/>
      <c r="Z113" s="104"/>
      <c r="AA113" s="104"/>
      <c r="AB113" s="104"/>
    </row>
    <row r="114" customFormat="false" ht="15" hidden="false" customHeight="false" outlineLevel="0" collapsed="false">
      <c r="F114" s="99" t="n">
        <f aca="false">G114/H114</f>
        <v>0.0130345316774103</v>
      </c>
      <c r="G114" s="52" t="n">
        <f aca="false">G113*(1-$O$1)</f>
        <v>18.6386408278819</v>
      </c>
      <c r="H114" s="15" t="n">
        <f aca="false">I114/G114</f>
        <v>1429.943268325</v>
      </c>
      <c r="I114" s="0" t="n">
        <f aca="false">I113</f>
        <v>26652.1989825572</v>
      </c>
      <c r="J114" s="85"/>
      <c r="K114" s="85"/>
      <c r="L114" s="85"/>
      <c r="M114" s="85"/>
      <c r="N114" s="85"/>
      <c r="O114" s="85"/>
      <c r="P114" s="85"/>
      <c r="Q114" s="85"/>
      <c r="R114" s="85"/>
      <c r="X114" s="122"/>
      <c r="Z114" s="104"/>
      <c r="AA114" s="104"/>
      <c r="AB114" s="104"/>
    </row>
    <row r="115" customFormat="false" ht="15" hidden="false" customHeight="false" outlineLevel="0" collapsed="false">
      <c r="F115" s="99" t="n">
        <f aca="false">G115/H115</f>
        <v>0.0125183642229849</v>
      </c>
      <c r="G115" s="52" t="n">
        <f aca="false">G114*(1-$O$1)</f>
        <v>18.2658680113242</v>
      </c>
      <c r="H115" s="15" t="n">
        <f aca="false">I115/G115</f>
        <v>1459.1257840051</v>
      </c>
      <c r="I115" s="0" t="n">
        <f aca="false">I114</f>
        <v>26652.1989825572</v>
      </c>
      <c r="J115" s="85"/>
      <c r="K115" s="85"/>
      <c r="L115" s="85"/>
      <c r="M115" s="85"/>
      <c r="N115" s="85"/>
      <c r="O115" s="85"/>
      <c r="P115" s="85"/>
      <c r="Q115" s="85"/>
      <c r="R115" s="85"/>
      <c r="X115" s="122"/>
      <c r="Z115" s="104"/>
      <c r="AA115" s="104"/>
      <c r="AB115" s="104"/>
    </row>
    <row r="116" customFormat="false" ht="15" hidden="false" customHeight="false" outlineLevel="0" collapsed="false">
      <c r="F116" s="99" t="n">
        <f aca="false">G116/H116</f>
        <v>0.0120226369997547</v>
      </c>
      <c r="G116" s="52" t="n">
        <f aca="false">G115*(1-$O$1)</f>
        <v>17.9005506510977</v>
      </c>
      <c r="H116" s="15" t="n">
        <f aca="false">I116/G116</f>
        <v>1488.9038612297</v>
      </c>
      <c r="I116" s="0" t="n">
        <f aca="false">I115</f>
        <v>26652.1989825572</v>
      </c>
      <c r="J116" s="85"/>
      <c r="K116" s="85"/>
      <c r="L116" s="85"/>
      <c r="M116" s="85"/>
      <c r="N116" s="85"/>
      <c r="O116" s="85"/>
      <c r="P116" s="85"/>
      <c r="Q116" s="85"/>
      <c r="R116" s="85"/>
      <c r="X116" s="122"/>
      <c r="Z116" s="104"/>
      <c r="AA116" s="104"/>
      <c r="AB116" s="104"/>
    </row>
    <row r="117" customFormat="false" ht="15" hidden="false" customHeight="false" outlineLevel="0" collapsed="false">
      <c r="F117" s="99" t="n">
        <f aca="false">G117/H117</f>
        <v>0.0115465405745644</v>
      </c>
      <c r="G117" s="52" t="n">
        <f aca="false">G116*(1-$O$1)</f>
        <v>17.5425396380758</v>
      </c>
      <c r="H117" s="15" t="n">
        <f aca="false">I117/G117</f>
        <v>1519.28965431602</v>
      </c>
      <c r="I117" s="0" t="n">
        <f aca="false">I116</f>
        <v>26652.1989825572</v>
      </c>
      <c r="J117" s="85"/>
      <c r="K117" s="85"/>
      <c r="L117" s="85"/>
      <c r="M117" s="85"/>
      <c r="N117" s="85"/>
      <c r="O117" s="85"/>
      <c r="P117" s="85"/>
      <c r="Q117" s="85"/>
      <c r="R117" s="85"/>
      <c r="X117" s="122"/>
      <c r="Z117" s="104"/>
      <c r="AA117" s="104"/>
      <c r="AB117" s="104"/>
    </row>
    <row r="118" customFormat="false" ht="15" hidden="false" customHeight="false" outlineLevel="0" collapsed="false">
      <c r="F118" s="99" t="n">
        <f aca="false">G118/H118</f>
        <v>0.0110892975678116</v>
      </c>
      <c r="G118" s="52" t="n">
        <f aca="false">G117*(1-$O$1)</f>
        <v>17.1916888453143</v>
      </c>
      <c r="H118" s="15" t="n">
        <f aca="false">I118/G118</f>
        <v>1550.29556562859</v>
      </c>
      <c r="I118" s="0" t="n">
        <f aca="false">I117</f>
        <v>26652.1989825572</v>
      </c>
      <c r="J118" s="85"/>
      <c r="K118" s="85"/>
      <c r="L118" s="85"/>
      <c r="M118" s="85"/>
      <c r="N118" s="85"/>
      <c r="O118" s="85"/>
      <c r="P118" s="85"/>
      <c r="Q118" s="85"/>
      <c r="R118" s="85"/>
      <c r="X118" s="122"/>
      <c r="Z118" s="104"/>
      <c r="AA118" s="104"/>
      <c r="AB118" s="104"/>
    </row>
    <row r="119" customFormat="false" ht="15" hidden="false" customHeight="false" outlineLevel="0" collapsed="false">
      <c r="F119" s="99" t="n">
        <f aca="false">G119/H119</f>
        <v>0.0106501613841263</v>
      </c>
      <c r="G119" s="52" t="n">
        <f aca="false">G118*(1-$O$1)</f>
        <v>16.847855068408</v>
      </c>
      <c r="H119" s="15" t="n">
        <f aca="false">I119/G119</f>
        <v>1581.93425064142</v>
      </c>
      <c r="I119" s="0" t="n">
        <f aca="false">I118</f>
        <v>26652.1989825572</v>
      </c>
      <c r="J119" s="85"/>
      <c r="K119" s="85"/>
      <c r="L119" s="85"/>
      <c r="M119" s="85"/>
      <c r="N119" s="85"/>
      <c r="O119" s="85"/>
      <c r="P119" s="85"/>
      <c r="Q119" s="85"/>
      <c r="R119" s="85"/>
      <c r="X119" s="122"/>
      <c r="Z119" s="104"/>
      <c r="AA119" s="104"/>
      <c r="AB119" s="104"/>
    </row>
    <row r="120" customFormat="false" ht="15" hidden="false" customHeight="false" outlineLevel="0" collapsed="false">
      <c r="F120" s="99" t="n">
        <f aca="false">G120/H120</f>
        <v>0.0102284149933149</v>
      </c>
      <c r="G120" s="52" t="n">
        <f aca="false">G119*(1-$O$1)</f>
        <v>16.5108979670398</v>
      </c>
      <c r="H120" s="15" t="n">
        <f aca="false">I120/G120</f>
        <v>1614.21862310349</v>
      </c>
      <c r="I120" s="0" t="n">
        <f aca="false">I119</f>
        <v>26652.1989825572</v>
      </c>
      <c r="J120" s="85"/>
      <c r="K120" s="85"/>
      <c r="L120" s="85"/>
      <c r="M120" s="85"/>
      <c r="N120" s="85"/>
      <c r="O120" s="85"/>
      <c r="P120" s="85"/>
      <c r="Q120" s="85"/>
      <c r="R120" s="85"/>
      <c r="X120" s="122"/>
      <c r="Z120" s="104"/>
      <c r="AA120" s="104"/>
      <c r="AB120" s="104"/>
    </row>
    <row r="121" customFormat="false" ht="15" hidden="false" customHeight="false" outlineLevel="0" collapsed="false">
      <c r="F121" s="99" t="n">
        <f aca="false">G121/H121</f>
        <v>0.00982336975957961</v>
      </c>
      <c r="G121" s="52" t="n">
        <f aca="false">G120*(1-$O$1)</f>
        <v>16.180680007699</v>
      </c>
      <c r="H121" s="15" t="n">
        <f aca="false">I121/G121</f>
        <v>1647.16186030968</v>
      </c>
      <c r="I121" s="0" t="n">
        <f aca="false">I120</f>
        <v>26652.1989825572</v>
      </c>
      <c r="J121" s="85"/>
      <c r="K121" s="85"/>
      <c r="L121" s="85"/>
      <c r="M121" s="85"/>
      <c r="N121" s="85"/>
      <c r="O121" s="85"/>
      <c r="P121" s="85"/>
      <c r="Q121" s="85"/>
      <c r="R121" s="85"/>
      <c r="X121" s="122"/>
      <c r="Z121" s="104"/>
      <c r="AA121" s="104"/>
      <c r="AB121" s="104"/>
    </row>
    <row r="122" customFormat="false" ht="15" hidden="false" customHeight="false" outlineLevel="0" collapsed="false">
      <c r="F122" s="99" t="n">
        <f aca="false">G122/H122</f>
        <v>0.00943436431710026</v>
      </c>
      <c r="G122" s="52" t="n">
        <f aca="false">G121*(1-$O$1)</f>
        <v>15.857066407545</v>
      </c>
      <c r="H122" s="15" t="n">
        <f aca="false">I122/G122</f>
        <v>1680.77740847927</v>
      </c>
      <c r="I122" s="0" t="n">
        <f aca="false">I121</f>
        <v>26652.1989825572</v>
      </c>
      <c r="J122" s="85"/>
      <c r="K122" s="85"/>
      <c r="L122" s="85"/>
      <c r="M122" s="85"/>
      <c r="N122" s="85"/>
      <c r="O122" s="85"/>
      <c r="P122" s="85"/>
      <c r="Q122" s="85"/>
      <c r="R122" s="85"/>
      <c r="X122" s="122"/>
      <c r="Z122" s="104"/>
      <c r="AA122" s="104"/>
      <c r="AB122" s="104"/>
    </row>
    <row r="123" customFormat="false" ht="15" hidden="false" customHeight="false" outlineLevel="0" collapsed="false">
      <c r="F123" s="99" t="n">
        <f aca="false">G123/H123</f>
        <v>0.00906076349014309</v>
      </c>
      <c r="G123" s="52" t="n">
        <f aca="false">G122*(1-$O$1)</f>
        <v>15.5399250793941</v>
      </c>
      <c r="H123" s="15" t="n">
        <f aca="false">I123/G123</f>
        <v>1715.07898824415</v>
      </c>
      <c r="I123" s="0" t="n">
        <f aca="false">I122</f>
        <v>26652.1989825572</v>
      </c>
      <c r="J123" s="85"/>
      <c r="K123" s="85"/>
      <c r="L123" s="85"/>
      <c r="M123" s="85"/>
      <c r="N123" s="85"/>
      <c r="O123" s="85"/>
      <c r="P123" s="85"/>
      <c r="Q123" s="85"/>
      <c r="R123" s="85"/>
      <c r="X123" s="122"/>
      <c r="Z123" s="104"/>
      <c r="AA123" s="104"/>
      <c r="AB123" s="104"/>
    </row>
    <row r="124" customFormat="false" ht="15" hidden="false" customHeight="false" outlineLevel="0" collapsed="false">
      <c r="F124" s="99" t="n">
        <f aca="false">G124/H124</f>
        <v>0.00870195725593342</v>
      </c>
      <c r="G124" s="52" t="n">
        <f aca="false">G123*(1-$O$1)</f>
        <v>15.2291265778063</v>
      </c>
      <c r="H124" s="15" t="n">
        <f aca="false">I124/G124</f>
        <v>1750.08060024913</v>
      </c>
      <c r="I124" s="0" t="n">
        <f aca="false">I123</f>
        <v>26652.1989825572</v>
      </c>
      <c r="J124" s="85"/>
      <c r="K124" s="85"/>
      <c r="L124" s="85"/>
      <c r="M124" s="85"/>
      <c r="N124" s="85"/>
      <c r="O124" s="85"/>
      <c r="P124" s="85"/>
      <c r="Q124" s="85"/>
      <c r="R124" s="85"/>
      <c r="X124" s="122"/>
      <c r="Z124" s="104"/>
      <c r="AA124" s="104"/>
      <c r="AB124" s="104"/>
    </row>
    <row r="125" customFormat="false" ht="15" hidden="false" customHeight="false" outlineLevel="0" collapsed="false">
      <c r="F125" s="99" t="n">
        <f aca="false">G125/H125</f>
        <v>0.00835735974859846</v>
      </c>
      <c r="G125" s="52" t="n">
        <f aca="false">G124*(1-$O$1)</f>
        <v>14.9245440462501</v>
      </c>
      <c r="H125" s="15" t="n">
        <f aca="false">I125/G125</f>
        <v>1785.79653086646</v>
      </c>
      <c r="I125" s="0" t="n">
        <f aca="false">I124</f>
        <v>26652.1989825572</v>
      </c>
      <c r="J125" s="85"/>
      <c r="K125" s="85"/>
      <c r="L125" s="85"/>
      <c r="M125" s="85"/>
      <c r="N125" s="85"/>
      <c r="O125" s="85"/>
      <c r="P125" s="85"/>
      <c r="Q125" s="85"/>
      <c r="R125" s="85"/>
      <c r="X125" s="122"/>
      <c r="Z125" s="104"/>
      <c r="AA125" s="104"/>
      <c r="AB125" s="104"/>
    </row>
    <row r="126" customFormat="false" ht="15" hidden="false" customHeight="false" outlineLevel="0" collapsed="false">
      <c r="F126" s="99" t="n">
        <f aca="false">G126/H126</f>
        <v>0.00802640830255396</v>
      </c>
      <c r="G126" s="52" t="n">
        <f aca="false">G125*(1-$O$1)</f>
        <v>14.6260531653251</v>
      </c>
      <c r="H126" s="15" t="n">
        <f aca="false">I126/G126</f>
        <v>1822.241358027</v>
      </c>
      <c r="I126" s="0" t="n">
        <f aca="false">I125</f>
        <v>26652.1989825572</v>
      </c>
      <c r="J126" s="85"/>
      <c r="K126" s="85"/>
      <c r="L126" s="85"/>
      <c r="M126" s="85"/>
      <c r="N126" s="85"/>
      <c r="O126" s="85"/>
      <c r="P126" s="85"/>
      <c r="Q126" s="85"/>
      <c r="R126" s="85"/>
      <c r="X126" s="122"/>
      <c r="Z126" s="104"/>
      <c r="AA126" s="104"/>
      <c r="AB126" s="104"/>
    </row>
    <row r="127" customFormat="false" ht="15" hidden="false" customHeight="false" outlineLevel="0" collapsed="false">
      <c r="F127" s="99" t="n">
        <f aca="false">G127/H127</f>
        <v>0.00770856253377282</v>
      </c>
      <c r="G127" s="52" t="n">
        <f aca="false">G126*(1-$O$1)</f>
        <v>14.3335321020186</v>
      </c>
      <c r="H127" s="15" t="n">
        <f aca="false">I127/G127</f>
        <v>1859.42995717041</v>
      </c>
      <c r="I127" s="0" t="n">
        <f aca="false">I126</f>
        <v>26652.1989825572</v>
      </c>
      <c r="J127" s="85"/>
      <c r="K127" s="85"/>
      <c r="L127" s="85"/>
      <c r="M127" s="85"/>
      <c r="N127" s="85"/>
      <c r="O127" s="85"/>
      <c r="P127" s="85"/>
      <c r="Q127" s="85"/>
      <c r="R127" s="85"/>
      <c r="X127" s="122"/>
      <c r="Z127" s="104"/>
      <c r="AA127" s="104"/>
      <c r="AB127" s="104"/>
    </row>
    <row r="128" customFormat="false" ht="15" hidden="false" customHeight="false" outlineLevel="0" collapsed="false">
      <c r="F128" s="99" t="n">
        <f aca="false">G128/H128</f>
        <v>0.00740330345743542</v>
      </c>
      <c r="G128" s="52" t="n">
        <f aca="false">G127*(1-$O$1)</f>
        <v>14.0468614599783</v>
      </c>
      <c r="H128" s="15" t="n">
        <f aca="false">I128/G128</f>
        <v>1897.37750731675</v>
      </c>
      <c r="I128" s="0" t="n">
        <f aca="false">I127</f>
        <v>26652.1989825572</v>
      </c>
      <c r="J128" s="85"/>
      <c r="K128" s="85"/>
      <c r="L128" s="85"/>
      <c r="M128" s="85"/>
      <c r="N128" s="85"/>
      <c r="O128" s="85"/>
      <c r="P128" s="85"/>
      <c r="Q128" s="85"/>
      <c r="R128" s="85"/>
      <c r="X128" s="122"/>
      <c r="Z128" s="104"/>
      <c r="AA128" s="104"/>
      <c r="AB128" s="104"/>
    </row>
    <row r="129" customFormat="false" ht="15" hidden="false" customHeight="false" outlineLevel="0" collapsed="false">
      <c r="F129" s="99" t="n">
        <f aca="false">G129/H129</f>
        <v>0.00711013264052098</v>
      </c>
      <c r="G129" s="52" t="n">
        <f aca="false">G128*(1-$O$1)</f>
        <v>13.7659242307787</v>
      </c>
      <c r="H129" s="15" t="n">
        <f aca="false">I129/G129</f>
        <v>1936.09949726199</v>
      </c>
      <c r="I129" s="0" t="n">
        <f aca="false">I128</f>
        <v>26652.1989825572</v>
      </c>
      <c r="J129" s="85"/>
      <c r="K129" s="85"/>
      <c r="L129" s="85"/>
      <c r="M129" s="85"/>
      <c r="N129" s="85"/>
      <c r="O129" s="85"/>
      <c r="P129" s="85"/>
      <c r="Q129" s="85"/>
      <c r="R129" s="85"/>
      <c r="X129" s="122"/>
      <c r="Z129" s="104"/>
      <c r="AA129" s="104"/>
      <c r="AB129" s="104"/>
    </row>
    <row r="130" customFormat="false" ht="15" hidden="false" customHeight="false" outlineLevel="0" collapsed="false">
      <c r="F130" s="99" t="n">
        <f aca="false">G130/H130</f>
        <v>0.00682857138795634</v>
      </c>
      <c r="G130" s="52" t="n">
        <f aca="false">G129*(1-$O$1)</f>
        <v>13.4906057461631</v>
      </c>
      <c r="H130" s="15" t="n">
        <f aca="false">I130/G130</f>
        <v>1975.61173189998</v>
      </c>
      <c r="I130" s="0" t="n">
        <f aca="false">I129</f>
        <v>26652.1989825572</v>
      </c>
      <c r="J130" s="85"/>
      <c r="K130" s="85"/>
      <c r="L130" s="85"/>
      <c r="M130" s="85"/>
      <c r="N130" s="85"/>
      <c r="O130" s="85"/>
      <c r="P130" s="85"/>
      <c r="Q130" s="85"/>
      <c r="R130" s="85"/>
      <c r="X130" s="122"/>
      <c r="Z130" s="104"/>
      <c r="AA130" s="104"/>
      <c r="AB130" s="104"/>
    </row>
    <row r="131" customFormat="false" ht="15" hidden="false" customHeight="false" outlineLevel="0" collapsed="false">
      <c r="F131" s="99" t="n">
        <f aca="false">G131/H131</f>
        <v>0.00655815996099327</v>
      </c>
      <c r="G131" s="52" t="n">
        <f aca="false">G130*(1-$O$1)</f>
        <v>13.2207936312399</v>
      </c>
      <c r="H131" s="15" t="n">
        <f aca="false">I131/G131</f>
        <v>2015.93033867345</v>
      </c>
      <c r="I131" s="0" t="n">
        <f aca="false">I130</f>
        <v>26652.1989825572</v>
      </c>
      <c r="J131" s="85"/>
      <c r="K131" s="85"/>
      <c r="L131" s="85"/>
      <c r="M131" s="85"/>
      <c r="N131" s="85"/>
      <c r="O131" s="85"/>
      <c r="P131" s="85"/>
      <c r="Q131" s="85"/>
      <c r="R131" s="85"/>
      <c r="X131" s="122"/>
      <c r="Z131" s="104"/>
      <c r="AA131" s="104"/>
      <c r="AB131" s="104"/>
    </row>
    <row r="132" customFormat="false" ht="15" hidden="false" customHeight="false" outlineLevel="0" collapsed="false">
      <c r="F132" s="99" t="n">
        <f aca="false">G132/H132</f>
        <v>0.00629845682653794</v>
      </c>
      <c r="G132" s="52" t="n">
        <f aca="false">G131*(1-$O$1)</f>
        <v>12.9563777586151</v>
      </c>
      <c r="H132" s="15" t="n">
        <f aca="false">I132/G132</f>
        <v>2057.07177415659</v>
      </c>
      <c r="I132" s="0" t="n">
        <f aca="false">I131</f>
        <v>26652.1989825572</v>
      </c>
      <c r="J132" s="85"/>
      <c r="K132" s="85"/>
      <c r="L132" s="85"/>
      <c r="M132" s="85"/>
      <c r="N132" s="85"/>
      <c r="O132" s="85"/>
      <c r="P132" s="85"/>
      <c r="Q132" s="85"/>
      <c r="R132" s="85"/>
      <c r="X132" s="122"/>
      <c r="Z132" s="104"/>
      <c r="AA132" s="104"/>
      <c r="AB132" s="104"/>
    </row>
    <row r="133" customFormat="false" ht="15" hidden="false" customHeight="false" outlineLevel="0" collapsed="false">
      <c r="F133" s="99" t="n">
        <f aca="false">G133/H133</f>
        <v>0.00604903793620704</v>
      </c>
      <c r="G133" s="52" t="n">
        <f aca="false">G132*(1-$O$1)</f>
        <v>12.6972502034428</v>
      </c>
      <c r="H133" s="15" t="n">
        <f aca="false">I133/G133</f>
        <v>2099.05283077203</v>
      </c>
      <c r="I133" s="0" t="n">
        <f aca="false">I132</f>
        <v>26652.1989825572</v>
      </c>
      <c r="J133" s="85"/>
      <c r="K133" s="85"/>
      <c r="L133" s="85"/>
      <c r="M133" s="85"/>
      <c r="N133" s="85"/>
      <c r="O133" s="85"/>
      <c r="P133" s="85"/>
      <c r="Q133" s="85"/>
      <c r="R133" s="85"/>
      <c r="X133" s="122"/>
      <c r="Z133" s="104"/>
      <c r="AA133" s="104"/>
      <c r="AB133" s="104"/>
    </row>
    <row r="134" customFormat="false" ht="15" hidden="false" customHeight="false" outlineLevel="0" collapsed="false">
      <c r="F134" s="99" t="n">
        <f aca="false">G134/H134</f>
        <v>0.00580949603393324</v>
      </c>
      <c r="G134" s="52" t="n">
        <f aca="false">G133*(1-$O$1)</f>
        <v>12.4433051993739</v>
      </c>
      <c r="H134" s="15" t="n">
        <f aca="false">I134/G134</f>
        <v>2141.89064364492</v>
      </c>
      <c r="I134" s="0" t="n">
        <f aca="false">I133</f>
        <v>26652.1989825572</v>
      </c>
      <c r="J134" s="85"/>
      <c r="K134" s="85"/>
      <c r="L134" s="85"/>
      <c r="M134" s="85"/>
      <c r="N134" s="85"/>
      <c r="O134" s="85"/>
      <c r="P134" s="85"/>
      <c r="Q134" s="85"/>
      <c r="R134" s="85"/>
      <c r="X134" s="122"/>
      <c r="Z134" s="104"/>
      <c r="AA134" s="104"/>
      <c r="AB134" s="104"/>
    </row>
    <row r="135" customFormat="false" ht="15" hidden="false" customHeight="false" outlineLevel="0" collapsed="false">
      <c r="F135" s="99" t="n">
        <f aca="false">G135/H135</f>
        <v>0.00557943999098948</v>
      </c>
      <c r="G135" s="52" t="n">
        <f aca="false">G134*(1-$O$1)</f>
        <v>12.1944390953864</v>
      </c>
      <c r="H135" s="15" t="n">
        <f aca="false">I135/G135</f>
        <v>2185.60269759686</v>
      </c>
      <c r="I135" s="0" t="n">
        <f aca="false">I134</f>
        <v>26652.1989825572</v>
      </c>
      <c r="J135" s="85"/>
      <c r="K135" s="85"/>
      <c r="L135" s="85"/>
      <c r="M135" s="85"/>
      <c r="N135" s="85"/>
      <c r="O135" s="85"/>
      <c r="P135" s="85"/>
      <c r="Q135" s="85"/>
      <c r="R135" s="85"/>
      <c r="X135" s="122"/>
      <c r="Z135" s="104"/>
      <c r="AA135" s="104"/>
      <c r="AB135" s="104"/>
    </row>
    <row r="136" customFormat="false" ht="15" hidden="false" customHeight="false" outlineLevel="0" collapsed="false">
      <c r="F136" s="99" t="n">
        <f aca="false">G136/H136</f>
        <v>0.0053584941673463</v>
      </c>
      <c r="G136" s="52" t="n">
        <f aca="false">G135*(1-$O$1)</f>
        <v>11.9505503134787</v>
      </c>
      <c r="H136" s="15" t="n">
        <f aca="false">I136/G136</f>
        <v>2230.20683428251</v>
      </c>
      <c r="I136" s="0" t="n">
        <f aca="false">I135</f>
        <v>26652.1989825572</v>
      </c>
      <c r="J136" s="85"/>
      <c r="K136" s="85"/>
      <c r="L136" s="85"/>
      <c r="M136" s="85"/>
      <c r="N136" s="85"/>
      <c r="O136" s="85"/>
      <c r="P136" s="85"/>
      <c r="Q136" s="85"/>
      <c r="R136" s="85"/>
      <c r="X136" s="122"/>
      <c r="Z136" s="104"/>
      <c r="AA136" s="104"/>
      <c r="AB136" s="104"/>
    </row>
    <row r="137" customFormat="false" ht="15" hidden="false" customHeight="false" outlineLevel="0" collapsed="false">
      <c r="F137" s="99" t="n">
        <f aca="false">G137/H137</f>
        <v>0.00514629779831938</v>
      </c>
      <c r="G137" s="52" t="n">
        <f aca="false">G136*(1-$O$1)</f>
        <v>11.7115393072091</v>
      </c>
      <c r="H137" s="15" t="n">
        <f aca="false">I137/G137</f>
        <v>2275.72125947195</v>
      </c>
      <c r="I137" s="0" t="n">
        <f aca="false">I136</f>
        <v>26652.1989825572</v>
      </c>
      <c r="J137" s="85"/>
      <c r="K137" s="85"/>
      <c r="L137" s="85"/>
      <c r="M137" s="85"/>
      <c r="N137" s="85"/>
      <c r="O137" s="85"/>
      <c r="P137" s="85"/>
      <c r="Q137" s="85"/>
      <c r="R137" s="85"/>
      <c r="X137" s="122"/>
      <c r="Z137" s="104"/>
      <c r="AA137" s="104"/>
      <c r="AB137" s="104"/>
    </row>
    <row r="138" customFormat="false" ht="15" hidden="false" customHeight="false" outlineLevel="0" collapsed="false">
      <c r="F138" s="99" t="n">
        <f aca="false">G138/H138</f>
        <v>0.00494250440550594</v>
      </c>
      <c r="G138" s="52" t="n">
        <f aca="false">G137*(1-$O$1)</f>
        <v>11.4773085210649</v>
      </c>
      <c r="H138" s="15" t="n">
        <f aca="false">I138/G138</f>
        <v>2322.16455048158</v>
      </c>
      <c r="I138" s="0" t="n">
        <f aca="false">I137</f>
        <v>26652.1989825572</v>
      </c>
      <c r="J138" s="85"/>
      <c r="K138" s="85"/>
      <c r="L138" s="85"/>
      <c r="M138" s="85"/>
      <c r="N138" s="85"/>
      <c r="O138" s="85"/>
      <c r="P138" s="85"/>
      <c r="Q138" s="85"/>
      <c r="R138" s="85"/>
      <c r="X138" s="122"/>
      <c r="Z138" s="104"/>
      <c r="AA138" s="104"/>
      <c r="AB138" s="104"/>
    </row>
    <row r="139" customFormat="false" ht="15" hidden="false" customHeight="false" outlineLevel="0" collapsed="false">
      <c r="F139" s="99" t="n">
        <f aca="false">G139/H139</f>
        <v>0.0047467812310479</v>
      </c>
      <c r="G139" s="52" t="n">
        <f aca="false">G138*(1-$O$1)</f>
        <v>11.2477623506436</v>
      </c>
      <c r="H139" s="15" t="n">
        <f aca="false">I139/G139</f>
        <v>2369.55566375672</v>
      </c>
      <c r="I139" s="0" t="n">
        <f aca="false">I138</f>
        <v>26652.1989825572</v>
      </c>
      <c r="J139" s="85"/>
      <c r="K139" s="85"/>
      <c r="L139" s="85"/>
      <c r="M139" s="85"/>
      <c r="N139" s="85"/>
      <c r="O139" s="85"/>
      <c r="P139" s="85"/>
      <c r="Q139" s="85"/>
      <c r="R139" s="85"/>
      <c r="X139" s="122"/>
      <c r="Z139" s="104"/>
      <c r="AA139" s="104"/>
      <c r="AB139" s="104"/>
    </row>
    <row r="140" customFormat="false" ht="15" hidden="false" customHeight="false" outlineLevel="0" collapsed="false">
      <c r="F140" s="99" t="n">
        <f aca="false">G140/H140</f>
        <v>0.0045588086942984</v>
      </c>
      <c r="G140" s="52" t="n">
        <f aca="false">G139*(1-$O$1)</f>
        <v>11.0228071036308</v>
      </c>
      <c r="H140" s="15" t="n">
        <f aca="false">I140/G140</f>
        <v>2417.9139426089</v>
      </c>
      <c r="I140" s="0" t="n">
        <f aca="false">I139</f>
        <v>26652.1989825572</v>
      </c>
      <c r="J140" s="85"/>
      <c r="K140" s="85"/>
      <c r="L140" s="85"/>
      <c r="M140" s="85"/>
      <c r="N140" s="85"/>
      <c r="O140" s="85"/>
      <c r="P140" s="85"/>
      <c r="Q140" s="85"/>
      <c r="R140" s="85"/>
      <c r="X140" s="122"/>
      <c r="Z140" s="104"/>
      <c r="AA140" s="104"/>
      <c r="AB140" s="104"/>
    </row>
    <row r="141" customFormat="false" ht="15" hidden="false" customHeight="false" outlineLevel="0" collapsed="false">
      <c r="F141" s="99" t="n">
        <f aca="false">G141/H141</f>
        <v>0.00437827987000419</v>
      </c>
      <c r="G141" s="52" t="n">
        <f aca="false">G140*(1-$O$1)</f>
        <v>10.8023509615581</v>
      </c>
      <c r="H141" s="15" t="n">
        <f aca="false">I141/G141</f>
        <v>2467.25912511112</v>
      </c>
      <c r="I141" s="0" t="n">
        <f aca="false">I140</f>
        <v>26652.1989825572</v>
      </c>
      <c r="J141" s="85"/>
      <c r="K141" s="85"/>
      <c r="L141" s="85"/>
      <c r="M141" s="85"/>
      <c r="N141" s="85"/>
      <c r="O141" s="85"/>
      <c r="P141" s="85"/>
      <c r="Q141" s="85"/>
      <c r="R141" s="85"/>
      <c r="X141" s="122"/>
      <c r="Z141" s="104"/>
      <c r="AA141" s="104"/>
      <c r="AB141" s="104"/>
    </row>
    <row r="142" customFormat="false" ht="15" hidden="false" customHeight="false" outlineLevel="0" collapsed="false">
      <c r="F142" s="99" t="n">
        <f aca="false">G142/H142</f>
        <v>0.00420489998715202</v>
      </c>
      <c r="G142" s="52" t="n">
        <f aca="false">G141*(1-$O$1)</f>
        <v>10.586303942327</v>
      </c>
      <c r="H142" s="15" t="n">
        <f aca="false">I142/G142</f>
        <v>2517.6113521542</v>
      </c>
      <c r="I142" s="0" t="n">
        <f aca="false">I141</f>
        <v>26652.1989825572</v>
      </c>
      <c r="J142" s="85"/>
      <c r="K142" s="85"/>
      <c r="L142" s="85"/>
      <c r="M142" s="85"/>
      <c r="N142" s="85"/>
      <c r="O142" s="85"/>
      <c r="P142" s="85"/>
      <c r="Q142" s="85"/>
      <c r="R142" s="85"/>
      <c r="X142" s="122"/>
      <c r="Z142" s="104"/>
      <c r="AA142" s="104"/>
      <c r="AB142" s="104"/>
    </row>
    <row r="143" customFormat="false" ht="15" hidden="false" customHeight="false" outlineLevel="0" collapsed="false">
      <c r="F143" s="99" t="n">
        <f aca="false">G143/H143</f>
        <v>0.0040383859476608</v>
      </c>
      <c r="G143" s="52" t="n">
        <f aca="false">G142*(1-$O$1)</f>
        <v>10.3745778634804</v>
      </c>
      <c r="H143" s="15" t="n">
        <f aca="false">I143/G143</f>
        <v>2568.99117566755</v>
      </c>
      <c r="I143" s="0" t="n">
        <f aca="false">I142</f>
        <v>26652.1989825572</v>
      </c>
      <c r="J143" s="85"/>
      <c r="K143" s="85"/>
      <c r="L143" s="85"/>
      <c r="M143" s="85"/>
      <c r="N143" s="85"/>
      <c r="O143" s="85"/>
      <c r="P143" s="85"/>
      <c r="Q143" s="85"/>
      <c r="R143" s="85"/>
      <c r="X143" s="122"/>
      <c r="Z143" s="104"/>
      <c r="AA143" s="104"/>
      <c r="AB143" s="104"/>
    </row>
    <row r="144" customFormat="false" ht="15" hidden="false" customHeight="false" outlineLevel="0" collapsed="false">
      <c r="F144" s="99" t="n">
        <f aca="false">G144/H144</f>
        <v>0.00387846586413343</v>
      </c>
      <c r="G144" s="52" t="n">
        <f aca="false">G143*(1-$O$1)</f>
        <v>10.1670863062108</v>
      </c>
      <c r="H144" s="15" t="n">
        <f aca="false">I144/G144</f>
        <v>2621.41956700771</v>
      </c>
      <c r="I144" s="0" t="n">
        <f aca="false">I143</f>
        <v>26652.1989825572</v>
      </c>
      <c r="J144" s="85"/>
      <c r="K144" s="85"/>
      <c r="L144" s="85"/>
      <c r="M144" s="85"/>
      <c r="N144" s="85"/>
      <c r="O144" s="85"/>
      <c r="P144" s="85"/>
      <c r="Q144" s="85"/>
      <c r="R144" s="85"/>
      <c r="X144" s="122"/>
      <c r="Z144" s="104"/>
      <c r="AA144" s="104"/>
      <c r="AB144" s="104"/>
    </row>
    <row r="145" customFormat="false" ht="15" hidden="false" customHeight="false" outlineLevel="0" collapsed="false">
      <c r="F145" s="99" t="n">
        <f aca="false">G145/H145</f>
        <v>0.00372487861591375</v>
      </c>
      <c r="G145" s="52" t="n">
        <f aca="false">G144*(1-$O$1)</f>
        <v>9.96374458008662</v>
      </c>
      <c r="H145" s="15" t="n">
        <f aca="false">I145/G145</f>
        <v>2674.91792551807</v>
      </c>
      <c r="I145" s="0" t="n">
        <f aca="false">I144</f>
        <v>26652.1989825572</v>
      </c>
      <c r="J145" s="85"/>
      <c r="K145" s="85"/>
      <c r="L145" s="85"/>
      <c r="M145" s="85"/>
      <c r="N145" s="85"/>
      <c r="O145" s="85"/>
      <c r="P145" s="85"/>
      <c r="Q145" s="85"/>
      <c r="R145" s="85"/>
      <c r="X145" s="122"/>
      <c r="Z145" s="104"/>
      <c r="AA145" s="104"/>
      <c r="AB145" s="104"/>
    </row>
    <row r="146" customFormat="false" ht="15" hidden="false" customHeight="false" outlineLevel="0" collapsed="false">
      <c r="F146" s="99" t="n">
        <f aca="false">G146/H146</f>
        <v>0.00357737342272356</v>
      </c>
      <c r="G146" s="52" t="n">
        <f aca="false">G145*(1-$O$1)</f>
        <v>9.76446968848489</v>
      </c>
      <c r="H146" s="15" t="n">
        <f aca="false">I146/G146</f>
        <v>2729.50808726334</v>
      </c>
      <c r="I146" s="0" t="n">
        <f aca="false">I145</f>
        <v>26652.1989825572</v>
      </c>
      <c r="J146" s="85"/>
      <c r="K146" s="85"/>
      <c r="L146" s="85"/>
      <c r="M146" s="85"/>
      <c r="N146" s="85"/>
      <c r="O146" s="85"/>
      <c r="P146" s="85"/>
      <c r="Q146" s="85"/>
      <c r="R146" s="85"/>
      <c r="X146" s="122"/>
      <c r="Z146" s="104"/>
      <c r="AA146" s="104"/>
      <c r="AB146" s="104"/>
    </row>
    <row r="147" customFormat="false" ht="15" hidden="false" customHeight="false" outlineLevel="0" collapsed="false">
      <c r="F147" s="99" t="n">
        <f aca="false">G147/H147</f>
        <v>0.00343570943518371</v>
      </c>
      <c r="G147" s="52" t="n">
        <f aca="false">G146*(1-$O$1)</f>
        <v>9.56918029471519</v>
      </c>
      <c r="H147" s="15" t="n">
        <f aca="false">I147/G147</f>
        <v>2785.21233394218</v>
      </c>
      <c r="I147" s="0" t="n">
        <f aca="false">I146</f>
        <v>26652.1989825572</v>
      </c>
      <c r="J147" s="85"/>
      <c r="K147" s="85"/>
      <c r="L147" s="85"/>
      <c r="M147" s="85"/>
      <c r="N147" s="85"/>
      <c r="O147" s="85"/>
      <c r="P147" s="85"/>
      <c r="Q147" s="85"/>
      <c r="R147" s="85"/>
      <c r="X147" s="122"/>
      <c r="Z147" s="104"/>
      <c r="AA147" s="104"/>
      <c r="AB147" s="104"/>
    </row>
    <row r="148" customFormat="false" ht="15" hidden="false" customHeight="false" outlineLevel="0" collapsed="false">
      <c r="F148" s="99" t="n">
        <f aca="false">G148/H148</f>
        <v>0.00329965534155043</v>
      </c>
      <c r="G148" s="52" t="n">
        <f aca="false">G147*(1-$O$1)</f>
        <v>9.37779668882088</v>
      </c>
      <c r="H148" s="15" t="n">
        <f aca="false">I148/G148</f>
        <v>2842.05340198182</v>
      </c>
      <c r="I148" s="0" t="n">
        <f aca="false">I147</f>
        <v>26652.1989825572</v>
      </c>
      <c r="J148" s="85"/>
      <c r="K148" s="85"/>
      <c r="L148" s="85"/>
      <c r="M148" s="85"/>
      <c r="N148" s="85"/>
      <c r="O148" s="85"/>
      <c r="P148" s="85"/>
      <c r="Q148" s="85"/>
      <c r="R148" s="85"/>
      <c r="X148" s="122"/>
      <c r="Z148" s="104"/>
      <c r="AA148" s="104"/>
      <c r="AB148" s="104"/>
    </row>
    <row r="149" customFormat="false" ht="15" hidden="false" customHeight="false" outlineLevel="0" collapsed="false">
      <c r="F149" s="99" t="n">
        <f aca="false">G149/H149</f>
        <v>0.00316898899002504</v>
      </c>
      <c r="G149" s="52" t="n">
        <f aca="false">G148*(1-$O$1)</f>
        <v>9.19024075504447</v>
      </c>
      <c r="H149" s="15" t="n">
        <f aca="false">I149/G149</f>
        <v>2900.05449181818</v>
      </c>
      <c r="I149" s="0" t="n">
        <f aca="false">I148</f>
        <v>26652.1989825572</v>
      </c>
      <c r="J149" s="85"/>
      <c r="K149" s="85"/>
      <c r="L149" s="85"/>
      <c r="M149" s="85"/>
      <c r="N149" s="85"/>
      <c r="O149" s="85"/>
      <c r="P149" s="85"/>
      <c r="Q149" s="85"/>
      <c r="R149" s="85"/>
      <c r="X149" s="122"/>
      <c r="Z149" s="104"/>
      <c r="AA149" s="104"/>
      <c r="AB149" s="104"/>
    </row>
    <row r="150" customFormat="false" ht="15" hidden="false" customHeight="false" outlineLevel="0" collapsed="false">
      <c r="F150" s="99" t="n">
        <f aca="false">G150/H150</f>
        <v>0.00304349702602005</v>
      </c>
      <c r="G150" s="52" t="n">
        <f aca="false">G149*(1-$O$1)</f>
        <v>9.00643593994358</v>
      </c>
      <c r="H150" s="15" t="n">
        <f aca="false">I150/G150</f>
        <v>2959.23927736549</v>
      </c>
      <c r="I150" s="0" t="n">
        <f aca="false">I149</f>
        <v>26652.1989825572</v>
      </c>
      <c r="J150" s="85"/>
      <c r="K150" s="85"/>
      <c r="L150" s="85"/>
      <c r="M150" s="85"/>
      <c r="N150" s="85"/>
      <c r="O150" s="85"/>
      <c r="P150" s="85"/>
      <c r="Q150" s="85"/>
      <c r="R150" s="85"/>
      <c r="X150" s="122"/>
      <c r="Z150" s="104"/>
      <c r="AA150" s="104"/>
      <c r="AB150" s="104"/>
    </row>
    <row r="151" customFormat="false" ht="15" hidden="false" customHeight="false" outlineLevel="0" collapsed="false">
      <c r="F151" s="99" t="n">
        <f aca="false">G151/H151</f>
        <v>0.00292297454378965</v>
      </c>
      <c r="G151" s="52" t="n">
        <f aca="false">G150*(1-$O$1)</f>
        <v>8.8263072211447</v>
      </c>
      <c r="H151" s="15" t="n">
        <f aca="false">I151/G151</f>
        <v>3019.63191567907</v>
      </c>
      <c r="I151" s="0" t="n">
        <f aca="false">I150</f>
        <v>26652.1989825572</v>
      </c>
      <c r="J151" s="85"/>
      <c r="K151" s="85"/>
      <c r="L151" s="85"/>
      <c r="M151" s="85"/>
      <c r="N151" s="85"/>
      <c r="O151" s="85"/>
      <c r="P151" s="85"/>
      <c r="Q151" s="85"/>
      <c r="R151" s="85"/>
      <c r="X151" s="122"/>
      <c r="Z151" s="104"/>
      <c r="AA151" s="104"/>
      <c r="AB151" s="104"/>
    </row>
    <row r="152" customFormat="false" ht="15" hidden="false" customHeight="false" outlineLevel="0" collapsed="false">
      <c r="F152" s="99" t="n">
        <f aca="false">G152/H152</f>
        <v>0.00280722475185558</v>
      </c>
      <c r="G152" s="52" t="n">
        <f aca="false">G151*(1-$O$1)</f>
        <v>8.64978107672181</v>
      </c>
      <c r="H152" s="15" t="n">
        <f aca="false">I152/G152</f>
        <v>3081.25705681538</v>
      </c>
      <c r="I152" s="0" t="n">
        <f aca="false">I151</f>
        <v>26652.1989825572</v>
      </c>
      <c r="J152" s="85"/>
      <c r="K152" s="85"/>
      <c r="L152" s="85"/>
      <c r="M152" s="85"/>
      <c r="N152" s="85"/>
      <c r="O152" s="85"/>
      <c r="P152" s="85"/>
      <c r="Q152" s="85"/>
      <c r="R152" s="85"/>
      <c r="X152" s="122"/>
      <c r="Z152" s="104"/>
      <c r="AA152" s="104"/>
      <c r="AB152" s="104"/>
    </row>
    <row r="153" customFormat="false" ht="15" hidden="false" customHeight="false" outlineLevel="0" collapsed="false">
      <c r="F153" s="99" t="n">
        <f aca="false">G153/H153</f>
        <v>0.0026960586516821</v>
      </c>
      <c r="G153" s="52" t="n">
        <f aca="false">G152*(1-$O$1)</f>
        <v>8.47678545518737</v>
      </c>
      <c r="H153" s="15" t="n">
        <f aca="false">I153/G153</f>
        <v>3144.13985389324</v>
      </c>
      <c r="I153" s="0" t="n">
        <f aca="false">I152</f>
        <v>26652.1989825572</v>
      </c>
      <c r="J153" s="85"/>
      <c r="K153" s="85"/>
      <c r="L153" s="85"/>
      <c r="M153" s="85"/>
      <c r="N153" s="85"/>
      <c r="O153" s="85"/>
      <c r="P153" s="85"/>
      <c r="Q153" s="85"/>
      <c r="R153" s="85"/>
      <c r="X153" s="122"/>
      <c r="Z153" s="104"/>
      <c r="AA153" s="104"/>
      <c r="AB153" s="104"/>
    </row>
    <row r="154" customFormat="false" ht="15" hidden="false" customHeight="false" outlineLevel="0" collapsed="false">
      <c r="F154" s="99" t="n">
        <f aca="false">G154/H154</f>
        <v>0.00258929472907549</v>
      </c>
      <c r="G154" s="52" t="n">
        <f aca="false">G153*(1-$O$1)</f>
        <v>8.30724974608363</v>
      </c>
      <c r="H154" s="15" t="n">
        <f aca="false">I154/G154</f>
        <v>3208.30597336045</v>
      </c>
      <c r="I154" s="0" t="n">
        <f aca="false">I153</f>
        <v>26652.1989825572</v>
      </c>
      <c r="J154" s="85"/>
      <c r="K154" s="85"/>
      <c r="L154" s="85"/>
      <c r="M154" s="85"/>
      <c r="N154" s="85"/>
      <c r="O154" s="85"/>
      <c r="P154" s="85"/>
      <c r="Q154" s="85"/>
      <c r="R154" s="85"/>
      <c r="X154" s="122"/>
      <c r="Z154" s="104"/>
      <c r="AA154" s="104"/>
      <c r="AB154" s="104"/>
    </row>
    <row r="155" customFormat="false" ht="15" hidden="false" customHeight="false" outlineLevel="0" collapsed="false">
      <c r="F155" s="99" t="n">
        <f aca="false">G155/H155</f>
        <v>0.0024867586578041</v>
      </c>
      <c r="G155" s="52" t="n">
        <f aca="false">G154*(1-$O$1)</f>
        <v>8.14110475116195</v>
      </c>
      <c r="H155" s="15" t="n">
        <f aca="false">I155/G155</f>
        <v>3273.78160546985</v>
      </c>
      <c r="I155" s="0" t="n">
        <f aca="false">I154</f>
        <v>26652.1989825572</v>
      </c>
      <c r="J155" s="85"/>
      <c r="K155" s="85"/>
      <c r="L155" s="85"/>
      <c r="M155" s="85"/>
      <c r="N155" s="85"/>
      <c r="O155" s="85"/>
      <c r="P155" s="85"/>
      <c r="Q155" s="85"/>
      <c r="R155" s="85"/>
      <c r="X155" s="122"/>
      <c r="Z155" s="104"/>
      <c r="AA155" s="104"/>
      <c r="AB155" s="104"/>
    </row>
    <row r="156" customFormat="false" ht="15" hidden="false" customHeight="false" outlineLevel="0" collapsed="false">
      <c r="F156" s="99" t="n">
        <f aca="false">G156/H156</f>
        <v>0.00238828301495506</v>
      </c>
      <c r="G156" s="52" t="n">
        <f aca="false">G155*(1-$O$1)</f>
        <v>7.97828265613871</v>
      </c>
      <c r="H156" s="15" t="n">
        <f aca="false">I156/G156</f>
        <v>3340.59347496923</v>
      </c>
      <c r="I156" s="0" t="n">
        <f aca="false">I155</f>
        <v>26652.1989825572</v>
      </c>
      <c r="J156" s="85"/>
      <c r="K156" s="85"/>
      <c r="L156" s="85"/>
      <c r="M156" s="85"/>
      <c r="N156" s="85"/>
      <c r="O156" s="85"/>
      <c r="P156" s="85"/>
      <c r="Q156" s="85"/>
      <c r="R156" s="85"/>
      <c r="X156" s="122"/>
      <c r="Z156" s="104"/>
      <c r="AA156" s="104"/>
      <c r="AB156" s="104"/>
    </row>
    <row r="157" customFormat="false" ht="15" hidden="false" customHeight="false" outlineLevel="0" collapsed="false">
      <c r="F157" s="99" t="n">
        <f aca="false">G157/H157</f>
        <v>0.00229370700756284</v>
      </c>
      <c r="G157" s="52" t="n">
        <f aca="false">G156*(1-$O$1)</f>
        <v>7.81871700301594</v>
      </c>
      <c r="H157" s="15" t="n">
        <f aca="false">I157/G157</f>
        <v>3408.76885200942</v>
      </c>
      <c r="I157" s="0" t="n">
        <f aca="false">I156</f>
        <v>26652.1989825572</v>
      </c>
      <c r="J157" s="85"/>
      <c r="K157" s="85"/>
      <c r="L157" s="85"/>
      <c r="M157" s="85"/>
      <c r="N157" s="85"/>
      <c r="O157" s="85"/>
      <c r="P157" s="85"/>
      <c r="Q157" s="85"/>
      <c r="R157" s="85"/>
      <c r="X157" s="122"/>
      <c r="Z157" s="104"/>
      <c r="AA157" s="104"/>
      <c r="AB157" s="104"/>
    </row>
    <row r="158" customFormat="false" ht="15" hidden="false" customHeight="false" outlineLevel="0" collapsed="false">
      <c r="F158" s="99" t="n">
        <f aca="false">G158/H158</f>
        <v>0.00220287621006335</v>
      </c>
      <c r="G158" s="52" t="n">
        <f aca="false">G157*(1-$O$1)</f>
        <v>7.66234266295562</v>
      </c>
      <c r="H158" s="15" t="n">
        <f aca="false">I158/G158</f>
        <v>3478.33556327492</v>
      </c>
      <c r="I158" s="0" t="n">
        <f aca="false">I157</f>
        <v>26652.1989825572</v>
      </c>
      <c r="J158" s="85"/>
      <c r="K158" s="85"/>
      <c r="L158" s="85"/>
      <c r="M158" s="85"/>
      <c r="N158" s="85"/>
      <c r="O158" s="85"/>
      <c r="P158" s="85"/>
      <c r="Q158" s="85"/>
      <c r="R158" s="85"/>
      <c r="X158" s="122"/>
      <c r="Z158" s="104"/>
      <c r="AA158" s="104"/>
      <c r="AB158" s="104"/>
    </row>
    <row r="159" customFormat="false" ht="15" hidden="false" customHeight="false" outlineLevel="0" collapsed="false">
      <c r="F159" s="99" t="n">
        <f aca="false">G159/H159</f>
        <v>0.00211564231214484</v>
      </c>
      <c r="G159" s="52" t="n">
        <f aca="false">G158*(1-$O$1)</f>
        <v>7.50909580969651</v>
      </c>
      <c r="H159" s="15" t="n">
        <f aca="false">I159/G159</f>
        <v>3549.32200334176</v>
      </c>
      <c r="I159" s="0" t="n">
        <f aca="false">I158</f>
        <v>26652.1989825572</v>
      </c>
      <c r="J159" s="85"/>
      <c r="K159" s="85"/>
      <c r="L159" s="85"/>
      <c r="M159" s="85"/>
      <c r="N159" s="85"/>
      <c r="O159" s="85"/>
      <c r="P159" s="85"/>
      <c r="Q159" s="85"/>
      <c r="R159" s="85"/>
      <c r="X159" s="122"/>
      <c r="Z159" s="104"/>
      <c r="AA159" s="104"/>
      <c r="AB159" s="104"/>
    </row>
    <row r="160" customFormat="false" ht="15" hidden="false" customHeight="false" outlineLevel="0" collapsed="false">
      <c r="F160" s="99" t="n">
        <f aca="false">G160/H160</f>
        <v>0.0020318628765839</v>
      </c>
      <c r="G160" s="52" t="n">
        <f aca="false">G159*(1-$O$1)</f>
        <v>7.35891389350258</v>
      </c>
      <c r="H160" s="15" t="n">
        <f aca="false">I160/G160</f>
        <v>3621.7571462671</v>
      </c>
      <c r="I160" s="0" t="n">
        <f aca="false">I159</f>
        <v>26652.1989825572</v>
      </c>
      <c r="J160" s="85"/>
      <c r="K160" s="85"/>
      <c r="L160" s="85"/>
      <c r="M160" s="85"/>
      <c r="N160" s="85"/>
      <c r="O160" s="85"/>
      <c r="P160" s="85"/>
      <c r="Q160" s="85"/>
      <c r="R160" s="85"/>
      <c r="X160" s="122"/>
      <c r="Z160" s="104"/>
      <c r="AA160" s="104"/>
      <c r="AB160" s="104"/>
    </row>
    <row r="161" customFormat="false" ht="15" hidden="false" customHeight="false" outlineLevel="0" collapsed="false">
      <c r="F161" s="99" t="n">
        <f aca="false">G161/H161</f>
        <v>0.00195140110667118</v>
      </c>
      <c r="G161" s="52" t="n">
        <f aca="false">G160*(1-$O$1)</f>
        <v>7.21173561563253</v>
      </c>
      <c r="H161" s="15" t="n">
        <f aca="false">I161/G161</f>
        <v>3695.67055741541</v>
      </c>
      <c r="I161" s="0" t="n">
        <f aca="false">I160</f>
        <v>26652.1989825572</v>
      </c>
      <c r="J161" s="85"/>
      <c r="K161" s="85"/>
      <c r="L161" s="85"/>
      <c r="M161" s="85"/>
      <c r="N161" s="85"/>
      <c r="O161" s="85"/>
      <c r="P161" s="85"/>
      <c r="Q161" s="85"/>
      <c r="R161" s="85"/>
      <c r="X161" s="122"/>
      <c r="Z161" s="104"/>
      <c r="AA161" s="104"/>
      <c r="AB161" s="104"/>
    </row>
    <row r="162" customFormat="false" ht="15" hidden="false" customHeight="false" outlineLevel="0" collapsed="false">
      <c r="F162" s="99" t="n">
        <f aca="false">G162/H162</f>
        <v>0.001874125622847</v>
      </c>
      <c r="G162" s="52" t="n">
        <f aca="false">G161*(1-$O$1)</f>
        <v>7.06750090331988</v>
      </c>
      <c r="H162" s="15" t="n">
        <f aca="false">I162/G162</f>
        <v>3771.09240552593</v>
      </c>
      <c r="I162" s="0" t="n">
        <f aca="false">I161</f>
        <v>26652.1989825572</v>
      </c>
      <c r="J162" s="85"/>
      <c r="K162" s="85"/>
      <c r="L162" s="85"/>
      <c r="M162" s="85"/>
      <c r="N162" s="85"/>
      <c r="O162" s="85"/>
      <c r="P162" s="85"/>
      <c r="Q162" s="85"/>
      <c r="R162" s="85"/>
      <c r="X162" s="122"/>
      <c r="Z162" s="104"/>
      <c r="AA162" s="104"/>
      <c r="AB162" s="104"/>
    </row>
    <row r="163" customFormat="false" ht="15" hidden="false" customHeight="false" outlineLevel="0" collapsed="false">
      <c r="F163" s="99" t="n">
        <f aca="false">G163/H163</f>
        <v>0.00179991024818226</v>
      </c>
      <c r="G163" s="52" t="n">
        <f aca="false">G162*(1-$O$1)</f>
        <v>6.92615088525348</v>
      </c>
      <c r="H163" s="15" t="n">
        <f aca="false">I163/G163</f>
        <v>3848.05347502645</v>
      </c>
      <c r="I163" s="0" t="n">
        <f aca="false">I162</f>
        <v>26652.1989825572</v>
      </c>
      <c r="J163" s="85"/>
      <c r="K163" s="85"/>
      <c r="L163" s="85"/>
      <c r="M163" s="85"/>
      <c r="N163" s="85"/>
      <c r="O163" s="85"/>
      <c r="P163" s="85"/>
      <c r="Q163" s="85"/>
      <c r="R163" s="85"/>
      <c r="X163" s="122"/>
      <c r="Z163" s="104"/>
      <c r="AA163" s="104"/>
      <c r="AB163" s="104"/>
    </row>
    <row r="164" customFormat="false" ht="15" hidden="false" customHeight="false" outlineLevel="0" collapsed="false">
      <c r="F164" s="99" t="n">
        <f aca="false">G164/H164</f>
        <v>0.00172863380235424</v>
      </c>
      <c r="G164" s="52" t="n">
        <f aca="false">G163*(1-$O$1)</f>
        <v>6.78762786754841</v>
      </c>
      <c r="H164" s="15" t="n">
        <f aca="false">I164/G164</f>
        <v>3926.58517859842</v>
      </c>
      <c r="I164" s="0" t="n">
        <f aca="false">I163</f>
        <v>26652.1989825572</v>
      </c>
      <c r="J164" s="85"/>
      <c r="K164" s="85"/>
      <c r="L164" s="85"/>
      <c r="M164" s="85"/>
      <c r="N164" s="85"/>
      <c r="O164" s="85"/>
      <c r="P164" s="85"/>
      <c r="Q164" s="85"/>
      <c r="R164" s="85"/>
      <c r="X164" s="122"/>
      <c r="Z164" s="104"/>
      <c r="AA164" s="104"/>
      <c r="AB164" s="104"/>
    </row>
    <row r="165" customFormat="false" ht="15" hidden="false" customHeight="false" outlineLevel="0" collapsed="false">
      <c r="F165" s="99" t="n">
        <f aca="false">G165/H165</f>
        <v>0.00166017990378102</v>
      </c>
      <c r="G165" s="52" t="n">
        <f aca="false">G164*(1-$O$1)</f>
        <v>6.65187531019744</v>
      </c>
      <c r="H165" s="15" t="n">
        <f aca="false">I165/G165</f>
        <v>4006.71956999839</v>
      </c>
      <c r="I165" s="0" t="n">
        <f aca="false">I164</f>
        <v>26652.1989825572</v>
      </c>
      <c r="J165" s="85"/>
      <c r="K165" s="85"/>
      <c r="L165" s="85"/>
      <c r="M165" s="85"/>
      <c r="N165" s="85"/>
      <c r="O165" s="85"/>
      <c r="P165" s="85"/>
      <c r="Q165" s="85"/>
      <c r="R165" s="85"/>
      <c r="X165" s="122"/>
      <c r="Z165" s="104"/>
      <c r="AA165" s="104"/>
      <c r="AB165" s="104"/>
    </row>
    <row r="166" customFormat="false" ht="15" hidden="false" customHeight="false" outlineLevel="0" collapsed="false">
      <c r="F166" s="99" t="n">
        <f aca="false">G166/H166</f>
        <v>0.00159443677959129</v>
      </c>
      <c r="G166" s="52" t="n">
        <f aca="false">G165*(1-$O$1)</f>
        <v>6.51883780399349</v>
      </c>
      <c r="H166" s="15" t="n">
        <f aca="false">I166/G166</f>
        <v>4088.48935714122</v>
      </c>
      <c r="I166" s="0" t="n">
        <f aca="false">I165</f>
        <v>26652.1989825572</v>
      </c>
      <c r="J166" s="85"/>
      <c r="K166" s="85"/>
      <c r="L166" s="85"/>
      <c r="M166" s="85"/>
      <c r="N166" s="85"/>
      <c r="O166" s="85"/>
      <c r="P166" s="85"/>
      <c r="Q166" s="85"/>
      <c r="R166" s="85"/>
      <c r="X166" s="122"/>
      <c r="Z166" s="104"/>
      <c r="AA166" s="104"/>
      <c r="AB166" s="104"/>
    </row>
    <row r="167" customFormat="false" ht="15" hidden="false" customHeight="false" outlineLevel="0" collapsed="false">
      <c r="F167" s="99" t="n">
        <f aca="false">G167/H167</f>
        <v>0.00153129708311947</v>
      </c>
      <c r="G167" s="52" t="n">
        <f aca="false">G166*(1-$O$1)</f>
        <v>6.38846104791362</v>
      </c>
      <c r="H167" s="15" t="n">
        <f aca="false">I167/G167</f>
        <v>4171.92791545022</v>
      </c>
      <c r="I167" s="0" t="n">
        <f aca="false">I166</f>
        <v>26652.1989825572</v>
      </c>
      <c r="J167" s="85"/>
      <c r="K167" s="85"/>
      <c r="L167" s="85"/>
      <c r="M167" s="85"/>
      <c r="N167" s="85"/>
      <c r="O167" s="85"/>
      <c r="P167" s="85"/>
      <c r="Q167" s="85"/>
      <c r="R167" s="85"/>
      <c r="X167" s="122"/>
      <c r="Z167" s="104"/>
      <c r="AA167" s="104"/>
      <c r="AB167" s="104"/>
    </row>
    <row r="168" customFormat="false" ht="15" hidden="false" customHeight="false" outlineLevel="0" collapsed="false">
      <c r="F168" s="99" t="n">
        <f aca="false">G168/H168</f>
        <v>0.00147065771862794</v>
      </c>
      <c r="G168" s="52" t="n">
        <f aca="false">G167*(1-$O$1)</f>
        <v>6.26069182695535</v>
      </c>
      <c r="H168" s="15" t="n">
        <f aca="false">I168/G168</f>
        <v>4257.06930147982</v>
      </c>
      <c r="I168" s="0" t="n">
        <f aca="false">I167</f>
        <v>26652.1989825572</v>
      </c>
      <c r="J168" s="85"/>
      <c r="K168" s="85"/>
      <c r="L168" s="85"/>
      <c r="M168" s="85"/>
      <c r="N168" s="85"/>
      <c r="O168" s="85"/>
      <c r="P168" s="85"/>
      <c r="Q168" s="85"/>
      <c r="R168" s="85"/>
      <c r="X168" s="122"/>
      <c r="Z168" s="104"/>
      <c r="AA168" s="104"/>
      <c r="AB168" s="104"/>
    </row>
    <row r="169" customFormat="false" ht="15" hidden="false" customHeight="false" outlineLevel="0" collapsed="false">
      <c r="F169" s="99" t="n">
        <f aca="false">G169/H169</f>
        <v>0.00141241967297027</v>
      </c>
      <c r="G169" s="52" t="n">
        <f aca="false">G168*(1-$O$1)</f>
        <v>6.13547799041624</v>
      </c>
      <c r="H169" s="15" t="n">
        <f aca="false">I169/G169</f>
        <v>4343.94826681614</v>
      </c>
      <c r="I169" s="0" t="n">
        <f aca="false">I168</f>
        <v>26652.1989825572</v>
      </c>
      <c r="J169" s="85"/>
      <c r="K169" s="85"/>
      <c r="L169" s="85"/>
      <c r="M169" s="85"/>
      <c r="N169" s="85"/>
      <c r="O169" s="85"/>
      <c r="P169" s="85"/>
      <c r="Q169" s="85"/>
      <c r="R169" s="85"/>
      <c r="X169" s="122"/>
      <c r="Z169" s="104"/>
      <c r="AA169" s="104"/>
      <c r="AB169" s="104"/>
    </row>
    <row r="170" customFormat="false" ht="15" hidden="false" customHeight="false" outlineLevel="0" collapsed="false">
      <c r="F170" s="99" t="n">
        <f aca="false">G170/H170</f>
        <v>0.00135648785392065</v>
      </c>
      <c r="G170" s="52" t="n">
        <f aca="false">G169*(1-$O$1)</f>
        <v>6.01276843060792</v>
      </c>
      <c r="H170" s="15" t="n">
        <f aca="false">I170/G170</f>
        <v>4432.60027226137</v>
      </c>
      <c r="I170" s="0" t="n">
        <f aca="false">I169</f>
        <v>26652.1989825572</v>
      </c>
      <c r="J170" s="85"/>
      <c r="K170" s="85"/>
      <c r="L170" s="85"/>
      <c r="M170" s="85"/>
      <c r="N170" s="85"/>
      <c r="O170" s="85"/>
      <c r="P170" s="85"/>
      <c r="Q170" s="85"/>
      <c r="R170" s="85"/>
      <c r="X170" s="122"/>
      <c r="Z170" s="104"/>
      <c r="AA170" s="104"/>
      <c r="AB170" s="104"/>
    </row>
    <row r="171" customFormat="false" ht="15" hidden="false" customHeight="false" outlineLevel="0" collapsed="false">
      <c r="F171" s="99" t="n">
        <f aca="false">G171/H171</f>
        <v>0.00130277093490539</v>
      </c>
      <c r="G171" s="52" t="n">
        <f aca="false">G170*(1-$O$1)</f>
        <v>5.89251306199576</v>
      </c>
      <c r="H171" s="15" t="n">
        <f aca="false">I171/G171</f>
        <v>4523.06150230752</v>
      </c>
      <c r="I171" s="0" t="n">
        <f aca="false">I170</f>
        <v>26652.1989825572</v>
      </c>
      <c r="J171" s="85"/>
      <c r="K171" s="85"/>
      <c r="L171" s="85"/>
      <c r="M171" s="85"/>
      <c r="N171" s="85"/>
      <c r="O171" s="85"/>
      <c r="P171" s="85"/>
      <c r="Q171" s="85"/>
      <c r="R171" s="85"/>
      <c r="X171" s="122"/>
      <c r="Z171" s="104"/>
      <c r="AA171" s="104"/>
      <c r="AB171" s="104"/>
    </row>
    <row r="172" customFormat="false" ht="15" hidden="false" customHeight="false" outlineLevel="0" collapsed="false">
      <c r="F172" s="99" t="n">
        <f aca="false">G172/H172</f>
        <v>0.00125118120588314</v>
      </c>
      <c r="G172" s="52" t="n">
        <f aca="false">G171*(1-$O$1)</f>
        <v>5.77466280075584</v>
      </c>
      <c r="H172" s="15" t="n">
        <f aca="false">I172/G172</f>
        <v>4615.36887990563</v>
      </c>
      <c r="I172" s="0" t="n">
        <f aca="false">I171</f>
        <v>26652.1989825572</v>
      </c>
      <c r="J172" s="85"/>
      <c r="K172" s="85"/>
      <c r="L172" s="85"/>
      <c r="M172" s="85"/>
      <c r="N172" s="85"/>
      <c r="O172" s="85"/>
      <c r="P172" s="85"/>
      <c r="Q172" s="85"/>
      <c r="R172" s="85"/>
      <c r="X172" s="122"/>
      <c r="Z172" s="104"/>
      <c r="AA172" s="104"/>
      <c r="AB172" s="104"/>
    </row>
    <row r="173" customFormat="false" ht="15" hidden="false" customHeight="false" outlineLevel="0" collapsed="false">
      <c r="F173" s="99" t="n">
        <f aca="false">G173/H173</f>
        <v>0.00120163443013017</v>
      </c>
      <c r="G173" s="52" t="n">
        <f aca="false">G172*(1-$O$1)</f>
        <v>5.65916954474073</v>
      </c>
      <c r="H173" s="15" t="n">
        <f aca="false">I173/G173</f>
        <v>4709.56008153636</v>
      </c>
      <c r="I173" s="0" t="n">
        <f aca="false">I172</f>
        <v>26652.1989825572</v>
      </c>
      <c r="J173" s="85"/>
      <c r="K173" s="85"/>
      <c r="L173" s="85"/>
      <c r="M173" s="85"/>
      <c r="N173" s="85"/>
      <c r="O173" s="85"/>
      <c r="P173" s="85"/>
      <c r="Q173" s="85"/>
      <c r="R173" s="85"/>
      <c r="X173" s="122"/>
      <c r="Z173" s="104"/>
      <c r="AA173" s="104"/>
      <c r="AB173" s="104"/>
    </row>
    <row r="174" customFormat="false" ht="15" hidden="false" customHeight="false" outlineLevel="0" collapsed="false">
      <c r="F174" s="99" t="n">
        <f aca="false">G174/H174</f>
        <v>0.00115404970669701</v>
      </c>
      <c r="G174" s="52" t="n">
        <f aca="false">G173*(1-$O$1)</f>
        <v>5.54598615384591</v>
      </c>
      <c r="H174" s="15" t="n">
        <f aca="false">I174/G174</f>
        <v>4805.67355258812</v>
      </c>
      <c r="I174" s="0" t="n">
        <f aca="false">I173</f>
        <v>26652.1989825572</v>
      </c>
      <c r="J174" s="85"/>
      <c r="K174" s="85"/>
      <c r="L174" s="85"/>
      <c r="M174" s="85"/>
      <c r="N174" s="85"/>
      <c r="O174" s="85"/>
      <c r="P174" s="85"/>
      <c r="Q174" s="85"/>
      <c r="R174" s="85"/>
      <c r="X174" s="122"/>
      <c r="Z174" s="104"/>
      <c r="AA174" s="104"/>
      <c r="AB174" s="104"/>
    </row>
    <row r="175" customFormat="false" ht="15" hidden="false" customHeight="false" outlineLevel="0" collapsed="false">
      <c r="F175" s="99" t="n">
        <f aca="false">G175/H175</f>
        <v>0.00110834933831181</v>
      </c>
      <c r="G175" s="52" t="n">
        <f aca="false">G174*(1-$O$1)</f>
        <v>5.43506643076899</v>
      </c>
      <c r="H175" s="15" t="n">
        <f aca="false">I175/G175</f>
        <v>4903.7485230491</v>
      </c>
      <c r="I175" s="0" t="n">
        <f aca="false">I174</f>
        <v>26652.1989825572</v>
      </c>
      <c r="J175" s="85"/>
      <c r="K175" s="85"/>
      <c r="L175" s="85"/>
      <c r="M175" s="85"/>
      <c r="N175" s="85"/>
      <c r="O175" s="85"/>
      <c r="P175" s="85"/>
      <c r="Q175" s="85"/>
      <c r="R175" s="85"/>
      <c r="X175" s="122"/>
      <c r="Z175" s="104"/>
      <c r="AA175" s="104"/>
      <c r="AB175" s="104"/>
    </row>
    <row r="176" customFormat="false" ht="15" hidden="false" customHeight="false" outlineLevel="0" collapsed="false">
      <c r="F176" s="99" t="n">
        <f aca="false">G176/H176</f>
        <v>0.00106445870451466</v>
      </c>
      <c r="G176" s="52" t="n">
        <f aca="false">G175*(1-$O$1)</f>
        <v>5.32636510215361</v>
      </c>
      <c r="H176" s="15" t="n">
        <f aca="false">I176/G176</f>
        <v>5003.82502351949</v>
      </c>
      <c r="I176" s="0" t="n">
        <f aca="false">I175</f>
        <v>26652.1989825572</v>
      </c>
      <c r="J176" s="85"/>
      <c r="K176" s="85"/>
      <c r="L176" s="85"/>
      <c r="M176" s="85"/>
      <c r="N176" s="85"/>
      <c r="O176" s="85"/>
      <c r="P176" s="85"/>
      <c r="Q176" s="85"/>
      <c r="R176" s="85"/>
      <c r="X176" s="122"/>
      <c r="Z176" s="104"/>
      <c r="AA176" s="104"/>
      <c r="AB176" s="104"/>
    </row>
    <row r="177" customFormat="false" ht="15" hidden="false" customHeight="false" outlineLevel="0" collapsed="false">
      <c r="F177" s="99" t="n">
        <f aca="false">G177/H177</f>
        <v>0.00102230613981588</v>
      </c>
      <c r="G177" s="52" t="n">
        <f aca="false">G176*(1-$O$1)</f>
        <v>5.21983780011054</v>
      </c>
      <c r="H177" s="15" t="n">
        <f aca="false">I177/G177</f>
        <v>5105.9439015505</v>
      </c>
      <c r="I177" s="0" t="n">
        <f aca="false">I176</f>
        <v>26652.1989825572</v>
      </c>
      <c r="J177" s="85"/>
      <c r="K177" s="85"/>
      <c r="L177" s="85"/>
      <c r="M177" s="85"/>
      <c r="N177" s="85"/>
      <c r="O177" s="85"/>
      <c r="P177" s="85"/>
      <c r="Q177" s="85"/>
      <c r="R177" s="85"/>
      <c r="X177" s="122"/>
      <c r="Z177" s="104"/>
      <c r="AA177" s="104"/>
      <c r="AB177" s="104"/>
    </row>
    <row r="178" customFormat="false" ht="15" hidden="false" customHeight="false" outlineLevel="0" collapsed="false">
      <c r="F178" s="99" t="n">
        <f aca="false">G178/H178</f>
        <v>0.000981822816679174</v>
      </c>
      <c r="G178" s="52" t="n">
        <f aca="false">G177*(1-$O$1)</f>
        <v>5.11544104410833</v>
      </c>
      <c r="H178" s="15" t="n">
        <f aca="false">I178/G178</f>
        <v>5210.14683831684</v>
      </c>
      <c r="I178" s="0" t="n">
        <f aca="false">I177</f>
        <v>26652.1989825572</v>
      </c>
      <c r="J178" s="85"/>
      <c r="K178" s="85"/>
      <c r="L178" s="85"/>
      <c r="M178" s="85"/>
      <c r="N178" s="85"/>
      <c r="O178" s="85"/>
      <c r="P178" s="85"/>
      <c r="Q178" s="85"/>
      <c r="R178" s="85"/>
      <c r="X178" s="122"/>
      <c r="Z178" s="104"/>
      <c r="AA178" s="104"/>
      <c r="AB178" s="104"/>
    </row>
    <row r="179" customFormat="false" ht="15" hidden="false" customHeight="false" outlineLevel="0" collapsed="false">
      <c r="F179" s="99" t="n">
        <f aca="false">G179/H179</f>
        <v>0.000942942633138679</v>
      </c>
      <c r="G179" s="52" t="n">
        <f aca="false">G178*(1-$O$1)</f>
        <v>5.01313222322616</v>
      </c>
      <c r="H179" s="15" t="n">
        <f aca="false">I179/G179</f>
        <v>5316.47636562943</v>
      </c>
      <c r="I179" s="0" t="n">
        <f aca="false">I178</f>
        <v>26652.1989825572</v>
      </c>
      <c r="J179" s="85"/>
      <c r="K179" s="85"/>
      <c r="L179" s="85"/>
      <c r="M179" s="85"/>
      <c r="N179" s="85"/>
      <c r="O179" s="85"/>
      <c r="P179" s="85"/>
      <c r="Q179" s="85"/>
      <c r="R179" s="85"/>
      <c r="X179" s="122"/>
      <c r="Z179" s="104"/>
      <c r="AA179" s="104"/>
      <c r="AB179" s="104"/>
    </row>
    <row r="180" customFormat="false" ht="15" hidden="false" customHeight="false" outlineLevel="0" collapsed="false">
      <c r="F180" s="99" t="n">
        <f aca="false">G180/H180</f>
        <v>0.000905602104866387</v>
      </c>
      <c r="G180" s="52" t="n">
        <f aca="false">G179*(1-$O$1)</f>
        <v>4.91286957876164</v>
      </c>
      <c r="H180" s="15" t="n">
        <f aca="false">I180/G180</f>
        <v>5424.97588329533</v>
      </c>
      <c r="I180" s="0" t="n">
        <f aca="false">I179</f>
        <v>26652.1989825572</v>
      </c>
      <c r="J180" s="85"/>
      <c r="K180" s="85"/>
      <c r="L180" s="85"/>
      <c r="M180" s="85"/>
      <c r="N180" s="85"/>
      <c r="O180" s="85"/>
      <c r="P180" s="85"/>
      <c r="Q180" s="85"/>
      <c r="R180" s="85"/>
      <c r="X180" s="122"/>
      <c r="Z180" s="104"/>
      <c r="AA180" s="104"/>
      <c r="AB180" s="104"/>
    </row>
    <row r="181" customFormat="false" ht="15" hidden="false" customHeight="false" outlineLevel="0" collapsed="false">
      <c r="F181" s="99" t="n">
        <f aca="false">G181/H181</f>
        <v>0.000869740261513678</v>
      </c>
      <c r="G181" s="52" t="n">
        <f aca="false">G180*(1-$O$1)</f>
        <v>4.81461218718641</v>
      </c>
      <c r="H181" s="15" t="n">
        <f aca="false">I181/G181</f>
        <v>5535.68967683197</v>
      </c>
      <c r="I181" s="0" t="n">
        <f aca="false">I180</f>
        <v>26652.1989825572</v>
      </c>
      <c r="J181" s="85"/>
      <c r="K181" s="85"/>
      <c r="L181" s="85"/>
      <c r="M181" s="85"/>
      <c r="N181" s="85"/>
      <c r="O181" s="85"/>
      <c r="P181" s="85"/>
      <c r="Q181" s="85"/>
      <c r="R181" s="85"/>
      <c r="X181" s="122"/>
      <c r="Z181" s="104"/>
      <c r="AA181" s="104"/>
      <c r="AB181" s="104"/>
    </row>
    <row r="182" customFormat="false" ht="15" hidden="false" customHeight="false" outlineLevel="0" collapsed="false">
      <c r="F182" s="99" t="n">
        <f aca="false">G182/H182</f>
        <v>0.000835298547157736</v>
      </c>
      <c r="G182" s="52" t="n">
        <f aca="false">G181*(1-$O$1)</f>
        <v>4.71831994344268</v>
      </c>
      <c r="H182" s="15" t="n">
        <f aca="false">I182/G182</f>
        <v>5648.66293554283</v>
      </c>
      <c r="I182" s="0" t="n">
        <f aca="false">I181</f>
        <v>26652.1989825572</v>
      </c>
      <c r="J182" s="85"/>
      <c r="K182" s="85"/>
      <c r="L182" s="85"/>
      <c r="M182" s="85"/>
      <c r="N182" s="85"/>
      <c r="O182" s="85"/>
      <c r="P182" s="85"/>
      <c r="Q182" s="85"/>
      <c r="R182" s="85"/>
      <c r="X182" s="122"/>
      <c r="Z182" s="104"/>
      <c r="AA182" s="104"/>
      <c r="AB182" s="104"/>
    </row>
    <row r="183" customFormat="false" ht="15" hidden="false" customHeight="false" outlineLevel="0" collapsed="false">
      <c r="F183" s="99" t="n">
        <f aca="false">G183/H183</f>
        <v>0.00080222072469029</v>
      </c>
      <c r="G183" s="52" t="n">
        <f aca="false">G182*(1-$O$1)</f>
        <v>4.62395354457383</v>
      </c>
      <c r="H183" s="15" t="n">
        <f aca="false">I183/G183</f>
        <v>5763.94177096207</v>
      </c>
      <c r="I183" s="0" t="n">
        <f aca="false">I182</f>
        <v>26652.1989825572</v>
      </c>
      <c r="J183" s="85"/>
      <c r="K183" s="85"/>
      <c r="L183" s="85"/>
      <c r="M183" s="85"/>
      <c r="N183" s="85"/>
      <c r="O183" s="85"/>
      <c r="P183" s="85"/>
      <c r="Q183" s="85"/>
      <c r="R183" s="85"/>
      <c r="X183" s="122"/>
      <c r="Z183" s="104"/>
      <c r="AA183" s="104"/>
      <c r="AB183" s="104"/>
    </row>
    <row r="184" customFormat="false" ht="15" hidden="false" customHeight="false" outlineLevel="0" collapsed="false">
      <c r="F184" s="99" t="n">
        <f aca="false">G184/H184</f>
        <v>0.000770452783992554</v>
      </c>
      <c r="G184" s="52" t="n">
        <f aca="false">G183*(1-$O$1)</f>
        <v>4.53147447368235</v>
      </c>
      <c r="H184" s="15" t="n">
        <f aca="false">I184/G184</f>
        <v>5881.57323567558</v>
      </c>
      <c r="I184" s="0" t="n">
        <f aca="false">I183</f>
        <v>26652.1989825572</v>
      </c>
      <c r="J184" s="85"/>
      <c r="K184" s="85"/>
      <c r="L184" s="85"/>
      <c r="M184" s="85"/>
      <c r="N184" s="85"/>
      <c r="O184" s="85"/>
      <c r="P184" s="85"/>
      <c r="Q184" s="85"/>
      <c r="R184" s="85"/>
      <c r="X184" s="122"/>
      <c r="Z184" s="104"/>
      <c r="AA184" s="104"/>
      <c r="AB184" s="104"/>
    </row>
    <row r="185" customFormat="false" ht="15" hidden="false" customHeight="false" outlineLevel="0" collapsed="false">
      <c r="F185" s="99" t="n">
        <f aca="false">G185/H185</f>
        <v>0.000739942853746449</v>
      </c>
      <c r="G185" s="52" t="n">
        <f aca="false">G184*(1-$O$1)</f>
        <v>4.4408449842087</v>
      </c>
      <c r="H185" s="15" t="n">
        <f aca="false">I185/G185</f>
        <v>6001.60534252611</v>
      </c>
      <c r="I185" s="0" t="n">
        <f aca="false">I184</f>
        <v>26652.1989825572</v>
      </c>
      <c r="J185" s="85"/>
      <c r="K185" s="85"/>
      <c r="L185" s="85"/>
      <c r="M185" s="85"/>
      <c r="N185" s="85"/>
      <c r="O185" s="85"/>
      <c r="P185" s="85"/>
      <c r="Q185" s="85"/>
      <c r="R185" s="85"/>
      <c r="X185" s="122"/>
      <c r="Z185" s="104"/>
      <c r="AA185" s="104"/>
      <c r="AB185" s="104"/>
    </row>
    <row r="186" customFormat="false" ht="15" hidden="false" customHeight="false" outlineLevel="0" collapsed="false">
      <c r="F186" s="99" t="n">
        <f aca="false">G186/H186</f>
        <v>0.00071064111673809</v>
      </c>
      <c r="G186" s="52" t="n">
        <f aca="false">G185*(1-$O$1)</f>
        <v>4.35202808452453</v>
      </c>
      <c r="H186" s="15" t="n">
        <f aca="false">I186/G186</f>
        <v>6124.08708421031</v>
      </c>
      <c r="I186" s="0" t="n">
        <f aca="false">I185</f>
        <v>26652.1989825572</v>
      </c>
      <c r="J186" s="85"/>
      <c r="K186" s="85"/>
      <c r="L186" s="85"/>
      <c r="M186" s="85"/>
      <c r="N186" s="85"/>
      <c r="O186" s="85"/>
      <c r="P186" s="85"/>
      <c r="Q186" s="85"/>
      <c r="R186" s="85"/>
      <c r="X186" s="122"/>
      <c r="Z186" s="104"/>
      <c r="AA186" s="104"/>
      <c r="AB186" s="104"/>
    </row>
    <row r="187" customFormat="false" ht="15" hidden="false" customHeight="false" outlineLevel="0" collapsed="false">
      <c r="F187" s="99" t="n">
        <f aca="false">G187/H187</f>
        <v>0.000682499728515261</v>
      </c>
      <c r="G187" s="52" t="n">
        <f aca="false">G186*(1-$O$1)</f>
        <v>4.26498752283404</v>
      </c>
      <c r="H187" s="15" t="n">
        <f aca="false">I187/G187</f>
        <v>6249.06845327583</v>
      </c>
      <c r="I187" s="0" t="n">
        <f aca="false">I186</f>
        <v>26652.1989825572</v>
      </c>
      <c r="J187" s="85"/>
      <c r="K187" s="85"/>
      <c r="L187" s="85"/>
      <c r="M187" s="85"/>
      <c r="N187" s="85"/>
      <c r="O187" s="85"/>
      <c r="P187" s="85"/>
      <c r="Q187" s="85"/>
      <c r="R187" s="85"/>
      <c r="X187" s="122"/>
      <c r="Z187" s="104"/>
      <c r="AA187" s="104"/>
      <c r="AB187" s="104"/>
    </row>
    <row r="188" customFormat="false" ht="15" hidden="false" customHeight="false" outlineLevel="0" collapsed="false">
      <c r="F188" s="99" t="n">
        <f aca="false">G188/H188</f>
        <v>0.000655472739266057</v>
      </c>
      <c r="G188" s="52" t="n">
        <f aca="false">G187*(1-$O$1)</f>
        <v>4.17968777237736</v>
      </c>
      <c r="H188" s="15" t="n">
        <f aca="false">I188/G188</f>
        <v>6376.60046252636</v>
      </c>
      <c r="I188" s="0" t="n">
        <f aca="false">I187</f>
        <v>26652.1989825572</v>
      </c>
      <c r="J188" s="85"/>
      <c r="K188" s="85"/>
      <c r="L188" s="85"/>
      <c r="M188" s="85"/>
      <c r="N188" s="85"/>
      <c r="O188" s="85"/>
      <c r="P188" s="85"/>
      <c r="Q188" s="85"/>
      <c r="R188" s="85"/>
      <c r="X188" s="122"/>
      <c r="Z188" s="104"/>
      <c r="AA188" s="104"/>
      <c r="AB188" s="104"/>
    </row>
    <row r="189" customFormat="false" ht="15" hidden="false" customHeight="false" outlineLevel="0" collapsed="false">
      <c r="F189" s="99" t="n">
        <f aca="false">G189/H189</f>
        <v>0.000629516018791121</v>
      </c>
      <c r="G189" s="52" t="n">
        <f aca="false">G188*(1-$O$1)</f>
        <v>4.09609401692981</v>
      </c>
      <c r="H189" s="15" t="n">
        <f aca="false">I189/G189</f>
        <v>6506.73516584322</v>
      </c>
      <c r="I189" s="0" t="n">
        <f aca="false">I188</f>
        <v>26652.1989825572</v>
      </c>
      <c r="J189" s="85"/>
      <c r="K189" s="85"/>
      <c r="L189" s="85"/>
      <c r="M189" s="85"/>
      <c r="N189" s="85"/>
      <c r="O189" s="85"/>
      <c r="P189" s="85"/>
      <c r="Q189" s="85"/>
      <c r="R189" s="85"/>
      <c r="X189" s="122"/>
      <c r="Z189" s="104"/>
      <c r="AA189" s="104"/>
      <c r="AB189" s="104"/>
    </row>
    <row r="190" customFormat="false" ht="15" hidden="false" customHeight="false" outlineLevel="0" collapsed="false">
      <c r="F190" s="99" t="n">
        <f aca="false">G190/H190</f>
        <v>0.000604587184446993</v>
      </c>
      <c r="G190" s="52" t="n">
        <f aca="false">G189*(1-$O$1)</f>
        <v>4.01417213659121</v>
      </c>
      <c r="H190" s="15" t="n">
        <f aca="false">I190/G190</f>
        <v>6639.52567943186</v>
      </c>
      <c r="I190" s="0" t="n">
        <f aca="false">I189</f>
        <v>26652.1989825572</v>
      </c>
      <c r="J190" s="85"/>
      <c r="K190" s="85"/>
      <c r="L190" s="85"/>
      <c r="M190" s="85"/>
      <c r="N190" s="85"/>
      <c r="O190" s="85"/>
      <c r="P190" s="85"/>
      <c r="Q190" s="85"/>
      <c r="R190" s="85"/>
      <c r="X190" s="122"/>
      <c r="Z190" s="104"/>
      <c r="AA190" s="104"/>
      <c r="AB190" s="104"/>
    </row>
    <row r="191" customFormat="false" ht="15" hidden="false" customHeight="false" outlineLevel="0" collapsed="false">
      <c r="F191" s="99" t="n">
        <f aca="false">G191/H191</f>
        <v>0.000580645531942892</v>
      </c>
      <c r="G191" s="52" t="n">
        <f aca="false">G190*(1-$O$1)</f>
        <v>3.93388869385939</v>
      </c>
      <c r="H191" s="15" t="n">
        <f aca="false">I191/G191</f>
        <v>6775.02620350189</v>
      </c>
      <c r="I191" s="0" t="n">
        <f aca="false">I190</f>
        <v>26652.1989825572</v>
      </c>
      <c r="J191" s="85"/>
      <c r="K191" s="85"/>
      <c r="L191" s="85"/>
      <c r="M191" s="85"/>
      <c r="N191" s="85"/>
      <c r="O191" s="85"/>
      <c r="P191" s="85"/>
      <c r="Q191" s="85"/>
      <c r="R191" s="85"/>
      <c r="X191" s="122"/>
      <c r="Z191" s="104"/>
      <c r="AA191" s="104"/>
      <c r="AB191" s="104"/>
    </row>
    <row r="192" customFormat="false" ht="15" hidden="false" customHeight="false" outlineLevel="0" collapsed="false">
      <c r="F192" s="99" t="n">
        <f aca="false">G192/H192</f>
        <v>0.000557651968877954</v>
      </c>
      <c r="G192" s="52" t="n">
        <f aca="false">G191*(1-$O$1)</f>
        <v>3.8552109199822</v>
      </c>
      <c r="H192" s="15" t="n">
        <f aca="false">I192/G192</f>
        <v>6913.29204438969</v>
      </c>
      <c r="I192" s="0" t="n">
        <f aca="false">I191</f>
        <v>26652.1989825572</v>
      </c>
      <c r="J192" s="85"/>
      <c r="K192" s="85"/>
      <c r="L192" s="85"/>
      <c r="M192" s="85"/>
      <c r="N192" s="85"/>
      <c r="O192" s="85"/>
      <c r="P192" s="85"/>
      <c r="Q192" s="85"/>
      <c r="R192" s="85"/>
      <c r="X192" s="122"/>
      <c r="Z192" s="104"/>
      <c r="AA192" s="104"/>
      <c r="AB192" s="104"/>
    </row>
    <row r="193" customFormat="false" ht="15" hidden="false" customHeight="false" outlineLevel="0" collapsed="false">
      <c r="F193" s="99" t="n">
        <f aca="false">G193/H193</f>
        <v>0.000535568950910387</v>
      </c>
      <c r="G193" s="52" t="n">
        <f aca="false">G192*(1-$O$1)</f>
        <v>3.77810670158256</v>
      </c>
      <c r="H193" s="15" t="n">
        <f aca="false">I193/G193</f>
        <v>7054.37963713233</v>
      </c>
      <c r="I193" s="0" t="n">
        <f aca="false">I192</f>
        <v>26652.1989825572</v>
      </c>
      <c r="J193" s="85"/>
      <c r="K193" s="85"/>
      <c r="L193" s="85"/>
      <c r="M193" s="85"/>
      <c r="N193" s="85"/>
      <c r="O193" s="85"/>
      <c r="P193" s="85"/>
      <c r="Q193" s="85"/>
      <c r="R193" s="85"/>
      <c r="X193" s="122"/>
      <c r="Z193" s="104"/>
      <c r="AA193" s="104"/>
      <c r="AB193" s="104"/>
    </row>
    <row r="194" customFormat="false" ht="15" hidden="false" customHeight="false" outlineLevel="0" collapsed="false">
      <c r="F194" s="99" t="n">
        <f aca="false">G194/H194</f>
        <v>0.000514360420454335</v>
      </c>
      <c r="G194" s="52" t="n">
        <f aca="false">G193*(1-$O$1)</f>
        <v>3.70254456755091</v>
      </c>
      <c r="H194" s="15" t="n">
        <f aca="false">I194/G194</f>
        <v>7198.34656850238</v>
      </c>
      <c r="I194" s="0" t="n">
        <f aca="false">I193</f>
        <v>26652.1989825572</v>
      </c>
      <c r="J194" s="85"/>
      <c r="K194" s="85"/>
      <c r="L194" s="85"/>
      <c r="M194" s="85"/>
      <c r="N194" s="85"/>
      <c r="O194" s="85"/>
      <c r="P194" s="85"/>
      <c r="Q194" s="85"/>
      <c r="R194" s="85"/>
      <c r="X194" s="122"/>
      <c r="Z194" s="104"/>
      <c r="AA194" s="104"/>
      <c r="AB194" s="104"/>
    </row>
    <row r="195" customFormat="false" ht="15" hidden="false" customHeight="false" outlineLevel="0" collapsed="false">
      <c r="F195" s="99" t="n">
        <f aca="false">G195/H195</f>
        <v>0.000493991747804343</v>
      </c>
      <c r="G195" s="52" t="n">
        <f aca="false">G194*(1-$O$1)</f>
        <v>3.62849367619989</v>
      </c>
      <c r="H195" s="15" t="n">
        <f aca="false">I195/G195</f>
        <v>7345.25160051263</v>
      </c>
      <c r="I195" s="0" t="n">
        <f aca="false">I194</f>
        <v>26652.1989825572</v>
      </c>
      <c r="J195" s="85"/>
      <c r="K195" s="85"/>
      <c r="L195" s="85"/>
      <c r="M195" s="85"/>
      <c r="N195" s="85"/>
      <c r="O195" s="85"/>
      <c r="P195" s="85"/>
      <c r="Q195" s="85"/>
      <c r="R195" s="85"/>
      <c r="X195" s="122"/>
      <c r="Z195" s="104"/>
      <c r="AA195" s="104"/>
      <c r="AB195" s="104"/>
    </row>
    <row r="196" customFormat="false" ht="15" hidden="false" customHeight="false" outlineLevel="0" collapsed="false">
      <c r="F196" s="99" t="n">
        <f aca="false">G196/H196</f>
        <v>0.000474429674591292</v>
      </c>
      <c r="G196" s="52" t="n">
        <f aca="false">G195*(1-$O$1)</f>
        <v>3.55592380267589</v>
      </c>
      <c r="H196" s="15" t="n">
        <f aca="false">I196/G196</f>
        <v>7495.15469440065</v>
      </c>
      <c r="I196" s="0" t="n">
        <f aca="false">I195</f>
        <v>26652.1989825572</v>
      </c>
      <c r="J196" s="85"/>
      <c r="K196" s="85"/>
      <c r="L196" s="85"/>
      <c r="M196" s="85"/>
      <c r="N196" s="85"/>
      <c r="O196" s="85"/>
      <c r="P196" s="85"/>
      <c r="Q196" s="85"/>
      <c r="R196" s="85"/>
      <c r="X196" s="122"/>
      <c r="Z196" s="104"/>
      <c r="AA196" s="104"/>
      <c r="AB196" s="104"/>
    </row>
    <row r="197" customFormat="false" ht="15" hidden="false" customHeight="false" outlineLevel="0" collapsed="false">
      <c r="F197" s="99" t="n">
        <f aca="false">G197/H197</f>
        <v>0.000455642259477476</v>
      </c>
      <c r="G197" s="52" t="n">
        <f aca="false">G196*(1-$O$1)</f>
        <v>3.48480532662237</v>
      </c>
      <c r="H197" s="15" t="n">
        <f aca="false">I197/G197</f>
        <v>7648.1170351027</v>
      </c>
      <c r="I197" s="0" t="n">
        <f aca="false">I196</f>
        <v>26652.1989825572</v>
      </c>
      <c r="J197" s="85"/>
      <c r="K197" s="85"/>
      <c r="L197" s="85"/>
      <c r="M197" s="85"/>
      <c r="N197" s="85"/>
      <c r="O197" s="85"/>
      <c r="P197" s="85"/>
      <c r="Q197" s="85"/>
      <c r="R197" s="85"/>
      <c r="X197" s="122"/>
      <c r="Z197" s="104"/>
      <c r="AA197" s="104"/>
      <c r="AB197" s="104"/>
    </row>
    <row r="198" customFormat="false" ht="15" hidden="false" customHeight="false" outlineLevel="0" collapsed="false">
      <c r="F198" s="99" t="n">
        <f aca="false">G198/H198</f>
        <v>0.000437598826002168</v>
      </c>
      <c r="G198" s="52" t="n">
        <f aca="false">G197*(1-$O$1)</f>
        <v>3.41510922008993</v>
      </c>
      <c r="H198" s="15" t="n">
        <f aca="false">I198/G198</f>
        <v>7804.20105622725</v>
      </c>
      <c r="I198" s="0" t="n">
        <f aca="false">I197</f>
        <v>26652.1989825572</v>
      </c>
      <c r="J198" s="85"/>
      <c r="K198" s="85"/>
      <c r="L198" s="85"/>
      <c r="M198" s="85"/>
      <c r="N198" s="85"/>
      <c r="O198" s="85"/>
      <c r="P198" s="85"/>
      <c r="Q198" s="85"/>
      <c r="R198" s="85"/>
      <c r="X198" s="122"/>
      <c r="Z198" s="104"/>
      <c r="AA198" s="104"/>
      <c r="AB198" s="104"/>
    </row>
    <row r="199" customFormat="false" ht="15" hidden="false" customHeight="false" outlineLevel="0" collapsed="false">
      <c r="F199" s="99" t="n">
        <f aca="false">G199/H199</f>
        <v>0.000420269912492483</v>
      </c>
      <c r="G199" s="52" t="n">
        <f aca="false">G198*(1-$O$1)</f>
        <v>3.34680703568813</v>
      </c>
      <c r="H199" s="15" t="n">
        <f aca="false">I199/G199</f>
        <v>7963.47046553801</v>
      </c>
      <c r="I199" s="0" t="n">
        <f aca="false">I198</f>
        <v>26652.1989825572</v>
      </c>
      <c r="J199" s="85"/>
      <c r="K199" s="85"/>
      <c r="L199" s="85"/>
      <c r="M199" s="85"/>
      <c r="N199" s="85"/>
      <c r="O199" s="85"/>
      <c r="P199" s="85"/>
      <c r="Q199" s="85"/>
      <c r="R199" s="85"/>
      <c r="X199" s="122"/>
      <c r="Z199" s="104"/>
      <c r="AA199" s="104"/>
      <c r="AB199" s="104"/>
    </row>
    <row r="200" customFormat="false" ht="15" hidden="false" customHeight="false" outlineLevel="0" collapsed="false">
      <c r="F200" s="99" t="n">
        <f aca="false">G200/H200</f>
        <v>0.00040362722395778</v>
      </c>
      <c r="G200" s="52" t="n">
        <f aca="false">G199*(1-$O$1)</f>
        <v>3.27987089497436</v>
      </c>
      <c r="H200" s="15" t="n">
        <f aca="false">I200/G200</f>
        <v>8125.99027095715</v>
      </c>
      <c r="I200" s="0" t="n">
        <f aca="false">I199</f>
        <v>26652.1989825572</v>
      </c>
      <c r="J200" s="85"/>
      <c r="K200" s="85"/>
      <c r="L200" s="85"/>
      <c r="M200" s="85"/>
      <c r="N200" s="85"/>
      <c r="O200" s="85"/>
      <c r="P200" s="85"/>
      <c r="Q200" s="85"/>
      <c r="R200" s="85"/>
      <c r="X200" s="122"/>
      <c r="Z200" s="104"/>
      <c r="AA200" s="104"/>
      <c r="AB200" s="104"/>
    </row>
    <row r="201" customFormat="false" ht="15" hidden="false" customHeight="false" outlineLevel="0" collapsed="false">
      <c r="F201" s="99" t="n">
        <f aca="false">G201/H201</f>
        <v>0.000387643585889052</v>
      </c>
      <c r="G201" s="52" t="n">
        <f aca="false">G200*(1-$O$1)</f>
        <v>3.21427347707488</v>
      </c>
      <c r="H201" s="15" t="n">
        <f aca="false">I201/G201</f>
        <v>8291.82680709913</v>
      </c>
      <c r="I201" s="0" t="n">
        <f aca="false">I200</f>
        <v>26652.1989825572</v>
      </c>
      <c r="J201" s="85"/>
      <c r="K201" s="85"/>
      <c r="L201" s="85"/>
      <c r="M201" s="85"/>
      <c r="N201" s="85"/>
      <c r="O201" s="85"/>
      <c r="P201" s="85"/>
      <c r="Q201" s="85"/>
      <c r="R201" s="85"/>
      <c r="X201" s="122"/>
      <c r="Z201" s="104"/>
      <c r="AA201" s="104"/>
      <c r="AB201" s="104"/>
    </row>
    <row r="202" customFormat="false" ht="15" hidden="false" customHeight="false" outlineLevel="0" collapsed="false">
      <c r="F202" s="99" t="n">
        <f aca="false">G202/H202</f>
        <v>0.000372292899887846</v>
      </c>
      <c r="G202" s="52" t="n">
        <f aca="false">G201*(1-$O$1)</f>
        <v>3.14998800753338</v>
      </c>
      <c r="H202" s="15" t="n">
        <f aca="false">I202/G202</f>
        <v>8461.04776234605</v>
      </c>
      <c r="I202" s="0" t="n">
        <f aca="false">I201</f>
        <v>26652.1989825572</v>
      </c>
      <c r="J202" s="85"/>
      <c r="K202" s="85"/>
      <c r="L202" s="85"/>
      <c r="M202" s="85"/>
      <c r="N202" s="85"/>
      <c r="O202" s="85"/>
      <c r="P202" s="85"/>
      <c r="Q202" s="85"/>
      <c r="R202" s="85"/>
      <c r="X202" s="122"/>
      <c r="Z202" s="104"/>
      <c r="AA202" s="104"/>
      <c r="AB202" s="104"/>
    </row>
    <row r="203" customFormat="false" ht="15" hidden="false" customHeight="false" outlineLevel="0" collapsed="false">
      <c r="F203" s="99" t="n">
        <f aca="false">G203/H203</f>
        <v>0.000357550101052287</v>
      </c>
      <c r="G203" s="52" t="n">
        <f aca="false">G202*(1-$O$1)</f>
        <v>3.08698824738271</v>
      </c>
      <c r="H203" s="15" t="n">
        <f aca="false">I203/G203</f>
        <v>8633.72220647556</v>
      </c>
      <c r="I203" s="0" t="n">
        <f aca="false">I202</f>
        <v>26652.1989825572</v>
      </c>
      <c r="J203" s="85"/>
      <c r="K203" s="85"/>
      <c r="L203" s="85"/>
      <c r="M203" s="85"/>
      <c r="N203" s="85"/>
      <c r="O203" s="85"/>
      <c r="P203" s="85"/>
      <c r="Q203" s="85"/>
      <c r="R203" s="85"/>
      <c r="X203" s="122"/>
      <c r="Z203" s="104"/>
      <c r="AA203" s="104"/>
      <c r="AB203" s="104"/>
    </row>
    <row r="204" customFormat="false" ht="15" hidden="false" customHeight="false" outlineLevel="0" collapsed="false">
      <c r="F204" s="99" t="n">
        <f aca="false">G204/H204</f>
        <v>0.000343391117050616</v>
      </c>
      <c r="G204" s="52" t="n">
        <f aca="false">G203*(1-$O$1)</f>
        <v>3.02524848243506</v>
      </c>
      <c r="H204" s="15" t="n">
        <f aca="false">I204/G204</f>
        <v>8809.92061885262</v>
      </c>
      <c r="I204" s="0" t="n">
        <f aca="false">I203</f>
        <v>26652.1989825572</v>
      </c>
      <c r="J204" s="85"/>
      <c r="K204" s="85"/>
      <c r="L204" s="85"/>
      <c r="M204" s="85"/>
      <c r="N204" s="85"/>
      <c r="O204" s="85"/>
      <c r="P204" s="85"/>
      <c r="Q204" s="85"/>
      <c r="R204" s="85"/>
      <c r="X204" s="122"/>
      <c r="Z204" s="104"/>
      <c r="AA204" s="104"/>
      <c r="AB204" s="104"/>
    </row>
    <row r="205" customFormat="false" ht="15" hidden="false" customHeight="false" outlineLevel="0" collapsed="false">
      <c r="F205" s="99" t="n">
        <f aca="false">G205/H205</f>
        <v>0.000329792828815412</v>
      </c>
      <c r="G205" s="52" t="n">
        <f aca="false">G204*(1-$O$1)</f>
        <v>2.96474351278636</v>
      </c>
      <c r="H205" s="15" t="n">
        <f aca="false">I205/G205</f>
        <v>8989.71491719655</v>
      </c>
      <c r="I205" s="0" t="n">
        <f aca="false">I204</f>
        <v>26652.1989825572</v>
      </c>
      <c r="J205" s="85"/>
      <c r="K205" s="85"/>
      <c r="L205" s="85"/>
      <c r="M205" s="85"/>
      <c r="N205" s="85"/>
      <c r="O205" s="85"/>
      <c r="P205" s="85"/>
      <c r="Q205" s="85"/>
      <c r="R205" s="85"/>
      <c r="X205" s="122"/>
      <c r="Z205" s="104"/>
      <c r="AA205" s="104"/>
      <c r="AB205" s="104"/>
    </row>
    <row r="206" customFormat="false" ht="15" hidden="false" customHeight="false" outlineLevel="0" collapsed="false">
      <c r="F206" s="99" t="n">
        <f aca="false">G206/H206</f>
        <v>0.000316733032794322</v>
      </c>
      <c r="G206" s="52" t="n">
        <f aca="false">G205*(1-$O$1)</f>
        <v>2.90544864253063</v>
      </c>
      <c r="H206" s="15" t="n">
        <f aca="false">I206/G206</f>
        <v>9173.17848693525</v>
      </c>
      <c r="I206" s="0" t="n">
        <f aca="false">I205</f>
        <v>26652.1989825572</v>
      </c>
      <c r="J206" s="85"/>
      <c r="K206" s="85"/>
      <c r="L206" s="85"/>
      <c r="M206" s="85"/>
      <c r="N206" s="85"/>
      <c r="O206" s="85"/>
      <c r="P206" s="85"/>
      <c r="Q206" s="85"/>
      <c r="R206" s="85"/>
      <c r="X206" s="122"/>
      <c r="Z206" s="104"/>
      <c r="AA206" s="104"/>
      <c r="AB206" s="104"/>
    </row>
    <row r="207" customFormat="false" ht="15" hidden="false" customHeight="false" outlineLevel="0" collapsed="false">
      <c r="F207" s="99" t="n">
        <f aca="false">G207/H207</f>
        <v>0.000304190404695666</v>
      </c>
      <c r="G207" s="52" t="n">
        <f aca="false">G206*(1-$O$1)</f>
        <v>2.84733966968002</v>
      </c>
      <c r="H207" s="15" t="n">
        <f aca="false">I207/G207</f>
        <v>9360.38621115842</v>
      </c>
      <c r="I207" s="0" t="n">
        <f aca="false">I206</f>
        <v>26652.1989825572</v>
      </c>
      <c r="J207" s="85"/>
      <c r="K207" s="85"/>
      <c r="L207" s="85"/>
      <c r="M207" s="85"/>
      <c r="N207" s="85"/>
      <c r="O207" s="85"/>
      <c r="P207" s="85"/>
      <c r="Q207" s="85"/>
      <c r="R207" s="85"/>
      <c r="X207" s="122"/>
      <c r="Z207" s="104"/>
      <c r="AA207" s="104"/>
      <c r="AB207" s="104"/>
    </row>
    <row r="208" customFormat="false" ht="15" hidden="false" customHeight="false" outlineLevel="0" collapsed="false">
      <c r="F208" s="99" t="n">
        <f aca="false">G208/H208</f>
        <v>0.000292144464669718</v>
      </c>
      <c r="G208" s="52" t="n">
        <f aca="false">G207*(1-$O$1)</f>
        <v>2.79039287628642</v>
      </c>
      <c r="H208" s="15" t="n">
        <f aca="false">I208/G208</f>
        <v>9551.41450118206</v>
      </c>
      <c r="I208" s="0" t="n">
        <f aca="false">I207</f>
        <v>26652.1989825572</v>
      </c>
      <c r="J208" s="85"/>
      <c r="K208" s="85"/>
      <c r="L208" s="85"/>
      <c r="M208" s="85"/>
      <c r="N208" s="85"/>
      <c r="O208" s="85"/>
      <c r="P208" s="85"/>
      <c r="Q208" s="85"/>
      <c r="R208" s="85"/>
      <c r="X208" s="122"/>
      <c r="Z208" s="104"/>
      <c r="AA208" s="104"/>
      <c r="AB208" s="104"/>
    </row>
    <row r="209" customFormat="false" ht="15" hidden="false" customHeight="false" outlineLevel="0" collapsed="false">
      <c r="F209" s="99" t="n">
        <f aca="false">G209/H209</f>
        <v>0.000280575543868797</v>
      </c>
      <c r="G209" s="52" t="n">
        <f aca="false">G208*(1-$O$1)</f>
        <v>2.73458501876069</v>
      </c>
      <c r="H209" s="15" t="n">
        <f aca="false">I209/G209</f>
        <v>9746.3413277368</v>
      </c>
      <c r="I209" s="0" t="n">
        <f aca="false">I208</f>
        <v>26652.1989825572</v>
      </c>
      <c r="J209" s="85"/>
      <c r="K209" s="85"/>
      <c r="L209" s="85"/>
      <c r="M209" s="85"/>
      <c r="N209" s="85"/>
      <c r="O209" s="85"/>
      <c r="P209" s="85"/>
      <c r="Q209" s="85"/>
      <c r="R209" s="85"/>
      <c r="X209" s="122"/>
      <c r="Z209" s="104"/>
      <c r="AA209" s="104"/>
      <c r="AB209" s="104"/>
    </row>
    <row r="210" customFormat="false" ht="15" hidden="false" customHeight="false" outlineLevel="0" collapsed="false">
      <c r="F210" s="99" t="n">
        <f aca="false">G210/H210</f>
        <v>0.000269464752331593</v>
      </c>
      <c r="G210" s="52" t="n">
        <f aca="false">G209*(1-$O$1)</f>
        <v>2.67989331838547</v>
      </c>
      <c r="H210" s="15" t="n">
        <f aca="false">I210/G210</f>
        <v>9945.24625279265</v>
      </c>
      <c r="I210" s="0" t="n">
        <f aca="false">I209</f>
        <v>26652.1989825572</v>
      </c>
      <c r="J210" s="85"/>
      <c r="K210" s="85"/>
      <c r="L210" s="85"/>
      <c r="M210" s="85"/>
      <c r="N210" s="85"/>
      <c r="O210" s="85"/>
      <c r="P210" s="85"/>
      <c r="Q210" s="85"/>
      <c r="R210" s="85"/>
      <c r="X210" s="122"/>
      <c r="Z210" s="104"/>
      <c r="AA210" s="104"/>
      <c r="AB210" s="104"/>
    </row>
    <row r="211" customFormat="false" ht="15" hidden="false" customHeight="false" outlineLevel="0" collapsed="false">
      <c r="F211" s="99" t="n">
        <f aca="false">G211/H211</f>
        <v>0.000258793948139262</v>
      </c>
      <c r="G211" s="52" t="n">
        <f aca="false">G210*(1-$O$1)</f>
        <v>2.62629545201776</v>
      </c>
      <c r="H211" s="15" t="n">
        <f aca="false">I211/G211</f>
        <v>10148.2104620333</v>
      </c>
      <c r="I211" s="0" t="n">
        <f aca="false">I210</f>
        <v>26652.1989825572</v>
      </c>
      <c r="J211" s="85"/>
      <c r="K211" s="85"/>
      <c r="L211" s="85"/>
      <c r="M211" s="85"/>
      <c r="N211" s="85"/>
      <c r="O211" s="85"/>
      <c r="P211" s="85"/>
      <c r="Q211" s="85"/>
      <c r="R211" s="85"/>
      <c r="X211" s="122"/>
      <c r="Z211" s="104"/>
      <c r="AA211" s="104"/>
      <c r="AB211" s="104"/>
    </row>
    <row r="212" customFormat="false" ht="15" hidden="false" customHeight="false" outlineLevel="0" collapsed="false">
      <c r="F212" s="99" t="n">
        <f aca="false">G212/H212</f>
        <v>0.000248545707792947</v>
      </c>
      <c r="G212" s="52" t="n">
        <f aca="false">G211*(1-$O$1)</f>
        <v>2.57376954297741</v>
      </c>
      <c r="H212" s="15" t="n">
        <f aca="false">I212/G212</f>
        <v>10355.3167979932</v>
      </c>
      <c r="I212" s="0" t="n">
        <f aca="false">I211</f>
        <v>26652.1989825572</v>
      </c>
      <c r="J212" s="85"/>
      <c r="K212" s="85"/>
      <c r="L212" s="85"/>
      <c r="M212" s="85"/>
      <c r="N212" s="85"/>
      <c r="O212" s="85"/>
      <c r="P212" s="85"/>
      <c r="Q212" s="85"/>
      <c r="R212" s="85"/>
      <c r="X212" s="122"/>
      <c r="Z212" s="104"/>
      <c r="AA212" s="104"/>
      <c r="AB212" s="104"/>
    </row>
    <row r="213" customFormat="false" ht="15" hidden="false" customHeight="false" outlineLevel="0" collapsed="false">
      <c r="F213" s="99" t="n">
        <f aca="false">G213/H213</f>
        <v>0.000238703297764346</v>
      </c>
      <c r="G213" s="52" t="n">
        <f aca="false">G212*(1-$O$1)</f>
        <v>2.52229415211786</v>
      </c>
      <c r="H213" s="15" t="n">
        <f aca="false">I213/G213</f>
        <v>10566.6497938706</v>
      </c>
      <c r="I213" s="0" t="n">
        <f aca="false">I212</f>
        <v>26652.1989825572</v>
      </c>
      <c r="J213" s="85"/>
      <c r="K213" s="85"/>
      <c r="L213" s="85"/>
      <c r="M213" s="85"/>
      <c r="N213" s="85"/>
      <c r="O213" s="85"/>
      <c r="P213" s="85"/>
      <c r="Q213" s="85"/>
      <c r="R213" s="85"/>
      <c r="X213" s="122"/>
      <c r="Z213" s="104"/>
      <c r="AA213" s="104"/>
      <c r="AB213" s="104"/>
    </row>
    <row r="214" customFormat="false" ht="15" hidden="false" customHeight="false" outlineLevel="0" collapsed="false">
      <c r="F214" s="99" t="n">
        <f aca="false">G214/H214</f>
        <v>0.000229250647172878</v>
      </c>
      <c r="G214" s="52" t="n">
        <f aca="false">G213*(1-$O$1)</f>
        <v>2.4718482690755</v>
      </c>
      <c r="H214" s="15" t="n">
        <f aca="false">I214/G214</f>
        <v>10782.2957080312</v>
      </c>
      <c r="I214" s="0" t="n">
        <f aca="false">I213</f>
        <v>26652.1989825572</v>
      </c>
      <c r="J214" s="85"/>
      <c r="K214" s="85"/>
      <c r="L214" s="85"/>
      <c r="M214" s="85"/>
      <c r="N214" s="85"/>
      <c r="O214" s="85"/>
      <c r="P214" s="85"/>
      <c r="Q214" s="85"/>
      <c r="R214" s="85"/>
      <c r="X214" s="122"/>
      <c r="Z214" s="104"/>
      <c r="AA214" s="104"/>
      <c r="AB214" s="104"/>
    </row>
    <row r="215" customFormat="false" ht="15" hidden="false" customHeight="false" outlineLevel="0" collapsed="false">
      <c r="F215" s="99" t="n">
        <f aca="false">G215/H215</f>
        <v>0.000220172321544832</v>
      </c>
      <c r="G215" s="52" t="n">
        <f aca="false">G214*(1-$O$1)</f>
        <v>2.42241130369399</v>
      </c>
      <c r="H215" s="15" t="n">
        <f aca="false">I215/G215</f>
        <v>11002.3425592155</v>
      </c>
      <c r="I215" s="0" t="n">
        <f aca="false">I214</f>
        <v>26652.1989825572</v>
      </c>
      <c r="J215" s="85"/>
      <c r="K215" s="85"/>
      <c r="L215" s="85"/>
      <c r="M215" s="85"/>
      <c r="N215" s="85"/>
      <c r="O215" s="85"/>
      <c r="P215" s="85"/>
      <c r="Q215" s="85"/>
      <c r="R215" s="85"/>
      <c r="X215" s="122"/>
      <c r="Z215" s="104"/>
      <c r="AA215" s="104"/>
      <c r="AB215" s="104"/>
    </row>
    <row r="216" customFormat="false" ht="15" hidden="false" customHeight="false" outlineLevel="0" collapsed="false">
      <c r="F216" s="99" t="n">
        <f aca="false">G216/H216</f>
        <v>0.000211453497611657</v>
      </c>
      <c r="G216" s="52" t="n">
        <f aca="false">G215*(1-$O$1)</f>
        <v>2.37396307762011</v>
      </c>
      <c r="H216" s="15" t="n">
        <f aca="false">I216/G216</f>
        <v>11226.8801624648</v>
      </c>
      <c r="I216" s="0" t="n">
        <f aca="false">I215</f>
        <v>26652.1989825572</v>
      </c>
      <c r="J216" s="85"/>
      <c r="K216" s="85"/>
      <c r="L216" s="85"/>
      <c r="M216" s="85"/>
      <c r="N216" s="85"/>
      <c r="O216" s="85"/>
      <c r="P216" s="85"/>
      <c r="Q216" s="85"/>
      <c r="R216" s="85"/>
      <c r="X216" s="122"/>
      <c r="Z216" s="104"/>
      <c r="AA216" s="104"/>
      <c r="AB216" s="104"/>
    </row>
    <row r="217" customFormat="false" ht="15" hidden="false" customHeight="false" outlineLevel="0" collapsed="false">
      <c r="F217" s="99" t="n">
        <f aca="false">G217/H217</f>
        <v>0.000203079939106235</v>
      </c>
      <c r="G217" s="52" t="n">
        <f aca="false">G216*(1-$O$1)</f>
        <v>2.32648381606771</v>
      </c>
      <c r="H217" s="15" t="n">
        <f aca="false">I217/G217</f>
        <v>11456.0001657804</v>
      </c>
      <c r="I217" s="0" t="n">
        <f aca="false">I216</f>
        <v>26652.1989825572</v>
      </c>
      <c r="J217" s="85"/>
      <c r="K217" s="85"/>
      <c r="L217" s="85"/>
      <c r="M217" s="85"/>
      <c r="N217" s="85"/>
      <c r="O217" s="85"/>
      <c r="P217" s="85"/>
      <c r="Q217" s="85"/>
      <c r="R217" s="85"/>
      <c r="X217" s="122"/>
      <c r="Z217" s="104"/>
      <c r="AA217" s="104"/>
      <c r="AB217" s="104"/>
    </row>
    <row r="218" customFormat="false" ht="15" hidden="false" customHeight="false" outlineLevel="0" collapsed="false">
      <c r="F218" s="99" t="n">
        <f aca="false">G218/H218</f>
        <v>0.000195037973517628</v>
      </c>
      <c r="G218" s="52" t="n">
        <f aca="false">G217*(1-$O$1)</f>
        <v>2.27995413974636</v>
      </c>
      <c r="H218" s="15" t="n">
        <f aca="false">I218/G218</f>
        <v>11689.7960875311</v>
      </c>
      <c r="I218" s="0" t="n">
        <f aca="false">I217</f>
        <v>26652.1989825572</v>
      </c>
      <c r="J218" s="85"/>
      <c r="K218" s="85"/>
      <c r="L218" s="85"/>
      <c r="M218" s="85"/>
      <c r="N218" s="85"/>
      <c r="O218" s="85"/>
      <c r="P218" s="85"/>
      <c r="Q218" s="85"/>
      <c r="R218" s="85"/>
      <c r="X218" s="122"/>
      <c r="Z218" s="104"/>
      <c r="AA218" s="104"/>
      <c r="AB218" s="104"/>
    </row>
    <row r="219" customFormat="false" ht="15" hidden="false" customHeight="false" outlineLevel="0" collapsed="false">
      <c r="F219" s="99" t="n">
        <f aca="false">G219/H219</f>
        <v>0.00018731446976633</v>
      </c>
      <c r="G219" s="52" t="n">
        <f aca="false">G218*(1-$O$1)</f>
        <v>2.23435505695143</v>
      </c>
      <c r="H219" s="15" t="n">
        <f aca="false">I219/G219</f>
        <v>11928.3633546235</v>
      </c>
      <c r="I219" s="0" t="n">
        <f aca="false">I218</f>
        <v>26652.1989825572</v>
      </c>
      <c r="J219" s="85"/>
      <c r="K219" s="85"/>
      <c r="L219" s="85"/>
      <c r="M219" s="85"/>
      <c r="N219" s="85"/>
      <c r="O219" s="85"/>
      <c r="P219" s="85"/>
      <c r="Q219" s="85"/>
      <c r="R219" s="85"/>
      <c r="X219" s="122"/>
      <c r="Z219" s="104"/>
      <c r="AA219" s="104"/>
      <c r="AB219" s="104"/>
    </row>
    <row r="220" customFormat="false" ht="15" hidden="false" customHeight="false" outlineLevel="0" collapsed="false">
      <c r="F220" s="99" t="n">
        <f aca="false">G220/H220</f>
        <v>0.000179896816763583</v>
      </c>
      <c r="G220" s="52" t="n">
        <f aca="false">G219*(1-$O$1)</f>
        <v>2.1896679558124</v>
      </c>
      <c r="H220" s="15" t="n">
        <f aca="false">I220/G220</f>
        <v>12171.7993414526</v>
      </c>
      <c r="I220" s="0" t="n">
        <f aca="false">I219</f>
        <v>26652.1989825572</v>
      </c>
      <c r="J220" s="85"/>
      <c r="K220" s="85"/>
      <c r="L220" s="85"/>
      <c r="M220" s="85"/>
      <c r="N220" s="85"/>
      <c r="O220" s="85"/>
      <c r="P220" s="85"/>
      <c r="Q220" s="85"/>
      <c r="R220" s="85"/>
      <c r="X220" s="122"/>
      <c r="Z220" s="104"/>
      <c r="AA220" s="104"/>
      <c r="AB220" s="104"/>
    </row>
    <row r="221" customFormat="false" ht="15" hidden="false" customHeight="false" outlineLevel="0" collapsed="false">
      <c r="F221" s="99" t="n">
        <f aca="false">G221/H221</f>
        <v>0.000172772902819746</v>
      </c>
      <c r="G221" s="52" t="n">
        <f aca="false">G220*(1-$O$1)</f>
        <v>2.14587459669615</v>
      </c>
      <c r="H221" s="15" t="n">
        <f aca="false">I221/G221</f>
        <v>12420.2034096455</v>
      </c>
      <c r="I221" s="0" t="n">
        <f aca="false">I220</f>
        <v>26652.1989825572</v>
      </c>
      <c r="J221" s="85"/>
      <c r="K221" s="85"/>
      <c r="L221" s="85"/>
      <c r="M221" s="85"/>
      <c r="N221" s="85"/>
      <c r="O221" s="85"/>
      <c r="P221" s="85"/>
      <c r="Q221" s="85"/>
      <c r="R221" s="85"/>
      <c r="X221" s="122"/>
      <c r="Z221" s="104"/>
      <c r="AA221" s="104"/>
      <c r="AB221" s="104"/>
    </row>
    <row r="222" customFormat="false" ht="15" hidden="false" customHeight="false" outlineLevel="0" collapsed="false">
      <c r="F222" s="99" t="n">
        <f aca="false">G222/H222</f>
        <v>0.000165931095868084</v>
      </c>
      <c r="G222" s="52" t="n">
        <f aca="false">G221*(1-$O$1)</f>
        <v>2.10295710476223</v>
      </c>
      <c r="H222" s="15" t="n">
        <f aca="false">I222/G222</f>
        <v>12673.6769486179</v>
      </c>
      <c r="I222" s="0" t="n">
        <f aca="false">I221</f>
        <v>26652.1989825572</v>
      </c>
      <c r="J222" s="85"/>
      <c r="K222" s="85"/>
      <c r="L222" s="85"/>
      <c r="M222" s="85"/>
      <c r="N222" s="85"/>
      <c r="O222" s="85"/>
      <c r="P222" s="85"/>
      <c r="Q222" s="85"/>
      <c r="R222" s="85"/>
      <c r="X222" s="122"/>
      <c r="Z222" s="104"/>
      <c r="AA222" s="104"/>
      <c r="AB222" s="104"/>
    </row>
    <row r="223" customFormat="false" ht="15" hidden="false" customHeight="false" outlineLevel="0" collapsed="false">
      <c r="F223" s="99" t="n">
        <f aca="false">G223/H223</f>
        <v>0.000159360224471708</v>
      </c>
      <c r="G223" s="52" t="n">
        <f aca="false">G222*(1-$O$1)</f>
        <v>2.06089796266698</v>
      </c>
      <c r="H223" s="15" t="n">
        <f aca="false">I223/G223</f>
        <v>12932.323416957</v>
      </c>
      <c r="I223" s="0" t="n">
        <f aca="false">I222</f>
        <v>26652.1989825572</v>
      </c>
      <c r="J223" s="85"/>
      <c r="K223" s="85"/>
      <c r="L223" s="85"/>
      <c r="M223" s="85"/>
      <c r="N223" s="85"/>
      <c r="O223" s="85"/>
      <c r="P223" s="85"/>
      <c r="Q223" s="85"/>
      <c r="R223" s="85"/>
      <c r="X223" s="122"/>
      <c r="Z223" s="104"/>
      <c r="AA223" s="104"/>
      <c r="AB223" s="104"/>
    </row>
    <row r="224" customFormat="false" ht="15" hidden="false" customHeight="false" outlineLevel="0" collapsed="false">
      <c r="F224" s="99" t="n">
        <f aca="false">G224/H224</f>
        <v>0.000153049559582628</v>
      </c>
      <c r="G224" s="52" t="n">
        <f aca="false">G223*(1-$O$1)</f>
        <v>2.01968000341364</v>
      </c>
      <c r="H224" s="15" t="n">
        <f aca="false">I224/G224</f>
        <v>13196.24838465</v>
      </c>
      <c r="I224" s="0" t="n">
        <f aca="false">I223</f>
        <v>26652.1989825572</v>
      </c>
      <c r="J224" s="85"/>
      <c r="K224" s="85"/>
      <c r="L224" s="85"/>
      <c r="M224" s="85"/>
      <c r="N224" s="85"/>
      <c r="O224" s="85"/>
      <c r="P224" s="85"/>
      <c r="Q224" s="85"/>
      <c r="R224" s="85"/>
      <c r="X224" s="122"/>
      <c r="Z224" s="104"/>
      <c r="AA224" s="104"/>
      <c r="AB224" s="104"/>
    </row>
    <row r="225" customFormat="false" ht="15" hidden="false" customHeight="false" outlineLevel="0" collapsed="false">
      <c r="F225" s="99" t="n">
        <f aca="false">G225/H225</f>
        <v>0.000146988797023156</v>
      </c>
      <c r="G225" s="52" t="n">
        <f aca="false">G224*(1-$O$1)</f>
        <v>1.97928640334537</v>
      </c>
      <c r="H225" s="15" t="n">
        <f aca="false">I225/G225</f>
        <v>13465.5595761735</v>
      </c>
      <c r="I225" s="0" t="n">
        <f aca="false">I224</f>
        <v>26652.1989825572</v>
      </c>
      <c r="J225" s="85"/>
      <c r="K225" s="85"/>
      <c r="L225" s="85"/>
      <c r="M225" s="85"/>
      <c r="N225" s="85"/>
      <c r="O225" s="85"/>
      <c r="P225" s="85"/>
      <c r="Q225" s="85"/>
      <c r="R225" s="85"/>
      <c r="X225" s="122"/>
      <c r="Z225" s="104"/>
      <c r="AA225" s="104"/>
      <c r="AB225" s="104"/>
    </row>
    <row r="226" customFormat="false" ht="15" hidden="false" customHeight="false" outlineLevel="0" collapsed="false">
      <c r="F226" s="99" t="n">
        <f aca="false">G226/H226</f>
        <v>0.000141168040661039</v>
      </c>
      <c r="G226" s="52" t="n">
        <f aca="false">G225*(1-$O$1)</f>
        <v>1.93970067527846</v>
      </c>
      <c r="H226" s="15" t="n">
        <f aca="false">I226/G226</f>
        <v>13740.3669144627</v>
      </c>
      <c r="I226" s="0" t="n">
        <f aca="false">I225</f>
        <v>26652.1989825572</v>
      </c>
      <c r="J226" s="85"/>
      <c r="K226" s="85"/>
      <c r="L226" s="85"/>
      <c r="M226" s="85"/>
      <c r="N226" s="85"/>
      <c r="O226" s="85"/>
      <c r="P226" s="85"/>
      <c r="Q226" s="85"/>
      <c r="R226" s="85"/>
      <c r="X226" s="122"/>
      <c r="Z226" s="104"/>
      <c r="AA226" s="104"/>
      <c r="AB226" s="104"/>
    </row>
    <row r="227" customFormat="false" ht="15" hidden="false" customHeight="false" outlineLevel="0" collapsed="false">
      <c r="F227" s="99" t="n">
        <f aca="false">G227/H227</f>
        <v>0.000135577786250862</v>
      </c>
      <c r="G227" s="52" t="n">
        <f aca="false">G226*(1-$O$1)</f>
        <v>1.9009066617729</v>
      </c>
      <c r="H227" s="15" t="n">
        <f aca="false">I227/G227</f>
        <v>14020.7825657783</v>
      </c>
      <c r="I227" s="0" t="n">
        <f aca="false">I226</f>
        <v>26652.1989825572</v>
      </c>
      <c r="J227" s="85"/>
      <c r="K227" s="85"/>
      <c r="L227" s="85"/>
      <c r="M227" s="85"/>
      <c r="N227" s="85"/>
      <c r="O227" s="85"/>
      <c r="P227" s="85"/>
      <c r="Q227" s="85"/>
      <c r="R227" s="85"/>
      <c r="X227" s="122"/>
      <c r="Z227" s="104"/>
      <c r="AA227" s="104"/>
      <c r="AB227" s="104"/>
    </row>
    <row r="228" customFormat="false" ht="15" hidden="false" customHeight="false" outlineLevel="0" collapsed="false">
      <c r="F228" s="99" t="n">
        <f aca="false">G228/H228</f>
        <v>0.000130208905915328</v>
      </c>
      <c r="G228" s="52" t="n">
        <f aca="false">G227*(1-$O$1)</f>
        <v>1.86288852853744</v>
      </c>
      <c r="H228" s="15" t="n">
        <f aca="false">I228/G228</f>
        <v>14306.920985488</v>
      </c>
      <c r="I228" s="0" t="n">
        <f aca="false">I227</f>
        <v>26652.1989825572</v>
      </c>
      <c r="J228" s="85"/>
      <c r="K228" s="85"/>
      <c r="L228" s="85"/>
      <c r="M228" s="85"/>
      <c r="N228" s="85"/>
      <c r="O228" s="85"/>
      <c r="P228" s="85"/>
      <c r="Q228" s="85"/>
      <c r="R228" s="85"/>
      <c r="X228" s="122"/>
      <c r="Z228" s="104"/>
      <c r="AA228" s="104"/>
      <c r="AB228" s="104"/>
    </row>
    <row r="229" customFormat="false" ht="15" hidden="false" customHeight="false" outlineLevel="0" collapsed="false">
      <c r="F229" s="99" t="n">
        <f aca="false">G229/H229</f>
        <v>0.000125052633241081</v>
      </c>
      <c r="G229" s="52" t="n">
        <f aca="false">G228*(1-$O$1)</f>
        <v>1.82563075796669</v>
      </c>
      <c r="H229" s="15" t="n">
        <f aca="false">I229/G229</f>
        <v>14598.8989647837</v>
      </c>
      <c r="I229" s="0" t="n">
        <f aca="false">I228</f>
        <v>26652.1989825572</v>
      </c>
      <c r="J229" s="85"/>
      <c r="K229" s="85"/>
      <c r="L229" s="85"/>
      <c r="M229" s="85"/>
      <c r="N229" s="85"/>
      <c r="O229" s="85"/>
      <c r="P229" s="85"/>
      <c r="Q229" s="85"/>
      <c r="R229" s="85"/>
      <c r="X229" s="122"/>
      <c r="Z229" s="104"/>
      <c r="AA229" s="104"/>
      <c r="AB229" s="104"/>
    </row>
    <row r="230" customFormat="false" ht="15" hidden="false" customHeight="false" outlineLevel="0" collapsed="false">
      <c r="F230" s="99" t="n">
        <f aca="false">G230/H230</f>
        <v>0.000120100548964734</v>
      </c>
      <c r="G230" s="52" t="n">
        <f aca="false">G229*(1-$O$1)</f>
        <v>1.78911814280735</v>
      </c>
      <c r="H230" s="15" t="n">
        <f aca="false">I230/G230</f>
        <v>14896.8356783507</v>
      </c>
      <c r="I230" s="0" t="n">
        <f aca="false">I229</f>
        <v>26652.1989825572</v>
      </c>
      <c r="J230" s="85"/>
      <c r="K230" s="85"/>
      <c r="L230" s="85"/>
      <c r="M230" s="85"/>
      <c r="N230" s="85"/>
      <c r="O230" s="85"/>
      <c r="P230" s="85"/>
      <c r="Q230" s="85"/>
      <c r="R230" s="85"/>
      <c r="X230" s="122"/>
      <c r="Z230" s="104"/>
      <c r="AA230" s="104"/>
      <c r="AB230" s="104"/>
    </row>
    <row r="231" customFormat="false" ht="15" hidden="false" customHeight="false" outlineLevel="0" collapsed="false">
      <c r="F231" s="99" t="n">
        <f aca="false">G231/H231</f>
        <v>0.00011534456722573</v>
      </c>
      <c r="G231" s="52" t="n">
        <f aca="false">G230*(1-$O$1)</f>
        <v>1.75333577995121</v>
      </c>
      <c r="H231" s="15" t="n">
        <f aca="false">I231/G231</f>
        <v>15200.8527330109</v>
      </c>
      <c r="I231" s="0" t="n">
        <f aca="false">I230</f>
        <v>26652.1989825572</v>
      </c>
      <c r="J231" s="85"/>
      <c r="K231" s="85"/>
      <c r="L231" s="85"/>
      <c r="M231" s="85"/>
      <c r="N231" s="85"/>
      <c r="O231" s="85"/>
      <c r="P231" s="85"/>
      <c r="Q231" s="85"/>
      <c r="R231" s="85"/>
      <c r="X231" s="122"/>
      <c r="Z231" s="104"/>
      <c r="AA231" s="104"/>
      <c r="AB231" s="104"/>
    </row>
    <row r="232" customFormat="false" ht="15" hidden="false" customHeight="false" outlineLevel="0" collapsed="false">
      <c r="F232" s="99" t="n">
        <f aca="false">G232/H232</f>
        <v>0.000110776922363591</v>
      </c>
      <c r="G232" s="52" t="n">
        <f aca="false">G231*(1-$O$1)</f>
        <v>1.71826906435218</v>
      </c>
      <c r="H232" s="15" t="n">
        <f aca="false">I232/G232</f>
        <v>15511.0742173581</v>
      </c>
      <c r="I232" s="0" t="n">
        <f aca="false">I231</f>
        <v>26652.1989825572</v>
      </c>
      <c r="J232" s="85"/>
      <c r="K232" s="85"/>
      <c r="L232" s="85"/>
      <c r="M232" s="85"/>
      <c r="N232" s="85"/>
      <c r="O232" s="85"/>
      <c r="P232" s="85"/>
      <c r="Q232" s="85"/>
      <c r="R232" s="85"/>
      <c r="X232" s="122"/>
      <c r="Z232" s="104"/>
      <c r="AA232" s="104"/>
      <c r="AB232" s="104"/>
    </row>
    <row r="233" customFormat="false" ht="15" hidden="false" customHeight="false" outlineLevel="0" collapsed="false">
      <c r="F233" s="99" t="n">
        <f aca="false">G233/H233</f>
        <v>0.000106390156237993</v>
      </c>
      <c r="G233" s="52" t="n">
        <f aca="false">G232*(1-$O$1)</f>
        <v>1.68390368306514</v>
      </c>
      <c r="H233" s="15" t="n">
        <f aca="false">I233/G233</f>
        <v>15827.6267524062</v>
      </c>
      <c r="I233" s="0" t="n">
        <f aca="false">I232</f>
        <v>26652.1989825572</v>
      </c>
      <c r="J233" s="85"/>
      <c r="K233" s="85"/>
      <c r="L233" s="85"/>
      <c r="M233" s="85"/>
      <c r="N233" s="85"/>
      <c r="O233" s="85"/>
      <c r="P233" s="85"/>
      <c r="Q233" s="85"/>
      <c r="R233" s="85"/>
      <c r="X233" s="122"/>
      <c r="Z233" s="104"/>
      <c r="AA233" s="104"/>
      <c r="AB233" s="104"/>
    </row>
    <row r="234" customFormat="false" ht="15" hidden="false" customHeight="false" outlineLevel="0" collapsed="false">
      <c r="F234" s="99" t="n">
        <f aca="false">G234/H234</f>
        <v>0.000102177106050969</v>
      </c>
      <c r="G234" s="52" t="n">
        <f aca="false">G233*(1-$O$1)</f>
        <v>1.65022560940384</v>
      </c>
      <c r="H234" s="15" t="n">
        <f aca="false">I234/G234</f>
        <v>16150.6395432717</v>
      </c>
      <c r="I234" s="0" t="n">
        <f aca="false">I233</f>
        <v>26652.1989825572</v>
      </c>
      <c r="J234" s="85"/>
      <c r="K234" s="85"/>
      <c r="L234" s="85"/>
      <c r="M234" s="85"/>
      <c r="N234" s="85"/>
      <c r="O234" s="85"/>
      <c r="P234" s="85"/>
      <c r="Q234" s="85"/>
      <c r="R234" s="85"/>
      <c r="X234" s="122"/>
      <c r="Z234" s="104"/>
      <c r="AA234" s="104"/>
      <c r="AB234" s="104"/>
    </row>
    <row r="235" customFormat="false" ht="15" hidden="false" customHeight="false" outlineLevel="0" collapsed="false">
      <c r="F235" s="99" t="n">
        <f aca="false">G235/H235</f>
        <v>9.81308926513503E-005</v>
      </c>
      <c r="G235" s="52" t="n">
        <f aca="false">G234*(1-$O$1)</f>
        <v>1.61722109721576</v>
      </c>
      <c r="H235" s="15" t="n">
        <f aca="false">I235/G235</f>
        <v>16480.2444319099</v>
      </c>
      <c r="I235" s="0" t="n">
        <f aca="false">I234</f>
        <v>26652.1989825572</v>
      </c>
      <c r="J235" s="85"/>
      <c r="K235" s="85"/>
      <c r="L235" s="85"/>
      <c r="M235" s="85"/>
      <c r="N235" s="85"/>
      <c r="O235" s="85"/>
      <c r="P235" s="85"/>
      <c r="Q235" s="85"/>
      <c r="R235" s="85"/>
      <c r="X235" s="122"/>
      <c r="Z235" s="104"/>
      <c r="AA235" s="104"/>
      <c r="AB235" s="104"/>
    </row>
    <row r="236" customFormat="false" ht="15" hidden="false" customHeight="false" outlineLevel="0" collapsed="false">
      <c r="F236" s="99" t="n">
        <f aca="false">G236/H236</f>
        <v>9.42449093023568E-005</v>
      </c>
      <c r="G236" s="52" t="n">
        <f aca="false">G235*(1-$O$1)</f>
        <v>1.58487667527144</v>
      </c>
      <c r="H236" s="15" t="n">
        <f aca="false">I236/G236</f>
        <v>16816.5759509284</v>
      </c>
      <c r="I236" s="0" t="n">
        <f aca="false">I235</f>
        <v>26652.1989825572</v>
      </c>
      <c r="J236" s="85"/>
      <c r="K236" s="85"/>
      <c r="L236" s="85"/>
      <c r="M236" s="85"/>
      <c r="N236" s="85"/>
      <c r="O236" s="85"/>
      <c r="P236" s="85"/>
      <c r="Q236" s="85"/>
      <c r="R236" s="85"/>
      <c r="X236" s="122"/>
      <c r="Z236" s="104"/>
      <c r="AA236" s="104"/>
      <c r="AB236" s="104"/>
    </row>
    <row r="237" customFormat="false" ht="15" hidden="false" customHeight="false" outlineLevel="0" collapsed="false">
      <c r="F237" s="99" t="n">
        <f aca="false">G237/H237</f>
        <v>9.05128108939834E-005</v>
      </c>
      <c r="G237" s="52" t="n">
        <f aca="false">G236*(1-$O$1)</f>
        <v>1.55317914176602</v>
      </c>
      <c r="H237" s="15" t="n">
        <f aca="false">I237/G237</f>
        <v>17159.7713784984</v>
      </c>
      <c r="I237" s="0" t="n">
        <f aca="false">I236</f>
        <v>26652.1989825572</v>
      </c>
      <c r="J237" s="85"/>
      <c r="K237" s="85"/>
      <c r="L237" s="85"/>
      <c r="M237" s="85"/>
      <c r="N237" s="85"/>
      <c r="O237" s="85"/>
      <c r="P237" s="85"/>
      <c r="Q237" s="85"/>
      <c r="R237" s="85"/>
      <c r="X237" s="122"/>
      <c r="Z237" s="104"/>
      <c r="AA237" s="104"/>
      <c r="AB237" s="104"/>
    </row>
    <row r="238" customFormat="false" ht="15" hidden="false" customHeight="false" outlineLevel="0" collapsed="false">
      <c r="F238" s="99" t="n">
        <f aca="false">G238/H238</f>
        <v>8.69285035825817E-005</v>
      </c>
      <c r="G238" s="52" t="n">
        <f aca="false">G237*(1-$O$1)</f>
        <v>1.5221155589307</v>
      </c>
      <c r="H238" s="15" t="n">
        <f aca="false">I238/G238</f>
        <v>17509.9707943861</v>
      </c>
      <c r="I238" s="0" t="n">
        <f aca="false">I237</f>
        <v>26652.1989825572</v>
      </c>
      <c r="J238" s="85"/>
      <c r="K238" s="85"/>
      <c r="L238" s="85"/>
      <c r="M238" s="85"/>
      <c r="N238" s="85"/>
      <c r="O238" s="85"/>
      <c r="P238" s="85"/>
      <c r="Q238" s="85"/>
      <c r="R238" s="85"/>
      <c r="X238" s="122"/>
      <c r="Z238" s="104"/>
      <c r="AA238" s="104"/>
      <c r="AB238" s="104"/>
    </row>
    <row r="239" customFormat="false" ht="15" hidden="false" customHeight="false" outlineLevel="0" collapsed="false">
      <c r="F239" s="99" t="n">
        <f aca="false">G239/H239</f>
        <v>8.34861348407115E-005</v>
      </c>
      <c r="G239" s="52" t="n">
        <f aca="false">G238*(1-$O$1)</f>
        <v>1.49167324775208</v>
      </c>
      <c r="H239" s="15" t="n">
        <f aca="false">I239/G239</f>
        <v>17867.3171371287</v>
      </c>
      <c r="I239" s="0" t="n">
        <f aca="false">I238</f>
        <v>26652.1989825572</v>
      </c>
      <c r="J239" s="85"/>
      <c r="K239" s="85"/>
      <c r="L239" s="85"/>
      <c r="M239" s="85"/>
      <c r="N239" s="85"/>
      <c r="O239" s="85"/>
      <c r="P239" s="85"/>
      <c r="Q239" s="85"/>
      <c r="R239" s="85"/>
      <c r="X239" s="122"/>
      <c r="Z239" s="104"/>
      <c r="AA239" s="104"/>
      <c r="AB239" s="104"/>
    </row>
    <row r="240" customFormat="false" ht="15" hidden="false" customHeight="false" outlineLevel="0" collapsed="false">
      <c r="F240" s="99" t="n">
        <f aca="false">G240/H240</f>
        <v>8.01800839010193E-005</v>
      </c>
      <c r="G240" s="52" t="n">
        <f aca="false">G239*(1-$O$1)</f>
        <v>1.46183978279704</v>
      </c>
      <c r="H240" s="15" t="n">
        <f aca="false">I240/G240</f>
        <v>18231.9562623762</v>
      </c>
      <c r="I240" s="0" t="n">
        <f aca="false">I239</f>
        <v>26652.1989825572</v>
      </c>
      <c r="J240" s="85"/>
      <c r="K240" s="85"/>
      <c r="L240" s="85"/>
      <c r="M240" s="85"/>
      <c r="N240" s="85"/>
      <c r="O240" s="85"/>
      <c r="P240" s="85"/>
      <c r="Q240" s="85"/>
      <c r="R240" s="85"/>
      <c r="X240" s="122"/>
      <c r="Z240" s="104"/>
      <c r="AA240" s="104"/>
      <c r="AB240" s="104"/>
    </row>
    <row r="241" customFormat="false" ht="15" hidden="false" customHeight="false" outlineLevel="0" collapsed="false">
      <c r="F241" s="99" t="n">
        <f aca="false">G241/H241</f>
        <v>7.7004952578539E-005</v>
      </c>
      <c r="G241" s="52" t="n">
        <f aca="false">G240*(1-$O$1)</f>
        <v>1.4326029871411</v>
      </c>
      <c r="H241" s="15" t="n">
        <f aca="false">I241/G241</f>
        <v>18604.0370024247</v>
      </c>
      <c r="I241" s="0" t="n">
        <f aca="false">I240</f>
        <v>26652.1989825572</v>
      </c>
      <c r="J241" s="85"/>
      <c r="K241" s="85"/>
      <c r="L241" s="85"/>
      <c r="M241" s="85"/>
      <c r="N241" s="85"/>
      <c r="O241" s="85"/>
      <c r="P241" s="85"/>
      <c r="Q241" s="85"/>
      <c r="R241" s="85"/>
      <c r="X241" s="122"/>
      <c r="Z241" s="104"/>
      <c r="AA241" s="104"/>
      <c r="AB241" s="104"/>
    </row>
    <row r="242" customFormat="false" ht="15" hidden="false" customHeight="false" outlineLevel="0" collapsed="false">
      <c r="F242" s="99" t="n">
        <f aca="false">G242/H242</f>
        <v>7.39555564564288E-005</v>
      </c>
      <c r="G242" s="52" t="n">
        <f aca="false">G241*(1-$O$1)</f>
        <v>1.40395092739828</v>
      </c>
      <c r="H242" s="15" t="n">
        <f aca="false">I242/G242</f>
        <v>18983.711226964</v>
      </c>
      <c r="I242" s="0" t="n">
        <f aca="false">I241</f>
        <v>26652.1989825572</v>
      </c>
      <c r="J242" s="85"/>
      <c r="K242" s="85"/>
      <c r="L242" s="85"/>
      <c r="M242" s="85"/>
      <c r="N242" s="85"/>
      <c r="O242" s="85"/>
      <c r="P242" s="85"/>
      <c r="Q242" s="85"/>
      <c r="R242" s="85"/>
      <c r="X242" s="122"/>
      <c r="Z242" s="104"/>
      <c r="AA242" s="104"/>
      <c r="AB242" s="104"/>
    </row>
    <row r="243" customFormat="false" ht="15" hidden="false" customHeight="false" outlineLevel="0" collapsed="false">
      <c r="F243" s="99" t="n">
        <f aca="false">G243/H243</f>
        <v>7.10269164207542E-005</v>
      </c>
      <c r="G243" s="52" t="n">
        <f aca="false">G242*(1-$O$1)</f>
        <v>1.37587190885031</v>
      </c>
      <c r="H243" s="15" t="n">
        <f aca="false">I243/G243</f>
        <v>19371.1339050653</v>
      </c>
      <c r="I243" s="0" t="n">
        <f aca="false">I242</f>
        <v>26652.1989825572</v>
      </c>
      <c r="J243" s="85"/>
      <c r="K243" s="85"/>
      <c r="L243" s="85"/>
      <c r="M243" s="85"/>
      <c r="N243" s="85"/>
      <c r="O243" s="85"/>
      <c r="P243" s="85"/>
      <c r="Q243" s="85"/>
      <c r="R243" s="85"/>
      <c r="X243" s="122"/>
      <c r="Z243" s="104"/>
      <c r="AA243" s="104"/>
      <c r="AB243" s="104"/>
    </row>
    <row r="244" customFormat="false" ht="15" hidden="false" customHeight="false" outlineLevel="0" collapsed="false">
      <c r="F244" s="99" t="n">
        <f aca="false">G244/H244</f>
        <v>6.82142505304924E-005</v>
      </c>
      <c r="G244" s="52" t="n">
        <f aca="false">G243*(1-$O$1)</f>
        <v>1.34835447067331</v>
      </c>
      <c r="H244" s="15" t="n">
        <f aca="false">I244/G244</f>
        <v>19766.463168434</v>
      </c>
      <c r="I244" s="0" t="n">
        <f aca="false">I243</f>
        <v>26652.1989825572</v>
      </c>
      <c r="J244" s="85"/>
      <c r="K244" s="85"/>
      <c r="L244" s="85"/>
      <c r="M244" s="85"/>
      <c r="N244" s="85"/>
      <c r="O244" s="85"/>
      <c r="P244" s="85"/>
      <c r="Q244" s="85"/>
      <c r="R244" s="85"/>
      <c r="X244" s="122"/>
      <c r="Z244" s="104"/>
      <c r="AA244" s="104"/>
      <c r="AB244" s="104"/>
    </row>
    <row r="245" customFormat="false" ht="15" hidden="false" customHeight="false" outlineLevel="0" collapsed="false">
      <c r="F245" s="99" t="n">
        <f aca="false">G245/H245</f>
        <v>6.55129662094849E-005</v>
      </c>
      <c r="G245" s="52" t="n">
        <f aca="false">G244*(1-$O$1)</f>
        <v>1.32138738125984</v>
      </c>
      <c r="H245" s="15" t="n">
        <f aca="false">I245/G245</f>
        <v>20169.860375953</v>
      </c>
      <c r="I245" s="0" t="n">
        <f aca="false">I244</f>
        <v>26652.1989825572</v>
      </c>
      <c r="J245" s="85"/>
      <c r="K245" s="85"/>
      <c r="L245" s="85"/>
      <c r="M245" s="85"/>
      <c r="N245" s="85"/>
      <c r="O245" s="85"/>
      <c r="P245" s="85"/>
      <c r="Q245" s="85"/>
      <c r="R245" s="85"/>
      <c r="X245" s="122"/>
      <c r="Z245" s="104"/>
      <c r="AA245" s="104"/>
      <c r="AB245" s="104"/>
    </row>
    <row r="246" customFormat="false" ht="15" hidden="false" customHeight="false" outlineLevel="0" collapsed="false">
      <c r="F246" s="99" t="n">
        <f aca="false">G246/H246</f>
        <v>6.29186527475892E-005</v>
      </c>
      <c r="G246" s="52" t="n">
        <f aca="false">G245*(1-$O$1)</f>
        <v>1.29495963363464</v>
      </c>
      <c r="H246" s="15" t="n">
        <f aca="false">I246/G246</f>
        <v>20581.4901795439</v>
      </c>
      <c r="I246" s="0" t="n">
        <f aca="false">I245</f>
        <v>26652.1989825572</v>
      </c>
      <c r="J246" s="85"/>
      <c r="K246" s="85"/>
      <c r="L246" s="85"/>
      <c r="M246" s="85"/>
      <c r="N246" s="85"/>
      <c r="O246" s="85"/>
      <c r="P246" s="85"/>
      <c r="Q246" s="85"/>
      <c r="R246" s="85"/>
      <c r="X246" s="122"/>
      <c r="Z246" s="104"/>
      <c r="AA246" s="104"/>
      <c r="AB246" s="104"/>
    </row>
    <row r="247" customFormat="false" ht="15" hidden="false" customHeight="false" outlineLevel="0" collapsed="false">
      <c r="F247" s="99" t="n">
        <f aca="false">G247/H247</f>
        <v>6.04270740987847E-005</v>
      </c>
      <c r="G247" s="52" t="n">
        <f aca="false">G246*(1-$O$1)</f>
        <v>1.26906044096195</v>
      </c>
      <c r="H247" s="15" t="n">
        <f aca="false">I247/G247</f>
        <v>21001.5205913714</v>
      </c>
      <c r="I247" s="0" t="n">
        <f aca="false">I246</f>
        <v>26652.1989825572</v>
      </c>
      <c r="J247" s="85"/>
      <c r="K247" s="85"/>
      <c r="L247" s="85"/>
      <c r="M247" s="85"/>
      <c r="N247" s="85"/>
      <c r="O247" s="85"/>
      <c r="P247" s="85"/>
      <c r="Q247" s="85"/>
      <c r="R247" s="85"/>
      <c r="X247" s="122"/>
      <c r="Z247" s="104"/>
      <c r="AA247" s="104"/>
      <c r="AB247" s="104"/>
    </row>
    <row r="248" customFormat="false" ht="15" hidden="false" customHeight="false" outlineLevel="0" collapsed="false">
      <c r="F248" s="99" t="n">
        <f aca="false">G248/H248</f>
        <v>5.80341619644728E-005</v>
      </c>
      <c r="G248" s="52" t="n">
        <f aca="false">G247*(1-$O$1)</f>
        <v>1.24367923214271</v>
      </c>
      <c r="H248" s="15" t="n">
        <f aca="false">I248/G248</f>
        <v>21430.1230524197</v>
      </c>
      <c r="I248" s="0" t="n">
        <f aca="false">I247</f>
        <v>26652.1989825572</v>
      </c>
      <c r="J248" s="85"/>
      <c r="K248" s="85"/>
      <c r="L248" s="85"/>
      <c r="M248" s="85"/>
      <c r="N248" s="85"/>
      <c r="O248" s="85"/>
      <c r="P248" s="85"/>
      <c r="Q248" s="85"/>
      <c r="R248" s="85"/>
      <c r="X248" s="122"/>
      <c r="Z248" s="104"/>
      <c r="AA248" s="104"/>
      <c r="AB248" s="104"/>
    </row>
    <row r="249" customFormat="false" ht="15" hidden="false" customHeight="false" outlineLevel="0" collapsed="false">
      <c r="F249" s="99" t="n">
        <f aca="false">G249/H249</f>
        <v>5.57360091506797E-005</v>
      </c>
      <c r="G249" s="52" t="n">
        <f aca="false">G248*(1-$O$1)</f>
        <v>1.21880564749986</v>
      </c>
      <c r="H249" s="15" t="n">
        <f aca="false">I249/G249</f>
        <v>21867.4725024691</v>
      </c>
      <c r="I249" s="0" t="n">
        <f aca="false">I248</f>
        <v>26652.1989825572</v>
      </c>
      <c r="J249" s="85"/>
      <c r="K249" s="85"/>
      <c r="L249" s="85"/>
      <c r="M249" s="85"/>
      <c r="N249" s="85"/>
      <c r="O249" s="85"/>
      <c r="P249" s="85"/>
      <c r="Q249" s="85"/>
      <c r="R249" s="85"/>
      <c r="X249" s="122"/>
      <c r="Z249" s="104"/>
      <c r="AA249" s="104"/>
      <c r="AB249" s="104"/>
    </row>
    <row r="250" customFormat="false" ht="15" hidden="false" customHeight="false" outlineLevel="0" collapsed="false">
      <c r="F250" s="99" t="n">
        <f aca="false">G250/H250</f>
        <v>5.35288631883128E-005</v>
      </c>
      <c r="G250" s="52" t="n">
        <f aca="false">G249*(1-$O$1)</f>
        <v>1.19442953454986</v>
      </c>
      <c r="H250" s="15" t="n">
        <f aca="false">I250/G250</f>
        <v>22313.7474514991</v>
      </c>
      <c r="I250" s="0" t="n">
        <f aca="false">I249</f>
        <v>26652.1989825572</v>
      </c>
      <c r="J250" s="85"/>
      <c r="K250" s="85"/>
      <c r="L250" s="85"/>
      <c r="M250" s="85"/>
      <c r="N250" s="85"/>
      <c r="O250" s="85"/>
      <c r="P250" s="85"/>
      <c r="Q250" s="85"/>
      <c r="R250" s="85"/>
      <c r="X250" s="122"/>
      <c r="Z250" s="104"/>
      <c r="AA250" s="104"/>
      <c r="AB250" s="104"/>
    </row>
    <row r="251" customFormat="false" ht="15" hidden="false" customHeight="false" outlineLevel="0" collapsed="false">
      <c r="F251" s="99" t="n">
        <f aca="false">G251/H251</f>
        <v>5.14091202060556E-005</v>
      </c>
      <c r="G251" s="52" t="n">
        <f aca="false">G250*(1-$O$1)</f>
        <v>1.17054094385886</v>
      </c>
      <c r="H251" s="15" t="n">
        <f aca="false">I251/G251</f>
        <v>22769.1300525501</v>
      </c>
      <c r="I251" s="0" t="n">
        <f aca="false">I250</f>
        <v>26652.1989825572</v>
      </c>
      <c r="J251" s="85"/>
      <c r="K251" s="85"/>
      <c r="L251" s="85"/>
      <c r="M251" s="85"/>
      <c r="N251" s="85"/>
      <c r="O251" s="85"/>
      <c r="P251" s="85"/>
      <c r="Q251" s="85"/>
      <c r="R251" s="85"/>
      <c r="X251" s="122"/>
      <c r="Z251" s="104"/>
      <c r="AA251" s="104"/>
      <c r="AB251" s="104"/>
    </row>
    <row r="252" customFormat="false" ht="15" hidden="false" customHeight="false" outlineLevel="0" collapsed="false">
      <c r="F252" s="99" t="n">
        <f aca="false">G252/H252</f>
        <v>4.93733190458958E-005</v>
      </c>
      <c r="G252" s="52" t="n">
        <f aca="false">G251*(1-$O$1)</f>
        <v>1.14713012498169</v>
      </c>
      <c r="H252" s="15" t="n">
        <f aca="false">I252/G252</f>
        <v>23233.8061760715</v>
      </c>
      <c r="I252" s="0" t="n">
        <f aca="false">I251</f>
        <v>26652.1989825572</v>
      </c>
      <c r="J252" s="85"/>
      <c r="K252" s="85"/>
      <c r="L252" s="85"/>
      <c r="M252" s="85"/>
      <c r="N252" s="85"/>
      <c r="O252" s="85"/>
      <c r="P252" s="85"/>
      <c r="Q252" s="85"/>
      <c r="R252" s="85"/>
      <c r="X252" s="122"/>
      <c r="Z252" s="104"/>
      <c r="AA252" s="104"/>
      <c r="AB252" s="104"/>
    </row>
    <row r="253" customFormat="false" ht="15" hidden="false" customHeight="false" outlineLevel="0" collapsed="false">
      <c r="F253" s="99" t="n">
        <f aca="false">G253/H253</f>
        <v>4.74181356116783E-005</v>
      </c>
      <c r="G253" s="52" t="n">
        <f aca="false">G252*(1-$O$1)</f>
        <v>1.12418752248205</v>
      </c>
      <c r="H253" s="15" t="n">
        <f aca="false">I253/G253</f>
        <v>23707.9654857873</v>
      </c>
      <c r="I253" s="0" t="n">
        <f aca="false">I252</f>
        <v>26652.1989825572</v>
      </c>
      <c r="J253" s="85"/>
      <c r="K253" s="85"/>
      <c r="L253" s="85"/>
      <c r="M253" s="85"/>
      <c r="N253" s="85"/>
      <c r="O253" s="85"/>
      <c r="P253" s="85"/>
      <c r="Q253" s="85"/>
      <c r="R253" s="85"/>
      <c r="X253" s="122"/>
      <c r="Z253" s="104"/>
      <c r="AA253" s="104"/>
      <c r="AB253" s="104"/>
    </row>
    <row r="254" customFormat="false" ht="15" hidden="false" customHeight="false" outlineLevel="0" collapsed="false">
      <c r="F254" s="99" t="n">
        <f aca="false">G254/H254</f>
        <v>4.55403774414559E-005</v>
      </c>
      <c r="G254" s="52" t="n">
        <f aca="false">G253*(1-$O$1)</f>
        <v>1.10170377203241</v>
      </c>
      <c r="H254" s="15" t="n">
        <f aca="false">I254/G254</f>
        <v>24191.8015161095</v>
      </c>
      <c r="I254" s="0" t="n">
        <f aca="false">I253</f>
        <v>26652.1989825572</v>
      </c>
      <c r="J254" s="85"/>
      <c r="K254" s="85"/>
      <c r="L254" s="85"/>
      <c r="M254" s="85"/>
      <c r="N254" s="85"/>
      <c r="O254" s="85"/>
      <c r="P254" s="85"/>
      <c r="Q254" s="85"/>
      <c r="R254" s="85"/>
      <c r="X254" s="122"/>
      <c r="Z254" s="104"/>
      <c r="AA254" s="104"/>
      <c r="AB254" s="104"/>
    </row>
    <row r="255" customFormat="false" ht="15" hidden="false" customHeight="false" outlineLevel="0" collapsed="false">
      <c r="F255" s="99" t="n">
        <f aca="false">G255/H255</f>
        <v>4.37369784947742E-005</v>
      </c>
      <c r="G255" s="52" t="n">
        <f aca="false">G254*(1-$O$1)</f>
        <v>1.07966969659176</v>
      </c>
      <c r="H255" s="15" t="n">
        <f aca="false">I255/G255</f>
        <v>24685.5117511321</v>
      </c>
      <c r="I255" s="0" t="n">
        <f aca="false">I254</f>
        <v>26652.1989825572</v>
      </c>
      <c r="J255" s="85"/>
      <c r="K255" s="85"/>
      <c r="L255" s="85"/>
      <c r="M255" s="85"/>
      <c r="N255" s="85"/>
      <c r="O255" s="85"/>
      <c r="P255" s="85"/>
      <c r="Q255" s="85"/>
      <c r="R255" s="85"/>
      <c r="X255" s="122"/>
      <c r="Z255" s="104"/>
      <c r="AA255" s="104"/>
      <c r="AB255" s="104"/>
    </row>
    <row r="256" customFormat="false" ht="15" hidden="false" customHeight="false" outlineLevel="0" collapsed="false">
      <c r="F256" s="99" t="n">
        <f aca="false">G256/H256</f>
        <v>4.20049941463811E-005</v>
      </c>
      <c r="G256" s="52" t="n">
        <f aca="false">G255*(1-$O$1)</f>
        <v>1.05807630265993</v>
      </c>
      <c r="H256" s="15" t="n">
        <f aca="false">I256/G256</f>
        <v>25189.2977052369</v>
      </c>
      <c r="I256" s="0" t="n">
        <f aca="false">I255</f>
        <v>26652.1989825572</v>
      </c>
      <c r="J256" s="85"/>
      <c r="K256" s="85"/>
      <c r="L256" s="85"/>
      <c r="M256" s="85"/>
      <c r="N256" s="85"/>
      <c r="O256" s="85"/>
      <c r="P256" s="85"/>
      <c r="Q256" s="85"/>
      <c r="R256" s="85"/>
      <c r="X256" s="122"/>
      <c r="Z256" s="104"/>
      <c r="AA256" s="104"/>
      <c r="AB256" s="104"/>
    </row>
    <row r="257" customFormat="false" ht="15" hidden="false" customHeight="false" outlineLevel="0" collapsed="false">
      <c r="F257" s="99" t="n">
        <f aca="false">G257/H257</f>
        <v>4.03415963781844E-005</v>
      </c>
      <c r="G257" s="52" t="n">
        <f aca="false">G256*(1-$O$1)</f>
        <v>1.03691477660673</v>
      </c>
      <c r="H257" s="15" t="n">
        <f aca="false">I257/G257</f>
        <v>25703.3650053437</v>
      </c>
      <c r="I257" s="0" t="n">
        <f aca="false">I256</f>
        <v>26652.1989825572</v>
      </c>
      <c r="J257" s="85"/>
      <c r="K257" s="85"/>
      <c r="L257" s="85"/>
      <c r="M257" s="85"/>
      <c r="N257" s="85"/>
      <c r="O257" s="85"/>
      <c r="P257" s="85"/>
      <c r="Q257" s="85"/>
      <c r="R257" s="85"/>
      <c r="X257" s="122"/>
      <c r="Z257" s="104"/>
      <c r="AA257" s="104"/>
      <c r="AB257" s="104"/>
    </row>
    <row r="258" customFormat="false" ht="15" hidden="false" customHeight="false" outlineLevel="0" collapsed="false">
      <c r="F258" s="99" t="n">
        <f aca="false">G258/H258</f>
        <v>3.87440691616083E-005</v>
      </c>
      <c r="G258" s="52" t="n">
        <f aca="false">G257*(1-$O$1)</f>
        <v>1.01617648107459</v>
      </c>
      <c r="H258" s="15" t="n">
        <f aca="false">I258/G258</f>
        <v>26227.9234748406</v>
      </c>
      <c r="I258" s="0" t="n">
        <f aca="false">I257</f>
        <v>26652.1989825572</v>
      </c>
      <c r="J258" s="85"/>
      <c r="K258" s="85"/>
      <c r="L258" s="85"/>
      <c r="M258" s="85"/>
      <c r="N258" s="85"/>
      <c r="O258" s="85"/>
      <c r="P258" s="85"/>
      <c r="Q258" s="85"/>
      <c r="R258" s="85"/>
      <c r="X258" s="122"/>
      <c r="Z258" s="104"/>
      <c r="AA258" s="104"/>
      <c r="AB258" s="104"/>
    </row>
    <row r="259" customFormat="false" ht="15" hidden="false" customHeight="false" outlineLevel="0" collapsed="false">
      <c r="F259" s="99" t="n">
        <f aca="false">G259/H259</f>
        <v>3.72098040228086E-005</v>
      </c>
      <c r="G259" s="52" t="n">
        <f aca="false">G258*(1-$O$1)</f>
        <v>0.995852951453101</v>
      </c>
      <c r="H259" s="15" t="n">
        <f aca="false">I259/G259</f>
        <v>26763.1872192251</v>
      </c>
      <c r="I259" s="0" t="n">
        <f aca="false">I258</f>
        <v>26652.1989825572</v>
      </c>
      <c r="J259" s="85"/>
      <c r="K259" s="85"/>
      <c r="L259" s="85"/>
      <c r="M259" s="85"/>
      <c r="N259" s="85"/>
      <c r="O259" s="85"/>
      <c r="P259" s="85"/>
      <c r="Q259" s="85"/>
      <c r="R259" s="85"/>
      <c r="X259" s="122"/>
      <c r="Z259" s="104"/>
      <c r="AA259" s="104"/>
      <c r="AB259" s="104"/>
    </row>
    <row r="260" customFormat="false" ht="15" hidden="false" customHeight="false" outlineLevel="0" collapsed="false">
      <c r="F260" s="99" t="n">
        <f aca="false">G260/H260</f>
        <v>3.57362957835054E-005</v>
      </c>
      <c r="G260" s="52" t="n">
        <f aca="false">G259*(1-$O$1)</f>
        <v>0.975935892424039</v>
      </c>
      <c r="H260" s="15" t="n">
        <f aca="false">I260/G260</f>
        <v>27309.374713495</v>
      </c>
      <c r="I260" s="0" t="n">
        <f aca="false">I259</f>
        <v>26652.1989825572</v>
      </c>
      <c r="J260" s="85"/>
      <c r="K260" s="85"/>
      <c r="L260" s="85"/>
      <c r="M260" s="85"/>
      <c r="N260" s="85"/>
      <c r="O260" s="85"/>
      <c r="P260" s="85"/>
      <c r="Q260" s="85"/>
      <c r="R260" s="85"/>
      <c r="X260" s="122"/>
      <c r="Z260" s="104"/>
      <c r="AA260" s="104"/>
      <c r="AB260" s="104"/>
    </row>
    <row r="261" customFormat="false" ht="15" hidden="false" customHeight="false" outlineLevel="0" collapsed="false">
      <c r="F261" s="99" t="n">
        <f aca="false">G261/H261</f>
        <v>3.43211384704786E-005</v>
      </c>
      <c r="G261" s="52" t="n">
        <f aca="false">G260*(1-$O$1)</f>
        <v>0.956417174575559</v>
      </c>
      <c r="H261" s="15" t="n">
        <f aca="false">I261/G261</f>
        <v>27866.7088913214</v>
      </c>
      <c r="I261" s="0" t="n">
        <f aca="false">I260</f>
        <v>26652.1989825572</v>
      </c>
      <c r="J261" s="85"/>
      <c r="K261" s="85"/>
      <c r="L261" s="85"/>
      <c r="M261" s="85"/>
      <c r="N261" s="85"/>
      <c r="O261" s="85"/>
      <c r="P261" s="85"/>
      <c r="Q261" s="85"/>
      <c r="R261" s="85"/>
      <c r="X261" s="122"/>
      <c r="Z261" s="104"/>
      <c r="AA261" s="104"/>
      <c r="AB261" s="104"/>
    </row>
    <row r="262" customFormat="false" ht="15" hidden="false" customHeight="false" outlineLevel="0" collapsed="false">
      <c r="F262" s="99" t="n">
        <f aca="false">G262/H262</f>
        <v>3.29620213870476E-005</v>
      </c>
      <c r="G262" s="52" t="n">
        <f aca="false">G261*(1-$O$1)</f>
        <v>0.937288831084047</v>
      </c>
      <c r="H262" s="15" t="n">
        <f aca="false">I262/G262</f>
        <v>28435.4172360422</v>
      </c>
      <c r="I262" s="0" t="n">
        <f aca="false">I261</f>
        <v>26652.1989825572</v>
      </c>
      <c r="J262" s="85"/>
      <c r="K262" s="85"/>
      <c r="L262" s="85"/>
      <c r="M262" s="85"/>
      <c r="N262" s="85"/>
      <c r="O262" s="85"/>
      <c r="P262" s="85"/>
      <c r="Q262" s="85"/>
      <c r="R262" s="85"/>
      <c r="X262" s="122"/>
      <c r="Z262" s="104"/>
      <c r="AA262" s="104"/>
      <c r="AB262" s="104"/>
    </row>
    <row r="263" customFormat="false" ht="15" hidden="false" customHeight="false" outlineLevel="0" collapsed="false">
      <c r="F263" s="99" t="n">
        <f aca="false">G263/H263</f>
        <v>3.16567253401206E-005</v>
      </c>
      <c r="G263" s="52" t="n">
        <f aca="false">G262*(1-$O$1)</f>
        <v>0.918543054462366</v>
      </c>
      <c r="H263" s="15" t="n">
        <f aca="false">I263/G263</f>
        <v>29015.7318735125</v>
      </c>
      <c r="I263" s="0" t="n">
        <f aca="false">I262</f>
        <v>26652.1989825572</v>
      </c>
      <c r="J263" s="85"/>
      <c r="K263" s="85"/>
      <c r="L263" s="85"/>
      <c r="M263" s="85"/>
      <c r="N263" s="85"/>
      <c r="O263" s="85"/>
      <c r="P263" s="85"/>
      <c r="Q263" s="85"/>
      <c r="R263" s="85"/>
      <c r="X263" s="122"/>
      <c r="Z263" s="104"/>
      <c r="AA263" s="104"/>
      <c r="AB263" s="104"/>
    </row>
    <row r="264" customFormat="false" ht="15" hidden="false" customHeight="false" outlineLevel="0" collapsed="false">
      <c r="F264" s="99" t="n">
        <f aca="false">G264/H264</f>
        <v>3.04031190166518E-005</v>
      </c>
      <c r="G264" s="52" t="n">
        <f aca="false">G263*(1-$O$1)</f>
        <v>0.900172193373119</v>
      </c>
      <c r="H264" s="15" t="n">
        <f aca="false">I264/G264</f>
        <v>29607.8896668495</v>
      </c>
      <c r="I264" s="0" t="n">
        <f aca="false">I263</f>
        <v>26652.1989825572</v>
      </c>
      <c r="J264" s="85"/>
      <c r="K264" s="85"/>
      <c r="L264" s="85"/>
      <c r="M264" s="85"/>
      <c r="N264" s="85"/>
      <c r="O264" s="85"/>
      <c r="P264" s="85"/>
      <c r="Q264" s="85"/>
      <c r="R264" s="85"/>
      <c r="X264" s="122"/>
      <c r="Z264" s="104"/>
      <c r="AA264" s="104"/>
      <c r="AB264" s="104"/>
    </row>
    <row r="265" customFormat="false" ht="15" hidden="false" customHeight="false" outlineLevel="0" collapsed="false">
      <c r="F265" s="99" t="n">
        <f aca="false">G265/H265</f>
        <v>2.91991555035924E-005</v>
      </c>
      <c r="G265" s="52" t="n">
        <f aca="false">G264*(1-$O$1)</f>
        <v>0.882168749505657</v>
      </c>
      <c r="H265" s="15" t="n">
        <f aca="false">I265/G265</f>
        <v>30212.1323131117</v>
      </c>
      <c r="I265" s="0" t="n">
        <f aca="false">I264</f>
        <v>26652.1989825572</v>
      </c>
      <c r="J265" s="85"/>
      <c r="K265" s="85"/>
      <c r="L265" s="85"/>
      <c r="M265" s="85"/>
      <c r="N265" s="85"/>
      <c r="O265" s="85"/>
      <c r="P265" s="85"/>
      <c r="Q265" s="85"/>
      <c r="R265" s="85"/>
      <c r="X265" s="122"/>
      <c r="Z265" s="104"/>
      <c r="AA265" s="104"/>
      <c r="AB265" s="104"/>
    </row>
    <row r="266" customFormat="false" ht="15" hidden="false" customHeight="false" outlineLevel="0" collapsed="false">
      <c r="F266" s="99" t="n">
        <f aca="false">G266/H266</f>
        <v>2.80428689456501E-005</v>
      </c>
      <c r="G266" s="52" t="n">
        <f aca="false">G265*(1-$O$1)</f>
        <v>0.864525374515543</v>
      </c>
      <c r="H266" s="15" t="n">
        <f aca="false">I266/G266</f>
        <v>30828.7064419507</v>
      </c>
      <c r="I266" s="0" t="n">
        <f aca="false">I265</f>
        <v>26652.1989825572</v>
      </c>
      <c r="J266" s="85"/>
      <c r="K266" s="85"/>
      <c r="L266" s="85"/>
      <c r="M266" s="85"/>
      <c r="N266" s="85"/>
      <c r="O266" s="85"/>
      <c r="P266" s="85"/>
      <c r="Q266" s="85"/>
      <c r="R266" s="85"/>
      <c r="X266" s="122"/>
      <c r="Z266" s="104"/>
      <c r="AA266" s="104"/>
      <c r="AB266" s="104"/>
    </row>
    <row r="267" customFormat="false" ht="15" hidden="false" customHeight="false" outlineLevel="0" collapsed="false">
      <c r="F267" s="99" t="n">
        <f aca="false">G267/H267</f>
        <v>2.69323713354024E-005</v>
      </c>
      <c r="G267" s="52" t="n">
        <f aca="false">G266*(1-$O$1)</f>
        <v>0.847234867025233</v>
      </c>
      <c r="H267" s="15" t="n">
        <f aca="false">I267/G267</f>
        <v>31457.8637162763</v>
      </c>
      <c r="I267" s="0" t="n">
        <f aca="false">I266</f>
        <v>26652.1989825572</v>
      </c>
      <c r="J267" s="85"/>
      <c r="K267" s="85"/>
      <c r="L267" s="85"/>
      <c r="M267" s="85"/>
      <c r="N267" s="85"/>
      <c r="O267" s="85"/>
      <c r="P267" s="85"/>
      <c r="Q267" s="85"/>
      <c r="R267" s="85"/>
      <c r="X267" s="122"/>
      <c r="Z267" s="104"/>
      <c r="AA267" s="104"/>
      <c r="AB267" s="104"/>
    </row>
    <row r="268" customFormat="false" ht="15" hidden="false" customHeight="false" outlineLevel="0" collapsed="false">
      <c r="F268" s="99" t="n">
        <f aca="false">G268/H268</f>
        <v>2.58658494305204E-005</v>
      </c>
      <c r="G268" s="52" t="n">
        <f aca="false">G267*(1-$O$1)</f>
        <v>0.830290169684728</v>
      </c>
      <c r="H268" s="15" t="n">
        <f aca="false">I268/G268</f>
        <v>32099.8609349758</v>
      </c>
      <c r="I268" s="0" t="n">
        <f aca="false">I267</f>
        <v>26652.1989825572</v>
      </c>
      <c r="J268" s="85"/>
      <c r="K268" s="85"/>
      <c r="L268" s="85"/>
      <c r="M268" s="85"/>
      <c r="N268" s="85"/>
      <c r="O268" s="85"/>
      <c r="P268" s="85"/>
      <c r="Q268" s="85"/>
      <c r="R268" s="85"/>
      <c r="X268" s="122"/>
      <c r="Z268" s="104"/>
      <c r="AA268" s="104"/>
      <c r="AB268" s="104"/>
    </row>
    <row r="269" customFormat="false" ht="15" hidden="false" customHeight="false" outlineLevel="0" collapsed="false">
      <c r="F269" s="99" t="n">
        <f aca="false">G269/H269</f>
        <v>2.48415617930718E-005</v>
      </c>
      <c r="G269" s="52" t="n">
        <f aca="false">G268*(1-$O$1)</f>
        <v>0.813684366291033</v>
      </c>
      <c r="H269" s="15" t="n">
        <f aca="false">I269/G269</f>
        <v>32754.9601377304</v>
      </c>
      <c r="I269" s="0" t="n">
        <f aca="false">I268</f>
        <v>26652.1989825572</v>
      </c>
      <c r="J269" s="85"/>
      <c r="K269" s="85"/>
      <c r="L269" s="85"/>
      <c r="M269" s="85"/>
      <c r="N269" s="85"/>
      <c r="O269" s="85"/>
      <c r="P269" s="85"/>
      <c r="Q269" s="85"/>
      <c r="R269" s="85"/>
      <c r="X269" s="122"/>
      <c r="Z269" s="104"/>
      <c r="AA269" s="104"/>
      <c r="AB269" s="104"/>
    </row>
    <row r="270" customFormat="false" ht="15" hidden="false" customHeight="false" outlineLevel="0" collapsed="false">
      <c r="F270" s="99" t="n">
        <f aca="false">G270/H270</f>
        <v>2.38578359460662E-005</v>
      </c>
      <c r="G270" s="52" t="n">
        <f aca="false">G269*(1-$O$1)</f>
        <v>0.797410678965213</v>
      </c>
      <c r="H270" s="15" t="n">
        <f aca="false">I270/G270</f>
        <v>33423.4287119698</v>
      </c>
      <c r="I270" s="0" t="n">
        <f aca="false">I269</f>
        <v>26652.1989825572</v>
      </c>
      <c r="J270" s="85"/>
      <c r="K270" s="85"/>
      <c r="L270" s="85"/>
      <c r="M270" s="85"/>
      <c r="N270" s="85"/>
      <c r="O270" s="85"/>
      <c r="P270" s="85"/>
      <c r="Q270" s="85"/>
      <c r="R270" s="85"/>
      <c r="X270" s="122"/>
    </row>
    <row r="271" customFormat="false" ht="15" hidden="false" customHeight="false" outlineLevel="0" collapsed="false">
      <c r="F271" s="99" t="n">
        <f aca="false">G271/H271</f>
        <v>2.29130656426019E-005</v>
      </c>
      <c r="G271" s="52" t="n">
        <f aca="false">G270*(1-$O$1)</f>
        <v>0.781462465385908</v>
      </c>
      <c r="H271" s="15" t="n">
        <f aca="false">I271/G271</f>
        <v>34105.53950201</v>
      </c>
      <c r="I271" s="0" t="n">
        <f aca="false">I270</f>
        <v>26652.1989825572</v>
      </c>
      <c r="J271" s="85"/>
      <c r="K271" s="85"/>
      <c r="L271" s="85"/>
      <c r="M271" s="85"/>
      <c r="N271" s="85"/>
      <c r="O271" s="85"/>
      <c r="P271" s="85"/>
      <c r="Q271" s="85"/>
      <c r="R271" s="85"/>
      <c r="X271" s="122"/>
    </row>
    <row r="272" customFormat="false" ht="15" hidden="false" customHeight="false" outlineLevel="0" collapsed="false">
      <c r="F272" s="99" t="n">
        <f aca="false">G272/H272</f>
        <v>2.20057082431549E-005</v>
      </c>
      <c r="G272" s="52" t="n">
        <f aca="false">G271*(1-$O$1)</f>
        <v>0.76583321607819</v>
      </c>
      <c r="H272" s="15" t="n">
        <f aca="false">I272/G272</f>
        <v>34801.5709204183</v>
      </c>
      <c r="I272" s="0" t="n">
        <f aca="false">I271</f>
        <v>26652.1989825572</v>
      </c>
      <c r="J272" s="85"/>
      <c r="K272" s="85"/>
      <c r="L272" s="85"/>
      <c r="M272" s="85"/>
      <c r="N272" s="85"/>
      <c r="O272" s="85"/>
      <c r="P272" s="85"/>
      <c r="Q272" s="85"/>
      <c r="R272" s="85"/>
      <c r="X272" s="122"/>
    </row>
    <row r="273" customFormat="false" ht="15" hidden="false" customHeight="false" outlineLevel="0" collapsed="false">
      <c r="F273" s="99" t="n">
        <f aca="false">G273/H273</f>
        <v>2.1134282196726E-005</v>
      </c>
      <c r="G273" s="52" t="n">
        <f aca="false">G272*(1-$O$1)</f>
        <v>0.750516551756626</v>
      </c>
      <c r="H273" s="15" t="n">
        <f aca="false">I273/G273</f>
        <v>35511.8070616514</v>
      </c>
      <c r="I273" s="0" t="n">
        <f aca="false">I272</f>
        <v>26652.1989825572</v>
      </c>
      <c r="J273" s="85"/>
      <c r="K273" s="85"/>
      <c r="L273" s="85"/>
      <c r="M273" s="85"/>
      <c r="N273" s="85"/>
      <c r="O273" s="85"/>
      <c r="P273" s="85"/>
      <c r="Q273" s="85"/>
      <c r="R273" s="85"/>
      <c r="X273" s="122"/>
    </row>
    <row r="274" customFormat="false" ht="15" hidden="false" customHeight="false" outlineLevel="0" collapsed="false">
      <c r="F274" s="99" t="n">
        <f aca="false">G274/H274</f>
        <v>2.02973646217356E-005</v>
      </c>
      <c r="G274" s="52" t="n">
        <f aca="false">G273*(1-$O$1)</f>
        <v>0.735506220721494</v>
      </c>
      <c r="H274" s="15" t="n">
        <f aca="false">I274/G274</f>
        <v>36236.5378180116</v>
      </c>
      <c r="I274" s="0" t="n">
        <f aca="false">I273</f>
        <v>26652.1989825572</v>
      </c>
      <c r="J274" s="85"/>
      <c r="K274" s="85"/>
      <c r="L274" s="85"/>
      <c r="M274" s="85"/>
      <c r="N274" s="85"/>
      <c r="O274" s="85"/>
      <c r="P274" s="85"/>
      <c r="Q274" s="85"/>
      <c r="R274" s="85"/>
      <c r="X274" s="122"/>
    </row>
    <row r="275" customFormat="false" ht="15" hidden="false" customHeight="false" outlineLevel="0" collapsed="false">
      <c r="F275" s="99" t="n">
        <f aca="false">G275/H275</f>
        <v>1.94935889827149E-005</v>
      </c>
      <c r="G275" s="52" t="n">
        <f aca="false">G274*(1-$O$1)</f>
        <v>0.720796096307064</v>
      </c>
      <c r="H275" s="15" t="n">
        <f aca="false">I275/G275</f>
        <v>36976.058997971</v>
      </c>
      <c r="I275" s="0" t="n">
        <f aca="false">I274</f>
        <v>26652.1989825572</v>
      </c>
      <c r="J275" s="85"/>
      <c r="K275" s="85"/>
      <c r="L275" s="85"/>
      <c r="M275" s="85"/>
      <c r="N275" s="85"/>
      <c r="O275" s="85"/>
      <c r="P275" s="85"/>
      <c r="Q275" s="85"/>
      <c r="R275" s="85"/>
      <c r="X275" s="122"/>
    </row>
    <row r="276" customFormat="false" ht="15" hidden="false" customHeight="false" outlineLevel="0" collapsed="false">
      <c r="F276" s="99" t="n">
        <f aca="false">G276/H276</f>
        <v>1.87216428589994E-005</v>
      </c>
      <c r="G276" s="52" t="n">
        <f aca="false">G275*(1-$O$1)</f>
        <v>0.706380174380923</v>
      </c>
      <c r="H276" s="15" t="n">
        <f aca="false">I276/G276</f>
        <v>37730.6724469092</v>
      </c>
      <c r="I276" s="0" t="n">
        <f aca="false">I275</f>
        <v>26652.1989825572</v>
      </c>
      <c r="J276" s="85"/>
      <c r="K276" s="85"/>
      <c r="L276" s="85"/>
      <c r="M276" s="85"/>
      <c r="N276" s="85"/>
      <c r="O276" s="85"/>
      <c r="P276" s="85"/>
      <c r="Q276" s="85"/>
      <c r="R276" s="85"/>
    </row>
    <row r="277" customFormat="false" ht="15" hidden="false" customHeight="false" outlineLevel="0" collapsed="false">
      <c r="F277" s="99" t="n">
        <f aca="false">G277/H277</f>
        <v>1.7980265801783E-005</v>
      </c>
      <c r="G277" s="52" t="n">
        <f aca="false">G276*(1-$O$1)</f>
        <v>0.692252570893304</v>
      </c>
      <c r="H277" s="15" t="n">
        <f aca="false">I277/G277</f>
        <v>38500.6861703155</v>
      </c>
      <c r="I277" s="0" t="n">
        <f aca="false">I276</f>
        <v>26652.1989825572</v>
      </c>
      <c r="J277" s="85"/>
      <c r="K277" s="85"/>
      <c r="L277" s="85"/>
      <c r="M277" s="85"/>
      <c r="N277" s="85"/>
      <c r="O277" s="85"/>
      <c r="P277" s="85"/>
      <c r="Q277" s="85"/>
      <c r="R277" s="85"/>
    </row>
    <row r="278" customFormat="false" ht="15" hidden="false" customHeight="false" outlineLevel="0" collapsed="false">
      <c r="F278" s="99" t="n">
        <f aca="false">G278/H278</f>
        <v>1.72682472760324E-005</v>
      </c>
      <c r="G278" s="52" t="n">
        <f aca="false">G277*(1-$O$1)</f>
        <v>0.678407519475438</v>
      </c>
      <c r="H278" s="15" t="n">
        <f aca="false">I278/G278</f>
        <v>39286.4144595056</v>
      </c>
      <c r="I278" s="0" t="n">
        <f aca="false">I277</f>
        <v>26652.1989825572</v>
      </c>
      <c r="J278" s="85"/>
      <c r="K278" s="85"/>
      <c r="L278" s="85"/>
      <c r="M278" s="85"/>
      <c r="N278" s="85"/>
      <c r="O278" s="85"/>
      <c r="P278" s="85"/>
      <c r="Q278" s="85"/>
      <c r="R278" s="85"/>
    </row>
    <row r="279" customFormat="false" ht="15" hidden="false" customHeight="false" outlineLevel="0" collapsed="false">
      <c r="F279" s="99" t="n">
        <f aca="false">G279/H279</f>
        <v>1.65844246839015E-005</v>
      </c>
      <c r="G279" s="52" t="n">
        <f aca="false">G278*(1-$O$1)</f>
        <v>0.664839369085929</v>
      </c>
      <c r="H279" s="15" t="n">
        <f aca="false">I279/G279</f>
        <v>40088.1780199037</v>
      </c>
      <c r="I279" s="0" t="n">
        <f aca="false">I278</f>
        <v>26652.1989825572</v>
      </c>
      <c r="J279" s="85"/>
      <c r="K279" s="85"/>
      <c r="L279" s="85"/>
      <c r="M279" s="85"/>
      <c r="N279" s="85"/>
      <c r="O279" s="85"/>
      <c r="P279" s="85"/>
      <c r="Q279" s="85"/>
      <c r="R279" s="85"/>
    </row>
    <row r="280" customFormat="false" ht="15" hidden="false" customHeight="false" outlineLevel="0" collapsed="false">
      <c r="F280" s="99" t="n">
        <f aca="false">G280/H280</f>
        <v>1.5927681466419E-005</v>
      </c>
      <c r="G280" s="52" t="n">
        <f aca="false">G279*(1-$O$1)</f>
        <v>0.651542581704211</v>
      </c>
      <c r="H280" s="15" t="n">
        <f aca="false">I280/G280</f>
        <v>40906.3041019425</v>
      </c>
      <c r="I280" s="0" t="n">
        <f aca="false">I279</f>
        <v>26652.1989825572</v>
      </c>
      <c r="J280" s="85"/>
      <c r="K280" s="85"/>
      <c r="L280" s="85"/>
      <c r="M280" s="85"/>
      <c r="N280" s="85"/>
      <c r="O280" s="85"/>
      <c r="P280" s="85"/>
      <c r="Q280" s="85"/>
      <c r="R280" s="85"/>
    </row>
    <row r="281" customFormat="false" ht="15" hidden="false" customHeight="false" outlineLevel="0" collapsed="false">
      <c r="F281" s="99" t="n">
        <f aca="false">G281/H281</f>
        <v>1.52969452803488E-005</v>
      </c>
      <c r="G281" s="52" t="n">
        <f aca="false">G280*(1-$O$1)</f>
        <v>0.638511730070127</v>
      </c>
      <c r="H281" s="15" t="n">
        <f aca="false">I281/G281</f>
        <v>41741.1266346353</v>
      </c>
      <c r="I281" s="0" t="n">
        <f aca="false">I280</f>
        <v>26652.1989825572</v>
      </c>
      <c r="J281" s="85"/>
      <c r="K281" s="85"/>
      <c r="L281" s="85"/>
      <c r="M281" s="85"/>
      <c r="N281" s="85"/>
      <c r="O281" s="85"/>
      <c r="P281" s="85"/>
      <c r="Q281" s="85"/>
      <c r="R281" s="85"/>
    </row>
    <row r="282" customFormat="false" ht="15" hidden="false" customHeight="false" outlineLevel="0" collapsed="false">
      <c r="F282" s="99" t="n">
        <f aca="false">G282/H282</f>
        <v>1.4691186247247E-005</v>
      </c>
      <c r="G282" s="52" t="n">
        <f aca="false">G281*(1-$O$1)</f>
        <v>0.625741495468724</v>
      </c>
      <c r="H282" s="15" t="n">
        <f aca="false">I282/G282</f>
        <v>42592.9863618727</v>
      </c>
      <c r="I282" s="0" t="n">
        <f aca="false">I281</f>
        <v>26652.1989825572</v>
      </c>
      <c r="J282" s="85"/>
      <c r="K282" s="85"/>
      <c r="L282" s="85"/>
      <c r="M282" s="85"/>
      <c r="N282" s="85"/>
      <c r="O282" s="85"/>
      <c r="P282" s="85"/>
      <c r="Q282" s="85"/>
      <c r="R282" s="85"/>
    </row>
    <row r="283" customFormat="false" ht="15" hidden="false" customHeight="false" outlineLevel="0" collapsed="false">
      <c r="F283" s="99" t="n">
        <f aca="false">G283/H283</f>
        <v>1.4109415271856E-005</v>
      </c>
      <c r="G283" s="52" t="n">
        <f aca="false">G282*(1-$O$1)</f>
        <v>0.61322666555935</v>
      </c>
      <c r="H283" s="15" t="n">
        <f aca="false">I283/G283</f>
        <v>43462.2309815028</v>
      </c>
      <c r="I283" s="0" t="n">
        <f aca="false">I282</f>
        <v>26652.1989825572</v>
      </c>
      <c r="J283" s="85"/>
      <c r="K283" s="85"/>
      <c r="L283" s="85"/>
      <c r="M283" s="85"/>
      <c r="N283" s="85"/>
      <c r="O283" s="85"/>
      <c r="P283" s="85"/>
      <c r="Q283" s="85"/>
      <c r="R283" s="85"/>
    </row>
    <row r="284" customFormat="false" ht="15" hidden="false" customHeight="false" outlineLevel="0" collapsed="false">
      <c r="F284" s="99" t="n">
        <f aca="false">G284/H284</f>
        <v>1.35506824270905E-005</v>
      </c>
      <c r="G284" s="52" t="n">
        <f aca="false">G283*(1-$O$1)</f>
        <v>0.600962132248162</v>
      </c>
      <c r="H284" s="15" t="n">
        <f aca="false">I284/G284</f>
        <v>44349.2152872477</v>
      </c>
      <c r="I284" s="0" t="n">
        <f aca="false">I283</f>
        <v>26652.1989825572</v>
      </c>
      <c r="J284" s="85"/>
      <c r="K284" s="85"/>
      <c r="L284" s="85"/>
      <c r="M284" s="85"/>
      <c r="N284" s="85"/>
      <c r="O284" s="85"/>
      <c r="P284" s="85"/>
      <c r="Q284" s="85"/>
      <c r="R284" s="85"/>
    </row>
    <row r="285" customFormat="false" ht="15" hidden="false" customHeight="false" outlineLevel="0" collapsed="false">
      <c r="F285" s="99" t="n">
        <f aca="false">G285/H285</f>
        <v>1.30140754029777E-005</v>
      </c>
      <c r="G285" s="52" t="n">
        <f aca="false">G284*(1-$O$1)</f>
        <v>0.588942889603199</v>
      </c>
      <c r="H285" s="15" t="n">
        <f aca="false">I285/G285</f>
        <v>45254.3013135181</v>
      </c>
      <c r="I285" s="0" t="n">
        <f aca="false">I284</f>
        <v>26652.1989825572</v>
      </c>
      <c r="J285" s="85"/>
      <c r="K285" s="85"/>
      <c r="L285" s="85"/>
      <c r="M285" s="85"/>
      <c r="N285" s="85"/>
      <c r="O285" s="85"/>
      <c r="P285" s="85"/>
      <c r="Q285" s="85"/>
      <c r="R285" s="85"/>
    </row>
    <row r="286" customFormat="false" ht="15" hidden="false" customHeight="false" outlineLevel="0" collapsed="false">
      <c r="F286" s="99" t="n">
        <f aca="false">G286/H286</f>
        <v>1.24987180170198E-005</v>
      </c>
      <c r="G286" s="52" t="n">
        <f aca="false">G285*(1-$O$1)</f>
        <v>0.577164031811135</v>
      </c>
      <c r="H286" s="15" t="n">
        <f aca="false">I286/G286</f>
        <v>46177.8584831817</v>
      </c>
      <c r="I286" s="0" t="n">
        <f aca="false">I285</f>
        <v>26652.1989825572</v>
      </c>
      <c r="J286" s="85"/>
      <c r="K286" s="85"/>
      <c r="L286" s="85"/>
      <c r="M286" s="85"/>
      <c r="N286" s="85"/>
      <c r="O286" s="85"/>
      <c r="P286" s="85"/>
      <c r="Q286" s="85"/>
      <c r="R286" s="85"/>
    </row>
    <row r="287" customFormat="false" ht="15" hidden="false" customHeight="false" outlineLevel="0" collapsed="false">
      <c r="F287" s="99" t="n">
        <f aca="false">G287/H287</f>
        <v>1.20037687835458E-005</v>
      </c>
      <c r="G287" s="52" t="n">
        <f aca="false">G286*(1-$O$1)</f>
        <v>0.565620751174913</v>
      </c>
      <c r="H287" s="15" t="n">
        <f aca="false">I287/G287</f>
        <v>47120.2637583487</v>
      </c>
      <c r="I287" s="0" t="n">
        <f aca="false">I286</f>
        <v>26652.1989825572</v>
      </c>
      <c r="J287" s="85"/>
      <c r="K287" s="85"/>
      <c r="L287" s="85"/>
      <c r="M287" s="85"/>
      <c r="N287" s="85"/>
      <c r="O287" s="85"/>
      <c r="P287" s="85"/>
      <c r="Q287" s="85"/>
      <c r="R287" s="85"/>
    </row>
    <row r="288" customFormat="false" ht="15" hidden="false" customHeight="false" outlineLevel="0" collapsed="false">
      <c r="F288" s="99" t="n">
        <f aca="false">G288/H288</f>
        <v>1.15284195397174E-005</v>
      </c>
      <c r="G288" s="52" t="n">
        <f aca="false">G287*(1-$O$1)</f>
        <v>0.554308336151414</v>
      </c>
      <c r="H288" s="15" t="n">
        <f aca="false">I288/G288</f>
        <v>48081.9017942334</v>
      </c>
      <c r="I288" s="0" t="n">
        <f aca="false">I287</f>
        <v>26652.1989825572</v>
      </c>
      <c r="J288" s="85"/>
      <c r="K288" s="85"/>
      <c r="L288" s="85"/>
      <c r="M288" s="85"/>
      <c r="N288" s="85"/>
      <c r="O288" s="85"/>
      <c r="P288" s="85"/>
      <c r="Q288" s="85"/>
      <c r="R288" s="85"/>
    </row>
    <row r="289" customFormat="false" ht="15" hidden="false" customHeight="false" outlineLevel="0" collapsed="false">
      <c r="F289" s="99" t="n">
        <f aca="false">G289/H289</f>
        <v>1.10718941259446E-005</v>
      </c>
      <c r="G289" s="52" t="n">
        <f aca="false">G288*(1-$O$1)</f>
        <v>0.543222169428386</v>
      </c>
      <c r="H289" s="15" t="n">
        <f aca="false">I289/G289</f>
        <v>49063.1650961565</v>
      </c>
      <c r="I289" s="0" t="n">
        <f aca="false">I288</f>
        <v>26652.1989825572</v>
      </c>
      <c r="J289" s="85"/>
      <c r="K289" s="85"/>
      <c r="L289" s="85"/>
      <c r="M289" s="85"/>
      <c r="N289" s="85"/>
      <c r="O289" s="85"/>
      <c r="P289" s="85"/>
      <c r="Q289" s="85"/>
      <c r="R289" s="85"/>
    </row>
    <row r="290" customFormat="false" ht="15" hidden="false" customHeight="false" outlineLevel="0" collapsed="false">
      <c r="F290" s="99" t="n">
        <f aca="false">G290/H290</f>
        <v>1.06334471185572E-005</v>
      </c>
      <c r="G290" s="52" t="n">
        <f aca="false">G289*(1-$O$1)</f>
        <v>0.532357726039818</v>
      </c>
      <c r="H290" s="15" t="n">
        <f aca="false">I290/G290</f>
        <v>50064.4541797515</v>
      </c>
      <c r="I290" s="0" t="n">
        <f aca="false">I289</f>
        <v>26652.1989825572</v>
      </c>
      <c r="J290" s="85"/>
      <c r="K290" s="85"/>
      <c r="L290" s="85"/>
      <c r="M290" s="85"/>
      <c r="N290" s="85"/>
      <c r="O290" s="85"/>
      <c r="P290" s="85"/>
      <c r="Q290" s="85"/>
      <c r="R290" s="85"/>
    </row>
    <row r="291" customFormat="false" ht="15" hidden="false" customHeight="false" outlineLevel="0" collapsed="false">
      <c r="F291" s="99" t="n">
        <f aca="false">G291/H291</f>
        <v>1.02123626126623E-005</v>
      </c>
      <c r="G291" s="52" t="n">
        <f aca="false">G290*(1-$O$1)</f>
        <v>0.521710571519022</v>
      </c>
      <c r="H291" s="15" t="n">
        <f aca="false">I291/G291</f>
        <v>51086.1777344403</v>
      </c>
      <c r="I291" s="0" t="n">
        <f aca="false">I290</f>
        <v>26652.1989825572</v>
      </c>
      <c r="J291" s="85"/>
      <c r="K291" s="85"/>
      <c r="L291" s="85"/>
      <c r="M291" s="85"/>
      <c r="N291" s="85"/>
      <c r="O291" s="85"/>
      <c r="P291" s="85"/>
      <c r="Q291" s="85"/>
      <c r="R291" s="85"/>
    </row>
    <row r="292" customFormat="false" ht="15" hidden="false" customHeight="false" outlineLevel="0" collapsed="false">
      <c r="F292" s="99" t="n">
        <f aca="false">G292/H292</f>
        <v>9.80795305320092E-006</v>
      </c>
      <c r="G292" s="52" t="n">
        <f aca="false">G291*(1-$O$1)</f>
        <v>0.511276360088641</v>
      </c>
      <c r="H292" s="15" t="n">
        <f aca="false">I292/G292</f>
        <v>52128.7527902452</v>
      </c>
      <c r="I292" s="0" t="n">
        <f aca="false">I291</f>
        <v>26652.1989825572</v>
      </c>
      <c r="J292" s="85"/>
      <c r="K292" s="85"/>
      <c r="L292" s="85"/>
      <c r="M292" s="85"/>
      <c r="N292" s="85"/>
      <c r="O292" s="85"/>
      <c r="P292" s="85"/>
      <c r="Q292" s="85"/>
      <c r="R292" s="85"/>
    </row>
    <row r="293" customFormat="false" ht="15" hidden="false" customHeight="false" outlineLevel="0" collapsed="false">
      <c r="F293" s="99" t="n">
        <f aca="false">G293/H293</f>
        <v>9.41955811229416E-006</v>
      </c>
      <c r="G293" s="52" t="n">
        <f aca="false">G292*(1-$O$1)</f>
        <v>0.501050832886869</v>
      </c>
      <c r="H293" s="15" t="n">
        <f aca="false">I293/G293</f>
        <v>53192.6048880053</v>
      </c>
      <c r="I293" s="0" t="n">
        <f aca="false">I292</f>
        <v>26652.1989825572</v>
      </c>
      <c r="J293" s="85"/>
      <c r="K293" s="85"/>
      <c r="L293" s="85"/>
      <c r="M293" s="85"/>
      <c r="N293" s="85"/>
      <c r="O293" s="85"/>
      <c r="P293" s="85"/>
      <c r="Q293" s="85"/>
      <c r="R293" s="85"/>
    </row>
    <row r="294" customFormat="false" ht="15" hidden="false" customHeight="false" outlineLevel="0" collapsed="false">
      <c r="F294" s="99" t="n">
        <f aca="false">G294/H294</f>
        <v>9.04654361104731E-006</v>
      </c>
      <c r="G294" s="52" t="n">
        <f aca="false">G293*(1-$O$1)</f>
        <v>0.491029816229131</v>
      </c>
      <c r="H294" s="15" t="n">
        <f aca="false">I294/G294</f>
        <v>54278.1682530667</v>
      </c>
      <c r="I294" s="0" t="n">
        <f aca="false">I293</f>
        <v>26652.1989825572</v>
      </c>
      <c r="J294" s="85"/>
      <c r="K294" s="85"/>
      <c r="L294" s="85"/>
      <c r="M294" s="85"/>
      <c r="N294" s="85"/>
      <c r="O294" s="85"/>
      <c r="P294" s="85"/>
      <c r="Q294" s="85"/>
      <c r="R294" s="85"/>
    </row>
    <row r="295" customFormat="false" ht="15" hidden="false" customHeight="false" outlineLevel="0" collapsed="false">
      <c r="F295" s="99" t="n">
        <f aca="false">G295/H295</f>
        <v>8.68830048404984E-006</v>
      </c>
      <c r="G295" s="52" t="n">
        <f aca="false">G294*(1-$O$1)</f>
        <v>0.481209219904549</v>
      </c>
      <c r="H295" s="15" t="n">
        <f aca="false">I295/G295</f>
        <v>55385.885972517</v>
      </c>
      <c r="I295" s="0" t="n">
        <f aca="false">I294</f>
        <v>26652.1989825572</v>
      </c>
      <c r="J295" s="85"/>
      <c r="K295" s="85"/>
      <c r="L295" s="85"/>
      <c r="M295" s="85"/>
      <c r="N295" s="85"/>
      <c r="O295" s="85"/>
      <c r="P295" s="85"/>
      <c r="Q295" s="85"/>
      <c r="R295" s="85"/>
    </row>
    <row r="296" customFormat="false" ht="15" hidden="false" customHeight="false" outlineLevel="0" collapsed="false">
      <c r="F296" s="99" t="n">
        <f aca="false">G296/H296</f>
        <v>8.34424378488147E-006</v>
      </c>
      <c r="G296" s="52" t="n">
        <f aca="false">G295*(1-$O$1)</f>
        <v>0.471585035506458</v>
      </c>
      <c r="H296" s="15" t="n">
        <f aca="false">I296/G296</f>
        <v>56516.2101760378</v>
      </c>
      <c r="I296" s="0" t="n">
        <f aca="false">I295</f>
        <v>26652.1989825572</v>
      </c>
      <c r="J296" s="85"/>
      <c r="K296" s="85"/>
      <c r="L296" s="85"/>
      <c r="M296" s="85"/>
      <c r="N296" s="85"/>
      <c r="O296" s="85"/>
      <c r="P296" s="85"/>
      <c r="Q296" s="85"/>
      <c r="R296" s="85"/>
    </row>
    <row r="297" customFormat="false" ht="15" hidden="false" customHeight="false" outlineLevel="0" collapsed="false">
      <c r="F297" s="99" t="n">
        <f aca="false">G297/H297</f>
        <v>8.01381173100016E-006</v>
      </c>
      <c r="G297" s="52" t="n">
        <f aca="false">G296*(1-$O$1)</f>
        <v>0.462153334796329</v>
      </c>
      <c r="H297" s="15" t="n">
        <f aca="false">I297/G297</f>
        <v>57669.6022204467</v>
      </c>
      <c r="I297" s="0" t="n">
        <f aca="false">I296</f>
        <v>26652.1989825572</v>
      </c>
      <c r="J297" s="85"/>
      <c r="K297" s="85"/>
      <c r="L297" s="85"/>
      <c r="M297" s="85"/>
      <c r="N297" s="85"/>
      <c r="O297" s="85"/>
      <c r="P297" s="85"/>
      <c r="Q297" s="85"/>
      <c r="R297" s="85"/>
    </row>
    <row r="298" customFormat="false" ht="15" hidden="false" customHeight="false" outlineLevel="0" collapsed="false">
      <c r="F298" s="99" t="n">
        <f aca="false">G298/H298</f>
        <v>7.69646478645255E-006</v>
      </c>
      <c r="G298" s="52" t="n">
        <f aca="false">G297*(1-$O$1)</f>
        <v>0.452910268100402</v>
      </c>
      <c r="H298" s="15" t="n">
        <f aca="false">I298/G298</f>
        <v>58846.5328780069</v>
      </c>
      <c r="I298" s="0" t="n">
        <f aca="false">I297</f>
        <v>26652.1989825572</v>
      </c>
      <c r="J298" s="85"/>
      <c r="K298" s="85"/>
      <c r="L298" s="85"/>
      <c r="M298" s="85"/>
      <c r="N298" s="85"/>
      <c r="O298" s="85"/>
      <c r="P298" s="85"/>
      <c r="Q298" s="85"/>
      <c r="R298" s="85"/>
    </row>
    <row r="299" customFormat="false" ht="15" hidden="false" customHeight="false" outlineLevel="0" collapsed="false">
      <c r="F299" s="99" t="n">
        <f aca="false">G299/H299</f>
        <v>7.39168478090903E-006</v>
      </c>
      <c r="G299" s="52" t="n">
        <f aca="false">G298*(1-$O$1)</f>
        <v>0.443852062738394</v>
      </c>
      <c r="H299" s="15" t="n">
        <f aca="false">I299/G299</f>
        <v>60047.4825285784</v>
      </c>
      <c r="I299" s="0" t="n">
        <f aca="false">I298</f>
        <v>26652.1989825572</v>
      </c>
      <c r="J299" s="85"/>
      <c r="K299" s="85"/>
      <c r="L299" s="85"/>
      <c r="M299" s="85"/>
      <c r="N299" s="85"/>
      <c r="O299" s="85"/>
      <c r="P299" s="85"/>
      <c r="Q299" s="85"/>
      <c r="R299" s="85"/>
    </row>
    <row r="300" customFormat="false" ht="15" hidden="false" customHeight="false" outlineLevel="0" collapsed="false">
      <c r="F300" s="99" t="n">
        <f aca="false">G300/H300</f>
        <v>7.09897406358503E-006</v>
      </c>
      <c r="G300" s="52" t="n">
        <f aca="false">G299*(1-$O$1)</f>
        <v>0.434975021483626</v>
      </c>
      <c r="H300" s="15" t="n">
        <f aca="false">I300/G300</f>
        <v>61272.9413556923</v>
      </c>
      <c r="I300" s="0" t="n">
        <f aca="false">I299</f>
        <v>26652.1989825572</v>
      </c>
      <c r="J300" s="85"/>
      <c r="K300" s="85"/>
      <c r="L300" s="85"/>
      <c r="M300" s="85"/>
      <c r="N300" s="85"/>
      <c r="O300" s="85"/>
      <c r="P300" s="85"/>
      <c r="Q300" s="85"/>
      <c r="R300" s="85"/>
    </row>
    <row r="301" customFormat="false" ht="15" hidden="false" customHeight="false" outlineLevel="0" collapsed="false">
      <c r="F301" s="99" t="n">
        <f aca="false">G301/H301</f>
        <v>6.81785469066707E-006</v>
      </c>
      <c r="G301" s="52" t="n">
        <f aca="false">G300*(1-$O$1)</f>
        <v>0.426275521053953</v>
      </c>
      <c r="H301" s="15" t="n">
        <f aca="false">I301/G301</f>
        <v>62523.4095466248</v>
      </c>
      <c r="I301" s="0" t="n">
        <f aca="false">I300</f>
        <v>26652.1989825572</v>
      </c>
      <c r="J301" s="85"/>
      <c r="K301" s="85"/>
      <c r="L301" s="85"/>
      <c r="M301" s="85"/>
      <c r="N301" s="85"/>
      <c r="O301" s="85"/>
      <c r="P301" s="85"/>
      <c r="Q301" s="85"/>
      <c r="R301" s="85"/>
    </row>
    <row r="302" customFormat="false" ht="15" hidden="false" customHeight="false" outlineLevel="0" collapsed="false">
      <c r="F302" s="99" t="n">
        <f aca="false">G302/H302</f>
        <v>6.54786764491665E-006</v>
      </c>
      <c r="G302" s="52" t="n">
        <f aca="false">G301*(1-$O$1)</f>
        <v>0.417750010632874</v>
      </c>
      <c r="H302" s="15" t="n">
        <f aca="false">I302/G302</f>
        <v>63799.3974965559</v>
      </c>
      <c r="I302" s="0" t="n">
        <f aca="false">I301</f>
        <v>26652.1989825572</v>
      </c>
      <c r="J302" s="85"/>
      <c r="K302" s="85"/>
      <c r="L302" s="85"/>
      <c r="M302" s="85"/>
      <c r="N302" s="85"/>
      <c r="O302" s="85"/>
      <c r="P302" s="85"/>
      <c r="Q302" s="85"/>
      <c r="R302" s="85"/>
    </row>
    <row r="303" customFormat="false" ht="15" hidden="false" customHeight="false" outlineLevel="0" collapsed="false">
      <c r="F303" s="99" t="n">
        <f aca="false">G303/H303</f>
        <v>6.28857208617795E-006</v>
      </c>
      <c r="G303" s="52" t="n">
        <f aca="false">G302*(1-$O$1)</f>
        <v>0.409395010420217</v>
      </c>
      <c r="H303" s="15" t="n">
        <f aca="false">I303/G303</f>
        <v>65101.4260168938</v>
      </c>
      <c r="I303" s="0" t="n">
        <f aca="false">I302</f>
        <v>26652.1989825572</v>
      </c>
      <c r="J303" s="85"/>
      <c r="K303" s="85"/>
      <c r="L303" s="85"/>
      <c r="M303" s="85"/>
      <c r="N303" s="85"/>
      <c r="O303" s="85"/>
      <c r="P303" s="85"/>
      <c r="Q303" s="85"/>
      <c r="R303" s="85"/>
    </row>
    <row r="304" customFormat="false" ht="15" hidden="false" customHeight="false" outlineLevel="0" collapsed="false">
      <c r="F304" s="99" t="n">
        <f aca="false">G304/H304</f>
        <v>6.0395446315653E-006</v>
      </c>
      <c r="G304" s="52" t="n">
        <f aca="false">G303*(1-$O$1)</f>
        <v>0.401207110211813</v>
      </c>
      <c r="H304" s="15" t="n">
        <f aca="false">I304/G304</f>
        <v>66430.0265478508</v>
      </c>
      <c r="I304" s="0" t="n">
        <f aca="false">I303</f>
        <v>26652.1989825572</v>
      </c>
      <c r="J304" s="85"/>
      <c r="K304" s="85"/>
      <c r="L304" s="85"/>
      <c r="M304" s="85"/>
      <c r="N304" s="85"/>
      <c r="O304" s="85"/>
      <c r="P304" s="85"/>
      <c r="Q304" s="85"/>
      <c r="R304" s="85"/>
    </row>
    <row r="305" customFormat="false" ht="15" hidden="false" customHeight="false" outlineLevel="0" collapsed="false">
      <c r="F305" s="99" t="n">
        <f aca="false">G305/H305</f>
        <v>5.80037866415532E-006</v>
      </c>
      <c r="G305" s="52" t="n">
        <f aca="false">G304*(1-$O$1)</f>
        <v>0.393182968007576</v>
      </c>
      <c r="H305" s="15" t="n">
        <f aca="false">I305/G305</f>
        <v>67785.7413753579</v>
      </c>
      <c r="I305" s="0" t="n">
        <f aca="false">I304</f>
        <v>26652.1989825572</v>
      </c>
      <c r="J305" s="85"/>
      <c r="K305" s="85"/>
      <c r="L305" s="85"/>
      <c r="M305" s="85"/>
      <c r="N305" s="85"/>
      <c r="O305" s="85"/>
      <c r="P305" s="85"/>
      <c r="Q305" s="85"/>
      <c r="R305" s="85"/>
    </row>
    <row r="306" customFormat="false" ht="15" hidden="false" customHeight="false" outlineLevel="0" collapsed="false">
      <c r="F306" s="99" t="n">
        <f aca="false">G306/H306</f>
        <v>5.57068366905477E-006</v>
      </c>
      <c r="G306" s="52" t="n">
        <f aca="false">G305*(1-$O$1)</f>
        <v>0.385319308647425</v>
      </c>
      <c r="H306" s="15" t="n">
        <f aca="false">I306/G306</f>
        <v>69169.1238524061</v>
      </c>
      <c r="I306" s="0" t="n">
        <f aca="false">I305</f>
        <v>26652.1989825572</v>
      </c>
      <c r="J306" s="85"/>
      <c r="K306" s="85"/>
      <c r="L306" s="85"/>
      <c r="M306" s="85"/>
      <c r="N306" s="85"/>
      <c r="O306" s="85"/>
      <c r="P306" s="85"/>
      <c r="Q306" s="85"/>
      <c r="R306" s="85"/>
    </row>
    <row r="307" customFormat="false" ht="15" hidden="false" customHeight="false" outlineLevel="0" collapsed="false">
      <c r="F307" s="99" t="n">
        <f aca="false">G307/H307</f>
        <v>5.3500845957602E-006</v>
      </c>
      <c r="G307" s="52" t="n">
        <f aca="false">G306*(1-$O$1)</f>
        <v>0.377612922474476</v>
      </c>
      <c r="H307" s="15" t="n">
        <f aca="false">I307/G307</f>
        <v>70580.7386249041</v>
      </c>
      <c r="I307" s="0" t="n">
        <f aca="false">I306</f>
        <v>26652.1989825572</v>
      </c>
      <c r="J307" s="85"/>
      <c r="K307" s="85"/>
      <c r="L307" s="85"/>
      <c r="M307" s="85"/>
      <c r="N307" s="85"/>
      <c r="O307" s="85"/>
      <c r="P307" s="85"/>
      <c r="Q307" s="85"/>
      <c r="R307" s="85"/>
    </row>
    <row r="308" customFormat="false" ht="15" hidden="false" customHeight="false" outlineLevel="0" collapsed="false">
      <c r="F308" s="99" t="n">
        <f aca="false">G308/H308</f>
        <v>5.13822124576809E-006</v>
      </c>
      <c r="G308" s="52" t="n">
        <f aca="false">G307*(1-$O$1)</f>
        <v>0.370060664024987</v>
      </c>
      <c r="H308" s="15" t="n">
        <f aca="false">I308/G308</f>
        <v>72021.1618621471</v>
      </c>
      <c r="I308" s="0" t="n">
        <f aca="false">I307</f>
        <v>26652.1989825572</v>
      </c>
      <c r="J308" s="85"/>
      <c r="K308" s="85"/>
      <c r="L308" s="85"/>
      <c r="M308" s="85"/>
      <c r="N308" s="85"/>
      <c r="O308" s="85"/>
      <c r="P308" s="85"/>
      <c r="Q308" s="85"/>
      <c r="R308" s="85"/>
    </row>
    <row r="309" customFormat="false" ht="15" hidden="false" customHeight="false" outlineLevel="0" collapsed="false">
      <c r="F309" s="99" t="n">
        <f aca="false">G309/H309</f>
        <v>4.93474768443568E-006</v>
      </c>
      <c r="G309" s="52" t="n">
        <f aca="false">G308*(1-$O$1)</f>
        <v>0.362659450744487</v>
      </c>
      <c r="H309" s="15" t="n">
        <f aca="false">I309/G309</f>
        <v>73490.9814919868</v>
      </c>
      <c r="I309" s="0" t="n">
        <f aca="false">I308</f>
        <v>26652.1989825572</v>
      </c>
      <c r="J309" s="85"/>
      <c r="K309" s="85"/>
      <c r="L309" s="85"/>
      <c r="M309" s="85"/>
      <c r="N309" s="85"/>
      <c r="O309" s="85"/>
      <c r="P309" s="85"/>
      <c r="Q309" s="85"/>
      <c r="R309" s="85"/>
    </row>
    <row r="310" customFormat="false" ht="15" hidden="false" customHeight="false" outlineLevel="0" collapsed="false">
      <c r="F310" s="99" t="n">
        <f aca="false">G310/H310</f>
        <v>4.73933167613202E-006</v>
      </c>
      <c r="G310" s="52" t="n">
        <f aca="false">G309*(1-$O$1)</f>
        <v>0.355406261729597</v>
      </c>
      <c r="H310" s="15" t="n">
        <f aca="false">I310/G310</f>
        <v>74990.7974408029</v>
      </c>
      <c r="I310" s="0" t="n">
        <f aca="false">I309</f>
        <v>26652.1989825572</v>
      </c>
      <c r="J310" s="85"/>
      <c r="K310" s="85"/>
      <c r="L310" s="85"/>
      <c r="M310" s="85"/>
      <c r="N310" s="85"/>
      <c r="O310" s="85"/>
      <c r="P310" s="85"/>
      <c r="Q310" s="85"/>
      <c r="R310" s="85"/>
    </row>
    <row r="311" customFormat="false" ht="15" hidden="false" customHeight="false" outlineLevel="0" collapsed="false">
      <c r="F311" s="99" t="n">
        <f aca="false">G311/H311</f>
        <v>4.55165414175719E-006</v>
      </c>
      <c r="G311" s="52" t="n">
        <f aca="false">G310*(1-$O$1)</f>
        <v>0.348298136495005</v>
      </c>
      <c r="H311" s="15" t="n">
        <f aca="false">I311/G311</f>
        <v>76521.2218783703</v>
      </c>
      <c r="I311" s="0" t="n">
        <f aca="false">I310</f>
        <v>26652.1989825572</v>
      </c>
      <c r="J311" s="85"/>
      <c r="K311" s="85"/>
      <c r="L311" s="85"/>
      <c r="M311" s="85"/>
      <c r="N311" s="85"/>
      <c r="O311" s="85"/>
      <c r="P311" s="85"/>
      <c r="Q311" s="85"/>
      <c r="R311" s="85"/>
    </row>
    <row r="312" customFormat="false" ht="15" hidden="false" customHeight="false" outlineLevel="0" collapsed="false">
      <c r="F312" s="99" t="n">
        <f aca="false">G312/H312</f>
        <v>4.37140863774361E-006</v>
      </c>
      <c r="G312" s="52" t="n">
        <f aca="false">G311*(1-$O$1)</f>
        <v>0.341332173765105</v>
      </c>
      <c r="H312" s="15" t="n">
        <f aca="false">I312/G312</f>
        <v>78082.8794677248</v>
      </c>
      <c r="I312" s="0" t="n">
        <f aca="false">I311</f>
        <v>26652.1989825572</v>
      </c>
      <c r="J312" s="85"/>
      <c r="K312" s="85"/>
      <c r="L312" s="85"/>
      <c r="M312" s="85"/>
      <c r="N312" s="85"/>
      <c r="O312" s="85"/>
      <c r="P312" s="85"/>
      <c r="Q312" s="85"/>
      <c r="R312" s="85"/>
    </row>
    <row r="313" customFormat="false" ht="15" hidden="false" customHeight="false" outlineLevel="0" collapsed="false">
      <c r="F313" s="99" t="n">
        <f aca="false">G313/H313</f>
        <v>4.19830085568896E-006</v>
      </c>
      <c r="G313" s="52" t="n">
        <f aca="false">G312*(1-$O$1)</f>
        <v>0.334505530289803</v>
      </c>
      <c r="H313" s="15" t="n">
        <f aca="false">I313/G313</f>
        <v>79676.4076201273</v>
      </c>
      <c r="I313" s="0" t="n">
        <f aca="false">I312</f>
        <v>26652.1989825572</v>
      </c>
      <c r="J313" s="85"/>
      <c r="K313" s="85"/>
      <c r="L313" s="85"/>
      <c r="M313" s="85"/>
      <c r="N313" s="85"/>
      <c r="O313" s="85"/>
      <c r="P313" s="85"/>
      <c r="Q313" s="85"/>
      <c r="R313" s="85"/>
    </row>
    <row r="314" customFormat="false" ht="15" hidden="false" customHeight="false" outlineLevel="0" collapsed="false">
      <c r="F314" s="99" t="n">
        <f aca="false">G314/H314</f>
        <v>4.03204814180368E-006</v>
      </c>
      <c r="G314" s="52" t="n">
        <f aca="false">G313*(1-$O$1)</f>
        <v>0.327815419684007</v>
      </c>
      <c r="H314" s="15" t="n">
        <f aca="false">I314/G314</f>
        <v>81302.456755232</v>
      </c>
      <c r="I314" s="0" t="n">
        <f aca="false">I313</f>
        <v>26652.1989825572</v>
      </c>
      <c r="J314" s="85"/>
      <c r="K314" s="85"/>
      <c r="L314" s="85"/>
      <c r="M314" s="85"/>
      <c r="N314" s="85"/>
      <c r="O314" s="85"/>
      <c r="P314" s="85"/>
      <c r="Q314" s="85"/>
      <c r="R314" s="85"/>
    </row>
    <row r="315" customFormat="false" ht="15" hidden="false" customHeight="false" outlineLevel="0" collapsed="false">
      <c r="F315" s="99" t="n">
        <f aca="false">G315/H315</f>
        <v>3.87237903538825E-006</v>
      </c>
      <c r="G315" s="52" t="n">
        <f aca="false">G314*(1-$O$1)</f>
        <v>0.321259111290327</v>
      </c>
      <c r="H315" s="15" t="n">
        <f aca="false">I315/G315</f>
        <v>82961.6905665632</v>
      </c>
      <c r="I315" s="0" t="n">
        <f aca="false">I314</f>
        <v>26652.1989825572</v>
      </c>
      <c r="J315" s="85"/>
      <c r="K315" s="85"/>
      <c r="L315" s="85"/>
      <c r="M315" s="85"/>
      <c r="N315" s="85"/>
      <c r="O315" s="85"/>
      <c r="P315" s="85"/>
      <c r="Q315" s="85"/>
      <c r="R315" s="85"/>
    </row>
    <row r="316" customFormat="false" ht="15" hidden="false" customHeight="false" outlineLevel="0" collapsed="false">
      <c r="F316" s="99" t="n">
        <f aca="false">G316/H316</f>
        <v>3.71903282558688E-006</v>
      </c>
      <c r="G316" s="52" t="n">
        <f aca="false">G315*(1-$O$1)</f>
        <v>0.31483392906452</v>
      </c>
      <c r="H316" s="15" t="n">
        <f aca="false">I316/G316</f>
        <v>84654.7862924115</v>
      </c>
      <c r="I316" s="0" t="n">
        <f aca="false">I315</f>
        <v>26652.1989825572</v>
      </c>
      <c r="J316" s="85"/>
      <c r="K316" s="85"/>
      <c r="L316" s="85"/>
      <c r="M316" s="85"/>
      <c r="N316" s="85"/>
      <c r="O316" s="85"/>
      <c r="P316" s="85"/>
      <c r="Q316" s="85"/>
      <c r="R316" s="85"/>
    </row>
    <row r="317" customFormat="false" ht="15" hidden="false" customHeight="false" outlineLevel="0" collapsed="false">
      <c r="F317" s="99" t="n">
        <f aca="false">G317/H317</f>
        <v>3.57175912569364E-006</v>
      </c>
      <c r="G317" s="52" t="n">
        <f aca="false">G316*(1-$O$1)</f>
        <v>0.30853725048323</v>
      </c>
      <c r="H317" s="15" t="n">
        <f aca="false">I317/G317</f>
        <v>86382.4349922566</v>
      </c>
      <c r="I317" s="0" t="n">
        <f aca="false">I316</f>
        <v>26652.1989825572</v>
      </c>
      <c r="J317" s="85"/>
      <c r="K317" s="85"/>
      <c r="L317" s="85"/>
      <c r="M317" s="85"/>
      <c r="N317" s="85"/>
      <c r="O317" s="85"/>
      <c r="P317" s="85"/>
      <c r="Q317" s="85"/>
      <c r="R317" s="85"/>
    </row>
    <row r="318" customFormat="false" ht="15" hidden="false" customHeight="false" outlineLevel="0" collapsed="false">
      <c r="F318" s="99" t="n">
        <f aca="false">G318/H318</f>
        <v>3.43031746431617E-006</v>
      </c>
      <c r="G318" s="52" t="n">
        <f aca="false">G317*(1-$O$1)</f>
        <v>0.302366505473565</v>
      </c>
      <c r="H318" s="15" t="n">
        <f aca="false">I318/G318</f>
        <v>88145.3418288333</v>
      </c>
      <c r="I318" s="0" t="n">
        <f aca="false">I317</f>
        <v>26652.1989825572</v>
      </c>
      <c r="J318" s="85"/>
      <c r="K318" s="85"/>
      <c r="L318" s="85"/>
      <c r="M318" s="85"/>
      <c r="N318" s="85"/>
      <c r="O318" s="85"/>
      <c r="P318" s="85"/>
      <c r="Q318" s="85"/>
      <c r="R318" s="85"/>
    </row>
    <row r="319" customFormat="false" ht="15" hidden="false" customHeight="false" outlineLevel="0" collapsed="false">
      <c r="F319" s="99" t="n">
        <f aca="false">G319/H319</f>
        <v>3.29447689272925E-006</v>
      </c>
      <c r="G319" s="52" t="n">
        <f aca="false">G318*(1-$O$1)</f>
        <v>0.296319175364094</v>
      </c>
      <c r="H319" s="15" t="n">
        <f aca="false">I319/G319</f>
        <v>89944.2263559523</v>
      </c>
      <c r="I319" s="0" t="n">
        <f aca="false">I318</f>
        <v>26652.1989825572</v>
      </c>
      <c r="J319" s="85"/>
      <c r="K319" s="85"/>
      <c r="L319" s="85"/>
      <c r="M319" s="85"/>
      <c r="N319" s="85"/>
      <c r="O319" s="85"/>
      <c r="P319" s="85"/>
      <c r="Q319" s="85"/>
      <c r="R319" s="85"/>
    </row>
    <row r="320" customFormat="false" ht="15" hidden="false" customHeight="false" outlineLevel="0" collapsed="false">
      <c r="F320" s="99" t="n">
        <f aca="false">G320/H320</f>
        <v>3.16401560777717E-006</v>
      </c>
      <c r="G320" s="52" t="n">
        <f aca="false">G319*(1-$O$1)</f>
        <v>0.290392791856812</v>
      </c>
      <c r="H320" s="15" t="n">
        <f aca="false">I320/G320</f>
        <v>91779.8228121963</v>
      </c>
      <c r="I320" s="0" t="n">
        <f aca="false">I319</f>
        <v>26652.1989825572</v>
      </c>
      <c r="J320" s="85"/>
      <c r="K320" s="85"/>
      <c r="L320" s="85"/>
      <c r="M320" s="85"/>
      <c r="N320" s="85"/>
      <c r="O320" s="85"/>
      <c r="P320" s="85"/>
      <c r="Q320" s="85"/>
      <c r="R320" s="85"/>
    </row>
    <row r="321" customFormat="false" ht="15" hidden="false" customHeight="false" outlineLevel="0" collapsed="false">
      <c r="F321" s="99" t="n">
        <f aca="false">G321/H321</f>
        <v>3.0387205897092E-006</v>
      </c>
      <c r="G321" s="52" t="n">
        <f aca="false">G320*(1-$O$1)</f>
        <v>0.284584936019676</v>
      </c>
      <c r="H321" s="15" t="n">
        <f aca="false">I321/G321</f>
        <v>93652.8804206084</v>
      </c>
      <c r="I321" s="0" t="n">
        <f aca="false">I320</f>
        <v>26652.1989825572</v>
      </c>
      <c r="J321" s="85"/>
      <c r="K321" s="85"/>
      <c r="L321" s="85"/>
      <c r="M321" s="85"/>
      <c r="N321" s="85"/>
      <c r="O321" s="85"/>
      <c r="P321" s="85"/>
      <c r="Q321" s="85"/>
      <c r="R321" s="85"/>
    </row>
    <row r="322" customFormat="false" ht="15" hidden="false" customHeight="false" outlineLevel="0" collapsed="false">
      <c r="F322" s="99" t="n">
        <f aca="false">G322/H322</f>
        <v>2.91838725435671E-006</v>
      </c>
      <c r="G322" s="52" t="n">
        <f aca="false">G321*(1-$O$1)</f>
        <v>0.278893237299282</v>
      </c>
      <c r="H322" s="15" t="n">
        <f aca="false">I322/G322</f>
        <v>95564.1636944984</v>
      </c>
      <c r="I322" s="0" t="n">
        <f aca="false">I321</f>
        <v>26652.1989825572</v>
      </c>
      <c r="J322" s="85"/>
      <c r="K322" s="85"/>
      <c r="L322" s="85"/>
      <c r="M322" s="85"/>
      <c r="N322" s="85"/>
      <c r="O322" s="85"/>
      <c r="P322" s="85"/>
      <c r="Q322" s="85"/>
      <c r="R322" s="85"/>
    </row>
    <row r="323" customFormat="false" ht="15" hidden="false" customHeight="false" outlineLevel="0" collapsed="false">
      <c r="F323" s="99" t="n">
        <f aca="false">G323/H323</f>
        <v>2.80281911908418E-006</v>
      </c>
      <c r="G323" s="52" t="n">
        <f aca="false">G322*(1-$O$1)</f>
        <v>0.273315372553297</v>
      </c>
      <c r="H323" s="15" t="n">
        <f aca="false">I323/G323</f>
        <v>97514.4527494881</v>
      </c>
      <c r="I323" s="0" t="n">
        <f aca="false">I322</f>
        <v>26652.1989825572</v>
      </c>
      <c r="J323" s="85"/>
      <c r="K323" s="85"/>
      <c r="L323" s="85"/>
      <c r="M323" s="85"/>
      <c r="N323" s="85"/>
      <c r="O323" s="85"/>
      <c r="P323" s="85"/>
      <c r="Q323" s="85"/>
      <c r="R323" s="85"/>
    </row>
    <row r="324" customFormat="false" ht="15" hidden="false" customHeight="false" outlineLevel="0" collapsed="false">
      <c r="F324" s="99" t="n">
        <f aca="false">G324/H324</f>
        <v>2.69182748196845E-006</v>
      </c>
      <c r="G324" s="52" t="n">
        <f aca="false">G323*(1-$O$1)</f>
        <v>0.267849065102231</v>
      </c>
      <c r="H324" s="15" t="n">
        <f aca="false">I324/G324</f>
        <v>99504.5436219267</v>
      </c>
      <c r="I324" s="0" t="n">
        <f aca="false">I323</f>
        <v>26652.1989825572</v>
      </c>
      <c r="J324" s="85"/>
      <c r="K324" s="85"/>
      <c r="L324" s="85"/>
      <c r="M324" s="85"/>
      <c r="N324" s="85"/>
      <c r="O324" s="85"/>
      <c r="P324" s="85"/>
      <c r="Q324" s="85"/>
      <c r="R324" s="85"/>
    </row>
    <row r="325" customFormat="false" ht="15" hidden="false" customHeight="false" outlineLevel="0" collapsed="false">
      <c r="F325" s="99" t="n">
        <f aca="false">G325/H325</f>
        <v>2.5852311136825E-006</v>
      </c>
      <c r="G325" s="52" t="n">
        <f aca="false">G324*(1-$O$1)</f>
        <v>0.262492083800186</v>
      </c>
      <c r="H325" s="15" t="n">
        <f aca="false">I325/G325</f>
        <v>101535.248593803</v>
      </c>
      <c r="I325" s="0" t="n">
        <f aca="false">I324</f>
        <v>26652.1989825572</v>
      </c>
      <c r="J325" s="85"/>
      <c r="K325" s="85"/>
      <c r="L325" s="85"/>
      <c r="M325" s="85"/>
      <c r="N325" s="85"/>
      <c r="O325" s="85"/>
      <c r="P325" s="85"/>
      <c r="Q325" s="85"/>
      <c r="R325" s="85"/>
    </row>
    <row r="326" customFormat="false" ht="15" hidden="false" customHeight="false" outlineLevel="0" collapsed="false">
      <c r="F326" s="99" t="n">
        <f aca="false">G326/H326</f>
        <v>2.48285596158067E-006</v>
      </c>
      <c r="G326" s="52" t="n">
        <f aca="false">G325*(1-$O$1)</f>
        <v>0.257242242124182</v>
      </c>
      <c r="H326" s="15" t="n">
        <f aca="false">I326/G326</f>
        <v>103607.396524289</v>
      </c>
      <c r="I326" s="0" t="n">
        <f aca="false">I325</f>
        <v>26652.1989825572</v>
      </c>
      <c r="J326" s="85"/>
      <c r="K326" s="85"/>
      <c r="L326" s="85"/>
      <c r="M326" s="85"/>
      <c r="N326" s="85"/>
      <c r="O326" s="85"/>
      <c r="P326" s="85"/>
      <c r="Q326" s="85"/>
      <c r="R326" s="85"/>
    </row>
    <row r="327" customFormat="false" ht="15" hidden="false" customHeight="false" outlineLevel="0" collapsed="false">
      <c r="F327" s="99" t="n">
        <f aca="false">G327/H327</f>
        <v>2.38453486550208E-006</v>
      </c>
      <c r="G327" s="52" t="n">
        <f aca="false">G326*(1-$O$1)</f>
        <v>0.252097397281699</v>
      </c>
      <c r="H327" s="15" t="n">
        <f aca="false">I327/G327</f>
        <v>105721.83318805</v>
      </c>
      <c r="I327" s="0" t="n">
        <f aca="false">I326</f>
        <v>26652.1989825572</v>
      </c>
      <c r="J327" s="85"/>
      <c r="K327" s="85"/>
      <c r="L327" s="85"/>
      <c r="M327" s="85"/>
      <c r="N327" s="85"/>
      <c r="O327" s="85"/>
      <c r="P327" s="85"/>
      <c r="Q327" s="85"/>
      <c r="R327" s="85"/>
    </row>
    <row r="328" customFormat="false" ht="15" hidden="false" customHeight="false" outlineLevel="0" collapsed="false">
      <c r="F328" s="99" t="n">
        <f aca="false">G328/H328</f>
        <v>2.2901072848282E-006</v>
      </c>
      <c r="G328" s="52" t="n">
        <f aca="false">G327*(1-$O$1)</f>
        <v>0.247055449336065</v>
      </c>
      <c r="H328" s="15" t="n">
        <f aca="false">I328/G328</f>
        <v>107879.421620459</v>
      </c>
      <c r="I328" s="0" t="n">
        <f aca="false">I327</f>
        <v>26652.1989825572</v>
      </c>
      <c r="J328" s="85"/>
      <c r="K328" s="85"/>
      <c r="L328" s="85"/>
      <c r="M328" s="85"/>
      <c r="N328" s="85"/>
      <c r="O328" s="85"/>
      <c r="P328" s="85"/>
      <c r="Q328" s="85"/>
      <c r="R328" s="85"/>
    </row>
    <row r="329" customFormat="false" ht="15" hidden="false" customHeight="false" outlineLevel="0" collapsed="false">
      <c r="F329" s="99" t="n">
        <f aca="false">G329/H329</f>
        <v>2.199419036349E-006</v>
      </c>
      <c r="G329" s="52" t="n">
        <f aca="false">G328*(1-$O$1)</f>
        <v>0.242114340349343</v>
      </c>
      <c r="H329" s="15" t="n">
        <f aca="false">I329/G329</f>
        <v>110081.042469856</v>
      </c>
      <c r="I329" s="0" t="n">
        <f aca="false">I328</f>
        <v>26652.1989825572</v>
      </c>
      <c r="J329" s="85"/>
      <c r="K329" s="85"/>
      <c r="L329" s="85"/>
      <c r="M329" s="85"/>
      <c r="N329" s="85"/>
      <c r="O329" s="85"/>
      <c r="P329" s="85"/>
      <c r="Q329" s="85"/>
      <c r="R329" s="85"/>
    </row>
    <row r="330" customFormat="false" ht="15" hidden="false" customHeight="false" outlineLevel="0" collapsed="false">
      <c r="F330" s="99" t="n">
        <f aca="false">G330/H330</f>
        <v>2.11232204250958E-006</v>
      </c>
      <c r="G330" s="52" t="n">
        <f aca="false">G329*(1-$O$1)</f>
        <v>0.237272053542357</v>
      </c>
      <c r="H330" s="15" t="n">
        <f aca="false">I330/G330</f>
        <v>112327.594356996</v>
      </c>
      <c r="I330" s="0" t="n">
        <f aca="false">I329</f>
        <v>26652.1989825572</v>
      </c>
      <c r="J330" s="85"/>
      <c r="K330" s="85"/>
      <c r="L330" s="85"/>
      <c r="M330" s="85"/>
      <c r="N330" s="85"/>
      <c r="O330" s="85"/>
      <c r="P330" s="85"/>
      <c r="Q330" s="85"/>
      <c r="R330" s="85"/>
    </row>
    <row r="331" customFormat="false" ht="15" hidden="false" customHeight="false" outlineLevel="0" collapsed="false">
      <c r="F331" s="99" t="n">
        <f aca="false">G331/H331</f>
        <v>2.0286740896262E-006</v>
      </c>
      <c r="G331" s="52" t="n">
        <f aca="false">G330*(1-$O$1)</f>
        <v>0.232526612471509</v>
      </c>
      <c r="H331" s="15" t="n">
        <f aca="false">I331/G331</f>
        <v>114619.994241832</v>
      </c>
      <c r="I331" s="0" t="n">
        <f aca="false">I330</f>
        <v>26652.1989825572</v>
      </c>
      <c r="J331" s="85"/>
      <c r="K331" s="85"/>
      <c r="L331" s="85"/>
      <c r="M331" s="85"/>
      <c r="N331" s="85"/>
      <c r="O331" s="85"/>
      <c r="P331" s="85"/>
      <c r="Q331" s="85"/>
      <c r="R331" s="85"/>
    </row>
    <row r="332" customFormat="false" ht="15" hidden="false" customHeight="false" outlineLevel="0" collapsed="false">
      <c r="F332" s="99" t="n">
        <f aca="false">G332/H332</f>
        <v>1.948338595677E-006</v>
      </c>
      <c r="G332" s="52" t="n">
        <f aca="false">G331*(1-$O$1)</f>
        <v>0.227876080222079</v>
      </c>
      <c r="H332" s="15" t="n">
        <f aca="false">I332/G332</f>
        <v>116959.177797788</v>
      </c>
      <c r="I332" s="0" t="n">
        <f aca="false">I331</f>
        <v>26652.1989825572</v>
      </c>
      <c r="J332" s="85"/>
      <c r="K332" s="85"/>
      <c r="L332" s="85"/>
      <c r="M332" s="85"/>
      <c r="N332" s="85"/>
      <c r="O332" s="85"/>
      <c r="P332" s="85"/>
      <c r="Q332" s="85"/>
      <c r="R332" s="85"/>
    </row>
    <row r="333" customFormat="false" ht="15" hidden="false" customHeight="false" outlineLevel="0" collapsed="false">
      <c r="F333" s="99" t="n">
        <f aca="false">G333/H333</f>
        <v>1.87118438728819E-006</v>
      </c>
      <c r="G333" s="52" t="n">
        <f aca="false">G332*(1-$O$1)</f>
        <v>0.223318558617638</v>
      </c>
      <c r="H333" s="15" t="n">
        <f aca="false">I333/G333</f>
        <v>119346.099793661</v>
      </c>
      <c r="I333" s="0" t="n">
        <f aca="false">I332</f>
        <v>26652.1989825572</v>
      </c>
      <c r="J333" s="85"/>
      <c r="K333" s="85"/>
      <c r="L333" s="85"/>
      <c r="M333" s="85"/>
      <c r="N333" s="85"/>
      <c r="O333" s="85"/>
      <c r="P333" s="85"/>
      <c r="Q333" s="85"/>
      <c r="R333" s="85"/>
    </row>
    <row r="334" customFormat="false" ht="15" hidden="false" customHeight="false" outlineLevel="0" collapsed="false">
      <c r="F334" s="99" t="n">
        <f aca="false">G334/H334</f>
        <v>1.79708548555158E-006</v>
      </c>
      <c r="G334" s="52" t="n">
        <f aca="false">G333*(1-$O$1)</f>
        <v>0.218852187445285</v>
      </c>
      <c r="H334" s="15" t="n">
        <f aca="false">I334/G334</f>
        <v>121781.734483328</v>
      </c>
      <c r="I334" s="0" t="n">
        <f aca="false">I333</f>
        <v>26652.1989825572</v>
      </c>
      <c r="J334" s="85"/>
      <c r="K334" s="85"/>
      <c r="L334" s="85"/>
      <c r="M334" s="85"/>
      <c r="N334" s="85"/>
      <c r="O334" s="85"/>
      <c r="P334" s="85"/>
      <c r="Q334" s="85"/>
      <c r="R334" s="85"/>
    </row>
    <row r="335" customFormat="false" ht="15" hidden="false" customHeight="false" outlineLevel="0" collapsed="false">
      <c r="F335" s="99" t="n">
        <f aca="false">G335/H335</f>
        <v>1.72592090032374E-006</v>
      </c>
      <c r="G335" s="52" t="n">
        <f aca="false">G334*(1-$O$1)</f>
        <v>0.214475143696379</v>
      </c>
      <c r="H335" s="15" t="n">
        <f aca="false">I335/G335</f>
        <v>124267.076003396</v>
      </c>
      <c r="I335" s="0" t="n">
        <f aca="false">I334</f>
        <v>26652.1989825572</v>
      </c>
      <c r="J335" s="85"/>
      <c r="K335" s="85"/>
      <c r="L335" s="85"/>
      <c r="M335" s="85"/>
      <c r="N335" s="85"/>
      <c r="O335" s="85"/>
      <c r="P335" s="85"/>
      <c r="Q335" s="85"/>
      <c r="R335" s="85"/>
    </row>
    <row r="336" customFormat="false" ht="15" hidden="false" customHeight="false" outlineLevel="0" collapsed="false">
      <c r="F336" s="99" t="n">
        <f aca="false">G336/H336</f>
        <v>1.65757443267092E-006</v>
      </c>
      <c r="G336" s="52" t="n">
        <f aca="false">G335*(1-$O$1)</f>
        <v>0.210185640822452</v>
      </c>
      <c r="H336" s="15" t="n">
        <f aca="false">I336/G336</f>
        <v>126803.138778975</v>
      </c>
      <c r="I336" s="0" t="n">
        <f aca="false">I335</f>
        <v>26652.1989825572</v>
      </c>
      <c r="J336" s="85"/>
      <c r="K336" s="85"/>
      <c r="L336" s="85"/>
      <c r="M336" s="85"/>
      <c r="N336" s="85"/>
      <c r="O336" s="85"/>
      <c r="P336" s="85"/>
      <c r="Q336" s="85"/>
      <c r="R336" s="85"/>
    </row>
    <row r="337" customFormat="false" ht="15" hidden="false" customHeight="false" outlineLevel="0" collapsed="false">
      <c r="F337" s="99" t="n">
        <f aca="false">G337/H337</f>
        <v>1.59193448513715E-006</v>
      </c>
      <c r="G337" s="52" t="n">
        <f aca="false">G336*(1-$O$1)</f>
        <v>0.205981928006003</v>
      </c>
      <c r="H337" s="15" t="n">
        <f aca="false">I337/G337</f>
        <v>129390.95793773</v>
      </c>
      <c r="I337" s="0" t="n">
        <f aca="false">I336</f>
        <v>26652.1989825572</v>
      </c>
      <c r="J337" s="85"/>
      <c r="K337" s="85"/>
      <c r="L337" s="85"/>
      <c r="M337" s="85"/>
      <c r="N337" s="85"/>
      <c r="O337" s="85"/>
      <c r="P337" s="85"/>
      <c r="Q337" s="85"/>
      <c r="R337" s="85"/>
    </row>
    <row r="338" customFormat="false" ht="15" hidden="false" customHeight="false" outlineLevel="0" collapsed="false">
      <c r="F338" s="99" t="n">
        <f aca="false">G338/H338</f>
        <v>1.52889387952572E-006</v>
      </c>
      <c r="G338" s="52" t="n">
        <f aca="false">G337*(1-$O$1)</f>
        <v>0.201862289445882</v>
      </c>
      <c r="H338" s="15" t="n">
        <f aca="false">I338/G338</f>
        <v>132031.589732378</v>
      </c>
      <c r="I338" s="0" t="n">
        <f aca="false">I337</f>
        <v>26652.1989825572</v>
      </c>
      <c r="J338" s="85"/>
      <c r="K338" s="85"/>
      <c r="L338" s="85"/>
      <c r="M338" s="85"/>
      <c r="N338" s="85"/>
      <c r="O338" s="85"/>
      <c r="P338" s="85"/>
      <c r="Q338" s="85"/>
      <c r="R338" s="85"/>
    </row>
    <row r="339" customFormat="false" ht="15" hidden="false" customHeight="false" outlineLevel="0" collapsed="false">
      <c r="F339" s="99" t="n">
        <f aca="false">G339/H339</f>
        <v>1.4683496818965E-006</v>
      </c>
      <c r="G339" s="52" t="n">
        <f aca="false">G338*(1-$O$1)</f>
        <v>0.197825043656965</v>
      </c>
      <c r="H339" s="15" t="n">
        <f aca="false">I339/G339</f>
        <v>134726.111971814</v>
      </c>
      <c r="I339" s="0" t="n">
        <f aca="false">I338</f>
        <v>26652.1989825572</v>
      </c>
      <c r="J339" s="85"/>
      <c r="K339" s="85"/>
      <c r="L339" s="85"/>
      <c r="M339" s="85"/>
      <c r="N339" s="85"/>
      <c r="O339" s="85"/>
      <c r="P339" s="85"/>
      <c r="Q339" s="85"/>
      <c r="R339" s="85"/>
    </row>
    <row r="340" customFormat="false" ht="15" hidden="false" customHeight="false" outlineLevel="0" collapsed="false">
      <c r="F340" s="99" t="n">
        <f aca="false">G340/H340</f>
        <v>1.4102030344934E-006</v>
      </c>
      <c r="G340" s="52" t="n">
        <f aca="false">G339*(1-$O$1)</f>
        <v>0.193868542783826</v>
      </c>
      <c r="H340" s="15" t="n">
        <f aca="false">I340/G340</f>
        <v>137475.624461035</v>
      </c>
      <c r="I340" s="0" t="n">
        <f aca="false">I339</f>
        <v>26652.1989825572</v>
      </c>
      <c r="J340" s="85"/>
      <c r="K340" s="85"/>
      <c r="L340" s="85"/>
      <c r="M340" s="85"/>
      <c r="N340" s="85"/>
      <c r="O340" s="85"/>
      <c r="P340" s="85"/>
      <c r="Q340" s="85"/>
      <c r="R340" s="85"/>
    </row>
    <row r="341" customFormat="false" ht="15" hidden="false" customHeight="false" outlineLevel="0" collapsed="false">
      <c r="F341" s="99" t="n">
        <f aca="false">G341/H341</f>
        <v>1.35435899432746E-006</v>
      </c>
      <c r="G341" s="52" t="n">
        <f aca="false">G340*(1-$O$1)</f>
        <v>0.189991171928149</v>
      </c>
      <c r="H341" s="15" t="n">
        <f aca="false">I341/G341</f>
        <v>140281.249450035</v>
      </c>
      <c r="I341" s="0" t="n">
        <f aca="false">I340</f>
        <v>26652.1989825572</v>
      </c>
      <c r="J341" s="85"/>
      <c r="K341" s="85"/>
      <c r="L341" s="85"/>
      <c r="M341" s="85"/>
      <c r="N341" s="85"/>
      <c r="O341" s="85"/>
      <c r="P341" s="85"/>
      <c r="Q341" s="85"/>
      <c r="R341" s="85"/>
    </row>
    <row r="342" customFormat="false" ht="15" hidden="false" customHeight="false" outlineLevel="0" collapsed="false">
      <c r="F342" s="99" t="n">
        <f aca="false">G342/H342</f>
        <v>1.30072637815209E-006</v>
      </c>
      <c r="G342" s="52" t="n">
        <f aca="false">G341*(1-$O$1)</f>
        <v>0.186191348489586</v>
      </c>
      <c r="H342" s="15" t="n">
        <f aca="false">I342/G342</f>
        <v>143144.132091873</v>
      </c>
      <c r="I342" s="0" t="n">
        <f aca="false">I341</f>
        <v>26652.1989825572</v>
      </c>
      <c r="J342" s="85"/>
      <c r="K342" s="85"/>
      <c r="L342" s="85"/>
      <c r="M342" s="85"/>
      <c r="N342" s="85"/>
      <c r="O342" s="85"/>
      <c r="P342" s="85"/>
      <c r="Q342" s="85"/>
      <c r="R342" s="85"/>
    </row>
    <row r="343" customFormat="false" ht="15" hidden="false" customHeight="false" outlineLevel="0" collapsed="false">
      <c r="F343" s="99" t="n">
        <f aca="false">G343/H343</f>
        <v>1.24921761357727E-006</v>
      </c>
      <c r="G343" s="52" t="n">
        <f aca="false">G342*(1-$O$1)</f>
        <v>0.182467521519794</v>
      </c>
      <c r="H343" s="15" t="n">
        <f aca="false">I343/G343</f>
        <v>146065.440910074</v>
      </c>
      <c r="I343" s="0" t="n">
        <f aca="false">I342</f>
        <v>26652.1989825572</v>
      </c>
      <c r="J343" s="85"/>
      <c r="K343" s="85"/>
      <c r="L343" s="85"/>
      <c r="M343" s="85"/>
      <c r="N343" s="85"/>
      <c r="O343" s="85"/>
      <c r="P343" s="85"/>
      <c r="Q343" s="85"/>
      <c r="R343" s="85"/>
    </row>
    <row r="344" customFormat="false" ht="15" hidden="false" customHeight="false" outlineLevel="0" collapsed="false">
      <c r="F344" s="99" t="n">
        <f aca="false">G344/H344</f>
        <v>1.19974859607961E-006</v>
      </c>
      <c r="G344" s="52" t="n">
        <f aca="false">G343*(1-$O$1)</f>
        <v>0.178818171089398</v>
      </c>
      <c r="H344" s="15" t="n">
        <f aca="false">I344/G344</f>
        <v>149046.368275586</v>
      </c>
      <c r="I344" s="0" t="n">
        <f aca="false">I343</f>
        <v>26652.1989825572</v>
      </c>
      <c r="J344" s="85"/>
      <c r="K344" s="85"/>
      <c r="L344" s="85"/>
      <c r="M344" s="85"/>
      <c r="N344" s="85"/>
      <c r="O344" s="85"/>
      <c r="P344" s="85"/>
      <c r="Q344" s="85"/>
      <c r="R344" s="85"/>
    </row>
    <row r="345" customFormat="false" ht="15" hidden="false" customHeight="false" outlineLevel="0" collapsed="false">
      <c r="F345" s="99" t="n">
        <f aca="false">G345/H345</f>
        <v>1.15223855167486E-006</v>
      </c>
      <c r="G345" s="52" t="n">
        <f aca="false">G344*(1-$O$1)</f>
        <v>0.17524180766761</v>
      </c>
      <c r="H345" s="15" t="n">
        <f aca="false">I345/G345</f>
        <v>152088.130893455</v>
      </c>
      <c r="I345" s="0" t="n">
        <f aca="false">I344</f>
        <v>26652.1989825572</v>
      </c>
      <c r="J345" s="85"/>
      <c r="K345" s="85"/>
      <c r="L345" s="85"/>
      <c r="M345" s="85"/>
      <c r="N345" s="85"/>
      <c r="O345" s="85"/>
      <c r="P345" s="85"/>
      <c r="Q345" s="85"/>
      <c r="R345" s="85"/>
    </row>
    <row r="346" customFormat="false" ht="15" hidden="false" customHeight="false" outlineLevel="0" collapsed="false">
      <c r="F346" s="99" t="n">
        <f aca="false">G346/H346</f>
        <v>1.10660990502853E-006</v>
      </c>
      <c r="G346" s="52" t="n">
        <f aca="false">G345*(1-$O$1)</f>
        <v>0.171736971514258</v>
      </c>
      <c r="H346" s="15" t="n">
        <f aca="false">I346/G346</f>
        <v>155191.970299444</v>
      </c>
      <c r="I346" s="0" t="n">
        <f aca="false">I345</f>
        <v>26652.1989825572</v>
      </c>
      <c r="J346" s="85"/>
      <c r="K346" s="85"/>
      <c r="L346" s="85"/>
      <c r="M346" s="85"/>
      <c r="N346" s="85"/>
      <c r="O346" s="85"/>
      <c r="P346" s="85"/>
      <c r="Q346" s="85"/>
      <c r="R346" s="85"/>
    </row>
    <row r="347" customFormat="false" ht="15" hidden="false" customHeight="false" outlineLevel="0" collapsed="false">
      <c r="F347" s="99" t="n">
        <f aca="false">G347/H347</f>
        <v>1.0627881527894E-006</v>
      </c>
      <c r="G347" s="52" t="n">
        <f aca="false">G346*(1-$O$1)</f>
        <v>0.168302232083973</v>
      </c>
      <c r="H347" s="15" t="n">
        <f aca="false">I347/G347</f>
        <v>158359.153366779</v>
      </c>
      <c r="I347" s="0" t="n">
        <f aca="false">I346</f>
        <v>26652.1989825572</v>
      </c>
      <c r="J347" s="85"/>
      <c r="K347" s="85"/>
      <c r="L347" s="85"/>
      <c r="M347" s="85"/>
      <c r="N347" s="85"/>
      <c r="O347" s="85"/>
      <c r="P347" s="85"/>
      <c r="Q347" s="85"/>
      <c r="R347" s="85"/>
    </row>
    <row r="348" customFormat="false" ht="15" hidden="false" customHeight="false" outlineLevel="0" collapsed="false">
      <c r="F348" s="99" t="n">
        <f aca="false">G348/H348</f>
        <v>1.02070174193894E-006</v>
      </c>
      <c r="G348" s="52" t="n">
        <f aca="false">G347*(1-$O$1)</f>
        <v>0.164936187442294</v>
      </c>
      <c r="H348" s="15" t="n">
        <f aca="false">I348/G348</f>
        <v>161590.972823244</v>
      </c>
      <c r="I348" s="0" t="n">
        <f aca="false">I347</f>
        <v>26652.1989825572</v>
      </c>
      <c r="J348" s="85"/>
      <c r="K348" s="85"/>
      <c r="L348" s="85"/>
      <c r="M348" s="85"/>
      <c r="N348" s="85"/>
      <c r="O348" s="85"/>
      <c r="P348" s="85"/>
      <c r="Q348" s="85"/>
      <c r="R348" s="85"/>
    </row>
    <row r="349" customFormat="false" ht="15" hidden="false" customHeight="false" outlineLevel="0" collapsed="false">
      <c r="F349" s="99" t="n">
        <f aca="false">G349/H349</f>
        <v>9.8028195295816E-007</v>
      </c>
      <c r="G349" s="52" t="n">
        <f aca="false">G348*(1-$O$1)</f>
        <v>0.161637463693448</v>
      </c>
      <c r="H349" s="15" t="n">
        <f aca="false">I349/G349</f>
        <v>164888.747778821</v>
      </c>
      <c r="I349" s="0" t="n">
        <f aca="false">I348</f>
        <v>26652.1989825572</v>
      </c>
      <c r="J349" s="85"/>
      <c r="K349" s="85"/>
      <c r="L349" s="85"/>
      <c r="M349" s="85"/>
      <c r="N349" s="85"/>
      <c r="O349" s="85"/>
      <c r="P349" s="85"/>
      <c r="Q349" s="85"/>
      <c r="R349" s="85"/>
    </row>
    <row r="350" customFormat="false" ht="15" hidden="false" customHeight="false" outlineLevel="0" collapsed="false">
      <c r="F350" s="99" t="n">
        <f aca="false">G350/H350</f>
        <v>9.41462787621017E-007</v>
      </c>
      <c r="G350" s="52" t="n">
        <f aca="false">G349*(1-$O$1)</f>
        <v>0.158404714419579</v>
      </c>
      <c r="H350" s="15" t="n">
        <f aca="false">I350/G350</f>
        <v>168253.824264103</v>
      </c>
      <c r="I350" s="0" t="n">
        <f aca="false">I349</f>
        <v>26652.1989825572</v>
      </c>
      <c r="J350" s="85"/>
      <c r="K350" s="85"/>
      <c r="L350" s="85"/>
      <c r="M350" s="85"/>
      <c r="N350" s="85"/>
      <c r="O350" s="85"/>
      <c r="P350" s="85"/>
      <c r="Q350" s="85"/>
      <c r="R350" s="85"/>
    </row>
    <row r="351" customFormat="false" ht="15" hidden="false" customHeight="false" outlineLevel="0" collapsed="false">
      <c r="F351" s="99" t="n">
        <f aca="false">G351/H351</f>
        <v>9.04180861231224E-007</v>
      </c>
      <c r="G351" s="52" t="n">
        <f aca="false">G350*(1-$O$1)</f>
        <v>0.155236620131187</v>
      </c>
      <c r="H351" s="15" t="n">
        <f aca="false">I351/G351</f>
        <v>171687.575779697</v>
      </c>
      <c r="I351" s="0" t="n">
        <f aca="false">I350</f>
        <v>26652.1989825572</v>
      </c>
      <c r="J351" s="85"/>
      <c r="K351" s="85"/>
      <c r="L351" s="85"/>
      <c r="M351" s="85"/>
      <c r="N351" s="85"/>
      <c r="O351" s="85"/>
      <c r="P351" s="85"/>
      <c r="Q351" s="85"/>
      <c r="R351" s="85"/>
    </row>
    <row r="352" customFormat="false" ht="15" hidden="false" customHeight="false" outlineLevel="0" collapsed="false">
      <c r="F352" s="99" t="n">
        <f aca="false">G352/H352</f>
        <v>8.68375299126468E-007</v>
      </c>
      <c r="G352" s="52" t="n">
        <f aca="false">G351*(1-$O$1)</f>
        <v>0.152131887728564</v>
      </c>
      <c r="H352" s="15" t="n">
        <f aca="false">I352/G352</f>
        <v>175191.403856833</v>
      </c>
      <c r="I352" s="0" t="n">
        <f aca="false">I351</f>
        <v>26652.1989825572</v>
      </c>
      <c r="J352" s="85"/>
      <c r="K352" s="85"/>
      <c r="L352" s="85"/>
      <c r="M352" s="85"/>
      <c r="N352" s="85"/>
      <c r="O352" s="85"/>
      <c r="P352" s="85"/>
      <c r="Q352" s="85"/>
      <c r="R352" s="85"/>
    </row>
    <row r="353" customFormat="false" ht="15" hidden="false" customHeight="false" outlineLevel="0" collapsed="false">
      <c r="F353" s="99" t="n">
        <f aca="false">G353/H353</f>
        <v>8.3398763728106E-007</v>
      </c>
      <c r="G353" s="52" t="n">
        <f aca="false">G352*(1-$O$1)</f>
        <v>0.149089249973992</v>
      </c>
      <c r="H353" s="15" t="n">
        <f aca="false">I353/G353</f>
        <v>178766.738629422</v>
      </c>
      <c r="I353" s="0" t="n">
        <f aca="false">I352</f>
        <v>26652.1989825572</v>
      </c>
      <c r="J353" s="85"/>
      <c r="K353" s="85"/>
      <c r="L353" s="85"/>
      <c r="M353" s="85"/>
      <c r="N353" s="85"/>
      <c r="O353" s="85"/>
      <c r="P353" s="85"/>
      <c r="Q353" s="85"/>
      <c r="R353" s="85"/>
    </row>
    <row r="354" customFormat="false" ht="15" hidden="false" customHeight="false" outlineLevel="0" collapsed="false">
      <c r="F354" s="99" t="n">
        <f aca="false">G354/H354</f>
        <v>8.0096172684473E-007</v>
      </c>
      <c r="G354" s="52" t="n">
        <f aca="false">G353*(1-$O$1)</f>
        <v>0.146107464974512</v>
      </c>
      <c r="H354" s="15" t="n">
        <f aca="false">I354/G354</f>
        <v>182415.039417777</v>
      </c>
      <c r="I354" s="0" t="n">
        <f aca="false">I353</f>
        <v>26652.1989825572</v>
      </c>
      <c r="J354" s="85"/>
      <c r="K354" s="85"/>
      <c r="L354" s="85"/>
      <c r="M354" s="85"/>
      <c r="N354" s="85"/>
      <c r="O354" s="85"/>
      <c r="P354" s="85"/>
      <c r="Q354" s="85"/>
      <c r="R354" s="85"/>
    </row>
    <row r="355" customFormat="false" ht="15" hidden="false" customHeight="false" outlineLevel="0" collapsed="false">
      <c r="F355" s="99" t="n">
        <f aca="false">G355/H355</f>
        <v>7.69243642461678E-007</v>
      </c>
      <c r="G355" s="52" t="n">
        <f aca="false">G354*(1-$O$1)</f>
        <v>0.143185315675022</v>
      </c>
      <c r="H355" s="15" t="n">
        <f aca="false">I355/G355</f>
        <v>186137.795324263</v>
      </c>
      <c r="I355" s="0" t="n">
        <f aca="false">I354</f>
        <v>26652.1989825572</v>
      </c>
      <c r="J355" s="85"/>
      <c r="K355" s="85"/>
      <c r="L355" s="85"/>
      <c r="M355" s="85"/>
      <c r="N355" s="85"/>
      <c r="O355" s="85"/>
      <c r="P355" s="85"/>
      <c r="Q355" s="85"/>
      <c r="R355" s="85"/>
    </row>
    <row r="356" customFormat="false" ht="15" hidden="false" customHeight="false" outlineLevel="0" collapsed="false">
      <c r="F356" s="99" t="n">
        <f aca="false">G356/H356</f>
        <v>7.38781594220196E-007</v>
      </c>
      <c r="G356" s="52" t="n">
        <f aca="false">G355*(1-$O$1)</f>
        <v>0.140321609361522</v>
      </c>
      <c r="H356" s="15" t="n">
        <f aca="false">I356/G356</f>
        <v>189936.525841084</v>
      </c>
      <c r="I356" s="0" t="n">
        <f aca="false">I355</f>
        <v>26652.1989825572</v>
      </c>
      <c r="J356" s="85"/>
      <c r="K356" s="85"/>
      <c r="L356" s="85"/>
      <c r="M356" s="85"/>
      <c r="N356" s="85"/>
      <c r="O356" s="85"/>
      <c r="P356" s="85"/>
      <c r="Q356" s="85"/>
      <c r="R356" s="85"/>
    </row>
    <row r="357" customFormat="false" ht="15" hidden="false" customHeight="false" outlineLevel="0" collapsed="false">
      <c r="F357" s="99" t="n">
        <f aca="false">G357/H357</f>
        <v>7.09525843089076E-007</v>
      </c>
      <c r="G357" s="52" t="n">
        <f aca="false">G356*(1-$O$1)</f>
        <v>0.137515177174291</v>
      </c>
      <c r="H357" s="15" t="n">
        <f aca="false">I357/G357</f>
        <v>193812.781470494</v>
      </c>
      <c r="I357" s="0" t="n">
        <f aca="false">I356</f>
        <v>26652.1989825572</v>
      </c>
      <c r="J357" s="85"/>
      <c r="K357" s="85"/>
      <c r="L357" s="85"/>
      <c r="M357" s="85"/>
      <c r="N357" s="85"/>
      <c r="O357" s="85"/>
      <c r="P357" s="85"/>
      <c r="Q357" s="85"/>
      <c r="R357" s="85"/>
    </row>
    <row r="358" customFormat="false" ht="15" hidden="false" customHeight="false" outlineLevel="0" collapsed="false">
      <c r="F358" s="99" t="n">
        <f aca="false">G358/H358</f>
        <v>6.81428619702749E-007</v>
      </c>
      <c r="G358" s="52" t="n">
        <f aca="false">G357*(1-$O$1)</f>
        <v>0.134764873630805</v>
      </c>
      <c r="H358" s="15" t="n">
        <f aca="false">I358/G358</f>
        <v>197768.144357647</v>
      </c>
      <c r="I358" s="0" t="n">
        <f aca="false">I357</f>
        <v>26652.1989825572</v>
      </c>
      <c r="J358" s="85"/>
      <c r="K358" s="85"/>
      <c r="L358" s="85"/>
      <c r="M358" s="85"/>
      <c r="N358" s="85"/>
      <c r="O358" s="85"/>
      <c r="P358" s="85"/>
      <c r="Q358" s="85"/>
      <c r="R358" s="85"/>
    </row>
    <row r="359" customFormat="false" ht="15" hidden="false" customHeight="false" outlineLevel="0" collapsed="false">
      <c r="F359" s="99" t="n">
        <f aca="false">G359/H359</f>
        <v>6.5444404636252E-007</v>
      </c>
      <c r="G359" s="52" t="n">
        <f aca="false">G358*(1-$O$1)</f>
        <v>0.132069576158189</v>
      </c>
      <c r="H359" s="15" t="n">
        <f aca="false">I359/G359</f>
        <v>201804.228936375</v>
      </c>
      <c r="I359" s="0" t="n">
        <f aca="false">I358</f>
        <v>26652.1989825572</v>
      </c>
      <c r="J359" s="85"/>
      <c r="K359" s="85"/>
      <c r="L359" s="85"/>
      <c r="M359" s="85"/>
      <c r="N359" s="85"/>
      <c r="O359" s="85"/>
      <c r="P359" s="85"/>
      <c r="Q359" s="85"/>
      <c r="R359" s="85"/>
    </row>
    <row r="360" customFormat="false" ht="15" hidden="false" customHeight="false" outlineLevel="0" collapsed="false">
      <c r="F360" s="99" t="n">
        <f aca="false">G360/H360</f>
        <v>6.28528062126564E-007</v>
      </c>
      <c r="G360" s="52" t="n">
        <f aca="false">G359*(1-$O$1)</f>
        <v>0.129428184635026</v>
      </c>
      <c r="H360" s="15" t="n">
        <f aca="false">I360/G360</f>
        <v>205922.682588137</v>
      </c>
      <c r="I360" s="0" t="n">
        <f aca="false">I359</f>
        <v>26652.1989825572</v>
      </c>
      <c r="J360" s="85"/>
      <c r="K360" s="85"/>
      <c r="L360" s="85"/>
      <c r="M360" s="85"/>
      <c r="N360" s="85"/>
      <c r="O360" s="85"/>
      <c r="P360" s="85"/>
      <c r="Q360" s="85"/>
      <c r="R360" s="85"/>
    </row>
    <row r="361" customFormat="false" ht="15" hidden="false" customHeight="false" outlineLevel="0" collapsed="false">
      <c r="F361" s="99" t="n">
        <f aca="false">G361/H361</f>
        <v>6.03638350866352E-007</v>
      </c>
      <c r="G361" s="52" t="n">
        <f aca="false">G360*(1-$O$1)</f>
        <v>0.126839620942325</v>
      </c>
      <c r="H361" s="15" t="n">
        <f aca="false">I361/G361</f>
        <v>210125.186314426</v>
      </c>
      <c r="I361" s="0" t="n">
        <f aca="false">I360</f>
        <v>26652.1989825572</v>
      </c>
      <c r="J361" s="85"/>
      <c r="K361" s="85"/>
      <c r="L361" s="85"/>
      <c r="M361" s="85"/>
      <c r="N361" s="85"/>
      <c r="O361" s="85"/>
      <c r="P361" s="85"/>
      <c r="Q361" s="85"/>
      <c r="R361" s="85"/>
    </row>
    <row r="362" customFormat="false" ht="15" hidden="false" customHeight="false" outlineLevel="0" collapsed="false">
      <c r="F362" s="99" t="n">
        <f aca="false">G362/H362</f>
        <v>5.79734272172045E-007</v>
      </c>
      <c r="G362" s="52" t="n">
        <f aca="false">G361*(1-$O$1)</f>
        <v>0.124302828523479</v>
      </c>
      <c r="H362" s="15" t="n">
        <f aca="false">I362/G362</f>
        <v>214413.455422884</v>
      </c>
      <c r="I362" s="0" t="n">
        <f aca="false">I361</f>
        <v>26652.1989825572</v>
      </c>
      <c r="J362" s="85"/>
      <c r="K362" s="85"/>
      <c r="L362" s="85"/>
      <c r="M362" s="85"/>
      <c r="N362" s="85"/>
      <c r="O362" s="85"/>
      <c r="P362" s="85"/>
      <c r="Q362" s="85"/>
      <c r="R362" s="85"/>
    </row>
    <row r="363" customFormat="false" ht="15" hidden="false" customHeight="false" outlineLevel="0" collapsed="false">
      <c r="F363" s="99" t="n">
        <f aca="false">G363/H363</f>
        <v>5.56776794994032E-007</v>
      </c>
      <c r="G363" s="52" t="n">
        <f aca="false">G362*(1-$O$1)</f>
        <v>0.121816771953009</v>
      </c>
      <c r="H363" s="15" t="n">
        <f aca="false">I363/G363</f>
        <v>218789.240227432</v>
      </c>
      <c r="I363" s="0" t="n">
        <f aca="false">I362</f>
        <v>26652.1989825572</v>
      </c>
      <c r="J363" s="85"/>
      <c r="K363" s="85"/>
      <c r="L363" s="85"/>
      <c r="M363" s="85"/>
      <c r="N363" s="85"/>
      <c r="O363" s="85"/>
      <c r="P363" s="85"/>
      <c r="Q363" s="85"/>
      <c r="R363" s="85"/>
    </row>
    <row r="364" customFormat="false" ht="15" hidden="false" customHeight="false" outlineLevel="0" collapsed="false">
      <c r="F364" s="99" t="n">
        <f aca="false">G364/H364</f>
        <v>5.34728433912268E-007</v>
      </c>
      <c r="G364" s="52" t="n">
        <f aca="false">G363*(1-$O$1)</f>
        <v>0.119380436513949</v>
      </c>
      <c r="H364" s="15" t="n">
        <f aca="false">I364/G364</f>
        <v>223254.326762686</v>
      </c>
      <c r="I364" s="0" t="n">
        <f aca="false">I363</f>
        <v>26652.1989825572</v>
      </c>
      <c r="J364" s="85"/>
      <c r="K364" s="85"/>
      <c r="L364" s="85"/>
      <c r="M364" s="85"/>
      <c r="N364" s="85"/>
      <c r="O364" s="85"/>
      <c r="P364" s="85"/>
      <c r="Q364" s="85"/>
      <c r="R364" s="85"/>
    </row>
    <row r="365" customFormat="false" ht="15" hidden="false" customHeight="false" outlineLevel="0" collapsed="false">
      <c r="F365" s="99" t="n">
        <f aca="false">G365/H365</f>
        <v>5.13553187929342E-007</v>
      </c>
      <c r="G365" s="52" t="n">
        <f aca="false">G364*(1-$O$1)</f>
        <v>0.11699282778367</v>
      </c>
      <c r="H365" s="15" t="n">
        <f aca="false">I365/G365</f>
        <v>227810.537512945</v>
      </c>
      <c r="I365" s="0" t="n">
        <f aca="false">I364</f>
        <v>26652.1989825572</v>
      </c>
      <c r="J365" s="85"/>
      <c r="K365" s="85"/>
      <c r="L365" s="85"/>
      <c r="M365" s="85"/>
      <c r="N365" s="85"/>
      <c r="O365" s="85"/>
      <c r="P365" s="85"/>
      <c r="Q365" s="85"/>
      <c r="R365" s="85"/>
    </row>
    <row r="366" customFormat="false" ht="15" hidden="false" customHeight="false" outlineLevel="0" collapsed="false">
      <c r="F366" s="99" t="n">
        <f aca="false">G366/H366</f>
        <v>4.9321648168734E-007</v>
      </c>
      <c r="G366" s="52" t="n">
        <f aca="false">G365*(1-$O$1)</f>
        <v>0.114652971227996</v>
      </c>
      <c r="H366" s="15" t="n">
        <f aca="false">I366/G366</f>
        <v>232459.732156066</v>
      </c>
      <c r="I366" s="0" t="n">
        <f aca="false">I365</f>
        <v>26652.1989825572</v>
      </c>
      <c r="J366" s="85"/>
      <c r="K366" s="85"/>
      <c r="L366" s="85"/>
      <c r="M366" s="85"/>
      <c r="N366" s="85"/>
      <c r="O366" s="85"/>
      <c r="P366" s="85"/>
      <c r="Q366" s="85"/>
      <c r="R366" s="85"/>
    </row>
    <row r="367" customFormat="false" ht="15" hidden="false" customHeight="false" outlineLevel="0" collapsed="false">
      <c r="F367" s="99" t="n">
        <f aca="false">G367/H367</f>
        <v>4.73685109012522E-007</v>
      </c>
      <c r="G367" s="52" t="n">
        <f aca="false">G366*(1-$O$1)</f>
        <v>0.112359911803436</v>
      </c>
      <c r="H367" s="15" t="n">
        <f aca="false">I367/G367</f>
        <v>237203.808322516</v>
      </c>
      <c r="I367" s="0" t="n">
        <f aca="false">I366</f>
        <v>26652.1989825572</v>
      </c>
      <c r="J367" s="85"/>
      <c r="K367" s="85"/>
      <c r="L367" s="85"/>
      <c r="M367" s="85"/>
      <c r="N367" s="85"/>
      <c r="O367" s="85"/>
      <c r="P367" s="85"/>
      <c r="Q367" s="85"/>
      <c r="R367" s="85"/>
    </row>
    <row r="368" customFormat="false" ht="15" hidden="false" customHeight="false" outlineLevel="0" collapsed="false">
      <c r="F368" s="99" t="n">
        <f aca="false">G368/H368</f>
        <v>4.54927178695626E-007</v>
      </c>
      <c r="G368" s="52" t="n">
        <f aca="false">G367*(1-$O$1)</f>
        <v>0.110112713567368</v>
      </c>
      <c r="H368" s="15" t="n">
        <f aca="false">I368/G368</f>
        <v>242044.702369915</v>
      </c>
      <c r="I368" s="0" t="n">
        <f aca="false">I367</f>
        <v>26652.1989825572</v>
      </c>
      <c r="J368" s="85"/>
      <c r="K368" s="85"/>
      <c r="L368" s="85"/>
      <c r="M368" s="85"/>
      <c r="N368" s="85"/>
      <c r="O368" s="85"/>
      <c r="P368" s="85"/>
      <c r="Q368" s="85"/>
      <c r="R368" s="85"/>
    </row>
    <row r="369" customFormat="false" ht="15" hidden="false" customHeight="false" outlineLevel="0" collapsed="false">
      <c r="F369" s="99" t="n">
        <f aca="false">G369/H369</f>
        <v>4.36912062419279E-007</v>
      </c>
      <c r="G369" s="52" t="n">
        <f aca="false">G368*(1-$O$1)</f>
        <v>0.10791045929602</v>
      </c>
      <c r="H369" s="15" t="n">
        <f aca="false">I369/G369</f>
        <v>246984.390173382</v>
      </c>
      <c r="I369" s="0" t="n">
        <f aca="false">I368</f>
        <v>26652.1989825572</v>
      </c>
      <c r="J369" s="85"/>
      <c r="K369" s="85"/>
      <c r="L369" s="85"/>
      <c r="M369" s="85"/>
      <c r="N369" s="85"/>
      <c r="O369" s="85"/>
      <c r="P369" s="85"/>
      <c r="Q369" s="85"/>
      <c r="R369" s="85"/>
    </row>
    <row r="370" customFormat="false" ht="15" hidden="false" customHeight="false" outlineLevel="0" collapsed="false">
      <c r="F370" s="99" t="n">
        <f aca="false">G370/H370</f>
        <v>4.19610344747476E-007</v>
      </c>
      <c r="G370" s="52" t="n">
        <f aca="false">G369*(1-$O$1)</f>
        <v>0.1057522501101</v>
      </c>
      <c r="H370" s="15" t="n">
        <f aca="false">I370/G370</f>
        <v>252024.887932023</v>
      </c>
      <c r="I370" s="0" t="n">
        <f aca="false">I369</f>
        <v>26652.1989825572</v>
      </c>
      <c r="J370" s="85"/>
      <c r="K370" s="85"/>
      <c r="L370" s="85"/>
      <c r="M370" s="85"/>
      <c r="N370" s="85"/>
      <c r="O370" s="85"/>
      <c r="P370" s="85"/>
      <c r="Q370" s="85"/>
      <c r="R370" s="85"/>
    </row>
    <row r="371" customFormat="false" ht="15" hidden="false" customHeight="false" outlineLevel="0" collapsed="false">
      <c r="F371" s="99" t="n">
        <f aca="false">G371/H371</f>
        <v>4.02993775095475E-007</v>
      </c>
      <c r="G371" s="52" t="n">
        <f aca="false">G370*(1-$O$1)</f>
        <v>0.103637205107898</v>
      </c>
      <c r="H371" s="15" t="n">
        <f aca="false">I371/G371</f>
        <v>257168.25299186</v>
      </c>
      <c r="I371" s="0" t="n">
        <f aca="false">I370</f>
        <v>26652.1989825572</v>
      </c>
      <c r="J371" s="85"/>
      <c r="K371" s="85"/>
      <c r="L371" s="85"/>
      <c r="M371" s="85"/>
      <c r="N371" s="85"/>
      <c r="O371" s="85"/>
      <c r="P371" s="85"/>
      <c r="Q371" s="85"/>
      <c r="R371" s="85"/>
    </row>
    <row r="372" customFormat="false" ht="15" hidden="false" customHeight="false" outlineLevel="0" collapsed="false">
      <c r="F372" s="99" t="n">
        <f aca="false">G372/H372</f>
        <v>3.87035221601695E-007</v>
      </c>
      <c r="G372" s="52" t="n">
        <f aca="false">G371*(1-$O$1)</f>
        <v>0.10156446100574</v>
      </c>
      <c r="H372" s="15" t="n">
        <f aca="false">I372/G372</f>
        <v>262416.584685571</v>
      </c>
      <c r="I372" s="0" t="n">
        <f aca="false">I371</f>
        <v>26652.1989825572</v>
      </c>
      <c r="J372" s="85"/>
      <c r="K372" s="85"/>
      <c r="L372" s="85"/>
      <c r="M372" s="85"/>
      <c r="N372" s="85"/>
      <c r="O372" s="85"/>
      <c r="P372" s="85"/>
      <c r="Q372" s="85"/>
      <c r="R372" s="85"/>
    </row>
    <row r="373" customFormat="false" ht="15" hidden="false" customHeight="false" outlineLevel="0" collapsed="false">
      <c r="F373" s="99" t="n">
        <f aca="false">G373/H373</f>
        <v>3.71708626826267E-007</v>
      </c>
      <c r="G373" s="52" t="n">
        <f aca="false">G372*(1-$O$1)</f>
        <v>0.0995331717856252</v>
      </c>
      <c r="H373" s="15" t="n">
        <f aca="false">I373/G373</f>
        <v>267772.025189359</v>
      </c>
      <c r="I373" s="0" t="n">
        <f aca="false">I372</f>
        <v>26652.1989825572</v>
      </c>
      <c r="J373" s="85"/>
      <c r="K373" s="85"/>
      <c r="L373" s="85"/>
      <c r="M373" s="85"/>
      <c r="N373" s="85"/>
      <c r="O373" s="85"/>
      <c r="P373" s="85"/>
      <c r="Q373" s="85"/>
      <c r="R373" s="85"/>
    </row>
    <row r="374" customFormat="false" ht="15" hidden="false" customHeight="false" outlineLevel="0" collapsed="false">
      <c r="F374" s="99" t="n">
        <f aca="false">G374/H374</f>
        <v>3.56988965203947E-007</v>
      </c>
      <c r="G374" s="52" t="n">
        <f aca="false">G373*(1-$O$1)</f>
        <v>0.0975425083499127</v>
      </c>
      <c r="H374" s="15" t="n">
        <f aca="false">I374/G374</f>
        <v>273236.760397305</v>
      </c>
      <c r="I374" s="0" t="n">
        <f aca="false">I373</f>
        <v>26652.1989825572</v>
      </c>
      <c r="J374" s="85"/>
      <c r="K374" s="85"/>
      <c r="L374" s="85"/>
      <c r="M374" s="85"/>
      <c r="N374" s="85"/>
      <c r="O374" s="85"/>
      <c r="P374" s="85"/>
      <c r="Q374" s="85"/>
      <c r="R374" s="85"/>
    </row>
    <row r="375" customFormat="false" ht="15" hidden="false" customHeight="false" outlineLevel="0" collapsed="false">
      <c r="F375" s="99" t="n">
        <f aca="false">G375/H375</f>
        <v>3.42852202181871E-007</v>
      </c>
      <c r="G375" s="52" t="n">
        <f aca="false">G374*(1-$O$1)</f>
        <v>0.0955916581829144</v>
      </c>
      <c r="H375" s="15" t="n">
        <f aca="false">I375/G375</f>
        <v>278813.020813576</v>
      </c>
      <c r="I375" s="0" t="n">
        <f aca="false">I374</f>
        <v>26652.1989825572</v>
      </c>
      <c r="J375" s="85"/>
      <c r="K375" s="85"/>
      <c r="L375" s="85"/>
      <c r="M375" s="85"/>
      <c r="N375" s="85"/>
      <c r="O375" s="85"/>
      <c r="P375" s="85"/>
      <c r="Q375" s="85"/>
      <c r="R375" s="85"/>
    </row>
    <row r="376" customFormat="false" ht="15" hidden="false" customHeight="false" outlineLevel="0" collapsed="false">
      <c r="F376" s="99" t="n">
        <f aca="false">G376/H376</f>
        <v>3.29275254975469E-007</v>
      </c>
      <c r="G376" s="52" t="n">
        <f aca="false">G375*(1-$O$1)</f>
        <v>0.0936798250192562</v>
      </c>
      <c r="H376" s="15" t="n">
        <f aca="false">I376/G376</f>
        <v>284503.082462833</v>
      </c>
      <c r="I376" s="0" t="n">
        <f aca="false">I375</f>
        <v>26652.1989825572</v>
      </c>
      <c r="J376" s="85"/>
      <c r="K376" s="85"/>
      <c r="L376" s="85"/>
      <c r="M376" s="85"/>
      <c r="N376" s="85"/>
      <c r="O376" s="85"/>
      <c r="P376" s="85"/>
      <c r="Q376" s="85"/>
      <c r="R376" s="85"/>
    </row>
    <row r="377" customFormat="false" ht="15" hidden="false" customHeight="false" outlineLevel="0" collapsed="false">
      <c r="F377" s="99" t="n">
        <f aca="false">G377/H377</f>
        <v>3.1623595487844E-007</v>
      </c>
      <c r="G377" s="52" t="n">
        <f aca="false">G376*(1-$O$1)</f>
        <v>0.091806228518871</v>
      </c>
      <c r="H377" s="15" t="n">
        <f aca="false">I377/G377</f>
        <v>290309.267819217</v>
      </c>
      <c r="I377" s="0" t="n">
        <f aca="false">I376</f>
        <v>26652.1989825572</v>
      </c>
      <c r="J377" s="85"/>
      <c r="K377" s="85"/>
      <c r="L377" s="85"/>
      <c r="M377" s="85"/>
      <c r="N377" s="85"/>
      <c r="O377" s="85"/>
      <c r="P377" s="85"/>
      <c r="Q377" s="85"/>
      <c r="R377" s="85"/>
    </row>
    <row r="378" customFormat="false" ht="15" hidden="false" customHeight="false" outlineLevel="0" collapsed="false">
      <c r="F378" s="99" t="n">
        <f aca="false">G378/H378</f>
        <v>3.03713011065254E-007</v>
      </c>
      <c r="G378" s="52" t="n">
        <f aca="false">G377*(1-$O$1)</f>
        <v>0.0899701039484936</v>
      </c>
      <c r="H378" s="15" t="n">
        <f aca="false">I378/G378</f>
        <v>296233.946754303</v>
      </c>
      <c r="I378" s="0" t="n">
        <f aca="false">I377</f>
        <v>26652.1989825572</v>
      </c>
      <c r="J378" s="85"/>
      <c r="K378" s="85"/>
      <c r="L378" s="85"/>
      <c r="M378" s="85"/>
      <c r="N378" s="85"/>
      <c r="O378" s="85"/>
      <c r="P378" s="85"/>
      <c r="Q378" s="85"/>
      <c r="R378" s="85"/>
    </row>
    <row r="379" customFormat="false" ht="15" hidden="false" customHeight="false" outlineLevel="0" collapsed="false">
      <c r="F379" s="99" t="n">
        <f aca="false">G379/H379</f>
        <v>2.9168597582707E-007</v>
      </c>
      <c r="G379" s="52" t="n">
        <f aca="false">G378*(1-$O$1)</f>
        <v>0.0881707018695237</v>
      </c>
      <c r="H379" s="15" t="n">
        <f aca="false">I379/G379</f>
        <v>302279.537504391</v>
      </c>
      <c r="I379" s="0" t="n">
        <f aca="false">I378</f>
        <v>26652.1989825572</v>
      </c>
      <c r="J379" s="85"/>
      <c r="K379" s="85"/>
      <c r="L379" s="85"/>
      <c r="M379" s="85"/>
      <c r="N379" s="85"/>
      <c r="O379" s="85"/>
      <c r="P379" s="85"/>
      <c r="Q379" s="85"/>
      <c r="R379" s="85"/>
    </row>
    <row r="380" customFormat="false" ht="15" hidden="false" customHeight="false" outlineLevel="0" collapsed="false">
      <c r="F380" s="99" t="n">
        <f aca="false">G380/H380</f>
        <v>2.80135211184318E-007</v>
      </c>
      <c r="G380" s="52" t="n">
        <f aca="false">G379*(1-$O$1)</f>
        <v>0.0864072878321332</v>
      </c>
      <c r="H380" s="15" t="n">
        <f aca="false">I380/G380</f>
        <v>308448.507657542</v>
      </c>
      <c r="I380" s="0" t="n">
        <f aca="false">I379</f>
        <v>26652.1989825572</v>
      </c>
      <c r="J380" s="85"/>
      <c r="K380" s="85"/>
      <c r="L380" s="85"/>
      <c r="M380" s="85"/>
      <c r="N380" s="85"/>
      <c r="O380" s="85"/>
      <c r="P380" s="85"/>
      <c r="Q380" s="85"/>
      <c r="R380" s="85"/>
    </row>
    <row r="381" customFormat="false" ht="15" hidden="false" customHeight="false" outlineLevel="0" collapsed="false">
      <c r="F381" s="99" t="n">
        <f aca="false">G381/H381</f>
        <v>2.69041856821419E-007</v>
      </c>
      <c r="G381" s="52" t="n">
        <f aca="false">G380*(1-$O$1)</f>
        <v>0.0846791420754906</v>
      </c>
      <c r="H381" s="15" t="n">
        <f aca="false">I381/G381</f>
        <v>314743.375160757</v>
      </c>
      <c r="I381" s="0" t="n">
        <f aca="false">I380</f>
        <v>26652.1989825572</v>
      </c>
      <c r="J381" s="85"/>
      <c r="K381" s="85"/>
      <c r="L381" s="85"/>
      <c r="M381" s="85"/>
      <c r="N381" s="85"/>
      <c r="O381" s="85"/>
      <c r="P381" s="85"/>
      <c r="Q381" s="85"/>
      <c r="R381" s="85"/>
    </row>
    <row r="382" customFormat="false" ht="15" hidden="false" customHeight="false" outlineLevel="0" collapsed="false">
      <c r="F382" s="99" t="n">
        <f aca="false">G382/H382</f>
        <v>2.58387799291291E-007</v>
      </c>
      <c r="G382" s="52" t="n">
        <f aca="false">G381*(1-$O$1)</f>
        <v>0.0829855592339808</v>
      </c>
      <c r="H382" s="15" t="n">
        <f aca="false">I382/G382</f>
        <v>321166.709347712</v>
      </c>
      <c r="I382" s="0" t="n">
        <f aca="false">I381</f>
        <v>26652.1989825572</v>
      </c>
      <c r="J382" s="85"/>
      <c r="K382" s="85"/>
      <c r="L382" s="85"/>
      <c r="M382" s="85"/>
      <c r="N382" s="85"/>
      <c r="O382" s="85"/>
      <c r="P382" s="85"/>
      <c r="Q382" s="85"/>
      <c r="R382" s="85"/>
    </row>
    <row r="383" customFormat="false" ht="15" hidden="false" customHeight="false" outlineLevel="0" collapsed="false">
      <c r="F383" s="99" t="n">
        <f aca="false">G383/H383</f>
        <v>2.48155642439356E-007</v>
      </c>
      <c r="G383" s="52" t="n">
        <f aca="false">G382*(1-$O$1)</f>
        <v>0.0813258480493012</v>
      </c>
      <c r="H383" s="15" t="n">
        <f aca="false">I383/G383</f>
        <v>327721.131987461</v>
      </c>
      <c r="I383" s="0" t="n">
        <f aca="false">I382</f>
        <v>26652.1989825572</v>
      </c>
      <c r="J383" s="85"/>
      <c r="K383" s="85"/>
      <c r="L383" s="85"/>
      <c r="M383" s="85"/>
      <c r="N383" s="85"/>
      <c r="O383" s="85"/>
      <c r="P383" s="85"/>
      <c r="Q383" s="85"/>
      <c r="R383" s="85"/>
    </row>
    <row r="384" customFormat="false" ht="15" hidden="false" customHeight="false" outlineLevel="0" collapsed="false">
      <c r="F384" s="99" t="n">
        <f aca="false">G384/H384</f>
        <v>2.38328678998757E-007</v>
      </c>
      <c r="G384" s="52" t="n">
        <f aca="false">G383*(1-$O$1)</f>
        <v>0.0796993310883151</v>
      </c>
      <c r="H384" s="15" t="n">
        <f aca="false">I384/G384</f>
        <v>334409.318354552</v>
      </c>
      <c r="I384" s="0" t="n">
        <f aca="false">I383</f>
        <v>26652.1989825572</v>
      </c>
      <c r="J384" s="85"/>
      <c r="K384" s="85"/>
      <c r="L384" s="85"/>
      <c r="M384" s="85"/>
      <c r="N384" s="85"/>
      <c r="O384" s="85"/>
      <c r="P384" s="85"/>
      <c r="Q384" s="85"/>
      <c r="R384" s="85"/>
    </row>
    <row r="385" customFormat="false" ht="15" hidden="false" customHeight="false" outlineLevel="0" collapsed="false">
      <c r="F385" s="99" t="n">
        <f aca="false">G385/H385</f>
        <v>2.28890863310406E-007</v>
      </c>
      <c r="G385" s="52" t="n">
        <f aca="false">G384*(1-$O$1)</f>
        <v>0.0781053444665488</v>
      </c>
      <c r="H385" s="15" t="n">
        <f aca="false">I385/G385</f>
        <v>341233.998320971</v>
      </c>
      <c r="I385" s="0" t="n">
        <f aca="false">I384</f>
        <v>26652.1989825572</v>
      </c>
      <c r="J385" s="85"/>
      <c r="K385" s="85"/>
      <c r="L385" s="85"/>
      <c r="M385" s="85"/>
      <c r="N385" s="85"/>
      <c r="O385" s="85"/>
      <c r="P385" s="85"/>
      <c r="Q385" s="85"/>
      <c r="R385" s="85"/>
    </row>
    <row r="386" customFormat="false" ht="15" hidden="false" customHeight="false" outlineLevel="0" collapsed="false">
      <c r="F386" s="99" t="n">
        <f aca="false">G386/H386</f>
        <v>2.19826785123314E-007</v>
      </c>
      <c r="G386" s="52" t="n">
        <f aca="false">G385*(1-$O$1)</f>
        <v>0.0765432375772178</v>
      </c>
      <c r="H386" s="15" t="n">
        <f aca="false">I386/G386</f>
        <v>348197.957470379</v>
      </c>
      <c r="I386" s="0" t="n">
        <f aca="false">I385</f>
        <v>26652.1989825572</v>
      </c>
      <c r="J386" s="85"/>
      <c r="K386" s="85"/>
      <c r="L386" s="85"/>
      <c r="M386" s="85"/>
      <c r="N386" s="85"/>
      <c r="O386" s="85"/>
      <c r="P386" s="85"/>
      <c r="Q386" s="85"/>
      <c r="R386" s="85"/>
    </row>
    <row r="387" customFormat="false" ht="15" hidden="false" customHeight="false" outlineLevel="0" collapsed="false">
      <c r="F387" s="99" t="n">
        <f aca="false">G387/H387</f>
        <v>2.11121644432431E-007</v>
      </c>
      <c r="G387" s="52" t="n">
        <f aca="false">G386*(1-$O$1)</f>
        <v>0.0750123728256735</v>
      </c>
      <c r="H387" s="15" t="n">
        <f aca="false">I387/G387</f>
        <v>355304.03823508</v>
      </c>
      <c r="I387" s="0" t="n">
        <f aca="false">I386</f>
        <v>26652.1989825572</v>
      </c>
      <c r="J387" s="85"/>
      <c r="K387" s="85"/>
      <c r="L387" s="85"/>
      <c r="M387" s="85"/>
      <c r="N387" s="85"/>
      <c r="O387" s="85"/>
      <c r="P387" s="85"/>
      <c r="Q387" s="85"/>
      <c r="R387" s="85"/>
    </row>
    <row r="388" customFormat="false" ht="15" hidden="false" customHeight="false" outlineLevel="0" collapsed="false">
      <c r="F388" s="99" t="n">
        <f aca="false">G388/H388</f>
        <v>2.02761227312907E-007</v>
      </c>
      <c r="G388" s="52" t="n">
        <f aca="false">G387*(1-$O$1)</f>
        <v>0.07351212536916</v>
      </c>
      <c r="H388" s="15" t="n">
        <f aca="false">I388/G388</f>
        <v>362555.141056205</v>
      </c>
      <c r="I388" s="0" t="n">
        <f aca="false">I387</f>
        <v>26652.1989825572</v>
      </c>
      <c r="J388" s="85"/>
      <c r="K388" s="85"/>
      <c r="L388" s="85"/>
      <c r="M388" s="85"/>
      <c r="N388" s="85"/>
      <c r="O388" s="85"/>
      <c r="P388" s="85"/>
      <c r="Q388" s="85"/>
      <c r="R388" s="85"/>
    </row>
    <row r="389" customFormat="false" ht="15" hidden="false" customHeight="false" outlineLevel="0" collapsed="false">
      <c r="F389" s="99" t="n">
        <f aca="false">G389/H389</f>
        <v>1.94731882711316E-007</v>
      </c>
      <c r="G389" s="52" t="n">
        <f aca="false">G388*(1-$O$1)</f>
        <v>0.0720418828617768</v>
      </c>
      <c r="H389" s="15" t="n">
        <f aca="false">I389/G389</f>
        <v>369954.225567556</v>
      </c>
      <c r="I389" s="0" t="n">
        <f aca="false">I388</f>
        <v>26652.1989825572</v>
      </c>
      <c r="J389" s="85"/>
      <c r="K389" s="85"/>
      <c r="L389" s="85"/>
      <c r="M389" s="85"/>
      <c r="N389" s="85"/>
      <c r="O389" s="85"/>
      <c r="P389" s="85"/>
      <c r="Q389" s="85"/>
      <c r="R389" s="85"/>
    </row>
    <row r="390" customFormat="false" ht="15" hidden="false" customHeight="false" outlineLevel="0" collapsed="false">
      <c r="F390" s="99" t="n">
        <f aca="false">G390/H390</f>
        <v>1.87020500155947E-007</v>
      </c>
      <c r="G390" s="52" t="n">
        <f aca="false">G389*(1-$O$1)</f>
        <v>0.0706010452045413</v>
      </c>
      <c r="H390" s="15" t="n">
        <f aca="false">I390/G390</f>
        <v>377504.311803628</v>
      </c>
      <c r="I390" s="0" t="n">
        <f aca="false">I389</f>
        <v>26652.1989825572</v>
      </c>
      <c r="J390" s="85"/>
      <c r="K390" s="85"/>
      <c r="L390" s="85"/>
      <c r="M390" s="85"/>
      <c r="N390" s="85"/>
      <c r="O390" s="85"/>
      <c r="P390" s="85"/>
      <c r="Q390" s="85"/>
      <c r="R390" s="85"/>
    </row>
    <row r="391" customFormat="false" ht="15" hidden="false" customHeight="false" outlineLevel="0" collapsed="false">
      <c r="F391" s="99" t="n">
        <f aca="false">G391/H391</f>
        <v>1.79614488349772E-007</v>
      </c>
      <c r="G391" s="52" t="n">
        <f aca="false">G390*(1-$O$1)</f>
        <v>0.0691890243004504</v>
      </c>
      <c r="H391" s="15" t="n">
        <f aca="false">I391/G391</f>
        <v>385208.481432274</v>
      </c>
      <c r="I391" s="0" t="n">
        <f aca="false">I390</f>
        <v>26652.1989825572</v>
      </c>
      <c r="J391" s="85"/>
      <c r="K391" s="85"/>
      <c r="L391" s="85"/>
      <c r="M391" s="85"/>
      <c r="N391" s="85"/>
      <c r="O391" s="85"/>
      <c r="P391" s="85"/>
      <c r="Q391" s="85"/>
      <c r="R391" s="85"/>
    </row>
    <row r="392" customFormat="false" ht="15" hidden="false" customHeight="false" outlineLevel="0" collapsed="false">
      <c r="F392" s="99" t="n">
        <f aca="false">G392/H392</f>
        <v>1.72501754611121E-007</v>
      </c>
      <c r="G392" s="52" t="n">
        <f aca="false">G391*(1-$O$1)</f>
        <v>0.0678052438144414</v>
      </c>
      <c r="H392" s="15" t="n">
        <f aca="false">I392/G392</f>
        <v>393069.879012524</v>
      </c>
      <c r="I392" s="0" t="n">
        <f aca="false">I391</f>
        <v>26652.1989825572</v>
      </c>
      <c r="J392" s="85"/>
      <c r="K392" s="85"/>
      <c r="L392" s="85"/>
      <c r="M392" s="85"/>
      <c r="N392" s="85"/>
      <c r="O392" s="85"/>
      <c r="P392" s="85"/>
      <c r="Q392" s="85"/>
      <c r="R392" s="85"/>
    </row>
    <row r="393" customFormat="false" ht="15" hidden="false" customHeight="false" outlineLevel="0" collapsed="false">
      <c r="F393" s="99" t="n">
        <f aca="false">G393/H393</f>
        <v>1.6567068512852E-007</v>
      </c>
      <c r="G393" s="52" t="n">
        <f aca="false">G392*(1-$O$1)</f>
        <v>0.0664491389381526</v>
      </c>
      <c r="H393" s="15" t="n">
        <f aca="false">I393/G393</f>
        <v>401091.713278086</v>
      </c>
      <c r="I393" s="0" t="n">
        <f aca="false">I392</f>
        <v>26652.1989825572</v>
      </c>
      <c r="J393" s="85"/>
      <c r="K393" s="85"/>
      <c r="L393" s="85"/>
      <c r="M393" s="85"/>
      <c r="N393" s="85"/>
      <c r="O393" s="85"/>
      <c r="P393" s="85"/>
      <c r="Q393" s="85"/>
      <c r="R393" s="85"/>
    </row>
    <row r="394" customFormat="false" ht="15" hidden="false" customHeight="false" outlineLevel="0" collapsed="false">
      <c r="F394" s="99" t="n">
        <f aca="false">G394/H394</f>
        <v>1.59110125997431E-007</v>
      </c>
      <c r="G394" s="52" t="n">
        <f aca="false">G393*(1-$O$1)</f>
        <v>0.0651201561593895</v>
      </c>
      <c r="H394" s="15" t="n">
        <f aca="false">I394/G394</f>
        <v>409277.258447027</v>
      </c>
      <c r="I394" s="0" t="n">
        <f aca="false">I393</f>
        <v>26652.1989825572</v>
      </c>
      <c r="J394" s="85"/>
      <c r="K394" s="85"/>
      <c r="L394" s="85"/>
      <c r="M394" s="85"/>
      <c r="N394" s="85"/>
      <c r="O394" s="85"/>
      <c r="P394" s="85"/>
      <c r="Q394" s="85"/>
      <c r="R394" s="85"/>
    </row>
    <row r="395" customFormat="false" ht="15" hidden="false" customHeight="false" outlineLevel="0" collapsed="false">
      <c r="F395" s="99" t="n">
        <f aca="false">G395/H395</f>
        <v>1.52809365007933E-007</v>
      </c>
      <c r="G395" s="52" t="n">
        <f aca="false">G394*(1-$O$1)</f>
        <v>0.0638177530362018</v>
      </c>
      <c r="H395" s="15" t="n">
        <f aca="false">I395/G395</f>
        <v>417629.85555819</v>
      </c>
      <c r="I395" s="0" t="n">
        <f aca="false">I394</f>
        <v>26652.1989825572</v>
      </c>
      <c r="J395" s="85"/>
      <c r="K395" s="85"/>
      <c r="L395" s="85"/>
      <c r="M395" s="85"/>
      <c r="N395" s="85"/>
      <c r="O395" s="85"/>
      <c r="P395" s="85"/>
      <c r="Q395" s="85"/>
      <c r="R395" s="85"/>
    </row>
    <row r="396" customFormat="false" ht="15" hidden="false" customHeight="false" outlineLevel="0" collapsed="false">
      <c r="F396" s="99" t="n">
        <f aca="false">G396/H396</f>
        <v>1.46758114153619E-007</v>
      </c>
      <c r="G396" s="52" t="n">
        <f aca="false">G395*(1-$O$1)</f>
        <v>0.0625413979754777</v>
      </c>
      <c r="H396" s="15" t="n">
        <f aca="false">I396/G396</f>
        <v>426152.913834888</v>
      </c>
      <c r="I396" s="0" t="n">
        <f aca="false">I395</f>
        <v>26652.1989825572</v>
      </c>
      <c r="J396" s="85"/>
      <c r="K396" s="85"/>
      <c r="L396" s="85"/>
      <c r="M396" s="85"/>
      <c r="N396" s="85"/>
      <c r="O396" s="85"/>
      <c r="P396" s="85"/>
      <c r="Q396" s="85"/>
      <c r="R396" s="85"/>
    </row>
    <row r="397" customFormat="false" ht="15" hidden="false" customHeight="false" outlineLevel="0" collapsed="false">
      <c r="F397" s="99" t="n">
        <f aca="false">G397/H397</f>
        <v>1.40946492833135E-007</v>
      </c>
      <c r="G397" s="52" t="n">
        <f aca="false">G396*(1-$O$1)</f>
        <v>0.0612905700159682</v>
      </c>
      <c r="H397" s="15" t="n">
        <f aca="false">I397/G397</f>
        <v>434849.912076416</v>
      </c>
      <c r="I397" s="0" t="n">
        <f aca="false">I396</f>
        <v>26652.1989825572</v>
      </c>
      <c r="J397" s="85"/>
      <c r="K397" s="85"/>
      <c r="L397" s="85"/>
      <c r="M397" s="85"/>
      <c r="N397" s="85"/>
      <c r="O397" s="85"/>
      <c r="P397" s="85"/>
      <c r="Q397" s="85"/>
      <c r="R397" s="85"/>
    </row>
    <row r="398" customFormat="false" ht="15" hidden="false" customHeight="false" outlineLevel="0" collapsed="false">
      <c r="F398" s="99" t="n">
        <f aca="false">G398/H398</f>
        <v>1.35365011716943E-007</v>
      </c>
      <c r="G398" s="52" t="n">
        <f aca="false">G397*(1-$O$1)</f>
        <v>0.0600647586156488</v>
      </c>
      <c r="H398" s="15" t="n">
        <f aca="false">I398/G398</f>
        <v>443724.400077976</v>
      </c>
      <c r="I398" s="0" t="n">
        <f aca="false">I397</f>
        <v>26652.1989825572</v>
      </c>
      <c r="J398" s="85"/>
      <c r="K398" s="85"/>
      <c r="L398" s="85"/>
      <c r="M398" s="85"/>
      <c r="N398" s="85"/>
      <c r="O398" s="85"/>
      <c r="P398" s="85"/>
      <c r="Q398" s="85"/>
      <c r="R398" s="85"/>
    </row>
    <row r="399" customFormat="false" ht="15" hidden="false" customHeight="false" outlineLevel="0" collapsed="false">
      <c r="F399" s="99" t="n">
        <f aca="false">G399/H399</f>
        <v>1.30004557252952E-007</v>
      </c>
      <c r="G399" s="52" t="n">
        <f aca="false">G398*(1-$O$1)</f>
        <v>0.0588634634433358</v>
      </c>
      <c r="H399" s="15" t="n">
        <f aca="false">I399/G399</f>
        <v>452780.000079567</v>
      </c>
      <c r="I399" s="0" t="n">
        <f aca="false">I398</f>
        <v>26652.1989825572</v>
      </c>
      <c r="J399" s="85"/>
      <c r="K399" s="85"/>
      <c r="L399" s="85"/>
      <c r="M399" s="85"/>
      <c r="N399" s="85"/>
      <c r="O399" s="85"/>
      <c r="P399" s="85"/>
      <c r="Q399" s="85"/>
      <c r="R399" s="85"/>
    </row>
    <row r="400" customFormat="false" ht="15" hidden="false" customHeight="false" outlineLevel="0" collapsed="false">
      <c r="F400" s="99" t="n">
        <f aca="false">G400/H400</f>
        <v>1.24856376785735E-007</v>
      </c>
      <c r="G400" s="52" t="n">
        <f aca="false">G399*(1-$O$1)</f>
        <v>0.0576861941744691</v>
      </c>
      <c r="H400" s="15" t="n">
        <f aca="false">I400/G400</f>
        <v>462020.408244456</v>
      </c>
      <c r="I400" s="0" t="n">
        <f aca="false">I399</f>
        <v>26652.1989825572</v>
      </c>
      <c r="J400" s="85"/>
      <c r="K400" s="85"/>
      <c r="L400" s="85"/>
      <c r="M400" s="85"/>
      <c r="N400" s="85"/>
      <c r="O400" s="85"/>
      <c r="P400" s="85"/>
      <c r="Q400" s="85"/>
      <c r="R400" s="85"/>
    </row>
    <row r="401" customFormat="false" ht="15" hidden="false" customHeight="false" outlineLevel="0" collapsed="false">
      <c r="F401" s="99" t="n">
        <f aca="false">G401/H401</f>
        <v>1.1991206426502E-007</v>
      </c>
      <c r="G401" s="52" t="n">
        <f aca="false">G400*(1-$O$1)</f>
        <v>0.0565324702909797</v>
      </c>
      <c r="H401" s="15" t="n">
        <f aca="false">I401/G401</f>
        <v>471449.396167813</v>
      </c>
      <c r="I401" s="0" t="n">
        <f aca="false">I400</f>
        <v>26652.1989825572</v>
      </c>
      <c r="J401" s="85"/>
      <c r="K401" s="85"/>
      <c r="L401" s="85"/>
      <c r="M401" s="85"/>
      <c r="N401" s="85"/>
      <c r="O401" s="85"/>
      <c r="P401" s="85"/>
      <c r="Q401" s="85"/>
      <c r="R401" s="85"/>
    </row>
    <row r="402" customFormat="false" ht="15" hidden="false" customHeight="false" outlineLevel="0" collapsed="false">
      <c r="F402" s="99" t="n">
        <f aca="false">G402/H402</f>
        <v>1.15163546520125E-007</v>
      </c>
      <c r="G402" s="52" t="n">
        <f aca="false">G401*(1-$O$1)</f>
        <v>0.0554018208851601</v>
      </c>
      <c r="H402" s="15" t="n">
        <f aca="false">I402/G402</f>
        <v>481070.812416135</v>
      </c>
      <c r="I402" s="0" t="n">
        <f aca="false">I401</f>
        <v>26652.1989825572</v>
      </c>
      <c r="J402" s="85"/>
      <c r="K402" s="85"/>
      <c r="L402" s="85"/>
      <c r="M402" s="85"/>
      <c r="N402" s="85"/>
      <c r="O402" s="85"/>
      <c r="P402" s="85"/>
      <c r="Q402" s="85"/>
      <c r="R402" s="85"/>
    </row>
    <row r="403" customFormat="false" ht="15" hidden="false" customHeight="false" outlineLevel="0" collapsed="false">
      <c r="F403" s="99" t="n">
        <f aca="false">G403/H403</f>
        <v>1.10603070077928E-007</v>
      </c>
      <c r="G403" s="52" t="n">
        <f aca="false">G402*(1-$O$1)</f>
        <v>0.0542937844674569</v>
      </c>
      <c r="H403" s="15" t="n">
        <f aca="false">I403/G403</f>
        <v>490888.584098097</v>
      </c>
      <c r="I403" s="0" t="n">
        <f aca="false">I402</f>
        <v>26652.1989825572</v>
      </c>
      <c r="J403" s="85"/>
      <c r="K403" s="85"/>
      <c r="L403" s="85"/>
      <c r="M403" s="85"/>
      <c r="N403" s="85"/>
      <c r="O403" s="85"/>
      <c r="P403" s="85"/>
      <c r="Q403" s="85"/>
      <c r="R403" s="85"/>
    </row>
    <row r="404" customFormat="false" ht="15" hidden="false" customHeight="false" outlineLevel="0" collapsed="false">
      <c r="F404" s="99" t="n">
        <f aca="false">G404/H404</f>
        <v>1.06223188502843E-007</v>
      </c>
      <c r="G404" s="52" t="n">
        <f aca="false">G403*(1-$O$1)</f>
        <v>0.0532079087781078</v>
      </c>
      <c r="H404" s="15" t="n">
        <f aca="false">I404/G404</f>
        <v>500906.718467446</v>
      </c>
      <c r="I404" s="0" t="n">
        <f aca="false">I403</f>
        <v>26652.1989825572</v>
      </c>
      <c r="J404" s="85"/>
      <c r="K404" s="85"/>
      <c r="L404" s="85"/>
      <c r="M404" s="85"/>
      <c r="N404" s="85"/>
      <c r="O404" s="85"/>
      <c r="P404" s="85"/>
      <c r="Q404" s="85"/>
      <c r="R404" s="85"/>
    </row>
    <row r="405" customFormat="false" ht="15" hidden="false" customHeight="false" outlineLevel="0" collapsed="false">
      <c r="F405" s="99" t="n">
        <f aca="false">G405/H405</f>
        <v>1.0201675023813E-007</v>
      </c>
      <c r="G405" s="52" t="n">
        <f aca="false">G404*(1-$O$1)</f>
        <v>0.0521437506025456</v>
      </c>
      <c r="H405" s="15" t="n">
        <f aca="false">I405/G405</f>
        <v>511129.304558619</v>
      </c>
      <c r="I405" s="0" t="n">
        <f aca="false">I404</f>
        <v>26652.1989825572</v>
      </c>
      <c r="J405" s="85"/>
      <c r="K405" s="85"/>
      <c r="L405" s="85"/>
      <c r="M405" s="85"/>
      <c r="N405" s="85"/>
      <c r="O405" s="85"/>
      <c r="P405" s="85"/>
      <c r="Q405" s="85"/>
      <c r="R405" s="85"/>
    </row>
    <row r="406" customFormat="false" ht="15" hidden="false" customHeight="false" outlineLevel="0" collapsed="false">
      <c r="F406" s="99" t="n">
        <f aca="false">G406/H406</f>
        <v>9.79768869287E-008</v>
      </c>
      <c r="G406" s="52" t="n">
        <f aca="false">G405*(1-$O$1)</f>
        <v>0.0511008755904947</v>
      </c>
      <c r="H406" s="15" t="n">
        <f aca="false">I406/G406</f>
        <v>521560.514855733</v>
      </c>
      <c r="I406" s="0" t="n">
        <f aca="false">I405</f>
        <v>26652.1989825572</v>
      </c>
      <c r="J406" s="85"/>
      <c r="K406" s="85"/>
      <c r="L406" s="85"/>
      <c r="M406" s="85"/>
      <c r="N406" s="85"/>
      <c r="O406" s="85"/>
      <c r="P406" s="85"/>
      <c r="Q406" s="85"/>
      <c r="R406" s="85"/>
    </row>
    <row r="407" customFormat="false" ht="15" hidden="false" customHeight="false" outlineLevel="0" collapsed="false">
      <c r="F407" s="99" t="n">
        <f aca="false">G407/H407</f>
        <v>9.40970022063235E-008</v>
      </c>
      <c r="G407" s="52" t="n">
        <f aca="false">G406*(1-$O$1)</f>
        <v>0.0500788580786848</v>
      </c>
      <c r="H407" s="15" t="n">
        <f aca="false">I407/G407</f>
        <v>532204.606995646</v>
      </c>
      <c r="I407" s="0" t="n">
        <f aca="false">I406</f>
        <v>26652.1989825572</v>
      </c>
      <c r="J407" s="85"/>
      <c r="K407" s="85"/>
      <c r="L407" s="85"/>
      <c r="M407" s="85"/>
      <c r="N407" s="85"/>
      <c r="O407" s="85"/>
      <c r="P407" s="85"/>
      <c r="Q407" s="85"/>
      <c r="R407" s="85"/>
    </row>
    <row r="408" customFormat="false" ht="15" hidden="false" customHeight="false" outlineLevel="0" collapsed="false">
      <c r="F408" s="99" t="n">
        <f aca="false">G408/H408</f>
        <v>9.0370760918953E-008</v>
      </c>
      <c r="G408" s="52" t="n">
        <f aca="false">G407*(1-$O$1)</f>
        <v>0.0490772809171111</v>
      </c>
      <c r="H408" s="15" t="n">
        <f aca="false">I408/G408</f>
        <v>543065.925505761</v>
      </c>
      <c r="I408" s="0" t="n">
        <f aca="false">I407</f>
        <v>26652.1989825572</v>
      </c>
      <c r="J408" s="85"/>
      <c r="K408" s="85"/>
      <c r="L408" s="85"/>
      <c r="M408" s="85"/>
      <c r="N408" s="85"/>
      <c r="O408" s="85"/>
      <c r="P408" s="85"/>
      <c r="Q408" s="85"/>
      <c r="R408" s="85"/>
    </row>
    <row r="409" customFormat="false" ht="15" hidden="false" customHeight="false" outlineLevel="0" collapsed="false">
      <c r="F409" s="99" t="n">
        <f aca="false">G409/H409</f>
        <v>8.67920787865625E-008</v>
      </c>
      <c r="G409" s="52" t="n">
        <f aca="false">G408*(1-$O$1)</f>
        <v>0.0480957352987689</v>
      </c>
      <c r="H409" s="15" t="n">
        <f aca="false">I409/G409</f>
        <v>554148.903577308</v>
      </c>
      <c r="I409" s="0" t="n">
        <f aca="false">I408</f>
        <v>26652.1989825572</v>
      </c>
      <c r="J409" s="85"/>
      <c r="K409" s="85"/>
      <c r="L409" s="85"/>
      <c r="M409" s="85"/>
      <c r="N409" s="85"/>
      <c r="O409" s="85"/>
      <c r="P409" s="85"/>
      <c r="Q409" s="85"/>
      <c r="R409" s="85"/>
    </row>
    <row r="410" customFormat="false" ht="15" hidden="false" customHeight="false" outlineLevel="0" collapsed="false">
      <c r="F410" s="99" t="n">
        <f aca="false">G410/H410</f>
        <v>8.33551124666146E-008</v>
      </c>
      <c r="G410" s="52" t="n">
        <f aca="false">G409*(1-$O$1)</f>
        <v>0.0471338205927935</v>
      </c>
      <c r="H410" s="15" t="n">
        <f aca="false">I410/G410</f>
        <v>565458.064874804</v>
      </c>
      <c r="I410" s="0" t="n">
        <f aca="false">I409</f>
        <v>26652.1989825572</v>
      </c>
      <c r="J410" s="85"/>
      <c r="K410" s="85"/>
      <c r="L410" s="85"/>
      <c r="M410" s="85"/>
      <c r="N410" s="85"/>
      <c r="O410" s="85"/>
      <c r="P410" s="85"/>
      <c r="Q410" s="85"/>
      <c r="R410" s="85"/>
    </row>
    <row r="411" customFormat="false" ht="15" hidden="false" customHeight="false" outlineLevel="0" collapsed="false">
      <c r="F411" s="99" t="n">
        <f aca="false">G411/H411</f>
        <v>8.00542500129367E-008</v>
      </c>
      <c r="G411" s="52" t="n">
        <f aca="false">G410*(1-$O$1)</f>
        <v>0.0461911441809377</v>
      </c>
      <c r="H411" s="15" t="n">
        <f aca="false">I411/G411</f>
        <v>576998.025382453</v>
      </c>
      <c r="I411" s="0" t="n">
        <f aca="false">I410</f>
        <v>26652.1989825572</v>
      </c>
      <c r="J411" s="85"/>
      <c r="K411" s="85"/>
      <c r="L411" s="85"/>
      <c r="M411" s="85"/>
      <c r="N411" s="85"/>
      <c r="O411" s="85"/>
      <c r="P411" s="85"/>
      <c r="Q411" s="85"/>
      <c r="R411" s="85"/>
    </row>
    <row r="412" customFormat="false" ht="15" hidden="false" customHeight="false" outlineLevel="0" collapsed="false">
      <c r="F412" s="99" t="n">
        <f aca="false">G412/H412</f>
        <v>7.68841017124244E-008</v>
      </c>
      <c r="G412" s="52" t="n">
        <f aca="false">G411*(1-$O$1)</f>
        <v>0.0452673212973189</v>
      </c>
      <c r="H412" s="15" t="n">
        <f aca="false">I412/G412</f>
        <v>588773.495288217</v>
      </c>
      <c r="I412" s="0" t="n">
        <f aca="false">I411</f>
        <v>26652.1989825572</v>
      </c>
      <c r="J412" s="85"/>
      <c r="K412" s="85"/>
      <c r="L412" s="85"/>
      <c r="M412" s="85"/>
      <c r="N412" s="85"/>
      <c r="O412" s="85"/>
      <c r="P412" s="85"/>
      <c r="Q412" s="85"/>
      <c r="R412" s="85"/>
    </row>
    <row r="413" customFormat="false" ht="15" hidden="false" customHeight="false" outlineLevel="0" collapsed="false">
      <c r="F413" s="99" t="n">
        <f aca="false">G413/H413</f>
        <v>7.38394912846124E-008</v>
      </c>
      <c r="G413" s="52" t="n">
        <f aca="false">G412*(1-$O$1)</f>
        <v>0.0443619748713725</v>
      </c>
      <c r="H413" s="15" t="n">
        <f aca="false">I413/G413</f>
        <v>600789.280906344</v>
      </c>
      <c r="I413" s="0" t="n">
        <f aca="false">I412</f>
        <v>26652.1989825572</v>
      </c>
      <c r="J413" s="85"/>
      <c r="K413" s="85"/>
      <c r="L413" s="85"/>
      <c r="M413" s="85"/>
      <c r="N413" s="85"/>
      <c r="O413" s="85"/>
      <c r="P413" s="85"/>
      <c r="Q413" s="85"/>
      <c r="R413" s="85"/>
    </row>
    <row r="414" customFormat="false" ht="15" hidden="false" customHeight="false" outlineLevel="0" collapsed="false">
      <c r="F414" s="99" t="n">
        <f aca="false">G414/H414</f>
        <v>7.09154474297417E-008</v>
      </c>
      <c r="G414" s="52" t="n">
        <f aca="false">G413*(1-$O$1)</f>
        <v>0.0434747353739451</v>
      </c>
      <c r="H414" s="15" t="n">
        <f aca="false">I414/G414</f>
        <v>613050.286639126</v>
      </c>
      <c r="I414" s="0" t="n">
        <f aca="false">I413</f>
        <v>26652.1989825572</v>
      </c>
      <c r="J414" s="85"/>
      <c r="K414" s="85"/>
      <c r="L414" s="85"/>
      <c r="M414" s="85"/>
      <c r="N414" s="85"/>
      <c r="O414" s="85"/>
      <c r="P414" s="85"/>
      <c r="Q414" s="85"/>
      <c r="R414" s="85"/>
    </row>
    <row r="415" customFormat="false" ht="15" hidden="false" customHeight="false" outlineLevel="0" collapsed="false">
      <c r="F415" s="99" t="n">
        <f aca="false">G415/H415</f>
        <v>6.8107195711524E-008</v>
      </c>
      <c r="G415" s="52" t="n">
        <f aca="false">G414*(1-$O$1)</f>
        <v>0.0426052406664662</v>
      </c>
      <c r="H415" s="15" t="n">
        <f aca="false">I415/G415</f>
        <v>625561.5169787</v>
      </c>
      <c r="I415" s="0" t="n">
        <f aca="false">I414</f>
        <v>26652.1989825572</v>
      </c>
      <c r="J415" s="85"/>
      <c r="K415" s="85"/>
      <c r="L415" s="85"/>
      <c r="M415" s="85"/>
      <c r="N415" s="85"/>
      <c r="O415" s="85"/>
      <c r="P415" s="85"/>
      <c r="Q415" s="85"/>
      <c r="R415" s="85"/>
    </row>
    <row r="416" customFormat="false" ht="15" hidden="false" customHeight="false" outlineLevel="0" collapsed="false">
      <c r="F416" s="99" t="n">
        <f aca="false">G416/H416</f>
        <v>6.54101507613476E-008</v>
      </c>
      <c r="G416" s="52" t="n">
        <f aca="false">G415*(1-$O$1)</f>
        <v>0.0417531358531369</v>
      </c>
      <c r="H416" s="15" t="n">
        <f aca="false">I416/G416</f>
        <v>638328.078549694</v>
      </c>
      <c r="I416" s="0" t="n">
        <f aca="false">I415</f>
        <v>26652.1989825572</v>
      </c>
      <c r="J416" s="85"/>
      <c r="K416" s="85"/>
      <c r="L416" s="85"/>
      <c r="M416" s="85"/>
      <c r="N416" s="85"/>
      <c r="O416" s="85"/>
      <c r="P416" s="85"/>
      <c r="Q416" s="85"/>
      <c r="R416" s="85"/>
    </row>
    <row r="417" customFormat="false" ht="15" hidden="false" customHeight="false" outlineLevel="0" collapsed="false">
      <c r="F417" s="99" t="n">
        <f aca="false">G417/H417</f>
        <v>6.28199087911982E-008</v>
      </c>
      <c r="G417" s="52" t="n">
        <f aca="false">G416*(1-$O$1)</f>
        <v>0.0409180731360741</v>
      </c>
      <c r="H417" s="15" t="n">
        <f aca="false">I417/G417</f>
        <v>651355.182193566</v>
      </c>
      <c r="I417" s="0" t="n">
        <f aca="false">I416</f>
        <v>26652.1989825572</v>
      </c>
      <c r="J417" s="85"/>
      <c r="K417" s="85"/>
      <c r="L417" s="85"/>
      <c r="M417" s="85"/>
      <c r="N417" s="85"/>
      <c r="O417" s="85"/>
      <c r="P417" s="85"/>
      <c r="Q417" s="85"/>
      <c r="R417" s="85"/>
    </row>
    <row r="418" customFormat="false" ht="15" hidden="false" customHeight="false" outlineLevel="0" collapsed="false">
      <c r="F418" s="99" t="n">
        <f aca="false">G418/H418</f>
        <v>6.03322404030668E-008</v>
      </c>
      <c r="G418" s="52" t="n">
        <f aca="false">G417*(1-$O$1)</f>
        <v>0.0400997116733526</v>
      </c>
      <c r="H418" s="15" t="n">
        <f aca="false">I418/G418</f>
        <v>664648.145095475</v>
      </c>
      <c r="I418" s="0" t="n">
        <f aca="false">I417</f>
        <v>26652.1989825572</v>
      </c>
      <c r="J418" s="85"/>
      <c r="K418" s="85"/>
      <c r="L418" s="85"/>
      <c r="M418" s="85"/>
      <c r="N418" s="85"/>
      <c r="O418" s="85"/>
      <c r="P418" s="85"/>
      <c r="Q418" s="85"/>
      <c r="R418" s="85"/>
    </row>
    <row r="419" customFormat="false" ht="15" hidden="false" customHeight="false" outlineLevel="0" collapsed="false">
      <c r="F419" s="99" t="n">
        <f aca="false">G419/H419</f>
        <v>5.79430836831053E-008</v>
      </c>
      <c r="G419" s="52" t="n">
        <f aca="false">G418*(1-$O$1)</f>
        <v>0.0392977174398856</v>
      </c>
      <c r="H419" s="15" t="n">
        <f aca="false">I419/G419</f>
        <v>678212.392954567</v>
      </c>
      <c r="I419" s="0" t="n">
        <f aca="false">I418</f>
        <v>26652.1989825572</v>
      </c>
      <c r="J419" s="85"/>
      <c r="K419" s="85"/>
      <c r="L419" s="85"/>
      <c r="M419" s="85"/>
      <c r="N419" s="85"/>
      <c r="O419" s="85"/>
      <c r="P419" s="85"/>
      <c r="Q419" s="85"/>
      <c r="R419" s="85"/>
    </row>
    <row r="420" customFormat="false" ht="15" hidden="false" customHeight="false" outlineLevel="0" collapsed="false">
      <c r="F420" s="99" t="n">
        <f aca="false">G420/H420</f>
        <v>5.56485375692544E-008</v>
      </c>
      <c r="G420" s="52" t="n">
        <f aca="false">G419*(1-$O$1)</f>
        <v>0.0385117630910879</v>
      </c>
      <c r="H420" s="15" t="n">
        <f aca="false">I420/G420</f>
        <v>692053.462198537</v>
      </c>
      <c r="I420" s="0" t="n">
        <f aca="false">I419</f>
        <v>26652.1989825572</v>
      </c>
      <c r="J420" s="85"/>
      <c r="K420" s="85"/>
      <c r="L420" s="85"/>
      <c r="M420" s="85"/>
      <c r="N420" s="85"/>
      <c r="O420" s="85"/>
      <c r="P420" s="85"/>
      <c r="Q420" s="85"/>
      <c r="R420" s="85"/>
    </row>
    <row r="421" customFormat="false" ht="15" hidden="false" customHeight="false" outlineLevel="0" collapsed="false">
      <c r="F421" s="99" t="n">
        <f aca="false">G421/H421</f>
        <v>5.34448554815119E-008</v>
      </c>
      <c r="G421" s="52" t="n">
        <f aca="false">G420*(1-$O$1)</f>
        <v>0.0377415278292661</v>
      </c>
      <c r="H421" s="15" t="n">
        <f aca="false">I421/G421</f>
        <v>706177.002243406</v>
      </c>
      <c r="I421" s="0" t="n">
        <f aca="false">I420</f>
        <v>26652.1989825572</v>
      </c>
      <c r="J421" s="85"/>
      <c r="K421" s="85"/>
      <c r="L421" s="85"/>
      <c r="M421" s="85"/>
      <c r="N421" s="85"/>
      <c r="O421" s="85"/>
      <c r="P421" s="85"/>
      <c r="Q421" s="85"/>
      <c r="R421" s="85"/>
    </row>
    <row r="422" customFormat="false" ht="15" hidden="false" customHeight="false" outlineLevel="0" collapsed="false">
      <c r="F422" s="99" t="n">
        <f aca="false">G422/H422</f>
        <v>5.1328439204444E-008</v>
      </c>
      <c r="G422" s="52" t="n">
        <f aca="false">G421*(1-$O$1)</f>
        <v>0.0369866972726808</v>
      </c>
      <c r="H422" s="15" t="n">
        <f aca="false">I422/G422</f>
        <v>720588.777799393</v>
      </c>
      <c r="I422" s="0" t="n">
        <f aca="false">I421</f>
        <v>26652.1989825572</v>
      </c>
      <c r="J422" s="85"/>
      <c r="K422" s="85"/>
      <c r="L422" s="85"/>
      <c r="M422" s="85"/>
      <c r="N422" s="85"/>
      <c r="O422" s="85"/>
      <c r="P422" s="85"/>
      <c r="Q422" s="85"/>
      <c r="R422" s="85"/>
    </row>
    <row r="423" customFormat="false" ht="15" hidden="false" customHeight="false" outlineLevel="0" collapsed="false">
      <c r="F423" s="99" t="n">
        <f aca="false">G423/H423</f>
        <v>4.9295833011948E-008</v>
      </c>
      <c r="G423" s="52" t="n">
        <f aca="false">G422*(1-$O$1)</f>
        <v>0.0362469633272272</v>
      </c>
      <c r="H423" s="15" t="n">
        <f aca="false">I423/G423</f>
        <v>735294.671223871</v>
      </c>
      <c r="I423" s="0" t="n">
        <f aca="false">I422</f>
        <v>26652.1989825572</v>
      </c>
      <c r="J423" s="85"/>
      <c r="K423" s="85"/>
      <c r="L423" s="85"/>
      <c r="M423" s="85"/>
      <c r="N423" s="85"/>
      <c r="O423" s="85"/>
      <c r="P423" s="85"/>
      <c r="Q423" s="85"/>
      <c r="R423" s="85"/>
    </row>
    <row r="424" customFormat="false" ht="15" hidden="false" customHeight="false" outlineLevel="0" collapsed="false">
      <c r="F424" s="99" t="n">
        <f aca="false">G424/H424</f>
        <v>4.73437180246749E-008</v>
      </c>
      <c r="G424" s="52" t="n">
        <f aca="false">G423*(1-$O$1)</f>
        <v>0.0355220240606826</v>
      </c>
      <c r="H424" s="15" t="n">
        <f aca="false">I424/G424</f>
        <v>750300.684922317</v>
      </c>
      <c r="I424" s="0" t="n">
        <f aca="false">I423</f>
        <v>26652.1989825572</v>
      </c>
      <c r="J424" s="85"/>
      <c r="K424" s="85"/>
      <c r="L424" s="85"/>
      <c r="M424" s="85"/>
      <c r="N424" s="85"/>
      <c r="O424" s="85"/>
      <c r="P424" s="85"/>
      <c r="Q424" s="85"/>
      <c r="R424" s="85"/>
    </row>
    <row r="425" customFormat="false" ht="15" hidden="false" customHeight="false" outlineLevel="0" collapsed="false">
      <c r="F425" s="99" t="n">
        <f aca="false">G425/H425</f>
        <v>4.54689067908978E-008</v>
      </c>
      <c r="G425" s="52" t="n">
        <f aca="false">G424*(1-$O$1)</f>
        <v>0.034811583579469</v>
      </c>
      <c r="H425" s="15" t="n">
        <f aca="false">I425/G425</f>
        <v>765612.943798283</v>
      </c>
      <c r="I425" s="0" t="n">
        <f aca="false">I424</f>
        <v>26652.1989825572</v>
      </c>
      <c r="J425" s="85"/>
      <c r="K425" s="85"/>
      <c r="L425" s="85"/>
      <c r="M425" s="85"/>
      <c r="N425" s="85"/>
      <c r="O425" s="85"/>
      <c r="P425" s="85"/>
      <c r="Q425" s="85"/>
      <c r="R425" s="85"/>
    </row>
    <row r="426" customFormat="false" ht="15" hidden="false" customHeight="false" outlineLevel="0" collapsed="false">
      <c r="F426" s="99" t="n">
        <f aca="false">G426/H426</f>
        <v>4.36683380819782E-008</v>
      </c>
      <c r="G426" s="52" t="n">
        <f aca="false">G425*(1-$O$1)</f>
        <v>0.0341153519078796</v>
      </c>
      <c r="H426" s="15" t="n">
        <f aca="false">I426/G426</f>
        <v>781237.69775335</v>
      </c>
      <c r="I426" s="0" t="n">
        <f aca="false">I425</f>
        <v>26652.1989825572</v>
      </c>
      <c r="J426" s="85"/>
      <c r="K426" s="85"/>
      <c r="L426" s="85"/>
      <c r="M426" s="85"/>
      <c r="N426" s="85"/>
      <c r="O426" s="85"/>
      <c r="P426" s="85"/>
      <c r="Q426" s="85"/>
      <c r="R426" s="85"/>
    </row>
    <row r="427" customFormat="false" ht="15" hidden="false" customHeight="false" outlineLevel="0" collapsed="false">
      <c r="F427" s="99" t="n">
        <f aca="false">G427/H427</f>
        <v>4.19390718939319E-008</v>
      </c>
      <c r="G427" s="52" t="n">
        <f aca="false">G426*(1-$O$1)</f>
        <v>0.033433044869722</v>
      </c>
      <c r="H427" s="15" t="n">
        <f aca="false">I427/G427</f>
        <v>797181.324238112</v>
      </c>
      <c r="I427" s="0" t="n">
        <f aca="false">I426</f>
        <v>26652.1989825572</v>
      </c>
      <c r="J427" s="85"/>
      <c r="K427" s="85"/>
      <c r="L427" s="85"/>
      <c r="M427" s="85"/>
      <c r="N427" s="85"/>
      <c r="O427" s="85"/>
      <c r="P427" s="85"/>
      <c r="Q427" s="85"/>
      <c r="R427" s="85"/>
    </row>
    <row r="428" customFormat="false" ht="15" hidden="false" customHeight="false" outlineLevel="0" collapsed="false">
      <c r="F428" s="99" t="n">
        <f aca="false">G428/H428</f>
        <v>4.02782846469322E-008</v>
      </c>
      <c r="G428" s="52" t="n">
        <f aca="false">G427*(1-$O$1)</f>
        <v>0.0327643839723276</v>
      </c>
      <c r="H428" s="15" t="n">
        <f aca="false">I428/G428</f>
        <v>813450.330855217</v>
      </c>
      <c r="I428" s="0" t="n">
        <f aca="false">I427</f>
        <v>26652.1989825572</v>
      </c>
      <c r="J428" s="85"/>
      <c r="K428" s="85"/>
      <c r="L428" s="85"/>
      <c r="M428" s="85"/>
      <c r="N428" s="85"/>
      <c r="O428" s="85"/>
      <c r="P428" s="85"/>
      <c r="Q428" s="85"/>
      <c r="R428" s="85"/>
    </row>
    <row r="429" customFormat="false" ht="15" hidden="false" customHeight="false" outlineLevel="0" collapsed="false">
      <c r="F429" s="99" t="n">
        <f aca="false">G429/H429</f>
        <v>3.86832645749136E-008</v>
      </c>
      <c r="G429" s="52" t="n">
        <f aca="false">G428*(1-$O$1)</f>
        <v>0.032109096292881</v>
      </c>
      <c r="H429" s="15" t="n">
        <f aca="false">I429/G429</f>
        <v>830051.358015527</v>
      </c>
      <c r="I429" s="0" t="n">
        <f aca="false">I428</f>
        <v>26652.1989825572</v>
      </c>
      <c r="J429" s="85"/>
      <c r="K429" s="85"/>
      <c r="L429" s="85"/>
      <c r="M429" s="85"/>
      <c r="N429" s="85"/>
      <c r="O429" s="85"/>
      <c r="P429" s="85"/>
      <c r="Q429" s="85"/>
      <c r="R429" s="85"/>
    </row>
    <row r="430" customFormat="false" ht="15" hidden="false" customHeight="false" outlineLevel="0" collapsed="false">
      <c r="F430" s="99" t="n">
        <f aca="false">G430/H430</f>
        <v>3.71514072977471E-008</v>
      </c>
      <c r="G430" s="52" t="n">
        <f aca="false">G429*(1-$O$1)</f>
        <v>0.0314669143670234</v>
      </c>
      <c r="H430" s="15" t="n">
        <f aca="false">I430/G430</f>
        <v>846991.181648497</v>
      </c>
      <c r="I430" s="0" t="n">
        <f aca="false">I429</f>
        <v>26652.1989825572</v>
      </c>
      <c r="J430" s="85"/>
      <c r="K430" s="85"/>
      <c r="L430" s="85"/>
      <c r="M430" s="85"/>
      <c r="N430" s="85"/>
      <c r="O430" s="85"/>
      <c r="P430" s="85"/>
      <c r="Q430" s="85"/>
      <c r="R430" s="85"/>
    </row>
    <row r="431" customFormat="false" ht="15" hidden="false" customHeight="false" outlineLevel="0" collapsed="false">
      <c r="F431" s="99" t="n">
        <f aca="false">G431/H431</f>
        <v>3.56802115687563E-008</v>
      </c>
      <c r="G431" s="52" t="n">
        <f aca="false">G430*(1-$O$1)</f>
        <v>0.0308375760796829</v>
      </c>
      <c r="H431" s="15" t="n">
        <f aca="false">I431/G431</f>
        <v>864276.715967854</v>
      </c>
      <c r="I431" s="0" t="n">
        <f aca="false">I430</f>
        <v>26652.1989825572</v>
      </c>
      <c r="J431" s="85"/>
      <c r="K431" s="85"/>
      <c r="L431" s="85"/>
      <c r="M431" s="85"/>
      <c r="N431" s="85"/>
      <c r="O431" s="85"/>
      <c r="P431" s="85"/>
      <c r="Q431" s="85"/>
      <c r="R431" s="85"/>
    </row>
    <row r="432" customFormat="false" ht="15" hidden="false" customHeight="false" outlineLevel="0" collapsed="false">
      <c r="F432" s="99" t="n">
        <f aca="false">G432/H432</f>
        <v>3.42672751906335E-008</v>
      </c>
      <c r="G432" s="52" t="n">
        <f aca="false">G431*(1-$O$1)</f>
        <v>0.0302208245580893</v>
      </c>
      <c r="H432" s="15" t="n">
        <f aca="false">I432/G432</f>
        <v>881915.016293729</v>
      </c>
      <c r="I432" s="0" t="n">
        <f aca="false">I431</f>
        <v>26652.1989825572</v>
      </c>
      <c r="J432" s="85"/>
      <c r="K432" s="85"/>
      <c r="L432" s="85"/>
      <c r="M432" s="85"/>
      <c r="N432" s="85"/>
      <c r="O432" s="85"/>
      <c r="P432" s="85"/>
      <c r="Q432" s="85"/>
      <c r="R432" s="85"/>
    </row>
    <row r="433" customFormat="false" ht="15" hidden="false" customHeight="false" outlineLevel="0" collapsed="false">
      <c r="F433" s="99" t="n">
        <f aca="false">G433/H433</f>
        <v>3.29102910930844E-008</v>
      </c>
      <c r="G433" s="52" t="n">
        <f aca="false">G432*(1-$O$1)</f>
        <v>0.0296164080669275</v>
      </c>
      <c r="H433" s="15" t="n">
        <f aca="false">I433/G433</f>
        <v>899913.281932376</v>
      </c>
      <c r="I433" s="0" t="n">
        <f aca="false">I432</f>
        <v>26652.1989825572</v>
      </c>
      <c r="J433" s="85"/>
      <c r="K433" s="85"/>
      <c r="L433" s="85"/>
      <c r="M433" s="85"/>
      <c r="N433" s="85"/>
      <c r="O433" s="85"/>
      <c r="P433" s="85"/>
      <c r="Q433" s="85"/>
      <c r="R433" s="85"/>
    </row>
    <row r="434" customFormat="false" ht="15" hidden="false" customHeight="false" outlineLevel="0" collapsed="false">
      <c r="F434" s="99" t="n">
        <f aca="false">G434/H434</f>
        <v>3.16070435657983E-008</v>
      </c>
      <c r="G434" s="52" t="n">
        <f aca="false">G433*(1-$O$1)</f>
        <v>0.0290240799055889</v>
      </c>
      <c r="H434" s="15" t="n">
        <f aca="false">I434/G434</f>
        <v>918278.859114669</v>
      </c>
      <c r="I434" s="0" t="n">
        <f aca="false">I433</f>
        <v>26652.1989825572</v>
      </c>
      <c r="J434" s="85"/>
      <c r="K434" s="85"/>
      <c r="L434" s="85"/>
      <c r="M434" s="85"/>
      <c r="N434" s="85"/>
      <c r="O434" s="85"/>
      <c r="P434" s="85"/>
      <c r="Q434" s="85"/>
      <c r="R434" s="85"/>
    </row>
    <row r="435" customFormat="false" ht="15" hidden="false" customHeight="false" outlineLevel="0" collapsed="false">
      <c r="F435" s="99" t="n">
        <f aca="false">G435/H435</f>
        <v>3.03554046405927E-008</v>
      </c>
      <c r="G435" s="52" t="n">
        <f aca="false">G434*(1-$O$1)</f>
        <v>0.0284435983074771</v>
      </c>
      <c r="H435" s="15" t="n">
        <f aca="false">I435/G435</f>
        <v>937019.243994561</v>
      </c>
      <c r="I435" s="0" t="n">
        <f aca="false">I434</f>
        <v>26652.1989825572</v>
      </c>
      <c r="J435" s="85"/>
      <c r="K435" s="85"/>
      <c r="L435" s="85"/>
      <c r="M435" s="85"/>
      <c r="N435" s="85"/>
      <c r="O435" s="85"/>
      <c r="P435" s="85"/>
      <c r="Q435" s="85"/>
      <c r="R435" s="85"/>
    </row>
    <row r="436" customFormat="false" ht="15" hidden="false" customHeight="false" outlineLevel="0" collapsed="false">
      <c r="F436" s="99" t="n">
        <f aca="false">G436/H436</f>
        <v>2.91533306168252E-008</v>
      </c>
      <c r="G436" s="52" t="n">
        <f aca="false">G435*(1-$O$1)</f>
        <v>0.0278747263413276</v>
      </c>
      <c r="H436" s="15" t="n">
        <f aca="false">I436/G436</f>
        <v>956142.085708736</v>
      </c>
      <c r="I436" s="0" t="n">
        <f aca="false">I435</f>
        <v>26652.1989825572</v>
      </c>
      <c r="J436" s="85"/>
      <c r="K436" s="85"/>
      <c r="L436" s="85"/>
      <c r="M436" s="85"/>
      <c r="N436" s="85"/>
      <c r="O436" s="85"/>
      <c r="P436" s="85"/>
      <c r="Q436" s="85"/>
      <c r="R436" s="85"/>
    </row>
    <row r="437" customFormat="false" ht="15" hidden="false" customHeight="false" outlineLevel="0" collapsed="false">
      <c r="F437" s="99" t="n">
        <f aca="false">G437/H437</f>
        <v>2.79988587243989E-008</v>
      </c>
      <c r="G437" s="52" t="n">
        <f aca="false">G436*(1-$O$1)</f>
        <v>0.027317231814501</v>
      </c>
      <c r="H437" s="15" t="n">
        <f aca="false">I437/G437</f>
        <v>975655.18949871</v>
      </c>
      <c r="I437" s="0" t="n">
        <f aca="false">I436</f>
        <v>26652.1989825572</v>
      </c>
      <c r="J437" s="85"/>
      <c r="K437" s="85"/>
      <c r="L437" s="85"/>
      <c r="M437" s="85"/>
      <c r="N437" s="85"/>
      <c r="O437" s="85"/>
      <c r="P437" s="85"/>
      <c r="Q437" s="85"/>
      <c r="R437" s="85"/>
    </row>
    <row r="438" customFormat="false" ht="15" hidden="false" customHeight="false" outlineLevel="0" collapsed="false">
      <c r="F438" s="99" t="n">
        <f aca="false">G438/H438</f>
        <v>2.68901039189127E-008</v>
      </c>
      <c r="G438" s="52" t="n">
        <f aca="false">G437*(1-$O$1)</f>
        <v>0.026770887178211</v>
      </c>
      <c r="H438" s="15" t="n">
        <f aca="false">I438/G438</f>
        <v>995566.519896643</v>
      </c>
      <c r="I438" s="0" t="n">
        <f aca="false">I437</f>
        <v>26652.1989825572</v>
      </c>
      <c r="J438" s="85"/>
      <c r="K438" s="85"/>
      <c r="L438" s="85"/>
      <c r="M438" s="85"/>
      <c r="N438" s="85"/>
      <c r="O438" s="85"/>
      <c r="P438" s="85"/>
      <c r="Q438" s="85"/>
      <c r="R438" s="85"/>
    </row>
    <row r="439" customFormat="false" ht="15" hidden="false" customHeight="false" outlineLevel="0" collapsed="false">
      <c r="F439" s="99" t="n">
        <f aca="false">G439/H439</f>
        <v>2.58252558037238E-008</v>
      </c>
      <c r="G439" s="52" t="n">
        <f aca="false">G438*(1-$O$1)</f>
        <v>0.0262354694346468</v>
      </c>
      <c r="H439" s="15" t="n">
        <f aca="false">I439/G439</f>
        <v>1015884.20397617</v>
      </c>
      <c r="I439" s="0" t="n">
        <f aca="false">I438</f>
        <v>26652.1989825572</v>
      </c>
      <c r="J439" s="85"/>
      <c r="K439" s="85"/>
      <c r="L439" s="85"/>
      <c r="M439" s="85"/>
      <c r="N439" s="85"/>
      <c r="O439" s="85"/>
      <c r="P439" s="85"/>
      <c r="Q439" s="85"/>
      <c r="R439" s="85"/>
    </row>
    <row r="440" customFormat="false" ht="15" hidden="false" customHeight="false" outlineLevel="0" collapsed="false">
      <c r="F440" s="99" t="n">
        <f aca="false">G440/H440</f>
        <v>2.48025756738963E-008</v>
      </c>
      <c r="G440" s="52" t="n">
        <f aca="false">G439*(1-$O$1)</f>
        <v>0.0257107600459539</v>
      </c>
      <c r="H440" s="15" t="n">
        <f aca="false">I440/G440</f>
        <v>1036616.53466956</v>
      </c>
      <c r="I440" s="0" t="n">
        <f aca="false">I439</f>
        <v>26652.1989825572</v>
      </c>
      <c r="J440" s="85"/>
      <c r="K440" s="85"/>
      <c r="L440" s="85"/>
      <c r="M440" s="85"/>
      <c r="N440" s="85"/>
      <c r="O440" s="85"/>
      <c r="P440" s="85"/>
      <c r="Q440" s="85"/>
      <c r="R440" s="85"/>
    </row>
    <row r="441" customFormat="false" ht="15" hidden="false" customHeight="false" outlineLevel="0" collapsed="false">
      <c r="F441" s="99" t="n">
        <f aca="false">G441/H441</f>
        <v>2.382039367721E-008</v>
      </c>
      <c r="G441" s="52" t="n">
        <f aca="false">G440*(1-$O$1)</f>
        <v>0.0251965448450348</v>
      </c>
      <c r="H441" s="15" t="n">
        <f aca="false">I441/G441</f>
        <v>1057771.97415261</v>
      </c>
      <c r="I441" s="0" t="n">
        <f aca="false">I440</f>
        <v>26652.1989825572</v>
      </c>
      <c r="J441" s="85"/>
      <c r="K441" s="85"/>
      <c r="L441" s="85"/>
      <c r="M441" s="85"/>
      <c r="N441" s="85"/>
      <c r="O441" s="85"/>
      <c r="P441" s="85"/>
      <c r="Q441" s="85"/>
      <c r="R441" s="85"/>
    </row>
    <row r="442" customFormat="false" ht="15" hidden="false" customHeight="false" outlineLevel="0" collapsed="false">
      <c r="F442" s="99" t="n">
        <f aca="false">G442/H442</f>
        <v>2.28771060875925E-008</v>
      </c>
      <c r="G442" s="52" t="n">
        <f aca="false">G441*(1-$O$1)</f>
        <v>0.0246926139481341</v>
      </c>
      <c r="H442" s="15" t="n">
        <f aca="false">I442/G442</f>
        <v>1079359.15729858</v>
      </c>
      <c r="I442" s="0" t="n">
        <f aca="false">I441</f>
        <v>26652.1989825572</v>
      </c>
      <c r="J442" s="85"/>
      <c r="K442" s="85"/>
      <c r="L442" s="85"/>
      <c r="M442" s="85"/>
      <c r="N442" s="85"/>
      <c r="O442" s="85"/>
      <c r="P442" s="85"/>
      <c r="Q442" s="85"/>
      <c r="R442" s="85"/>
    </row>
    <row r="443" customFormat="false" ht="15" hidden="false" customHeight="false" outlineLevel="0" collapsed="false">
      <c r="F443" s="99" t="n">
        <f aca="false">G443/H443</f>
        <v>2.19711726865238E-008</v>
      </c>
      <c r="G443" s="52" t="n">
        <f aca="false">G442*(1-$O$1)</f>
        <v>0.0241987616691714</v>
      </c>
      <c r="H443" s="15" t="n">
        <f aca="false">I443/G443</f>
        <v>1101386.89520263</v>
      </c>
      <c r="I443" s="0" t="n">
        <f aca="false">I442</f>
        <v>26652.1989825572</v>
      </c>
      <c r="J443" s="85"/>
      <c r="K443" s="85"/>
      <c r="L443" s="85"/>
      <c r="M443" s="85"/>
      <c r="N443" s="85"/>
      <c r="O443" s="85"/>
      <c r="P443" s="85"/>
      <c r="Q443" s="85"/>
      <c r="R443" s="85"/>
    </row>
    <row r="444" customFormat="false" ht="15" hidden="false" customHeight="false" outlineLevel="0" collapsed="false">
      <c r="F444" s="99" t="n">
        <f aca="false">G444/H444</f>
        <v>2.11011142481375E-008</v>
      </c>
      <c r="G444" s="52" t="n">
        <f aca="false">G443*(1-$O$1)</f>
        <v>0.023714786435788</v>
      </c>
      <c r="H444" s="15" t="n">
        <f aca="false">I444/G444</f>
        <v>1123864.1787782</v>
      </c>
      <c r="I444" s="0" t="n">
        <f aca="false">I443</f>
        <v>26652.1989825572</v>
      </c>
      <c r="J444" s="85"/>
      <c r="K444" s="85"/>
      <c r="L444" s="85"/>
      <c r="M444" s="85"/>
      <c r="N444" s="85"/>
      <c r="O444" s="85"/>
      <c r="P444" s="85"/>
      <c r="Q444" s="85"/>
      <c r="R444" s="85"/>
    </row>
    <row r="445" customFormat="false" ht="15" hidden="false" customHeight="false" outlineLevel="0" collapsed="false">
      <c r="F445" s="99" t="n">
        <f aca="false">G445/H445</f>
        <v>2.02655101239113E-008</v>
      </c>
      <c r="G445" s="52" t="n">
        <f aca="false">G444*(1-$O$1)</f>
        <v>0.0232404907070722</v>
      </c>
      <c r="H445" s="15" t="n">
        <f aca="false">I445/G445</f>
        <v>1146800.18242673</v>
      </c>
      <c r="I445" s="0" t="n">
        <f aca="false">I444</f>
        <v>26652.1989825572</v>
      </c>
      <c r="J445" s="85"/>
      <c r="K445" s="85"/>
      <c r="L445" s="85"/>
      <c r="M445" s="85"/>
      <c r="N445" s="85"/>
      <c r="O445" s="85"/>
      <c r="P445" s="85"/>
      <c r="Q445" s="85"/>
      <c r="R445" s="85"/>
    </row>
    <row r="446" customFormat="false" ht="15" hidden="false" customHeight="false" outlineLevel="0" collapsed="false">
      <c r="F446" s="99" t="n">
        <f aca="false">G446/H446</f>
        <v>1.94629959230044E-008</v>
      </c>
      <c r="G446" s="52" t="n">
        <f aca="false">G445*(1-$O$1)</f>
        <v>0.0227756808929308</v>
      </c>
      <c r="H446" s="15" t="n">
        <f aca="false">I446/G446</f>
        <v>1170204.26778238</v>
      </c>
      <c r="I446" s="0" t="n">
        <f aca="false">I445</f>
        <v>26652.1989825572</v>
      </c>
      <c r="J446" s="85"/>
      <c r="K446" s="85"/>
      <c r="L446" s="85"/>
      <c r="M446" s="85"/>
      <c r="N446" s="85"/>
      <c r="O446" s="85"/>
      <c r="P446" s="85"/>
      <c r="Q446" s="85"/>
      <c r="R446" s="85"/>
    </row>
    <row r="447" customFormat="false" ht="15" hidden="false" customHeight="false" outlineLevel="0" collapsed="false">
      <c r="F447" s="99" t="n">
        <f aca="false">G447/H447</f>
        <v>1.86922612844534E-008</v>
      </c>
      <c r="G447" s="52" t="n">
        <f aca="false">G446*(1-$O$1)</f>
        <v>0.0223201672750722</v>
      </c>
      <c r="H447" s="15" t="n">
        <f aca="false">I447/G447</f>
        <v>1194085.98753304</v>
      </c>
      <c r="I447" s="0" t="n">
        <f aca="false">I446</f>
        <v>26652.1989825572</v>
      </c>
      <c r="J447" s="85"/>
      <c r="K447" s="85"/>
      <c r="L447" s="85"/>
      <c r="M447" s="85"/>
      <c r="N447" s="85"/>
      <c r="O447" s="85"/>
      <c r="P447" s="85"/>
      <c r="Q447" s="85"/>
      <c r="R447" s="85"/>
    </row>
    <row r="448" customFormat="false" ht="15" hidden="false" customHeight="false" outlineLevel="0" collapsed="false">
      <c r="F448" s="99" t="n">
        <f aca="false">G448/H448</f>
        <v>1.7952047737589E-008</v>
      </c>
      <c r="G448" s="52" t="n">
        <f aca="false">G447*(1-$O$1)</f>
        <v>0.0218737639295707</v>
      </c>
      <c r="H448" s="15" t="n">
        <f aca="false">I448/G448</f>
        <v>1218455.08931943</v>
      </c>
      <c r="I448" s="0" t="n">
        <f aca="false">I447</f>
        <v>26652.1989825572</v>
      </c>
      <c r="J448" s="85"/>
      <c r="K448" s="85"/>
      <c r="L448" s="85"/>
      <c r="M448" s="85"/>
      <c r="N448" s="85"/>
      <c r="O448" s="85"/>
      <c r="P448" s="85"/>
      <c r="Q448" s="85"/>
      <c r="R448" s="85"/>
    </row>
    <row r="449" customFormat="false" ht="15" hidden="false" customHeight="false" outlineLevel="0" collapsed="false">
      <c r="F449" s="99" t="n">
        <f aca="false">G449/H449</f>
        <v>1.72411466471805E-008</v>
      </c>
      <c r="G449" s="52" t="n">
        <f aca="false">G448*(1-$O$1)</f>
        <v>0.0214362886509793</v>
      </c>
      <c r="H449" s="15" t="n">
        <f aca="false">I449/G449</f>
        <v>1243321.5197137</v>
      </c>
      <c r="I449" s="0" t="n">
        <f aca="false">I448</f>
        <v>26652.1989825572</v>
      </c>
      <c r="J449" s="85"/>
      <c r="K449" s="85"/>
      <c r="L449" s="85"/>
      <c r="M449" s="85"/>
      <c r="N449" s="85"/>
      <c r="O449" s="85"/>
      <c r="P449" s="85"/>
      <c r="Q449" s="85"/>
      <c r="R449" s="85"/>
    </row>
    <row r="450" customFormat="false" ht="15" hidden="false" customHeight="false" outlineLevel="0" collapsed="false">
      <c r="F450" s="99" t="n">
        <f aca="false">G450/H450</f>
        <v>1.65583972399522E-008</v>
      </c>
      <c r="G450" s="52" t="n">
        <f aca="false">G449*(1-$O$1)</f>
        <v>0.0210075628779597</v>
      </c>
      <c r="H450" s="15" t="n">
        <f aca="false">I450/G450</f>
        <v>1268695.42827929</v>
      </c>
      <c r="I450" s="0" t="n">
        <f aca="false">I449</f>
        <v>26652.1989825572</v>
      </c>
      <c r="J450" s="85"/>
      <c r="K450" s="85"/>
      <c r="L450" s="85"/>
      <c r="M450" s="85"/>
      <c r="N450" s="85"/>
      <c r="O450" s="85"/>
      <c r="P450" s="85"/>
      <c r="Q450" s="85"/>
      <c r="R450" s="85"/>
    </row>
    <row r="451" customFormat="false" ht="15" hidden="false" customHeight="false" outlineLevel="0" collapsed="false">
      <c r="F451" s="99" t="n">
        <f aca="false">G451/H451</f>
        <v>1.59026847092501E-008</v>
      </c>
      <c r="G451" s="52" t="n">
        <f aca="false">G450*(1-$O$1)</f>
        <v>0.0205874116204005</v>
      </c>
      <c r="H451" s="15" t="n">
        <f aca="false">I451/G451</f>
        <v>1294587.17171356</v>
      </c>
      <c r="I451" s="0" t="n">
        <f aca="false">I450</f>
        <v>26652.1989825572</v>
      </c>
      <c r="J451" s="85"/>
      <c r="K451" s="85"/>
      <c r="L451" s="85"/>
      <c r="M451" s="85"/>
      <c r="N451" s="85"/>
      <c r="O451" s="85"/>
      <c r="P451" s="85"/>
      <c r="Q451" s="85"/>
      <c r="R451" s="85"/>
    </row>
    <row r="452" customFormat="false" ht="15" hidden="false" customHeight="false" outlineLevel="0" collapsed="false">
      <c r="F452" s="99" t="n">
        <f aca="false">G452/H452</f>
        <v>1.52729383947638E-008</v>
      </c>
      <c r="G452" s="52" t="n">
        <f aca="false">G451*(1-$O$1)</f>
        <v>0.0201756633879925</v>
      </c>
      <c r="H452" s="15" t="n">
        <f aca="false">I452/G452</f>
        <v>1321007.31807506</v>
      </c>
      <c r="I452" s="0" t="n">
        <f aca="false">I451</f>
        <v>26652.1989825572</v>
      </c>
      <c r="J452" s="85"/>
      <c r="K452" s="85"/>
      <c r="L452" s="85"/>
      <c r="M452" s="85"/>
      <c r="N452" s="85"/>
      <c r="O452" s="85"/>
      <c r="P452" s="85"/>
      <c r="Q452" s="85"/>
      <c r="R452" s="85"/>
    </row>
    <row r="453" customFormat="false" ht="15" hidden="false" customHeight="false" outlineLevel="0" collapsed="false">
      <c r="F453" s="99" t="n">
        <f aca="false">G453/H453</f>
        <v>1.46681300343311E-008</v>
      </c>
      <c r="G453" s="52" t="n">
        <f aca="false">G452*(1-$O$1)</f>
        <v>0.0197721501202327</v>
      </c>
      <c r="H453" s="15" t="n">
        <f aca="false">I453/G453</f>
        <v>1347966.651097</v>
      </c>
      <c r="I453" s="0" t="n">
        <f aca="false">I452</f>
        <v>26652.1989825572</v>
      </c>
      <c r="J453" s="85"/>
      <c r="K453" s="85"/>
      <c r="L453" s="85"/>
      <c r="M453" s="85"/>
      <c r="N453" s="85"/>
      <c r="O453" s="85"/>
      <c r="P453" s="85"/>
      <c r="Q453" s="85"/>
      <c r="R453" s="85"/>
    </row>
    <row r="454" customFormat="false" ht="15" hidden="false" customHeight="false" outlineLevel="0" collapsed="false">
      <c r="F454" s="99" t="n">
        <f aca="false">G454/H454</f>
        <v>1.40872720849716E-008</v>
      </c>
      <c r="G454" s="52" t="n">
        <f aca="false">G453*(1-$O$1)</f>
        <v>0.019376707117828</v>
      </c>
      <c r="H454" s="15" t="n">
        <f aca="false">I454/G454</f>
        <v>1375476.17458878</v>
      </c>
      <c r="I454" s="0" t="n">
        <f aca="false">I453</f>
        <v>26652.1989825572</v>
      </c>
      <c r="J454" s="85"/>
      <c r="K454" s="85"/>
      <c r="L454" s="85"/>
      <c r="M454" s="85"/>
      <c r="N454" s="85"/>
      <c r="O454" s="85"/>
      <c r="P454" s="85"/>
      <c r="Q454" s="85"/>
      <c r="R454" s="85"/>
    </row>
    <row r="455" customFormat="false" ht="15" hidden="false" customHeight="false" outlineLevel="0" collapsed="false">
      <c r="F455" s="99" t="n">
        <f aca="false">G455/H455</f>
        <v>1.35294161104067E-008</v>
      </c>
      <c r="G455" s="52" t="n">
        <f aca="false">G454*(1-$O$1)</f>
        <v>0.0189891729754714</v>
      </c>
      <c r="H455" s="15" t="n">
        <f aca="false">I455/G455</f>
        <v>1403547.11692732</v>
      </c>
      <c r="I455" s="0" t="n">
        <f aca="false">I454</f>
        <v>26652.1989825572</v>
      </c>
      <c r="J455" s="85"/>
      <c r="K455" s="85"/>
      <c r="L455" s="85"/>
      <c r="M455" s="85"/>
      <c r="N455" s="85"/>
      <c r="O455" s="85"/>
      <c r="P455" s="85"/>
      <c r="Q455" s="85"/>
      <c r="R455" s="85"/>
    </row>
    <row r="456" customFormat="false" ht="15" hidden="false" customHeight="false" outlineLevel="0" collapsed="false">
      <c r="F456" s="99" t="n">
        <f aca="false">G456/H456</f>
        <v>1.29936512324346E-008</v>
      </c>
      <c r="G456" s="52" t="n">
        <f aca="false">G455*(1-$O$1)</f>
        <v>0.018609389515962</v>
      </c>
      <c r="H456" s="15" t="n">
        <f aca="false">I456/G456</f>
        <v>1432190.93564013</v>
      </c>
      <c r="I456" s="0" t="n">
        <f aca="false">I455</f>
        <v>26652.1989825572</v>
      </c>
      <c r="J456" s="85"/>
      <c r="K456" s="85"/>
      <c r="L456" s="85"/>
      <c r="M456" s="85"/>
      <c r="N456" s="85"/>
      <c r="O456" s="85"/>
      <c r="P456" s="85"/>
      <c r="Q456" s="85"/>
      <c r="R456" s="85"/>
    </row>
    <row r="457" customFormat="false" ht="15" hidden="false" customHeight="false" outlineLevel="0" collapsed="false">
      <c r="F457" s="99" t="n">
        <f aca="false">G457/H457</f>
        <v>1.24791026436302E-008</v>
      </c>
      <c r="G457" s="52" t="n">
        <f aca="false">G456*(1-$O$1)</f>
        <v>0.0182372017256428</v>
      </c>
      <c r="H457" s="15" t="n">
        <f aca="false">I457/G457</f>
        <v>1461419.32208176</v>
      </c>
      <c r="I457" s="0" t="n">
        <f aca="false">I456</f>
        <v>26652.1989825572</v>
      </c>
      <c r="J457" s="85"/>
      <c r="K457" s="85"/>
      <c r="L457" s="85"/>
      <c r="M457" s="85"/>
      <c r="N457" s="85"/>
      <c r="O457" s="85"/>
      <c r="P457" s="85"/>
      <c r="Q457" s="85"/>
      <c r="R457" s="85"/>
    </row>
    <row r="458" customFormat="false" ht="15" hidden="false" customHeight="false" outlineLevel="0" collapsed="false">
      <c r="F458" s="99" t="n">
        <f aca="false">G458/H458</f>
        <v>1.19849301789425E-008</v>
      </c>
      <c r="G458" s="52" t="n">
        <f aca="false">G457*(1-$O$1)</f>
        <v>0.0178724576911299</v>
      </c>
      <c r="H458" s="15" t="n">
        <f aca="false">I458/G458</f>
        <v>1491244.20620588</v>
      </c>
      <c r="I458" s="0" t="n">
        <f aca="false">I457</f>
        <v>26652.1989825572</v>
      </c>
      <c r="J458" s="85"/>
      <c r="K458" s="85"/>
      <c r="L458" s="85"/>
      <c r="M458" s="85"/>
      <c r="N458" s="85"/>
      <c r="O458" s="85"/>
      <c r="P458" s="85"/>
      <c r="Q458" s="85"/>
      <c r="R458" s="85"/>
    </row>
    <row r="459" customFormat="false" ht="15" hidden="false" customHeight="false" outlineLevel="0" collapsed="false">
      <c r="F459" s="99" t="n">
        <f aca="false">G459/H459</f>
        <v>1.15103269438563E-008</v>
      </c>
      <c r="G459" s="52" t="n">
        <f aca="false">G458*(1-$O$1)</f>
        <v>0.0175150085373073</v>
      </c>
      <c r="H459" s="15" t="n">
        <f aca="false">I459/G459</f>
        <v>1521677.76143457</v>
      </c>
      <c r="I459" s="0" t="n">
        <f aca="false">I458</f>
        <v>26652.1989825572</v>
      </c>
      <c r="J459" s="85"/>
      <c r="K459" s="85"/>
      <c r="L459" s="85"/>
      <c r="M459" s="85"/>
      <c r="N459" s="85"/>
      <c r="O459" s="85"/>
      <c r="P459" s="85"/>
      <c r="Q459" s="85"/>
      <c r="R459" s="85"/>
    </row>
    <row r="460" customFormat="false" ht="15" hidden="false" customHeight="false" outlineLevel="0" collapsed="false">
      <c r="F460" s="99" t="n">
        <f aca="false">G460/H460</f>
        <v>1.10545179968796E-008</v>
      </c>
      <c r="G460" s="52" t="n">
        <f aca="false">G459*(1-$O$1)</f>
        <v>0.0171647083665612</v>
      </c>
      <c r="H460" s="15" t="n">
        <f aca="false">I460/G460</f>
        <v>1552732.40962711</v>
      </c>
      <c r="I460" s="0" t="n">
        <f aca="false">I459</f>
        <v>26652.1989825572</v>
      </c>
      <c r="J460" s="85"/>
      <c r="K460" s="85"/>
      <c r="L460" s="85"/>
      <c r="M460" s="85"/>
      <c r="N460" s="85"/>
      <c r="O460" s="85"/>
      <c r="P460" s="85"/>
      <c r="Q460" s="85"/>
      <c r="R460" s="85"/>
    </row>
    <row r="461" customFormat="false" ht="15" hidden="false" customHeight="false" outlineLevel="0" collapsed="false">
      <c r="F461" s="99" t="n">
        <f aca="false">G461/H461</f>
        <v>1.06167590842032E-008</v>
      </c>
      <c r="G461" s="52" t="n">
        <f aca="false">G460*(1-$O$1)</f>
        <v>0.01682141419923</v>
      </c>
      <c r="H461" s="15" t="n">
        <f aca="false">I461/G461</f>
        <v>1584420.82615012</v>
      </c>
      <c r="I461" s="0" t="n">
        <f aca="false">I460</f>
        <v>26652.1989825572</v>
      </c>
      <c r="J461" s="85"/>
      <c r="K461" s="85"/>
      <c r="L461" s="85"/>
      <c r="M461" s="85"/>
      <c r="N461" s="85"/>
      <c r="O461" s="85"/>
      <c r="P461" s="85"/>
      <c r="Q461" s="85"/>
      <c r="R461" s="85"/>
    </row>
    <row r="462" customFormat="false" ht="15" hidden="false" customHeight="false" outlineLevel="0" collapsed="false">
      <c r="F462" s="99" t="n">
        <f aca="false">G462/H462</f>
        <v>1.01963354244687E-008</v>
      </c>
      <c r="G462" s="52" t="n">
        <f aca="false">G461*(1-$O$1)</f>
        <v>0.0164849859152454</v>
      </c>
      <c r="H462" s="15" t="n">
        <f aca="false">I462/G462</f>
        <v>1616755.94505114</v>
      </c>
      <c r="I462" s="0" t="n">
        <f aca="false">I461</f>
        <v>26652.1989825572</v>
      </c>
      <c r="J462" s="85"/>
      <c r="K462" s="85"/>
      <c r="L462" s="85"/>
      <c r="M462" s="85"/>
      <c r="N462" s="85"/>
      <c r="O462" s="85"/>
      <c r="P462" s="85"/>
      <c r="Q462" s="85"/>
      <c r="R462" s="85"/>
    </row>
    <row r="463" customFormat="false" ht="15" hidden="false" customHeight="false" outlineLevel="0" collapsed="false">
      <c r="F463" s="99" t="n">
        <f aca="false">G463/H463</f>
        <v>9.79256054165978E-009</v>
      </c>
      <c r="G463" s="52" t="n">
        <f aca="false">G462*(1-$O$1)</f>
        <v>0.0161552861969404</v>
      </c>
      <c r="H463" s="15" t="n">
        <f aca="false">I463/G463</f>
        <v>1649750.9643379</v>
      </c>
      <c r="I463" s="0" t="n">
        <f aca="false">I462</f>
        <v>26652.1989825572</v>
      </c>
      <c r="J463" s="85"/>
      <c r="K463" s="85"/>
      <c r="L463" s="85"/>
      <c r="M463" s="85"/>
      <c r="N463" s="85"/>
      <c r="O463" s="85"/>
      <c r="P463" s="85"/>
      <c r="Q463" s="85"/>
      <c r="R463" s="85"/>
    </row>
    <row r="464" customFormat="false" ht="15" hidden="false" customHeight="false" outlineLevel="0" collapsed="false">
      <c r="F464" s="99" t="n">
        <f aca="false">G464/H464</f>
        <v>9.40477514421005E-009</v>
      </c>
      <c r="G464" s="52" t="n">
        <f aca="false">G463*(1-$O$1)</f>
        <v>0.0158321804730016</v>
      </c>
      <c r="H464" s="15" t="n">
        <f aca="false">I464/G464</f>
        <v>1683419.3513652</v>
      </c>
      <c r="I464" s="0" t="n">
        <f aca="false">I463</f>
        <v>26652.1989825572</v>
      </c>
      <c r="J464" s="85"/>
      <c r="K464" s="85"/>
      <c r="L464" s="85"/>
      <c r="M464" s="85"/>
      <c r="N464" s="85"/>
      <c r="O464" s="85"/>
      <c r="P464" s="85"/>
      <c r="Q464" s="85"/>
      <c r="R464" s="85"/>
    </row>
    <row r="465" customFormat="false" ht="15" hidden="false" customHeight="false" outlineLevel="0" collapsed="false">
      <c r="F465" s="99" t="n">
        <f aca="false">G465/H465</f>
        <v>9.03234604849933E-009</v>
      </c>
      <c r="G465" s="52" t="n">
        <f aca="false">G464*(1-$O$1)</f>
        <v>0.0155155368635416</v>
      </c>
      <c r="H465" s="15" t="n">
        <f aca="false">I465/G465</f>
        <v>1717774.84833184</v>
      </c>
      <c r="I465" s="0" t="n">
        <f aca="false">I464</f>
        <v>26652.1989825572</v>
      </c>
      <c r="J465" s="85"/>
      <c r="K465" s="85"/>
      <c r="L465" s="85"/>
      <c r="M465" s="85"/>
      <c r="N465" s="85"/>
      <c r="O465" s="85"/>
      <c r="P465" s="85"/>
      <c r="Q465" s="85"/>
      <c r="R465" s="85"/>
    </row>
    <row r="466" customFormat="false" ht="15" hidden="false" customHeight="false" outlineLevel="0" collapsed="false">
      <c r="F466" s="99" t="n">
        <f aca="false">G466/H466</f>
        <v>8.67466514497876E-009</v>
      </c>
      <c r="G466" s="52" t="n">
        <f aca="false">G465*(1-$O$1)</f>
        <v>0.0152052261262708</v>
      </c>
      <c r="H466" s="15" t="n">
        <f aca="false">I466/G466</f>
        <v>1752831.47788963</v>
      </c>
      <c r="I466" s="0" t="n">
        <f aca="false">I465</f>
        <v>26652.1989825572</v>
      </c>
      <c r="J466" s="85"/>
      <c r="K466" s="85"/>
      <c r="L466" s="85"/>
      <c r="M466" s="85"/>
      <c r="N466" s="85"/>
      <c r="O466" s="85"/>
      <c r="P466" s="85"/>
      <c r="Q466" s="85"/>
      <c r="R466" s="85"/>
    </row>
    <row r="467" customFormat="false" ht="15" hidden="false" customHeight="false" outlineLevel="0" collapsed="false">
      <c r="F467" s="99" t="n">
        <f aca="false">G467/H467</f>
        <v>8.3311484052376E-009</v>
      </c>
      <c r="G467" s="52" t="n">
        <f aca="false">G466*(1-$O$1)</f>
        <v>0.0149011216037454</v>
      </c>
      <c r="H467" s="15" t="n">
        <f aca="false">I467/G467</f>
        <v>1788603.54886697</v>
      </c>
      <c r="I467" s="0" t="n">
        <f aca="false">I466</f>
        <v>26652.1989825572</v>
      </c>
      <c r="J467" s="85"/>
      <c r="K467" s="85"/>
      <c r="L467" s="85"/>
      <c r="M467" s="85"/>
      <c r="N467" s="85"/>
      <c r="O467" s="85"/>
      <c r="P467" s="85"/>
      <c r="Q467" s="85"/>
      <c r="R467" s="85"/>
    </row>
    <row r="468" customFormat="false" ht="15" hidden="false" customHeight="false" outlineLevel="0" collapsed="false">
      <c r="F468" s="99" t="n">
        <f aca="false">G468/H468</f>
        <v>8.00123492839019E-009</v>
      </c>
      <c r="G468" s="52" t="n">
        <f aca="false">G467*(1-$O$1)</f>
        <v>0.0146030991716704</v>
      </c>
      <c r="H468" s="15" t="n">
        <f aca="false">I468/G468</f>
        <v>1825105.66210915</v>
      </c>
      <c r="I468" s="0" t="n">
        <f aca="false">I467</f>
        <v>26652.1989825572</v>
      </c>
      <c r="J468" s="85"/>
      <c r="K468" s="85"/>
      <c r="L468" s="85"/>
      <c r="M468" s="85"/>
      <c r="N468" s="85"/>
      <c r="O468" s="85"/>
      <c r="P468" s="85"/>
      <c r="Q468" s="85"/>
      <c r="R468" s="85"/>
    </row>
    <row r="469" customFormat="false" ht="15" hidden="false" customHeight="false" outlineLevel="0" collapsed="false">
      <c r="F469" s="99" t="n">
        <f aca="false">G469/H469</f>
        <v>7.68438602522594E-009</v>
      </c>
      <c r="G469" s="52" t="n">
        <f aca="false">G468*(1-$O$1)</f>
        <v>0.014311037188237</v>
      </c>
      <c r="H469" s="15" t="n">
        <f aca="false">I469/G469</f>
        <v>1862352.71643791</v>
      </c>
      <c r="I469" s="0" t="n">
        <f aca="false">I468</f>
        <v>26652.1989825572</v>
      </c>
      <c r="J469" s="85"/>
      <c r="K469" s="85"/>
      <c r="L469" s="85"/>
      <c r="M469" s="85"/>
      <c r="N469" s="85"/>
      <c r="O469" s="85"/>
      <c r="P469" s="85"/>
      <c r="Q469" s="85"/>
      <c r="R469" s="85"/>
    </row>
    <row r="470" customFormat="false" ht="15" hidden="false" customHeight="false" outlineLevel="0" collapsed="false">
      <c r="F470" s="99" t="n">
        <f aca="false">G470/H470</f>
        <v>7.38008433862699E-009</v>
      </c>
      <c r="G470" s="52" t="n">
        <f aca="false">G469*(1-$O$1)</f>
        <v>0.0140248164444723</v>
      </c>
      <c r="H470" s="15" t="n">
        <f aca="false">I470/G470</f>
        <v>1900359.91473256</v>
      </c>
      <c r="I470" s="0" t="n">
        <f aca="false">I469</f>
        <v>26652.1989825572</v>
      </c>
      <c r="J470" s="85"/>
      <c r="K470" s="85"/>
      <c r="L470" s="85"/>
      <c r="M470" s="85"/>
      <c r="N470" s="85"/>
      <c r="O470" s="85"/>
      <c r="P470" s="85"/>
      <c r="Q470" s="85"/>
      <c r="R470" s="85"/>
    </row>
    <row r="471" customFormat="false" ht="15" hidden="false" customHeight="false" outlineLevel="0" collapsed="false">
      <c r="F471" s="99" t="n">
        <f aca="false">G471/H471</f>
        <v>7.08783299881736E-009</v>
      </c>
      <c r="G471" s="52" t="n">
        <f aca="false">G470*(1-$O$1)</f>
        <v>0.0137443201155828</v>
      </c>
      <c r="H471" s="15" t="n">
        <f aca="false">I471/G471</f>
        <v>1939142.77013527</v>
      </c>
      <c r="I471" s="0" t="n">
        <f aca="false">I470</f>
        <v>26652.1989825572</v>
      </c>
      <c r="J471" s="85"/>
      <c r="K471" s="85"/>
      <c r="L471" s="85"/>
      <c r="M471" s="85"/>
      <c r="N471" s="85"/>
      <c r="O471" s="85"/>
      <c r="P471" s="85"/>
      <c r="Q471" s="85"/>
      <c r="R471" s="85"/>
    </row>
    <row r="472" customFormat="false" ht="15" hidden="false" customHeight="false" outlineLevel="0" collapsed="false">
      <c r="F472" s="99" t="n">
        <f aca="false">G472/H472</f>
        <v>6.80715481206419E-009</v>
      </c>
      <c r="G472" s="52" t="n">
        <f aca="false">G471*(1-$O$1)</f>
        <v>0.0134694337132712</v>
      </c>
      <c r="H472" s="15" t="n">
        <f aca="false">I472/G472</f>
        <v>1978717.11238293</v>
      </c>
      <c r="I472" s="0" t="n">
        <f aca="false">I471</f>
        <v>26652.1989825572</v>
      </c>
      <c r="J472" s="85"/>
      <c r="K472" s="85"/>
      <c r="L472" s="85"/>
      <c r="M472" s="85"/>
      <c r="N472" s="85"/>
      <c r="O472" s="85"/>
      <c r="P472" s="85"/>
      <c r="Q472" s="85"/>
      <c r="R472" s="85"/>
    </row>
    <row r="473" customFormat="false" ht="15" hidden="false" customHeight="false" outlineLevel="0" collapsed="false">
      <c r="F473" s="99" t="n">
        <f aca="false">G473/H473</f>
        <v>6.53759148150645E-009</v>
      </c>
      <c r="G473" s="52" t="n">
        <f aca="false">G472*(1-$O$1)</f>
        <v>0.0132000450390058</v>
      </c>
      <c r="H473" s="15" t="n">
        <f aca="false">I473/G473</f>
        <v>2019099.09426829</v>
      </c>
      <c r="I473" s="0" t="n">
        <f aca="false">I472</f>
        <v>26652.1989825572</v>
      </c>
      <c r="J473" s="85"/>
      <c r="K473" s="85"/>
      <c r="L473" s="85"/>
      <c r="M473" s="85"/>
      <c r="N473" s="85"/>
      <c r="O473" s="85"/>
      <c r="P473" s="85"/>
      <c r="Q473" s="85"/>
      <c r="R473" s="85"/>
    </row>
    <row r="474" customFormat="false" ht="15" hidden="false" customHeight="false" outlineLevel="0" collapsed="false">
      <c r="F474" s="99" t="n">
        <f aca="false">G474/H474</f>
        <v>6.27870285883879E-009</v>
      </c>
      <c r="G474" s="52" t="n">
        <f aca="false">G473*(1-$O$1)</f>
        <v>0.0129360441382257</v>
      </c>
      <c r="H474" s="15" t="n">
        <f aca="false">I474/G474</f>
        <v>2060305.19823295</v>
      </c>
      <c r="I474" s="0" t="n">
        <f aca="false">I473</f>
        <v>26652.1989825572</v>
      </c>
      <c r="J474" s="85"/>
      <c r="K474" s="85"/>
      <c r="L474" s="85"/>
      <c r="M474" s="85"/>
      <c r="N474" s="85"/>
      <c r="O474" s="85"/>
      <c r="P474" s="85"/>
      <c r="Q474" s="85"/>
      <c r="R474" s="85"/>
    </row>
    <row r="475" customFormat="false" ht="15" hidden="false" customHeight="false" outlineLevel="0" collapsed="false">
      <c r="F475" s="99" t="n">
        <f aca="false">G475/H475</f>
        <v>6.03006622562878E-009</v>
      </c>
      <c r="G475" s="52" t="n">
        <f aca="false">G474*(1-$O$1)</f>
        <v>0.0126773232554611</v>
      </c>
      <c r="H475" s="15" t="n">
        <f aca="false">I475/G475</f>
        <v>2102352.24309485</v>
      </c>
      <c r="I475" s="0" t="n">
        <f aca="false">I474</f>
        <v>26652.1989825572</v>
      </c>
      <c r="J475" s="85"/>
      <c r="K475" s="85"/>
      <c r="L475" s="85"/>
      <c r="M475" s="85"/>
      <c r="N475" s="85"/>
      <c r="O475" s="85"/>
      <c r="P475" s="85"/>
      <c r="Q475" s="85"/>
      <c r="R475" s="85"/>
    </row>
    <row r="476" customFormat="false" ht="15" hidden="false" customHeight="false" outlineLevel="0" collapsed="false">
      <c r="F476" s="99" t="n">
        <f aca="false">G476/H476</f>
        <v>5.79127560309388E-009</v>
      </c>
      <c r="G476" s="52" t="n">
        <f aca="false">G475*(1-$O$1)</f>
        <v>0.0124237767903519</v>
      </c>
      <c r="H476" s="15" t="n">
        <f aca="false">I476/G476</f>
        <v>2145257.39091311</v>
      </c>
      <c r="I476" s="0" t="n">
        <f aca="false">I475</f>
        <v>26652.1989825572</v>
      </c>
      <c r="J476" s="85"/>
      <c r="K476" s="85"/>
      <c r="L476" s="85"/>
      <c r="M476" s="85"/>
      <c r="N476" s="85"/>
      <c r="O476" s="85"/>
      <c r="P476" s="85"/>
      <c r="Q476" s="85"/>
      <c r="R476" s="85"/>
    </row>
    <row r="477" customFormat="false" ht="15" hidden="false" customHeight="false" outlineLevel="0" collapsed="false">
      <c r="F477" s="99" t="n">
        <f aca="false">G477/H477</f>
        <v>5.56194108921136E-009</v>
      </c>
      <c r="G477" s="52" t="n">
        <f aca="false">G476*(1-$O$1)</f>
        <v>0.0121753012545449</v>
      </c>
      <c r="H477" s="15" t="n">
        <f aca="false">I477/G477</f>
        <v>2189038.15399297</v>
      </c>
      <c r="I477" s="0" t="n">
        <f aca="false">I476</f>
        <v>26652.1989825572</v>
      </c>
      <c r="J477" s="85"/>
      <c r="K477" s="85"/>
      <c r="L477" s="85"/>
      <c r="M477" s="85"/>
      <c r="N477" s="85"/>
      <c r="O477" s="85"/>
      <c r="P477" s="85"/>
      <c r="Q477" s="85"/>
      <c r="R477" s="85"/>
    </row>
    <row r="478" customFormat="false" ht="15" hidden="false" customHeight="false" outlineLevel="0" collapsed="false">
      <c r="F478" s="99" t="n">
        <f aca="false">G478/H478</f>
        <v>5.34168822207859E-009</v>
      </c>
      <c r="G478" s="52" t="n">
        <f aca="false">G477*(1-$O$1)</f>
        <v>0.011931795229454</v>
      </c>
      <c r="H478" s="15" t="n">
        <f aca="false">I478/G478</f>
        <v>2233712.40203364</v>
      </c>
      <c r="I478" s="0" t="n">
        <f aca="false">I477</f>
        <v>26652.1989825572</v>
      </c>
      <c r="J478" s="85"/>
      <c r="K478" s="85"/>
      <c r="L478" s="85"/>
      <c r="M478" s="85"/>
      <c r="N478" s="85"/>
      <c r="O478" s="85"/>
      <c r="P478" s="85"/>
      <c r="Q478" s="85"/>
      <c r="R478" s="85"/>
    </row>
    <row r="479" customFormat="false" ht="15" hidden="false" customHeight="false" outlineLevel="0" collapsed="false">
      <c r="F479" s="99" t="n">
        <f aca="false">G479/H479</f>
        <v>5.13015736848428E-009</v>
      </c>
      <c r="G479" s="52" t="n">
        <f aca="false">G478*(1-$O$1)</f>
        <v>0.0116931593248649</v>
      </c>
      <c r="H479" s="15" t="n">
        <f aca="false">I479/G479</f>
        <v>2279298.36942208</v>
      </c>
      <c r="I479" s="0" t="n">
        <f aca="false">I478</f>
        <v>26652.1989825572</v>
      </c>
      <c r="J479" s="85"/>
      <c r="K479" s="85"/>
      <c r="L479" s="85"/>
      <c r="M479" s="85"/>
      <c r="N479" s="85"/>
      <c r="O479" s="85"/>
      <c r="P479" s="85"/>
      <c r="Q479" s="85"/>
      <c r="R479" s="85"/>
    </row>
    <row r="480" customFormat="false" ht="15" hidden="false" customHeight="false" outlineLevel="0" collapsed="false">
      <c r="F480" s="99" t="n">
        <f aca="false">G480/H480</f>
        <v>4.9270031366923E-009</v>
      </c>
      <c r="G480" s="52" t="n">
        <f aca="false">G479*(1-$O$1)</f>
        <v>0.0114592961383676</v>
      </c>
      <c r="H480" s="15" t="n">
        <f aca="false">I480/G480</f>
        <v>2325814.66267559</v>
      </c>
      <c r="I480" s="0" t="n">
        <f aca="false">I479</f>
        <v>26652.1989825572</v>
      </c>
      <c r="J480" s="85"/>
      <c r="K480" s="85"/>
      <c r="L480" s="85"/>
      <c r="M480" s="85"/>
      <c r="N480" s="85"/>
      <c r="O480" s="85"/>
      <c r="P480" s="85"/>
      <c r="Q480" s="85"/>
      <c r="R480" s="85"/>
    </row>
    <row r="481" customFormat="false" ht="15" hidden="false" customHeight="false" outlineLevel="0" collapsed="false">
      <c r="F481" s="99" t="n">
        <f aca="false">G481/H481</f>
        <v>4.73189381247929E-009</v>
      </c>
      <c r="G481" s="52" t="n">
        <f aca="false">G480*(1-$O$1)</f>
        <v>0.0112301102156003</v>
      </c>
      <c r="H481" s="15" t="n">
        <f aca="false">I481/G481</f>
        <v>2373280.26803632</v>
      </c>
      <c r="I481" s="0" t="n">
        <f aca="false">I480</f>
        <v>26652.1989825572</v>
      </c>
      <c r="J481" s="85"/>
      <c r="K481" s="85"/>
      <c r="L481" s="85"/>
      <c r="M481" s="85"/>
      <c r="N481" s="85"/>
      <c r="O481" s="85"/>
      <c r="P481" s="85"/>
      <c r="Q481" s="85"/>
      <c r="R481" s="85"/>
    </row>
    <row r="482" customFormat="false" ht="15" hidden="false" customHeight="false" outlineLevel="0" collapsed="false">
      <c r="F482" s="99" t="n">
        <f aca="false">G482/H482</f>
        <v>4.54451081750511E-009</v>
      </c>
      <c r="G482" s="52" t="n">
        <f aca="false">G481*(1-$O$1)</f>
        <v>0.0110055080112882</v>
      </c>
      <c r="H482" s="15" t="n">
        <f aca="false">I482/G482</f>
        <v>2421714.55922074</v>
      </c>
      <c r="I482" s="0" t="n">
        <f aca="false">I481</f>
        <v>26652.1989825572</v>
      </c>
      <c r="J482" s="85"/>
      <c r="K482" s="85"/>
      <c r="L482" s="85"/>
      <c r="M482" s="85"/>
      <c r="N482" s="85"/>
      <c r="O482" s="85"/>
      <c r="P482" s="85"/>
      <c r="Q482" s="85"/>
      <c r="R482" s="85"/>
    </row>
    <row r="483" customFormat="false" ht="15" hidden="false" customHeight="false" outlineLevel="0" collapsed="false">
      <c r="F483" s="99" t="n">
        <f aca="false">G483/H483</f>
        <v>4.3645481891319E-009</v>
      </c>
      <c r="G483" s="52" t="n">
        <f aca="false">G482*(1-$O$1)</f>
        <v>0.0107853978510625</v>
      </c>
      <c r="H483" s="15" t="n">
        <f aca="false">I483/G483</f>
        <v>2471137.30532728</v>
      </c>
      <c r="I483" s="0" t="n">
        <f aca="false">I482</f>
        <v>26652.1989825572</v>
      </c>
      <c r="J483" s="85"/>
      <c r="K483" s="85"/>
      <c r="L483" s="85"/>
      <c r="M483" s="85"/>
      <c r="N483" s="85"/>
      <c r="O483" s="85"/>
      <c r="P483" s="85"/>
      <c r="Q483" s="85"/>
      <c r="R483" s="85"/>
    </row>
    <row r="484" customFormat="false" ht="15" hidden="false" customHeight="false" outlineLevel="0" collapsed="false">
      <c r="F484" s="99" t="n">
        <f aca="false">G484/H484</f>
        <v>4.19171208084228E-009</v>
      </c>
      <c r="G484" s="52" t="n">
        <f aca="false">G483*(1-$O$1)</f>
        <v>0.0105696898940412</v>
      </c>
      <c r="H484" s="15" t="n">
        <f aca="false">I484/G484</f>
        <v>2521568.67890539</v>
      </c>
      <c r="I484" s="0" t="n">
        <f aca="false">I483</f>
        <v>26652.1989825572</v>
      </c>
      <c r="J484" s="85"/>
      <c r="K484" s="85"/>
      <c r="L484" s="85"/>
      <c r="M484" s="85"/>
      <c r="N484" s="85"/>
      <c r="O484" s="85"/>
      <c r="P484" s="85"/>
      <c r="Q484" s="85"/>
      <c r="R484" s="85"/>
    </row>
    <row r="485" customFormat="false" ht="15" hidden="false" customHeight="false" outlineLevel="0" collapsed="false">
      <c r="F485" s="99" t="n">
        <f aca="false">G485/H485</f>
        <v>4.02572028244093E-009</v>
      </c>
      <c r="G485" s="52" t="n">
        <f aca="false">G484*(1-$O$1)</f>
        <v>0.0103582960961604</v>
      </c>
      <c r="H485" s="15" t="n">
        <f aca="false">I485/G485</f>
        <v>2573029.26418917</v>
      </c>
      <c r="I485" s="0" t="n">
        <f aca="false">I484</f>
        <v>26652.1989825572</v>
      </c>
      <c r="J485" s="85"/>
      <c r="K485" s="85"/>
      <c r="L485" s="85"/>
      <c r="M485" s="85"/>
      <c r="N485" s="85"/>
      <c r="O485" s="85"/>
      <c r="P485" s="85"/>
      <c r="Q485" s="85"/>
      <c r="R485" s="85"/>
    </row>
    <row r="486" customFormat="false" ht="15" hidden="false" customHeight="false" outlineLevel="0" collapsed="false">
      <c r="F486" s="99" t="n">
        <f aca="false">G486/H486</f>
        <v>3.86630175925627E-009</v>
      </c>
      <c r="G486" s="52" t="n">
        <f aca="false">G485*(1-$O$1)</f>
        <v>0.0101511301742372</v>
      </c>
      <c r="H486" s="15" t="n">
        <f aca="false">I486/G486</f>
        <v>2625540.06549916</v>
      </c>
      <c r="I486" s="0" t="n">
        <f aca="false">I485</f>
        <v>26652.1989825572</v>
      </c>
      <c r="J486" s="85"/>
      <c r="K486" s="85"/>
      <c r="L486" s="85"/>
      <c r="M486" s="85"/>
      <c r="N486" s="85"/>
      <c r="O486" s="85"/>
      <c r="P486" s="85"/>
      <c r="Q486" s="85"/>
      <c r="R486" s="85"/>
    </row>
    <row r="487" customFormat="false" ht="15" hidden="false" customHeight="false" outlineLevel="0" collapsed="false">
      <c r="F487" s="99" t="n">
        <f aca="false">G487/H487</f>
        <v>3.71319620958972E-009</v>
      </c>
      <c r="G487" s="52" t="n">
        <f aca="false">G486*(1-$O$1)</f>
        <v>0.00994810757075246</v>
      </c>
      <c r="H487" s="15" t="n">
        <f aca="false">I487/G487</f>
        <v>2679122.51581547</v>
      </c>
      <c r="I487" s="0" t="n">
        <f aca="false">I486</f>
        <v>26652.1989825572</v>
      </c>
      <c r="J487" s="85"/>
      <c r="K487" s="85"/>
      <c r="L487" s="85"/>
      <c r="M487" s="85"/>
      <c r="N487" s="85"/>
      <c r="O487" s="85"/>
      <c r="P487" s="85"/>
      <c r="Q487" s="85"/>
      <c r="R487" s="85"/>
    </row>
    <row r="488" customFormat="false" ht="15" hidden="false" customHeight="false" outlineLevel="0" collapsed="false">
      <c r="F488" s="99" t="n">
        <f aca="false">G488/H488</f>
        <v>3.56615363968996E-009</v>
      </c>
      <c r="G488" s="52" t="n">
        <f aca="false">G487*(1-$O$1)</f>
        <v>0.00974914541933741</v>
      </c>
      <c r="H488" s="15" t="n">
        <f aca="false">I488/G488</f>
        <v>2733798.48552599</v>
      </c>
      <c r="I488" s="0" t="n">
        <f aca="false">I487</f>
        <v>26652.1989825572</v>
      </c>
      <c r="J488" s="85"/>
      <c r="K488" s="85"/>
      <c r="L488" s="85"/>
      <c r="M488" s="85"/>
      <c r="N488" s="85"/>
      <c r="O488" s="85"/>
      <c r="P488" s="85"/>
      <c r="Q488" s="85"/>
      <c r="R488" s="85"/>
    </row>
    <row r="489" customFormat="false" ht="15" hidden="false" customHeight="false" outlineLevel="0" collapsed="false">
      <c r="F489" s="99" t="n">
        <f aca="false">G489/H489</f>
        <v>3.42493395555824E-009</v>
      </c>
      <c r="G489" s="52" t="n">
        <f aca="false">G488*(1-$O$1)</f>
        <v>0.00955416251095066</v>
      </c>
      <c r="H489" s="15" t="n">
        <f aca="false">I489/G489</f>
        <v>2789590.29135305</v>
      </c>
      <c r="I489" s="0" t="n">
        <f aca="false">I488</f>
        <v>26652.1989825572</v>
      </c>
      <c r="J489" s="85"/>
      <c r="K489" s="85"/>
      <c r="L489" s="85"/>
      <c r="M489" s="85"/>
      <c r="N489" s="85"/>
      <c r="O489" s="85"/>
      <c r="P489" s="85"/>
      <c r="Q489" s="85"/>
      <c r="R489" s="85"/>
    </row>
    <row r="490" customFormat="false" ht="15" hidden="false" customHeight="false" outlineLevel="0" collapsed="false">
      <c r="F490" s="99" t="n">
        <f aca="false">G490/H490</f>
        <v>3.28930657091813E-009</v>
      </c>
      <c r="G490" s="52" t="n">
        <f aca="false">G489*(1-$O$1)</f>
        <v>0.00936307926073165</v>
      </c>
      <c r="H490" s="15" t="n">
        <f aca="false">I490/G490</f>
        <v>2846520.70546229</v>
      </c>
      <c r="I490" s="0" t="n">
        <f aca="false">I489</f>
        <v>26652.1989825572</v>
      </c>
      <c r="J490" s="85"/>
      <c r="K490" s="85"/>
      <c r="L490" s="85"/>
      <c r="M490" s="85"/>
      <c r="N490" s="85"/>
      <c r="O490" s="85"/>
      <c r="P490" s="85"/>
      <c r="Q490" s="85"/>
      <c r="R490" s="85"/>
    </row>
    <row r="491" customFormat="false" ht="15" hidden="false" customHeight="false" outlineLevel="0" collapsed="false">
      <c r="F491" s="99" t="n">
        <f aca="false">G491/H491</f>
        <v>3.15905003070978E-009</v>
      </c>
      <c r="G491" s="52" t="n">
        <f aca="false">G490*(1-$O$1)</f>
        <v>0.00917581767551701</v>
      </c>
      <c r="H491" s="15" t="n">
        <f aca="false">I491/G491</f>
        <v>2904612.96475744</v>
      </c>
      <c r="I491" s="0" t="n">
        <f aca="false">I490</f>
        <v>26652.1989825572</v>
      </c>
      <c r="J491" s="85"/>
      <c r="K491" s="85"/>
      <c r="L491" s="85"/>
      <c r="M491" s="85"/>
      <c r="N491" s="85"/>
      <c r="O491" s="85"/>
      <c r="P491" s="85"/>
      <c r="Q491" s="85"/>
      <c r="R491" s="85"/>
    </row>
    <row r="492" customFormat="false" ht="15" hidden="false" customHeight="false" outlineLevel="0" collapsed="false">
      <c r="F492" s="99" t="n">
        <f aca="false">G492/H492</f>
        <v>3.03395164949367E-009</v>
      </c>
      <c r="G492" s="52" t="n">
        <f aca="false">G491*(1-$O$1)</f>
        <v>0.00899230132200667</v>
      </c>
      <c r="H492" s="15" t="n">
        <f aca="false">I492/G492</f>
        <v>2963890.78036474</v>
      </c>
      <c r="I492" s="0" t="n">
        <f aca="false">I491</f>
        <v>26652.1989825572</v>
      </c>
      <c r="J492" s="85"/>
      <c r="K492" s="85"/>
      <c r="L492" s="85"/>
      <c r="M492" s="85"/>
      <c r="N492" s="85"/>
      <c r="O492" s="85"/>
      <c r="P492" s="85"/>
      <c r="Q492" s="85"/>
      <c r="R492" s="85"/>
    </row>
    <row r="493" customFormat="false" ht="15" hidden="false" customHeight="false" outlineLevel="0" collapsed="false">
      <c r="F493" s="99" t="n">
        <f aca="false">G493/H493</f>
        <v>2.91380716417372E-009</v>
      </c>
      <c r="G493" s="52" t="n">
        <f aca="false">G492*(1-$O$1)</f>
        <v>0.00881245529556654</v>
      </c>
      <c r="H493" s="15" t="n">
        <f aca="false">I493/G493</f>
        <v>3024378.34731096</v>
      </c>
      <c r="I493" s="0" t="n">
        <f aca="false">I492</f>
        <v>26652.1989825572</v>
      </c>
      <c r="J493" s="85"/>
      <c r="K493" s="85"/>
      <c r="L493" s="85"/>
      <c r="M493" s="85"/>
      <c r="N493" s="85"/>
      <c r="O493" s="85"/>
      <c r="P493" s="85"/>
      <c r="Q493" s="85"/>
      <c r="R493" s="85"/>
    </row>
    <row r="494" customFormat="false" ht="15" hidden="false" customHeight="false" outlineLevel="0" collapsed="false">
      <c r="F494" s="99" t="n">
        <f aca="false">G494/H494</f>
        <v>2.79842040047244E-009</v>
      </c>
      <c r="G494" s="52" t="n">
        <f aca="false">G493*(1-$O$1)</f>
        <v>0.00863620618965521</v>
      </c>
      <c r="H494" s="15" t="n">
        <f aca="false">I494/G494</f>
        <v>3086100.35439893</v>
      </c>
      <c r="I494" s="0" t="n">
        <f aca="false">I493</f>
        <v>26652.1989825572</v>
      </c>
      <c r="J494" s="85"/>
      <c r="K494" s="85"/>
      <c r="L494" s="85"/>
      <c r="M494" s="85"/>
      <c r="N494" s="85"/>
      <c r="O494" s="85"/>
      <c r="P494" s="85"/>
      <c r="Q494" s="85"/>
      <c r="R494" s="85"/>
    </row>
    <row r="495" customFormat="false" ht="15" hidden="false" customHeight="false" outlineLevel="0" collapsed="false">
      <c r="F495" s="99" t="n">
        <f aca="false">G495/H495</f>
        <v>2.68760295261373E-009</v>
      </c>
      <c r="G495" s="52" t="n">
        <f aca="false">G494*(1-$O$1)</f>
        <v>0.0084634820658621</v>
      </c>
      <c r="H495" s="15" t="n">
        <f aca="false">I495/G495</f>
        <v>3149081.99428463</v>
      </c>
      <c r="I495" s="0" t="n">
        <f aca="false">I494</f>
        <v>26652.1989825572</v>
      </c>
      <c r="J495" s="85"/>
      <c r="K495" s="85"/>
      <c r="L495" s="85"/>
      <c r="M495" s="85"/>
      <c r="N495" s="85"/>
      <c r="O495" s="85"/>
      <c r="P495" s="85"/>
      <c r="Q495" s="85"/>
      <c r="R495" s="85"/>
    </row>
    <row r="496" customFormat="false" ht="15" hidden="false" customHeight="false" outlineLevel="0" collapsed="false">
      <c r="F496" s="99" t="n">
        <f aca="false">G496/H496</f>
        <v>2.58117387569023E-009</v>
      </c>
      <c r="G496" s="52" t="n">
        <f aca="false">G495*(1-$O$1)</f>
        <v>0.00829421242454486</v>
      </c>
      <c r="H496" s="15" t="n">
        <f aca="false">I496/G496</f>
        <v>3213348.97375982</v>
      </c>
      <c r="I496" s="0" t="n">
        <f aca="false">I495</f>
        <v>26652.1989825572</v>
      </c>
      <c r="J496" s="85"/>
      <c r="K496" s="85"/>
      <c r="L496" s="85"/>
      <c r="M496" s="85"/>
      <c r="N496" s="85"/>
      <c r="O496" s="85"/>
      <c r="P496" s="85"/>
      <c r="Q496" s="85"/>
      <c r="R496" s="85"/>
    </row>
    <row r="497" customFormat="false" ht="15" hidden="false" customHeight="false" outlineLevel="0" collapsed="false">
      <c r="F497" s="99" t="n">
        <f aca="false">G497/H497</f>
        <v>2.47895939021289E-009</v>
      </c>
      <c r="G497" s="52" t="n">
        <f aca="false">G496*(1-$O$1)</f>
        <v>0.00812832817605396</v>
      </c>
      <c r="H497" s="15" t="n">
        <f aca="false">I497/G497</f>
        <v>3278927.52424472</v>
      </c>
      <c r="I497" s="0" t="n">
        <f aca="false">I496</f>
        <v>26652.1989825572</v>
      </c>
      <c r="J497" s="85"/>
      <c r="K497" s="85"/>
      <c r="L497" s="85"/>
      <c r="M497" s="85"/>
      <c r="N497" s="85"/>
      <c r="O497" s="85"/>
      <c r="P497" s="85"/>
      <c r="Q497" s="85"/>
      <c r="R497" s="85"/>
    </row>
    <row r="498" customFormat="false" ht="15" hidden="false" customHeight="false" outlineLevel="0" collapsed="false">
      <c r="F498" s="99" t="n">
        <f aca="false">G498/H498</f>
        <v>2.38079259836046E-009</v>
      </c>
      <c r="G498" s="52" t="n">
        <f aca="false">G497*(1-$O$1)</f>
        <v>0.00796576161253288</v>
      </c>
      <c r="H498" s="15" t="n">
        <f aca="false">I498/G498</f>
        <v>3345844.41249461</v>
      </c>
      <c r="I498" s="0" t="n">
        <f aca="false">I497</f>
        <v>26652.1989825572</v>
      </c>
      <c r="J498" s="85"/>
      <c r="K498" s="85"/>
      <c r="L498" s="85"/>
      <c r="M498" s="85"/>
      <c r="N498" s="85"/>
      <c r="O498" s="85"/>
      <c r="P498" s="85"/>
      <c r="Q498" s="85"/>
      <c r="R498" s="85"/>
    </row>
    <row r="499" customFormat="false" ht="15" hidden="false" customHeight="false" outlineLevel="0" collapsed="false">
      <c r="F499" s="99" t="n">
        <f aca="false">G499/H499</f>
        <v>2.28651321146539E-009</v>
      </c>
      <c r="G499" s="52" t="n">
        <f aca="false">G498*(1-$O$1)</f>
        <v>0.00780644638028222</v>
      </c>
      <c r="H499" s="15" t="n">
        <f aca="false">I499/G499</f>
        <v>3414126.95152511</v>
      </c>
      <c r="I499" s="0" t="n">
        <f aca="false">I498</f>
        <v>26652.1989825572</v>
      </c>
      <c r="J499" s="85"/>
      <c r="K499" s="85"/>
      <c r="L499" s="85"/>
      <c r="M499" s="85"/>
      <c r="N499" s="85"/>
      <c r="O499" s="85"/>
      <c r="P499" s="85"/>
      <c r="Q499" s="85"/>
      <c r="R499" s="85"/>
    </row>
    <row r="500" customFormat="false" ht="15" hidden="false" customHeight="false" outlineLevel="0" collapsed="false">
      <c r="F500" s="99" t="n">
        <f aca="false">G500/H500</f>
        <v>2.19596728829136E-009</v>
      </c>
      <c r="G500" s="52" t="n">
        <f aca="false">G499*(1-$O$1)</f>
        <v>0.00765031745267658</v>
      </c>
      <c r="H500" s="15" t="n">
        <f aca="false">I500/G500</f>
        <v>3483803.01176032</v>
      </c>
      <c r="I500" s="0" t="n">
        <f aca="false">I499</f>
        <v>26652.1989825572</v>
      </c>
      <c r="J500" s="85"/>
      <c r="K500" s="85"/>
      <c r="L500" s="85"/>
      <c r="M500" s="85"/>
      <c r="N500" s="85"/>
      <c r="O500" s="85"/>
      <c r="P500" s="85"/>
      <c r="Q500" s="85"/>
      <c r="R500" s="85"/>
    </row>
    <row r="501" customFormat="false" ht="15" hidden="false" customHeight="false" outlineLevel="0" collapsed="false">
      <c r="F501" s="99" t="n">
        <f aca="false">G501/H501</f>
        <v>2.10900698367502E-009</v>
      </c>
      <c r="G501" s="52" t="n">
        <f aca="false">G500*(1-$O$1)</f>
        <v>0.00749731110362305</v>
      </c>
      <c r="H501" s="15" t="n">
        <f aca="false">I501/G501</f>
        <v>3554901.03240849</v>
      </c>
      <c r="I501" s="0" t="n">
        <f aca="false">I500</f>
        <v>26652.1989825572</v>
      </c>
      <c r="J501" s="85"/>
      <c r="K501" s="85"/>
      <c r="L501" s="85"/>
      <c r="M501" s="85"/>
      <c r="N501" s="85"/>
      <c r="O501" s="85"/>
      <c r="P501" s="85"/>
      <c r="Q501" s="85"/>
      <c r="R501" s="85"/>
    </row>
    <row r="502" customFormat="false" ht="15" hidden="false" customHeight="false" outlineLevel="0" collapsed="false">
      <c r="F502" s="99" t="n">
        <f aca="false">G502/H502</f>
        <v>2.02549030712149E-009</v>
      </c>
      <c r="G502" s="52" t="n">
        <f aca="false">G501*(1-$O$1)</f>
        <v>0.00734736488155059</v>
      </c>
      <c r="H502" s="15" t="n">
        <f aca="false">I502/G502</f>
        <v>3627450.03306989</v>
      </c>
      <c r="I502" s="0" t="n">
        <f aca="false">I501</f>
        <v>26652.1989825572</v>
      </c>
      <c r="J502" s="85"/>
      <c r="K502" s="85"/>
      <c r="L502" s="85"/>
      <c r="M502" s="85"/>
      <c r="N502" s="85"/>
      <c r="O502" s="85"/>
      <c r="P502" s="85"/>
      <c r="Q502" s="85"/>
      <c r="R502" s="85"/>
    </row>
    <row r="503" customFormat="false" ht="15" hidden="false" customHeight="false" outlineLevel="0" collapsed="false">
      <c r="F503" s="99" t="n">
        <f aca="false">G503/H503</f>
        <v>1.94528089095948E-009</v>
      </c>
      <c r="G503" s="52" t="n">
        <f aca="false">G502*(1-$O$1)</f>
        <v>0.00720041758391957</v>
      </c>
      <c r="H503" s="15" t="n">
        <f aca="false">I503/G503</f>
        <v>3701479.62558152</v>
      </c>
      <c r="I503" s="0" t="n">
        <f aca="false">I502</f>
        <v>26652.1989825572</v>
      </c>
      <c r="J503" s="85"/>
      <c r="K503" s="85"/>
      <c r="L503" s="85"/>
      <c r="M503" s="85"/>
      <c r="N503" s="85"/>
      <c r="O503" s="85"/>
      <c r="P503" s="85"/>
      <c r="Q503" s="85"/>
      <c r="R503" s="85"/>
    </row>
    <row r="504" customFormat="false" ht="15" hidden="false" customHeight="false" outlineLevel="0" collapsed="false">
      <c r="F504" s="99" t="n">
        <f aca="false">G504/H504</f>
        <v>1.86824776767748E-009</v>
      </c>
      <c r="G504" s="52" t="n">
        <f aca="false">G503*(1-$O$1)</f>
        <v>0.00705640923224118</v>
      </c>
      <c r="H504" s="15" t="n">
        <f aca="false">I504/G504</f>
        <v>3777020.02610359</v>
      </c>
      <c r="I504" s="0" t="n">
        <f aca="false">I503</f>
        <v>26652.1989825572</v>
      </c>
      <c r="J504" s="85"/>
      <c r="K504" s="85"/>
      <c r="L504" s="85"/>
      <c r="M504" s="85"/>
      <c r="N504" s="85"/>
      <c r="O504" s="85"/>
      <c r="P504" s="85"/>
      <c r="Q504" s="85"/>
      <c r="R504" s="85"/>
    </row>
    <row r="505" customFormat="false" ht="15" hidden="false" customHeight="false" outlineLevel="0" collapsed="false">
      <c r="F505" s="99" t="n">
        <f aca="false">G505/H505</f>
        <v>1.79426515607746E-009</v>
      </c>
      <c r="G505" s="52" t="n">
        <f aca="false">G504*(1-$O$1)</f>
        <v>0.00691528104759636</v>
      </c>
      <c r="H505" s="15" t="n">
        <f aca="false">I505/G505</f>
        <v>3854102.06745264</v>
      </c>
      <c r="I505" s="0" t="n">
        <f aca="false">I504</f>
        <v>26652.1989825572</v>
      </c>
      <c r="J505" s="85"/>
      <c r="K505" s="85"/>
      <c r="L505" s="85"/>
      <c r="M505" s="85"/>
      <c r="N505" s="85"/>
      <c r="O505" s="85"/>
      <c r="P505" s="85"/>
      <c r="Q505" s="85"/>
      <c r="R505" s="85"/>
    </row>
    <row r="506" customFormat="false" ht="15" hidden="false" customHeight="false" outlineLevel="0" collapsed="false">
      <c r="F506" s="99" t="n">
        <f aca="false">G506/H506</f>
        <v>1.72321225589679E-009</v>
      </c>
      <c r="G506" s="52" t="n">
        <f aca="false">G505*(1-$O$1)</f>
        <v>0.00677697542664443</v>
      </c>
      <c r="H506" s="15" t="n">
        <f aca="false">I506/G506</f>
        <v>3932757.21168637</v>
      </c>
      <c r="I506" s="0" t="n">
        <f aca="false">I505</f>
        <v>26652.1989825572</v>
      </c>
      <c r="J506" s="85"/>
      <c r="K506" s="85"/>
      <c r="L506" s="85"/>
      <c r="M506" s="85"/>
      <c r="N506" s="85"/>
      <c r="O506" s="85"/>
      <c r="P506" s="85"/>
      <c r="Q506" s="85"/>
      <c r="R506" s="85"/>
    </row>
    <row r="507" customFormat="false" ht="15" hidden="false" customHeight="false" outlineLevel="0" collapsed="false">
      <c r="F507" s="99" t="n">
        <f aca="false">G507/H507</f>
        <v>1.65497305056328E-009</v>
      </c>
      <c r="G507" s="52" t="n">
        <f aca="false">G506*(1-$O$1)</f>
        <v>0.00664143591811154</v>
      </c>
      <c r="H507" s="15" t="n">
        <f aca="false">I507/G507</f>
        <v>4013017.56294528</v>
      </c>
      <c r="I507" s="0" t="n">
        <f aca="false">I506</f>
        <v>26652.1989825572</v>
      </c>
      <c r="J507" s="85"/>
      <c r="K507" s="85"/>
      <c r="L507" s="85"/>
      <c r="M507" s="85"/>
      <c r="N507" s="85"/>
      <c r="O507" s="85"/>
      <c r="P507" s="85"/>
      <c r="Q507" s="85"/>
      <c r="R507" s="85"/>
    </row>
    <row r="508" customFormat="false" ht="15" hidden="false" customHeight="false" outlineLevel="0" collapsed="false">
      <c r="F508" s="99" t="n">
        <f aca="false">G508/H508</f>
        <v>1.58943611776097E-009</v>
      </c>
      <c r="G508" s="52" t="n">
        <f aca="false">G507*(1-$O$1)</f>
        <v>0.00650860719974931</v>
      </c>
      <c r="H508" s="15" t="n">
        <f aca="false">I508/G508</f>
        <v>4094915.8805564</v>
      </c>
      <c r="I508" s="0" t="n">
        <f aca="false">I507</f>
        <v>26652.1989825572</v>
      </c>
      <c r="J508" s="85"/>
      <c r="K508" s="85"/>
      <c r="L508" s="85"/>
      <c r="M508" s="85"/>
      <c r="N508" s="85"/>
      <c r="O508" s="85"/>
      <c r="P508" s="85"/>
      <c r="Q508" s="85"/>
      <c r="R508" s="85"/>
    </row>
    <row r="509" customFormat="false" ht="15" hidden="false" customHeight="false" outlineLevel="0" collapsed="false">
      <c r="F509" s="99" t="n">
        <f aca="false">G509/H509</f>
        <v>1.52649444749764E-009</v>
      </c>
      <c r="G509" s="52" t="n">
        <f aca="false">G508*(1-$O$1)</f>
        <v>0.00637843505575433</v>
      </c>
      <c r="H509" s="15" t="n">
        <f aca="false">I509/G509</f>
        <v>4178485.59240449</v>
      </c>
      <c r="I509" s="0" t="n">
        <f aca="false">I508</f>
        <v>26652.1989825572</v>
      </c>
      <c r="J509" s="85"/>
      <c r="K509" s="85"/>
      <c r="L509" s="85"/>
      <c r="M509" s="85"/>
      <c r="N509" s="85"/>
      <c r="O509" s="85"/>
      <c r="P509" s="85"/>
      <c r="Q509" s="85"/>
      <c r="R509" s="85"/>
    </row>
    <row r="510" customFormat="false" ht="15" hidden="false" customHeight="false" outlineLevel="0" collapsed="false">
      <c r="F510" s="99" t="n">
        <f aca="false">G510/H510</f>
        <v>1.46604526737673E-009</v>
      </c>
      <c r="G510" s="52" t="n">
        <f aca="false">G509*(1-$O$1)</f>
        <v>0.00625086635463924</v>
      </c>
      <c r="H510" s="15" t="n">
        <f aca="false">I510/G510</f>
        <v>4263760.80857601</v>
      </c>
      <c r="I510" s="0" t="n">
        <f aca="false">I509</f>
        <v>26652.1989825572</v>
      </c>
      <c r="J510" s="85"/>
      <c r="K510" s="85"/>
      <c r="L510" s="85"/>
      <c r="M510" s="85"/>
      <c r="N510" s="85"/>
      <c r="O510" s="85"/>
      <c r="P510" s="85"/>
      <c r="Q510" s="85"/>
      <c r="R510" s="85"/>
    </row>
    <row r="511" customFormat="false" ht="15" hidden="false" customHeight="false" outlineLevel="0" collapsed="false">
      <c r="F511" s="99" t="n">
        <f aca="false">G511/H511</f>
        <v>1.40798987478861E-009</v>
      </c>
      <c r="G511" s="52" t="n">
        <f aca="false">G510*(1-$O$1)</f>
        <v>0.00612584902754645</v>
      </c>
      <c r="H511" s="15" t="n">
        <f aca="false">I511/G511</f>
        <v>4350776.33528165</v>
      </c>
      <c r="I511" s="0" t="n">
        <f aca="false">I510</f>
        <v>26652.1989825572</v>
      </c>
      <c r="J511" s="85"/>
      <c r="K511" s="85"/>
      <c r="L511" s="85"/>
      <c r="M511" s="85"/>
      <c r="N511" s="85"/>
      <c r="O511" s="85"/>
      <c r="P511" s="85"/>
      <c r="Q511" s="85"/>
      <c r="R511" s="85"/>
    </row>
    <row r="512" customFormat="false" ht="15" hidden="false" customHeight="false" outlineLevel="0" collapsed="false">
      <c r="F512" s="99" t="n">
        <f aca="false">G512/H512</f>
        <v>1.35223347574698E-009</v>
      </c>
      <c r="G512" s="52" t="n">
        <f aca="false">G511*(1-$O$1)</f>
        <v>0.00600333204699552</v>
      </c>
      <c r="H512" s="15" t="n">
        <f aca="false">I512/G512</f>
        <v>4439567.68906291</v>
      </c>
      <c r="I512" s="0" t="n">
        <f aca="false">I511</f>
        <v>26652.1989825572</v>
      </c>
      <c r="J512" s="85"/>
      <c r="K512" s="85"/>
      <c r="L512" s="85"/>
      <c r="M512" s="85"/>
      <c r="N512" s="85"/>
      <c r="O512" s="85"/>
      <c r="P512" s="85"/>
      <c r="Q512" s="85"/>
      <c r="R512" s="85"/>
    </row>
    <row r="513" customFormat="false" ht="15" hidden="false" customHeight="false" outlineLevel="0" collapsed="false">
      <c r="F513" s="99" t="n">
        <f aca="false">G513/H513</f>
        <v>1.2986850301074E-009</v>
      </c>
      <c r="G513" s="52" t="n">
        <f aca="false">G512*(1-$O$1)</f>
        <v>0.00588326540605561</v>
      </c>
      <c r="H513" s="15" t="n">
        <f aca="false">I513/G513</f>
        <v>4530171.11128868</v>
      </c>
      <c r="I513" s="0" t="n">
        <f aca="false">I512</f>
        <v>26652.1989825572</v>
      </c>
      <c r="J513" s="85"/>
      <c r="K513" s="85"/>
      <c r="L513" s="85"/>
      <c r="M513" s="85"/>
      <c r="N513" s="85"/>
      <c r="O513" s="85"/>
      <c r="P513" s="85"/>
      <c r="Q513" s="85"/>
      <c r="R513" s="85"/>
    </row>
    <row r="514" customFormat="false" ht="15" hidden="false" customHeight="false" outlineLevel="0" collapsed="false">
      <c r="F514" s="99" t="n">
        <f aca="false">G514/H514</f>
        <v>1.24725710291515E-009</v>
      </c>
      <c r="G514" s="52" t="n">
        <f aca="false">G513*(1-$O$1)</f>
        <v>0.0057656000979345</v>
      </c>
      <c r="H514" s="15" t="n">
        <f aca="false">I514/G514</f>
        <v>4622623.58294763</v>
      </c>
      <c r="I514" s="0" t="n">
        <f aca="false">I513</f>
        <v>26652.1989825572</v>
      </c>
      <c r="J514" s="85"/>
      <c r="K514" s="85"/>
      <c r="L514" s="85"/>
      <c r="M514" s="85"/>
      <c r="N514" s="85"/>
      <c r="O514" s="85"/>
      <c r="P514" s="85"/>
      <c r="Q514" s="85"/>
      <c r="R514" s="85"/>
    </row>
    <row r="515" customFormat="false" ht="15" hidden="false" customHeight="false" outlineLevel="0" collapsed="false">
      <c r="F515" s="99" t="n">
        <f aca="false">G515/H515</f>
        <v>1.19786572163971E-009</v>
      </c>
      <c r="G515" s="52" t="n">
        <f aca="false">G514*(1-$O$1)</f>
        <v>0.00565028809597581</v>
      </c>
      <c r="H515" s="15" t="n">
        <f aca="false">I515/G515</f>
        <v>4716962.83974248</v>
      </c>
      <c r="I515" s="0" t="n">
        <f aca="false">I514</f>
        <v>26652.1989825572</v>
      </c>
      <c r="J515" s="85"/>
      <c r="K515" s="85"/>
      <c r="L515" s="85"/>
      <c r="M515" s="85"/>
      <c r="N515" s="85"/>
      <c r="O515" s="85"/>
      <c r="P515" s="85"/>
      <c r="Q515" s="85"/>
      <c r="R515" s="85"/>
    </row>
    <row r="516" customFormat="false" ht="15" hidden="false" customHeight="false" outlineLevel="0" collapsed="false">
      <c r="F516" s="99" t="n">
        <f aca="false">G516/H516</f>
        <v>1.15043023906278E-009</v>
      </c>
      <c r="G516" s="52" t="n">
        <f aca="false">G515*(1-$O$1)</f>
        <v>0.0055372823340563</v>
      </c>
      <c r="H516" s="15" t="n">
        <f aca="false">I516/G516</f>
        <v>4813227.38749233</v>
      </c>
      <c r="I516" s="0" t="n">
        <f aca="false">I515</f>
        <v>26652.1989825572</v>
      </c>
      <c r="J516" s="85"/>
      <c r="K516" s="85"/>
      <c r="L516" s="85"/>
      <c r="M516" s="85"/>
      <c r="N516" s="85"/>
      <c r="O516" s="85"/>
      <c r="P516" s="85"/>
      <c r="Q516" s="85"/>
      <c r="R516" s="85"/>
    </row>
    <row r="517" customFormat="false" ht="15" hidden="false" customHeight="false" outlineLevel="0" collapsed="false">
      <c r="F517" s="99" t="n">
        <f aca="false">G517/H517</f>
        <v>1.10487320159589E-009</v>
      </c>
      <c r="G517" s="52" t="n">
        <f aca="false">G516*(1-$O$1)</f>
        <v>0.00542653668737517</v>
      </c>
      <c r="H517" s="15" t="n">
        <f aca="false">I517/G517</f>
        <v>4911456.51784931</v>
      </c>
      <c r="I517" s="0" t="n">
        <f aca="false">I516</f>
        <v>26652.1989825572</v>
      </c>
      <c r="J517" s="85"/>
      <c r="K517" s="85"/>
      <c r="L517" s="85"/>
      <c r="M517" s="85"/>
      <c r="N517" s="85"/>
      <c r="O517" s="85"/>
      <c r="P517" s="85"/>
      <c r="Q517" s="85"/>
      <c r="R517" s="85"/>
    </row>
    <row r="518" customFormat="false" ht="15" hidden="false" customHeight="false" outlineLevel="0" collapsed="false">
      <c r="F518" s="99" t="n">
        <f aca="false">G518/H518</f>
        <v>1.06112022281269E-009</v>
      </c>
      <c r="G518" s="52" t="n">
        <f aca="false">G517*(1-$O$1)</f>
        <v>0.00531800595362767</v>
      </c>
      <c r="H518" s="15" t="n">
        <f aca="false">I518/G518</f>
        <v>5011690.32433604</v>
      </c>
      <c r="I518" s="0" t="n">
        <f aca="false">I517</f>
        <v>26652.1989825572</v>
      </c>
      <c r="J518" s="85"/>
      <c r="K518" s="85"/>
      <c r="L518" s="85"/>
      <c r="M518" s="85"/>
      <c r="N518" s="85"/>
      <c r="O518" s="85"/>
      <c r="P518" s="85"/>
      <c r="Q518" s="85"/>
      <c r="R518" s="85"/>
    </row>
    <row r="519" customFormat="false" ht="15" hidden="false" customHeight="false" outlineLevel="0" collapsed="false">
      <c r="F519" s="99" t="n">
        <f aca="false">G519/H519</f>
        <v>1.01909986198931E-009</v>
      </c>
      <c r="G519" s="52" t="n">
        <f aca="false">G518*(1-$O$1)</f>
        <v>0.00521164583455511</v>
      </c>
      <c r="H519" s="15" t="n">
        <f aca="false">I519/G519</f>
        <v>5113969.71871024</v>
      </c>
      <c r="I519" s="0" t="n">
        <f aca="false">I518</f>
        <v>26652.1989825572</v>
      </c>
      <c r="J519" s="85"/>
      <c r="K519" s="85"/>
      <c r="L519" s="85"/>
      <c r="M519" s="85"/>
      <c r="N519" s="85"/>
      <c r="O519" s="85"/>
      <c r="P519" s="85"/>
      <c r="Q519" s="85"/>
      <c r="R519" s="85"/>
    </row>
    <row r="520" customFormat="false" ht="15" hidden="false" customHeight="false" outlineLevel="0" collapsed="false">
      <c r="F520" s="99" t="n">
        <f aca="false">G520/H520</f>
        <v>9.78743507454532E-010</v>
      </c>
      <c r="G520" s="52" t="n">
        <f aca="false">G519*(1-$O$1)</f>
        <v>0.00510741291786401</v>
      </c>
      <c r="H520" s="15" t="n">
        <f aca="false">I520/G520</f>
        <v>5218336.44766351</v>
      </c>
      <c r="I520" s="0" t="n">
        <f aca="false">I519</f>
        <v>26652.1989825572</v>
      </c>
      <c r="J520" s="85"/>
      <c r="K520" s="85"/>
      <c r="L520" s="85"/>
      <c r="M520" s="85"/>
      <c r="N520" s="85"/>
      <c r="O520" s="85"/>
      <c r="P520" s="85"/>
      <c r="Q520" s="85"/>
      <c r="R520" s="85"/>
    </row>
    <row r="521" customFormat="false" ht="15" hidden="false" customHeight="false" outlineLevel="0" collapsed="false">
      <c r="F521" s="99" t="n">
        <f aca="false">G521/H521</f>
        <v>9.39985264559333E-010</v>
      </c>
      <c r="G521" s="52" t="n">
        <f aca="false">G520*(1-$O$1)</f>
        <v>0.00500526465950673</v>
      </c>
      <c r="H521" s="15" t="n">
        <f aca="false">I521/G521</f>
        <v>5324833.10986073</v>
      </c>
      <c r="I521" s="0" t="n">
        <f aca="false">I520</f>
        <v>26652.1989825572</v>
      </c>
      <c r="J521" s="85"/>
      <c r="K521" s="85"/>
      <c r="L521" s="85"/>
      <c r="M521" s="85"/>
      <c r="N521" s="85"/>
      <c r="O521" s="85"/>
      <c r="P521" s="85"/>
      <c r="Q521" s="85"/>
      <c r="R521" s="85"/>
    </row>
    <row r="522" customFormat="false" ht="15" hidden="false" customHeight="false" outlineLevel="0" collapsed="false">
      <c r="F522" s="99" t="n">
        <f aca="false">G522/H522</f>
        <v>9.02761848082783E-010</v>
      </c>
      <c r="G522" s="52" t="n">
        <f aca="false">G521*(1-$O$1)</f>
        <v>0.00490515936631659</v>
      </c>
      <c r="H522" s="15" t="n">
        <f aca="false">I522/G522</f>
        <v>5433503.17332727</v>
      </c>
      <c r="I522" s="0" t="n">
        <f aca="false">I521</f>
        <v>26652.1989825572</v>
      </c>
      <c r="J522" s="85"/>
      <c r="K522" s="85"/>
      <c r="L522" s="85"/>
      <c r="M522" s="85"/>
      <c r="N522" s="85"/>
      <c r="O522" s="85"/>
      <c r="P522" s="85"/>
      <c r="Q522" s="85"/>
      <c r="R522" s="85"/>
    </row>
    <row r="523" customFormat="false" ht="15" hidden="false" customHeight="false" outlineLevel="0" collapsed="false">
      <c r="F523" s="99" t="n">
        <f aca="false">G523/H523</f>
        <v>8.67012478898705E-010</v>
      </c>
      <c r="G523" s="52" t="n">
        <f aca="false">G522*(1-$O$1)</f>
        <v>0.00480705617899026</v>
      </c>
      <c r="H523" s="15" t="n">
        <f aca="false">I523/G523</f>
        <v>5544390.99319109</v>
      </c>
      <c r="I523" s="0" t="n">
        <f aca="false">I522</f>
        <v>26652.1989825572</v>
      </c>
      <c r="J523" s="85"/>
      <c r="K523" s="85"/>
      <c r="L523" s="85"/>
      <c r="M523" s="85"/>
      <c r="N523" s="85"/>
      <c r="O523" s="85"/>
      <c r="P523" s="85"/>
      <c r="Q523" s="85"/>
      <c r="R523" s="85"/>
    </row>
    <row r="524" customFormat="false" ht="15" hidden="false" customHeight="false" outlineLevel="0" collapsed="false">
      <c r="F524" s="99" t="n">
        <f aca="false">G524/H524</f>
        <v>8.32678784734316E-010</v>
      </c>
      <c r="G524" s="52" t="n">
        <f aca="false">G523*(1-$O$1)</f>
        <v>0.00471091505541046</v>
      </c>
      <c r="H524" s="15" t="n">
        <f aca="false">I524/G524</f>
        <v>5657541.82978683</v>
      </c>
      <c r="I524" s="0" t="n">
        <f aca="false">I523</f>
        <v>26652.1989825572</v>
      </c>
      <c r="J524" s="85"/>
      <c r="K524" s="85"/>
      <c r="L524" s="85"/>
      <c r="M524" s="85"/>
      <c r="N524" s="85"/>
      <c r="O524" s="85"/>
      <c r="P524" s="85"/>
      <c r="Q524" s="85"/>
      <c r="R524" s="85"/>
    </row>
    <row r="525" customFormat="false" ht="15" hidden="false" customHeight="false" outlineLevel="0" collapsed="false">
      <c r="F525" s="99" t="n">
        <f aca="false">G525/H525</f>
        <v>7.99704704858837E-010</v>
      </c>
      <c r="G525" s="52" t="n">
        <f aca="false">G524*(1-$O$1)</f>
        <v>0.00461669675430225</v>
      </c>
      <c r="H525" s="15" t="n">
        <f aca="false">I525/G525</f>
        <v>5773001.86712942</v>
      </c>
      <c r="I525" s="0" t="n">
        <f aca="false">I524</f>
        <v>26652.1989825572</v>
      </c>
      <c r="J525" s="85"/>
      <c r="K525" s="85"/>
      <c r="L525" s="85"/>
      <c r="M525" s="85"/>
      <c r="N525" s="85"/>
      <c r="O525" s="85"/>
      <c r="P525" s="85"/>
      <c r="Q525" s="85"/>
      <c r="R525" s="85"/>
    </row>
    <row r="526" customFormat="false" ht="15" hidden="false" customHeight="false" outlineLevel="0" collapsed="false">
      <c r="F526" s="99" t="n">
        <f aca="false">G526/H526</f>
        <v>7.68036398546427E-010</v>
      </c>
      <c r="G526" s="52" t="n">
        <f aca="false">G525*(1-$O$1)</f>
        <v>0.0045243628192162</v>
      </c>
      <c r="H526" s="15" t="n">
        <f aca="false">I526/G526</f>
        <v>5890818.23176471</v>
      </c>
      <c r="I526" s="0" t="n">
        <f aca="false">I525</f>
        <v>26652.1989825572</v>
      </c>
      <c r="J526" s="85"/>
      <c r="K526" s="85"/>
      <c r="L526" s="85"/>
      <c r="M526" s="85"/>
      <c r="N526" s="85"/>
      <c r="O526" s="85"/>
      <c r="P526" s="85"/>
      <c r="Q526" s="85"/>
      <c r="R526" s="85"/>
    </row>
    <row r="527" customFormat="false" ht="15" hidden="false" customHeight="false" outlineLevel="0" collapsed="false">
      <c r="F527" s="99" t="n">
        <f aca="false">G527/H527</f>
        <v>7.37622157163989E-010</v>
      </c>
      <c r="G527" s="52" t="n">
        <f aca="false">G526*(1-$O$1)</f>
        <v>0.00443387556283188</v>
      </c>
      <c r="H527" s="15" t="n">
        <f aca="false">I527/G527</f>
        <v>6011039.01200481</v>
      </c>
      <c r="I527" s="0" t="n">
        <f aca="false">I526</f>
        <v>26652.1989825572</v>
      </c>
      <c r="J527" s="85"/>
      <c r="K527" s="85"/>
      <c r="L527" s="85"/>
      <c r="M527" s="85"/>
      <c r="N527" s="85"/>
      <c r="O527" s="85"/>
      <c r="P527" s="85"/>
      <c r="Q527" s="85"/>
      <c r="R527" s="85"/>
    </row>
    <row r="528" customFormat="false" ht="15" hidden="false" customHeight="false" outlineLevel="0" collapsed="false">
      <c r="F528" s="99" t="n">
        <f aca="false">G528/H528</f>
        <v>7.08412319740295E-010</v>
      </c>
      <c r="G528" s="52" t="n">
        <f aca="false">G527*(1-$O$1)</f>
        <v>0.00434519805157524</v>
      </c>
      <c r="H528" s="15" t="n">
        <f aca="false">I528/G528</f>
        <v>6133713.27755593</v>
      </c>
      <c r="I528" s="0" t="n">
        <f aca="false">I527</f>
        <v>26652.1989825572</v>
      </c>
      <c r="J528" s="85"/>
      <c r="K528" s="85"/>
      <c r="L528" s="85"/>
      <c r="M528" s="85"/>
      <c r="N528" s="85"/>
      <c r="O528" s="85"/>
      <c r="P528" s="85"/>
      <c r="Q528" s="85"/>
      <c r="R528" s="85"/>
    </row>
    <row r="529" customFormat="false" ht="15" hidden="false" customHeight="false" outlineLevel="0" collapsed="false">
      <c r="F529" s="99" t="n">
        <f aca="false">G529/H529</f>
        <v>6.80359191878579E-010</v>
      </c>
      <c r="G529" s="52" t="n">
        <f aca="false">G528*(1-$O$1)</f>
        <v>0.00425829409054374</v>
      </c>
      <c r="H529" s="15" t="n">
        <f aca="false">I529/G529</f>
        <v>6258891.09954686</v>
      </c>
      <c r="I529" s="0" t="n">
        <f aca="false">I528</f>
        <v>26652.1989825572</v>
      </c>
      <c r="J529" s="85"/>
      <c r="K529" s="85"/>
      <c r="L529" s="85"/>
      <c r="M529" s="85"/>
      <c r="N529" s="85"/>
      <c r="O529" s="85"/>
      <c r="P529" s="85"/>
      <c r="Q529" s="85"/>
      <c r="R529" s="85"/>
    </row>
    <row r="530" customFormat="false" ht="15" hidden="false" customHeight="false" outlineLevel="0" collapsed="false">
      <c r="F530" s="99" t="n">
        <f aca="false">G530/H530</f>
        <v>6.53416967880187E-010</v>
      </c>
      <c r="G530" s="52" t="n">
        <f aca="false">G529*(1-$O$1)</f>
        <v>0.00417312820873286</v>
      </c>
      <c r="H530" s="15" t="n">
        <f aca="false">I530/G530</f>
        <v>6386623.57096619</v>
      </c>
      <c r="I530" s="0" t="n">
        <f aca="false">I529</f>
        <v>26652.1989825572</v>
      </c>
      <c r="J530" s="85"/>
      <c r="K530" s="85"/>
      <c r="L530" s="85"/>
      <c r="M530" s="85"/>
      <c r="N530" s="85"/>
      <c r="O530" s="85"/>
      <c r="P530" s="85"/>
      <c r="Q530" s="85"/>
      <c r="R530" s="85"/>
    </row>
    <row r="531" customFormat="false" ht="15" hidden="false" customHeight="false" outlineLevel="0" collapsed="false">
      <c r="F531" s="99" t="n">
        <f aca="false">G531/H531</f>
        <v>6.27541655952132E-010</v>
      </c>
      <c r="G531" s="52" t="n">
        <f aca="false">G530*(1-$O$1)</f>
        <v>0.0040896656445582</v>
      </c>
      <c r="H531" s="15" t="n">
        <f aca="false">I531/G531</f>
        <v>6516962.82751652</v>
      </c>
      <c r="I531" s="0" t="n">
        <f aca="false">I530</f>
        <v>26652.1989825572</v>
      </c>
      <c r="J531" s="85"/>
      <c r="K531" s="85"/>
      <c r="L531" s="85"/>
      <c r="M531" s="85"/>
      <c r="N531" s="85"/>
      <c r="O531" s="85"/>
      <c r="P531" s="85"/>
      <c r="Q531" s="85"/>
      <c r="R531" s="85"/>
    </row>
    <row r="532" customFormat="false" ht="15" hidden="false" customHeight="false" outlineLevel="0" collapsed="false">
      <c r="F532" s="99" t="n">
        <f aca="false">G532/H532</f>
        <v>6.02691006376427E-010</v>
      </c>
      <c r="G532" s="52" t="n">
        <f aca="false">G531*(1-$O$1)</f>
        <v>0.00400787233166704</v>
      </c>
      <c r="H532" s="15" t="n">
        <f aca="false">I532/G532</f>
        <v>6649962.06889441</v>
      </c>
      <c r="I532" s="0" t="n">
        <f aca="false">I531</f>
        <v>26652.1989825572</v>
      </c>
      <c r="J532" s="85"/>
      <c r="K532" s="85"/>
      <c r="L532" s="85"/>
      <c r="M532" s="85"/>
      <c r="N532" s="85"/>
      <c r="O532" s="85"/>
      <c r="P532" s="85"/>
      <c r="Q532" s="85"/>
      <c r="R532" s="85"/>
    </row>
    <row r="533" customFormat="false" ht="15" hidden="false" customHeight="false" outlineLevel="0" collapsed="false">
      <c r="F533" s="99" t="n">
        <f aca="false">G533/H533</f>
        <v>5.78824442523921E-010</v>
      </c>
      <c r="G533" s="52" t="n">
        <f aca="false">G532*(1-$O$1)</f>
        <v>0.0039277148850337</v>
      </c>
      <c r="H533" s="15" t="n">
        <f aca="false">I533/G533</f>
        <v>6785675.5805045</v>
      </c>
      <c r="I533" s="0" t="n">
        <f aca="false">I532</f>
        <v>26652.1989825572</v>
      </c>
      <c r="J533" s="85"/>
      <c r="K533" s="85"/>
      <c r="L533" s="85"/>
      <c r="M533" s="85"/>
      <c r="N533" s="85"/>
      <c r="O533" s="85"/>
      <c r="P533" s="85"/>
      <c r="Q533" s="85"/>
      <c r="R533" s="85"/>
    </row>
    <row r="534" customFormat="false" ht="15" hidden="false" customHeight="false" outlineLevel="0" collapsed="false">
      <c r="F534" s="99" t="n">
        <f aca="false">G534/H534</f>
        <v>5.55902994599974E-010</v>
      </c>
      <c r="G534" s="52" t="n">
        <f aca="false">G533*(1-$O$1)</f>
        <v>0.00384916058733302</v>
      </c>
      <c r="H534" s="15" t="n">
        <f aca="false">I534/G534</f>
        <v>6924158.75561683</v>
      </c>
      <c r="I534" s="0" t="n">
        <f aca="false">I533</f>
        <v>26652.1989825572</v>
      </c>
      <c r="J534" s="85"/>
      <c r="K534" s="85"/>
      <c r="L534" s="85"/>
      <c r="M534" s="85"/>
      <c r="N534" s="85"/>
      <c r="O534" s="85"/>
      <c r="P534" s="85"/>
      <c r="Q534" s="85"/>
      <c r="R534" s="85"/>
    </row>
    <row r="535" customFormat="false" ht="15" hidden="false" customHeight="false" outlineLevel="0" collapsed="false">
      <c r="F535" s="99" t="n">
        <f aca="false">G535/H535</f>
        <v>5.33889236013815E-010</v>
      </c>
      <c r="G535" s="52" t="n">
        <f aca="false">G534*(1-$O$1)</f>
        <v>0.00377217737558636</v>
      </c>
      <c r="H535" s="15" t="n">
        <f aca="false">I535/G535</f>
        <v>7065468.11797636</v>
      </c>
      <c r="I535" s="0" t="n">
        <f aca="false">I534</f>
        <v>26652.1989825572</v>
      </c>
      <c r="J535" s="85"/>
      <c r="K535" s="85"/>
      <c r="L535" s="85"/>
      <c r="M535" s="85"/>
      <c r="N535" s="85"/>
      <c r="O535" s="85"/>
      <c r="P535" s="85"/>
      <c r="Q535" s="85"/>
      <c r="R535" s="85"/>
    </row>
    <row r="536" customFormat="false" ht="15" hidden="false" customHeight="false" outlineLevel="0" collapsed="false">
      <c r="F536" s="99" t="n">
        <f aca="false">G536/H536</f>
        <v>5.12747222267667E-010</v>
      </c>
      <c r="G536" s="52" t="n">
        <f aca="false">G535*(1-$O$1)</f>
        <v>0.00369673382807464</v>
      </c>
      <c r="H536" s="15" t="n">
        <f aca="false">I536/G536</f>
        <v>7209661.34487384</v>
      </c>
      <c r="I536" s="0" t="n">
        <f aca="false">I535</f>
        <v>26652.1989825572</v>
      </c>
      <c r="J536" s="85"/>
      <c r="K536" s="85"/>
      <c r="L536" s="85"/>
      <c r="M536" s="85"/>
      <c r="N536" s="85"/>
      <c r="O536" s="85"/>
      <c r="P536" s="85"/>
      <c r="Q536" s="85"/>
      <c r="R536" s="85"/>
    </row>
    <row r="537" customFormat="false" ht="15" hidden="false" customHeight="false" outlineLevel="0" collapsed="false">
      <c r="F537" s="99" t="n">
        <f aca="false">G537/H537</f>
        <v>4.92442432265868E-010</v>
      </c>
      <c r="G537" s="52" t="n">
        <f aca="false">G536*(1-$O$1)</f>
        <v>0.00362279915151314</v>
      </c>
      <c r="H537" s="15" t="n">
        <f aca="false">I537/G537</f>
        <v>7356797.29068759</v>
      </c>
      <c r="I537" s="0" t="n">
        <f aca="false">I536</f>
        <v>26652.1989825572</v>
      </c>
      <c r="J537" s="85"/>
      <c r="K537" s="85"/>
      <c r="L537" s="85"/>
      <c r="M537" s="85"/>
      <c r="N537" s="85"/>
      <c r="O537" s="85"/>
      <c r="P537" s="85"/>
      <c r="Q537" s="85"/>
      <c r="R537" s="85"/>
    </row>
    <row r="538" customFormat="false" ht="15" hidden="false" customHeight="false" outlineLevel="0" collapsed="false">
      <c r="F538" s="99" t="n">
        <f aca="false">G538/H538</f>
        <v>4.72941711948139E-010</v>
      </c>
      <c r="G538" s="52" t="n">
        <f aca="false">G537*(1-$O$1)</f>
        <v>0.00355034316848288</v>
      </c>
      <c r="H538" s="15" t="n">
        <f aca="false">I538/G538</f>
        <v>7506936.01090571</v>
      </c>
      <c r="I538" s="0" t="n">
        <f aca="false">I537</f>
        <v>26652.1989825572</v>
      </c>
      <c r="J538" s="85"/>
      <c r="K538" s="85"/>
      <c r="L538" s="85"/>
      <c r="M538" s="85"/>
      <c r="N538" s="85"/>
      <c r="O538" s="85"/>
      <c r="P538" s="85"/>
      <c r="Q538" s="85"/>
      <c r="R538" s="85"/>
    </row>
    <row r="539" customFormat="false" ht="15" hidden="false" customHeight="false" outlineLevel="0" collapsed="false">
      <c r="F539" s="99" t="n">
        <f aca="false">G539/H539</f>
        <v>4.54213220154993E-010</v>
      </c>
      <c r="G539" s="52" t="n">
        <f aca="false">G538*(1-$O$1)</f>
        <v>0.00347933630511322</v>
      </c>
      <c r="H539" s="15" t="n">
        <f aca="false">I539/G539</f>
        <v>7660138.78663848</v>
      </c>
      <c r="I539" s="0" t="n">
        <f aca="false">I538</f>
        <v>26652.1989825572</v>
      </c>
      <c r="J539" s="85"/>
      <c r="K539" s="85"/>
      <c r="L539" s="85"/>
      <c r="M539" s="85"/>
      <c r="N539" s="85"/>
      <c r="O539" s="85"/>
      <c r="P539" s="85"/>
      <c r="Q539" s="85"/>
      <c r="R539" s="85"/>
    </row>
    <row r="540" customFormat="false" ht="15" hidden="false" customHeight="false" outlineLevel="0" collapsed="false">
      <c r="F540" s="99" t="n">
        <f aca="false">G540/H540</f>
        <v>4.36226376636855E-010</v>
      </c>
      <c r="G540" s="52" t="n">
        <f aca="false">G539*(1-$O$1)</f>
        <v>0.00340974957901096</v>
      </c>
      <c r="H540" s="15" t="n">
        <f aca="false">I540/G540</f>
        <v>7816468.1496311</v>
      </c>
      <c r="I540" s="0" t="n">
        <f aca="false">I539</f>
        <v>26652.1989825572</v>
      </c>
      <c r="J540" s="85"/>
      <c r="K540" s="85"/>
      <c r="L540" s="85"/>
      <c r="M540" s="85"/>
      <c r="N540" s="85"/>
      <c r="O540" s="85"/>
      <c r="P540" s="85"/>
      <c r="Q540" s="85"/>
      <c r="R540" s="85"/>
    </row>
    <row r="541" customFormat="false" ht="15" hidden="false" customHeight="false" outlineLevel="0" collapsed="false">
      <c r="F541" s="99" t="n">
        <f aca="false">G541/H541</f>
        <v>4.18951812122036E-010</v>
      </c>
      <c r="G541" s="52" t="n">
        <f aca="false">G540*(1-$O$1)</f>
        <v>0.00334155458743074</v>
      </c>
      <c r="H541" s="15" t="n">
        <f aca="false">I541/G541</f>
        <v>7975987.90778683</v>
      </c>
      <c r="I541" s="0" t="n">
        <f aca="false">I540</f>
        <v>26652.1989825572</v>
      </c>
      <c r="J541" s="85"/>
      <c r="K541" s="85"/>
      <c r="L541" s="85"/>
      <c r="M541" s="85"/>
      <c r="N541" s="85"/>
      <c r="O541" s="85"/>
      <c r="P541" s="85"/>
      <c r="Q541" s="85"/>
      <c r="R541" s="85"/>
    </row>
    <row r="542" customFormat="false" ht="15" hidden="false" customHeight="false" outlineLevel="0" collapsed="false">
      <c r="F542" s="99" t="n">
        <f aca="false">G542/H542</f>
        <v>4.02361320362003E-010</v>
      </c>
      <c r="G542" s="52" t="n">
        <f aca="false">G541*(1-$O$1)</f>
        <v>0.00327472349568212</v>
      </c>
      <c r="H542" s="15" t="n">
        <f aca="false">I542/G542</f>
        <v>8138763.17121106</v>
      </c>
      <c r="I542" s="0" t="n">
        <f aca="false">I541</f>
        <v>26652.1989825572</v>
      </c>
      <c r="J542" s="85"/>
      <c r="K542" s="85"/>
      <c r="L542" s="85"/>
      <c r="M542" s="85"/>
      <c r="N542" s="85"/>
      <c r="O542" s="85"/>
      <c r="P542" s="85"/>
      <c r="Q542" s="85"/>
      <c r="R542" s="85"/>
    </row>
    <row r="543" customFormat="false" ht="15" hidden="false" customHeight="false" outlineLevel="0" collapsed="false">
      <c r="F543" s="99" t="n">
        <f aca="false">G543/H543</f>
        <v>3.86427812075668E-010</v>
      </c>
      <c r="G543" s="52" t="n">
        <f aca="false">G542*(1-$O$1)</f>
        <v>0.00320922902576848</v>
      </c>
      <c r="H543" s="15" t="n">
        <f aca="false">I543/G543</f>
        <v>8304860.37878679</v>
      </c>
      <c r="I543" s="0" t="n">
        <f aca="false">I542</f>
        <v>26652.1989825572</v>
      </c>
      <c r="J543" s="85"/>
      <c r="K543" s="85"/>
      <c r="L543" s="85"/>
      <c r="M543" s="85"/>
      <c r="N543" s="85"/>
      <c r="O543" s="85"/>
      <c r="P543" s="85"/>
      <c r="Q543" s="85"/>
      <c r="R543" s="85"/>
    </row>
    <row r="544" customFormat="false" ht="15" hidden="false" customHeight="false" outlineLevel="0" collapsed="false">
      <c r="F544" s="99" t="n">
        <f aca="false">G544/H544</f>
        <v>3.71125270717471E-010</v>
      </c>
      <c r="G544" s="52" t="n">
        <f aca="false">G543*(1-$O$1)</f>
        <v>0.00314504444525311</v>
      </c>
      <c r="H544" s="15" t="n">
        <f aca="false">I544/G544</f>
        <v>8474347.32529264</v>
      </c>
      <c r="I544" s="0" t="n">
        <f aca="false">I543</f>
        <v>26652.1989825572</v>
      </c>
      <c r="J544" s="85"/>
      <c r="K544" s="85"/>
      <c r="L544" s="85"/>
      <c r="M544" s="85"/>
      <c r="N544" s="85"/>
      <c r="O544" s="85"/>
      <c r="P544" s="85"/>
      <c r="Q544" s="85"/>
      <c r="R544" s="85"/>
    </row>
    <row r="545" customFormat="false" ht="15" hidden="false" customHeight="false" outlineLevel="0" collapsed="false">
      <c r="F545" s="99" t="n">
        <f aca="false">G545/H545</f>
        <v>3.56428709997059E-010</v>
      </c>
      <c r="G545" s="52" t="n">
        <f aca="false">G544*(1-$O$1)</f>
        <v>0.00308214355634805</v>
      </c>
      <c r="H545" s="15" t="n">
        <f aca="false">I545/G545</f>
        <v>8647293.18907413</v>
      </c>
      <c r="I545" s="0" t="n">
        <f aca="false">I544</f>
        <v>26652.1989825572</v>
      </c>
      <c r="J545" s="85"/>
      <c r="K545" s="85"/>
      <c r="L545" s="85"/>
      <c r="M545" s="85"/>
      <c r="N545" s="85"/>
      <c r="O545" s="85"/>
      <c r="P545" s="85"/>
      <c r="Q545" s="85"/>
      <c r="R545" s="85"/>
    </row>
    <row r="546" customFormat="false" ht="15" hidden="false" customHeight="false" outlineLevel="0" collapsed="false">
      <c r="F546" s="99" t="n">
        <f aca="false">G546/H546</f>
        <v>3.42314133081176E-010</v>
      </c>
      <c r="G546" s="52" t="n">
        <f aca="false">G545*(1-$O$1)</f>
        <v>0.00302050068522109</v>
      </c>
      <c r="H546" s="15" t="n">
        <f aca="false">I546/G546</f>
        <v>8823768.56027972</v>
      </c>
      <c r="I546" s="0" t="n">
        <f aca="false">I545</f>
        <v>26652.1989825572</v>
      </c>
      <c r="J546" s="85"/>
      <c r="K546" s="85"/>
      <c r="L546" s="85"/>
      <c r="M546" s="85"/>
      <c r="N546" s="85"/>
      <c r="O546" s="85"/>
      <c r="P546" s="85"/>
      <c r="Q546" s="85"/>
      <c r="R546" s="85"/>
    </row>
    <row r="547" customFormat="false" ht="15" hidden="false" customHeight="false" outlineLevel="0" collapsed="false">
      <c r="F547" s="99" t="n">
        <f aca="false">G547/H547</f>
        <v>3.28758493411161E-010</v>
      </c>
      <c r="G547" s="52" t="n">
        <f aca="false">G546*(1-$O$1)</f>
        <v>0.00296009067151667</v>
      </c>
      <c r="H547" s="15" t="n">
        <f aca="false">I547/G547</f>
        <v>9003845.46967319</v>
      </c>
      <c r="I547" s="0" t="n">
        <f aca="false">I546</f>
        <v>26652.1989825572</v>
      </c>
      <c r="J547" s="85"/>
      <c r="K547" s="85"/>
      <c r="L547" s="85"/>
      <c r="M547" s="85"/>
      <c r="N547" s="85"/>
      <c r="O547" s="85"/>
      <c r="P547" s="85"/>
      <c r="Q547" s="85"/>
      <c r="R547" s="85"/>
    </row>
    <row r="548" customFormat="false" ht="15" hidden="false" customHeight="false" outlineLevel="0" collapsed="false">
      <c r="F548" s="99" t="n">
        <f aca="false">G548/H548</f>
        <v>3.15739657072079E-010</v>
      </c>
      <c r="G548" s="52" t="n">
        <f aca="false">G547*(1-$O$1)</f>
        <v>0.00290088885808633</v>
      </c>
      <c r="H548" s="15" t="n">
        <f aca="false">I548/G548</f>
        <v>9187597.41803386</v>
      </c>
      <c r="I548" s="0" t="n">
        <f aca="false">I547</f>
        <v>26652.1989825572</v>
      </c>
      <c r="J548" s="85"/>
      <c r="K548" s="85"/>
      <c r="L548" s="85"/>
      <c r="M548" s="85"/>
      <c r="N548" s="85"/>
      <c r="O548" s="85"/>
      <c r="P548" s="85"/>
      <c r="Q548" s="85"/>
      <c r="R548" s="85"/>
    </row>
    <row r="549" customFormat="false" ht="15" hidden="false" customHeight="false" outlineLevel="0" collapsed="false">
      <c r="F549" s="99" t="n">
        <f aca="false">G549/H549</f>
        <v>3.03236366652025E-010</v>
      </c>
      <c r="G549" s="52" t="n">
        <f aca="false">G548*(1-$O$1)</f>
        <v>0.00284287108092461</v>
      </c>
      <c r="H549" s="15" t="n">
        <f aca="false">I549/G549</f>
        <v>9375099.406157</v>
      </c>
      <c r="I549" s="0" t="n">
        <f aca="false">I548</f>
        <v>26652.1989825572</v>
      </c>
      <c r="J549" s="85"/>
      <c r="K549" s="85"/>
      <c r="L549" s="85"/>
      <c r="M549" s="85"/>
      <c r="N549" s="85"/>
      <c r="O549" s="85"/>
      <c r="P549" s="85"/>
      <c r="Q549" s="85"/>
      <c r="R549" s="85"/>
    </row>
    <row r="550" customFormat="false" ht="15" hidden="false" customHeight="false" outlineLevel="0" collapsed="false">
      <c r="F550" s="99" t="n">
        <f aca="false">G550/H550</f>
        <v>2.91228206532605E-010</v>
      </c>
      <c r="G550" s="52" t="n">
        <f aca="false">G549*(1-$O$1)</f>
        <v>0.00278601365930611</v>
      </c>
      <c r="H550" s="15" t="n">
        <f aca="false">I550/G550</f>
        <v>9566427.96546633</v>
      </c>
      <c r="I550" s="0" t="n">
        <f aca="false">I549</f>
        <v>26652.1989825572</v>
      </c>
      <c r="J550" s="85"/>
      <c r="K550" s="85"/>
      <c r="L550" s="85"/>
      <c r="M550" s="85"/>
      <c r="N550" s="85"/>
      <c r="O550" s="85"/>
      <c r="P550" s="85"/>
      <c r="Q550" s="85"/>
      <c r="R550" s="85"/>
    </row>
    <row r="551" customFormat="false" ht="15" hidden="false" customHeight="false" outlineLevel="0" collapsed="false">
      <c r="F551" s="99" t="n">
        <f aca="false">G551/H551</f>
        <v>2.79695569553914E-010</v>
      </c>
      <c r="G551" s="52" t="n">
        <f aca="false">G550*(1-$O$1)</f>
        <v>0.00273029338611999</v>
      </c>
      <c r="H551" s="15" t="n">
        <f aca="false">I551/G551</f>
        <v>9761661.18925136</v>
      </c>
      <c r="I551" s="0" t="n">
        <f aca="false">I550</f>
        <v>26652.1989825572</v>
      </c>
      <c r="J551" s="85"/>
      <c r="K551" s="85"/>
      <c r="L551" s="85"/>
      <c r="M551" s="85"/>
      <c r="N551" s="85"/>
      <c r="O551" s="85"/>
      <c r="P551" s="85"/>
      <c r="Q551" s="85"/>
      <c r="R551" s="85"/>
    </row>
    <row r="552" customFormat="false" ht="15" hidden="false" customHeight="false" outlineLevel="0" collapsed="false">
      <c r="F552" s="99" t="n">
        <f aca="false">G552/H552</f>
        <v>2.68619624999579E-010</v>
      </c>
      <c r="G552" s="52" t="n">
        <f aca="false">G551*(1-$O$1)</f>
        <v>0.00267568751839759</v>
      </c>
      <c r="H552" s="15" t="n">
        <f aca="false">I552/G552</f>
        <v>9960878.7645422</v>
      </c>
      <c r="I552" s="0" t="n">
        <f aca="false">I551</f>
        <v>26652.1989825572</v>
      </c>
      <c r="J552" s="85"/>
      <c r="K552" s="85"/>
      <c r="L552" s="85"/>
      <c r="M552" s="85"/>
      <c r="N552" s="85"/>
      <c r="O552" s="85"/>
      <c r="P552" s="85"/>
      <c r="Q552" s="85"/>
      <c r="R552" s="85"/>
    </row>
    <row r="553" customFormat="false" ht="15" hidden="false" customHeight="false" outlineLevel="0" collapsed="false">
      <c r="F553" s="99" t="n">
        <f aca="false">G553/H553</f>
        <v>2.57982287849595E-010</v>
      </c>
      <c r="G553" s="52" t="n">
        <f aca="false">G552*(1-$O$1)</f>
        <v>0.00262217376802964</v>
      </c>
      <c r="H553" s="15" t="n">
        <f aca="false">I553/G553</f>
        <v>10164162.0046349</v>
      </c>
      <c r="I553" s="0" t="n">
        <f aca="false">I552</f>
        <v>26652.1989825572</v>
      </c>
      <c r="J553" s="85"/>
      <c r="K553" s="85"/>
      <c r="L553" s="85"/>
      <c r="M553" s="85"/>
      <c r="N553" s="85"/>
      <c r="O553" s="85"/>
      <c r="P553" s="85"/>
      <c r="Q553" s="85"/>
      <c r="R553" s="85"/>
    </row>
    <row r="554" customFormat="false" ht="15" hidden="false" customHeight="false" outlineLevel="0" collapsed="false">
      <c r="F554" s="99" t="n">
        <f aca="false">G554/H554</f>
        <v>2.47766189250751E-010</v>
      </c>
      <c r="G554" s="52" t="n">
        <f aca="false">G553*(1-$O$1)</f>
        <v>0.00256973029266905</v>
      </c>
      <c r="H554" s="15" t="n">
        <f aca="false">I554/G554</f>
        <v>10371593.8822805</v>
      </c>
      <c r="I554" s="0" t="n">
        <f aca="false">I553</f>
        <v>26652.1989825572</v>
      </c>
      <c r="J554" s="85"/>
      <c r="K554" s="85"/>
      <c r="L554" s="85"/>
      <c r="M554" s="85"/>
      <c r="N554" s="85"/>
      <c r="O554" s="85"/>
      <c r="P554" s="85"/>
      <c r="Q554" s="85"/>
      <c r="R554" s="85"/>
    </row>
    <row r="555" customFormat="false" ht="15" hidden="false" customHeight="false" outlineLevel="0" collapsed="false">
      <c r="F555" s="99" t="n">
        <f aca="false">G555/H555</f>
        <v>2.37954648156421E-010</v>
      </c>
      <c r="G555" s="52" t="n">
        <f aca="false">G554*(1-$O$1)</f>
        <v>0.00251833568681567</v>
      </c>
      <c r="H555" s="15" t="n">
        <f aca="false">I555/G555</f>
        <v>10583259.0635515</v>
      </c>
      <c r="I555" s="0" t="n">
        <f aca="false">I554</f>
        <v>26652.1989825572</v>
      </c>
      <c r="J555" s="85"/>
      <c r="K555" s="85"/>
      <c r="L555" s="85"/>
      <c r="M555" s="85"/>
      <c r="N555" s="85"/>
      <c r="O555" s="85"/>
      <c r="P555" s="85"/>
      <c r="Q555" s="85"/>
      <c r="R555" s="85"/>
    </row>
    <row r="556" customFormat="false" ht="15" hidden="false" customHeight="false" outlineLevel="0" collapsed="false">
      <c r="F556" s="99" t="n">
        <f aca="false">G556/H556</f>
        <v>2.28531644089427E-010</v>
      </c>
      <c r="G556" s="52" t="n">
        <f aca="false">G555*(1-$O$1)</f>
        <v>0.00246796897307935</v>
      </c>
      <c r="H556" s="15" t="n">
        <f aca="false">I556/G556</f>
        <v>10799243.9423995</v>
      </c>
      <c r="I556" s="0" t="n">
        <f aca="false">I555</f>
        <v>26652.1989825572</v>
      </c>
      <c r="J556" s="85"/>
      <c r="K556" s="85"/>
      <c r="L556" s="85"/>
      <c r="M556" s="85"/>
      <c r="N556" s="85"/>
      <c r="O556" s="85"/>
      <c r="P556" s="85"/>
      <c r="Q556" s="85"/>
      <c r="R556" s="85"/>
    </row>
    <row r="557" customFormat="false" ht="15" hidden="false" customHeight="false" outlineLevel="0" collapsed="false">
      <c r="F557" s="99" t="n">
        <f aca="false">G557/H557</f>
        <v>2.19481790983486E-010</v>
      </c>
      <c r="G557" s="52" t="n">
        <f aca="false">G556*(1-$O$1)</f>
        <v>0.00241860959361777</v>
      </c>
      <c r="H557" s="15" t="n">
        <f aca="false">I557/G557</f>
        <v>11019636.6759179</v>
      </c>
      <c r="I557" s="0" t="n">
        <f aca="false">I556</f>
        <v>26652.1989825572</v>
      </c>
      <c r="J557" s="85"/>
      <c r="K557" s="85"/>
      <c r="L557" s="85"/>
      <c r="M557" s="85"/>
      <c r="N557" s="85"/>
      <c r="O557" s="85"/>
      <c r="P557" s="85"/>
      <c r="Q557" s="85"/>
      <c r="R557" s="85"/>
    </row>
    <row r="558" customFormat="false" ht="15" hidden="false" customHeight="false" outlineLevel="0" collapsed="false">
      <c r="F558" s="99" t="n">
        <f aca="false">G558/H558</f>
        <v>2.1079031206054E-010</v>
      </c>
      <c r="G558" s="52" t="n">
        <f aca="false">G557*(1-$O$1)</f>
        <v>0.00237023740174541</v>
      </c>
      <c r="H558" s="15" t="n">
        <f aca="false">I558/G558</f>
        <v>11244527.2203244</v>
      </c>
      <c r="I558" s="0" t="n">
        <f aca="false">I557</f>
        <v>26652.1989825572</v>
      </c>
      <c r="J558" s="85"/>
      <c r="K558" s="85"/>
      <c r="L558" s="85"/>
      <c r="M558" s="85"/>
      <c r="N558" s="85"/>
      <c r="O558" s="85"/>
      <c r="P558" s="85"/>
      <c r="Q558" s="85"/>
      <c r="R558" s="85"/>
    </row>
    <row r="559" customFormat="false" ht="15" hidden="false" customHeight="false" outlineLevel="0" collapsed="false">
      <c r="F559" s="99" t="n">
        <f aca="false">G559/H559</f>
        <v>2.02443015702942E-010</v>
      </c>
      <c r="G559" s="52" t="n">
        <f aca="false">G558*(1-$O$1)</f>
        <v>0.0023228326537105</v>
      </c>
      <c r="H559" s="15" t="n">
        <f aca="false">I559/G559</f>
        <v>11474007.3676779</v>
      </c>
      <c r="I559" s="0" t="n">
        <f aca="false">I558</f>
        <v>26652.1989825572</v>
      </c>
      <c r="J559" s="85"/>
      <c r="K559" s="85"/>
      <c r="L559" s="85"/>
      <c r="M559" s="85"/>
      <c r="N559" s="85"/>
      <c r="O559" s="85"/>
      <c r="P559" s="85"/>
      <c r="Q559" s="85"/>
      <c r="R559" s="85"/>
    </row>
    <row r="560" customFormat="false" ht="15" hidden="false" customHeight="false" outlineLevel="0" collapsed="false">
      <c r="F560" s="99" t="n">
        <f aca="false">G560/H560</f>
        <v>1.94426272281106E-010</v>
      </c>
      <c r="G560" s="52" t="n">
        <f aca="false">G559*(1-$O$1)</f>
        <v>0.00227637600063629</v>
      </c>
      <c r="H560" s="15" t="n">
        <f aca="false">I560/G560</f>
        <v>11708170.7833448</v>
      </c>
      <c r="I560" s="0" t="n">
        <f aca="false">I559</f>
        <v>26652.1989825572</v>
      </c>
      <c r="J560" s="85"/>
      <c r="K560" s="85"/>
      <c r="L560" s="85"/>
      <c r="M560" s="85"/>
      <c r="N560" s="85"/>
      <c r="O560" s="85"/>
      <c r="P560" s="85"/>
      <c r="Q560" s="85"/>
      <c r="R560" s="85"/>
    </row>
    <row r="561" customFormat="false" ht="15" hidden="false" customHeight="false" outlineLevel="0" collapsed="false">
      <c r="F561" s="99" t="n">
        <f aca="false">G561/H561</f>
        <v>1.86726991898774E-010</v>
      </c>
      <c r="G561" s="52" t="n">
        <f aca="false">G560*(1-$O$1)</f>
        <v>0.00223084848062357</v>
      </c>
      <c r="H561" s="15" t="n">
        <f aca="false">I561/G561</f>
        <v>11947113.0442294</v>
      </c>
      <c r="I561" s="0" t="n">
        <f aca="false">I560</f>
        <v>26652.1989825572</v>
      </c>
      <c r="J561" s="85"/>
      <c r="K561" s="85"/>
      <c r="L561" s="85"/>
      <c r="M561" s="85"/>
      <c r="N561" s="85"/>
      <c r="O561" s="85"/>
      <c r="P561" s="85"/>
      <c r="Q561" s="85"/>
      <c r="R561" s="85"/>
    </row>
    <row r="562" customFormat="false" ht="15" hidden="false" customHeight="false" outlineLevel="0" collapsed="false">
      <c r="F562" s="99" t="n">
        <f aca="false">G562/H562</f>
        <v>1.79332603019583E-010</v>
      </c>
      <c r="G562" s="52" t="n">
        <f aca="false">G561*(1-$O$1)</f>
        <v>0.00218623151101109</v>
      </c>
      <c r="H562" s="15" t="n">
        <f aca="false">I562/G562</f>
        <v>12190931.6777851</v>
      </c>
      <c r="I562" s="0" t="n">
        <f aca="false">I561</f>
        <v>26652.1989825572</v>
      </c>
      <c r="J562" s="85"/>
      <c r="K562" s="85"/>
      <c r="L562" s="85"/>
      <c r="M562" s="85"/>
      <c r="N562" s="85"/>
      <c r="O562" s="85"/>
      <c r="P562" s="85"/>
      <c r="Q562" s="85"/>
      <c r="R562" s="85"/>
    </row>
    <row r="563" customFormat="false" ht="15" hidden="false" customHeight="false" outlineLevel="0" collapsed="false">
      <c r="F563" s="99" t="n">
        <f aca="false">G563/H563</f>
        <v>1.72231031940007E-010</v>
      </c>
      <c r="G563" s="52" t="n">
        <f aca="false">G562*(1-$O$1)</f>
        <v>0.00214250688079087</v>
      </c>
      <c r="H563" s="15" t="n">
        <f aca="false">I563/G563</f>
        <v>12439726.2018216</v>
      </c>
      <c r="I563" s="0" t="n">
        <f aca="false">I562</f>
        <v>26652.1989825572</v>
      </c>
      <c r="J563" s="85"/>
      <c r="K563" s="85"/>
      <c r="L563" s="85"/>
      <c r="M563" s="85"/>
      <c r="N563" s="85"/>
      <c r="O563" s="85"/>
      <c r="P563" s="85"/>
      <c r="Q563" s="85"/>
      <c r="R563" s="85"/>
    </row>
    <row r="564" customFormat="false" ht="15" hidden="false" customHeight="false" outlineLevel="0" collapsed="false">
      <c r="F564" s="99" t="n">
        <f aca="false">G564/H564</f>
        <v>1.65410683075183E-010</v>
      </c>
      <c r="G564" s="52" t="n">
        <f aca="false">G563*(1-$O$1)</f>
        <v>0.00209965674317505</v>
      </c>
      <c r="H564" s="15" t="n">
        <f aca="false">I564/G564</f>
        <v>12693598.165124</v>
      </c>
      <c r="I564" s="0" t="n">
        <f aca="false">I563</f>
        <v>26652.1989825572</v>
      </c>
      <c r="J564" s="85"/>
      <c r="K564" s="85"/>
      <c r="L564" s="85"/>
      <c r="M564" s="85"/>
      <c r="N564" s="85"/>
      <c r="O564" s="85"/>
      <c r="P564" s="85"/>
      <c r="Q564" s="85"/>
      <c r="R564" s="85"/>
    </row>
    <row r="565" customFormat="false" ht="15" hidden="false" customHeight="false" outlineLevel="0" collapsed="false">
      <c r="F565" s="99" t="n">
        <f aca="false">G565/H565</f>
        <v>1.58860420025406E-010</v>
      </c>
      <c r="G565" s="52" t="n">
        <f aca="false">G564*(1-$O$1)</f>
        <v>0.00205766360831155</v>
      </c>
      <c r="H565" s="15" t="n">
        <f aca="false">I565/G565</f>
        <v>12952651.1889021</v>
      </c>
      <c r="I565" s="0" t="n">
        <f aca="false">I564</f>
        <v>26652.1989825572</v>
      </c>
      <c r="J565" s="85"/>
      <c r="K565" s="85"/>
      <c r="L565" s="85"/>
      <c r="M565" s="85"/>
      <c r="N565" s="85"/>
      <c r="O565" s="85"/>
      <c r="P565" s="85"/>
      <c r="Q565" s="85"/>
      <c r="R565" s="85"/>
    </row>
    <row r="566" customFormat="false" ht="15" hidden="false" customHeight="false" outlineLevel="0" collapsed="false">
      <c r="F566" s="99" t="n">
        <f aca="false">G566/H566</f>
        <v>1.52569547392399E-010</v>
      </c>
      <c r="G566" s="52" t="n">
        <f aca="false">G565*(1-$O$1)</f>
        <v>0.00201651033614532</v>
      </c>
      <c r="H566" s="15" t="n">
        <f aca="false">I566/G566</f>
        <v>13216991.0090838</v>
      </c>
      <c r="I566" s="0" t="n">
        <f aca="false">I565</f>
        <v>26652.1989825572</v>
      </c>
      <c r="J566" s="85"/>
      <c r="K566" s="85"/>
      <c r="L566" s="85"/>
      <c r="M566" s="85"/>
      <c r="N566" s="85"/>
      <c r="O566" s="85"/>
      <c r="P566" s="85"/>
      <c r="Q566" s="85"/>
      <c r="R566" s="85"/>
    </row>
    <row r="567" customFormat="false" ht="15" hidden="false" customHeight="false" outlineLevel="0" collapsed="false">
      <c r="F567" s="99" t="n">
        <f aca="false">G567/H567</f>
        <v>1.4652779331566E-010</v>
      </c>
      <c r="G567" s="52" t="n">
        <f aca="false">G566*(1-$O$1)</f>
        <v>0.00197618012942242</v>
      </c>
      <c r="H567" s="15" t="n">
        <f aca="false">I567/G567</f>
        <v>13486725.5194732</v>
      </c>
      <c r="I567" s="0" t="n">
        <f aca="false">I566</f>
        <v>26652.1989825572</v>
      </c>
      <c r="J567" s="85"/>
      <c r="K567" s="85"/>
      <c r="L567" s="85"/>
      <c r="M567" s="85"/>
      <c r="N567" s="85"/>
      <c r="O567" s="85"/>
      <c r="P567" s="85"/>
      <c r="Q567" s="85"/>
      <c r="R567" s="85"/>
    </row>
    <row r="568" customFormat="false" ht="15" hidden="false" customHeight="false" outlineLevel="0" collapsed="false">
      <c r="F568" s="99" t="n">
        <f aca="false">G568/H568</f>
        <v>1.4072529270036E-010</v>
      </c>
      <c r="G568" s="52" t="n">
        <f aca="false">G567*(1-$O$1)</f>
        <v>0.00193665652683397</v>
      </c>
      <c r="H568" s="15" t="n">
        <f aca="false">I568/G568</f>
        <v>13761964.815789</v>
      </c>
      <c r="I568" s="0" t="n">
        <f aca="false">I567</f>
        <v>26652.1989825572</v>
      </c>
      <c r="J568" s="85"/>
      <c r="K568" s="85"/>
      <c r="L568" s="85"/>
      <c r="M568" s="85"/>
      <c r="N568" s="85"/>
      <c r="O568" s="85"/>
      <c r="P568" s="85"/>
      <c r="Q568" s="85"/>
      <c r="R568" s="85"/>
    </row>
    <row r="569" customFormat="false" ht="15" hidden="false" customHeight="false" outlineLevel="0" collapsed="false">
      <c r="F569" s="99" t="n">
        <f aca="false">G569/H569</f>
        <v>1.35152571109426E-010</v>
      </c>
      <c r="G569" s="52" t="n">
        <f aca="false">G568*(1-$O$1)</f>
        <v>0.00189792339629729</v>
      </c>
      <c r="H569" s="15" t="n">
        <f aca="false">I569/G569</f>
        <v>14042821.240601</v>
      </c>
      <c r="I569" s="0" t="n">
        <f aca="false">I568</f>
        <v>26652.1989825572</v>
      </c>
      <c r="J569" s="85"/>
      <c r="K569" s="85"/>
      <c r="L569" s="85"/>
      <c r="M569" s="85"/>
      <c r="N569" s="85"/>
      <c r="O569" s="85"/>
      <c r="P569" s="85"/>
      <c r="Q569" s="85"/>
      <c r="R569" s="85"/>
    </row>
    <row r="570" customFormat="false" ht="15" hidden="false" customHeight="false" outlineLevel="0" collapsed="false">
      <c r="F570" s="99" t="n">
        <f aca="false">G570/H570</f>
        <v>1.29800529293493E-010</v>
      </c>
      <c r="G570" s="52" t="n">
        <f aca="false">G569*(1-$O$1)</f>
        <v>0.00185996492837134</v>
      </c>
      <c r="H570" s="15" t="n">
        <f aca="false">I570/G570</f>
        <v>14329409.4291847</v>
      </c>
      <c r="I570" s="0" t="n">
        <f aca="false">I569</f>
        <v>26652.1989825572</v>
      </c>
      <c r="J570" s="85"/>
      <c r="K570" s="85"/>
      <c r="L570" s="85"/>
      <c r="M570" s="85"/>
      <c r="N570" s="85"/>
      <c r="O570" s="85"/>
      <c r="P570" s="85"/>
      <c r="Q570" s="85"/>
      <c r="R570" s="85"/>
    </row>
    <row r="571" customFormat="false" ht="15" hidden="false" customHeight="false" outlineLevel="0" collapsed="false">
      <c r="F571" s="99" t="n">
        <f aca="false">G571/H571</f>
        <v>1.2466042833347E-010</v>
      </c>
      <c r="G571" s="52" t="n">
        <f aca="false">G570*(1-$O$1)</f>
        <v>0.00182276562980392</v>
      </c>
      <c r="H571" s="15" t="n">
        <f aca="false">I571/G571</f>
        <v>14621846.3563109</v>
      </c>
      <c r="I571" s="0" t="n">
        <f aca="false">I570</f>
        <v>26652.1989825572</v>
      </c>
      <c r="J571" s="85"/>
      <c r="K571" s="85"/>
      <c r="L571" s="85"/>
      <c r="M571" s="85"/>
      <c r="N571" s="85"/>
      <c r="O571" s="85"/>
      <c r="P571" s="85"/>
      <c r="Q571" s="85"/>
      <c r="R571" s="85"/>
    </row>
    <row r="572" customFormat="false" ht="15" hidden="false" customHeight="false" outlineLevel="0" collapsed="false">
      <c r="F572" s="99" t="n">
        <f aca="false">G572/H572</f>
        <v>1.19723875371465E-010</v>
      </c>
      <c r="G572" s="52" t="n">
        <f aca="false">G571*(1-$O$1)</f>
        <v>0.00178631031720784</v>
      </c>
      <c r="H572" s="15" t="n">
        <f aca="false">I572/G572</f>
        <v>14920251.3839908</v>
      </c>
      <c r="I572" s="0" t="n">
        <f aca="false">I571</f>
        <v>26652.1989825572</v>
      </c>
      <c r="J572" s="85"/>
      <c r="K572" s="85"/>
      <c r="L572" s="85"/>
      <c r="M572" s="85"/>
      <c r="N572" s="85"/>
      <c r="O572" s="85"/>
      <c r="P572" s="85"/>
      <c r="Q572" s="85"/>
      <c r="R572" s="85"/>
    </row>
    <row r="573" customFormat="false" ht="15" hidden="false" customHeight="false" outlineLevel="0" collapsed="false">
      <c r="F573" s="99" t="n">
        <f aca="false">G573/H573</f>
        <v>1.14982809906755E-010</v>
      </c>
      <c r="G573" s="52" t="n">
        <f aca="false">G572*(1-$O$1)</f>
        <v>0.00175058411086368</v>
      </c>
      <c r="H573" s="15" t="n">
        <f aca="false">I573/G573</f>
        <v>15224746.3101946</v>
      </c>
      <c r="I573" s="0" t="n">
        <f aca="false">I572</f>
        <v>26652.1989825572</v>
      </c>
      <c r="J573" s="85"/>
      <c r="K573" s="85"/>
      <c r="L573" s="85"/>
      <c r="M573" s="85"/>
      <c r="N573" s="85"/>
      <c r="O573" s="85"/>
      <c r="P573" s="85"/>
      <c r="Q573" s="85"/>
      <c r="R573" s="85"/>
    </row>
    <row r="574" customFormat="false" ht="15" hidden="false" customHeight="false" outlineLevel="0" collapsed="false">
      <c r="F574" s="99" t="n">
        <f aca="false">G574/H574</f>
        <v>1.10429490634447E-010</v>
      </c>
      <c r="G574" s="52" t="n">
        <f aca="false">G573*(1-$O$1)</f>
        <v>0.00171557242864641</v>
      </c>
      <c r="H574" s="15" t="n">
        <f aca="false">I574/G574</f>
        <v>15535455.418566</v>
      </c>
      <c r="I574" s="0" t="n">
        <f aca="false">I573</f>
        <v>26652.1989825572</v>
      </c>
      <c r="J574" s="85"/>
      <c r="K574" s="85"/>
      <c r="L574" s="85"/>
      <c r="M574" s="85"/>
      <c r="N574" s="85"/>
      <c r="O574" s="85"/>
      <c r="P574" s="85"/>
      <c r="Q574" s="85"/>
      <c r="R574" s="85"/>
    </row>
    <row r="575" customFormat="false" ht="15" hidden="false" customHeight="false" outlineLevel="0" collapsed="false">
      <c r="F575" s="99" t="n">
        <f aca="false">G575/H575</f>
        <v>1.06056482805323E-010</v>
      </c>
      <c r="G575" s="52" t="n">
        <f aca="false">G574*(1-$O$1)</f>
        <v>0.00168126098007348</v>
      </c>
      <c r="H575" s="15" t="n">
        <f aca="false">I575/G575</f>
        <v>15852505.529149</v>
      </c>
      <c r="I575" s="0" t="n">
        <f aca="false">I574</f>
        <v>26652.1989825572</v>
      </c>
      <c r="J575" s="85"/>
      <c r="K575" s="85"/>
      <c r="L575" s="85"/>
      <c r="M575" s="85"/>
      <c r="N575" s="85"/>
      <c r="O575" s="85"/>
      <c r="P575" s="85"/>
      <c r="Q575" s="85"/>
      <c r="R575" s="85"/>
    </row>
    <row r="576" customFormat="false" ht="15" hidden="false" customHeight="false" outlineLevel="0" collapsed="false">
      <c r="F576" s="99" t="n">
        <f aca="false">G576/H576</f>
        <v>1.01856646086233E-010</v>
      </c>
      <c r="G576" s="52" t="n">
        <f aca="false">G575*(1-$O$1)</f>
        <v>0.00164763576047201</v>
      </c>
      <c r="H576" s="15" t="n">
        <f aca="false">I576/G576</f>
        <v>16176026.050152</v>
      </c>
      <c r="I576" s="0" t="n">
        <f aca="false">I575</f>
        <v>26652.1989825572</v>
      </c>
      <c r="J576" s="85"/>
      <c r="K576" s="85"/>
      <c r="L576" s="85"/>
      <c r="M576" s="85"/>
      <c r="N576" s="85"/>
      <c r="O576" s="85"/>
      <c r="P576" s="85"/>
      <c r="Q576" s="85"/>
      <c r="R576" s="85"/>
    </row>
    <row r="577" customFormat="false" ht="15" hidden="false" customHeight="false" outlineLevel="0" collapsed="false">
      <c r="F577" s="99" t="n">
        <f aca="false">G577/H577</f>
        <v>9.78231229012177E-011</v>
      </c>
      <c r="G577" s="52" t="n">
        <f aca="false">G576*(1-$O$1)</f>
        <v>0.00161468304526257</v>
      </c>
      <c r="H577" s="15" t="n">
        <f aca="false">I577/G577</f>
        <v>16506149.0307673</v>
      </c>
      <c r="I577" s="0" t="n">
        <f aca="false">I576</f>
        <v>26652.1989825572</v>
      </c>
      <c r="J577" s="85"/>
      <c r="K577" s="85"/>
      <c r="L577" s="85"/>
      <c r="M577" s="85"/>
      <c r="N577" s="85"/>
      <c r="O577" s="85"/>
      <c r="P577" s="85"/>
      <c r="Q577" s="85"/>
      <c r="R577" s="85"/>
    </row>
    <row r="578" customFormat="false" ht="15" hidden="false" customHeight="false" outlineLevel="0" collapsed="false">
      <c r="F578" s="99" t="n">
        <f aca="false">G578/H578</f>
        <v>9.39493272343295E-011</v>
      </c>
      <c r="G578" s="52" t="n">
        <f aca="false">G577*(1-$O$1)</f>
        <v>0.00158238938435732</v>
      </c>
      <c r="H578" s="15" t="n">
        <f aca="false">I578/G578</f>
        <v>16843009.2150687</v>
      </c>
      <c r="I578" s="0" t="n">
        <f aca="false">I577</f>
        <v>26652.1989825572</v>
      </c>
      <c r="J578" s="85"/>
      <c r="K578" s="85"/>
      <c r="L578" s="85"/>
      <c r="M578" s="85"/>
      <c r="N578" s="85"/>
      <c r="O578" s="85"/>
      <c r="P578" s="85"/>
      <c r="Q578" s="85"/>
      <c r="R578" s="85"/>
    </row>
    <row r="579" customFormat="false" ht="15" hidden="false" customHeight="false" outlineLevel="0" collapsed="false">
      <c r="F579" s="99" t="n">
        <f aca="false">G579/H579</f>
        <v>9.022893387585E-011</v>
      </c>
      <c r="G579" s="52" t="n">
        <f aca="false">G578*(1-$O$1)</f>
        <v>0.00155074159667017</v>
      </c>
      <c r="H579" s="15" t="n">
        <f aca="false">I579/G579</f>
        <v>17186744.0970089</v>
      </c>
      <c r="I579" s="0" t="n">
        <f aca="false">I578</f>
        <v>26652.1989825572</v>
      </c>
      <c r="J579" s="85"/>
      <c r="K579" s="85"/>
      <c r="L579" s="85"/>
      <c r="M579" s="85"/>
      <c r="N579" s="85"/>
      <c r="O579" s="85"/>
      <c r="P579" s="85"/>
      <c r="Q579" s="85"/>
      <c r="R579" s="85"/>
    </row>
    <row r="580" customFormat="false" ht="15" hidden="false" customHeight="false" outlineLevel="0" collapsed="false">
      <c r="F580" s="99" t="n">
        <f aca="false">G580/H580</f>
        <v>8.66558680943664E-011</v>
      </c>
      <c r="G580" s="52" t="n">
        <f aca="false">G579*(1-$O$1)</f>
        <v>0.00151972676473677</v>
      </c>
      <c r="H580" s="15" t="n">
        <f aca="false">I580/G580</f>
        <v>17537493.9765397</v>
      </c>
      <c r="I580" s="0" t="n">
        <f aca="false">I579</f>
        <v>26652.1989825572</v>
      </c>
      <c r="J580" s="85"/>
      <c r="K580" s="85"/>
      <c r="L580" s="85"/>
      <c r="M580" s="85"/>
      <c r="N580" s="85"/>
      <c r="O580" s="85"/>
      <c r="P580" s="85"/>
      <c r="Q580" s="85"/>
      <c r="R580" s="85"/>
    </row>
    <row r="581" customFormat="false" ht="15" hidden="false" customHeight="false" outlineLevel="0" collapsed="false">
      <c r="F581" s="99" t="n">
        <f aca="false">G581/H581</f>
        <v>8.32242957178295E-011</v>
      </c>
      <c r="G581" s="52" t="n">
        <f aca="false">G580*(1-$O$1)</f>
        <v>0.00148933222944203</v>
      </c>
      <c r="H581" s="15" t="n">
        <f aca="false">I581/G581</f>
        <v>17895402.0168772</v>
      </c>
      <c r="I581" s="0" t="n">
        <f aca="false">I580</f>
        <v>26652.1989825572</v>
      </c>
      <c r="J581" s="85"/>
      <c r="K581" s="85"/>
      <c r="L581" s="85"/>
      <c r="M581" s="85"/>
      <c r="N581" s="85"/>
      <c r="O581" s="85"/>
      <c r="P581" s="85"/>
      <c r="Q581" s="85"/>
      <c r="R581" s="85"/>
    </row>
    <row r="582" customFormat="false" ht="15" hidden="false" customHeight="false" outlineLevel="0" collapsed="false">
      <c r="F582" s="99" t="n">
        <f aca="false">G582/H582</f>
        <v>7.99286136074034E-011</v>
      </c>
      <c r="G582" s="52" t="n">
        <f aca="false">G581*(1-$O$1)</f>
        <v>0.00145954558485319</v>
      </c>
      <c r="H582" s="15" t="n">
        <f aca="false">I582/G582</f>
        <v>18260614.3029359</v>
      </c>
      <c r="I582" s="0" t="n">
        <f aca="false">I581</f>
        <v>26652.1989825572</v>
      </c>
      <c r="J582" s="85"/>
      <c r="K582" s="85"/>
      <c r="L582" s="85"/>
      <c r="M582" s="85"/>
      <c r="N582" s="85"/>
      <c r="O582" s="85"/>
      <c r="P582" s="85"/>
      <c r="Q582" s="85"/>
      <c r="R582" s="85"/>
    </row>
    <row r="583" customFormat="false" ht="15" hidden="false" customHeight="false" outlineLevel="0" collapsed="false">
      <c r="F583" s="99" t="n">
        <f aca="false">G583/H583</f>
        <v>7.67634405085502E-011</v>
      </c>
      <c r="G583" s="52" t="n">
        <f aca="false">G582*(1-$O$1)</f>
        <v>0.00143035467315613</v>
      </c>
      <c r="H583" s="15" t="n">
        <f aca="false">I583/G583</f>
        <v>18633279.900955</v>
      </c>
      <c r="I583" s="0" t="n">
        <f aca="false">I582</f>
        <v>26652.1989825572</v>
      </c>
      <c r="J583" s="85"/>
      <c r="K583" s="85"/>
      <c r="L583" s="85"/>
      <c r="M583" s="85"/>
      <c r="N583" s="85"/>
      <c r="O583" s="85"/>
      <c r="P583" s="85"/>
      <c r="Q583" s="85"/>
      <c r="R583" s="85"/>
    </row>
    <row r="584" customFormat="false" ht="15" hidden="false" customHeight="false" outlineLevel="0" collapsed="false">
      <c r="F584" s="99" t="n">
        <f aca="false">G584/H584</f>
        <v>7.37236082644117E-011</v>
      </c>
      <c r="G584" s="52" t="n">
        <f aca="false">G583*(1-$O$1)</f>
        <v>0.00140174757969301</v>
      </c>
      <c r="H584" s="15" t="n">
        <f aca="false">I584/G584</f>
        <v>19013550.9193419</v>
      </c>
      <c r="I584" s="0" t="n">
        <f aca="false">I583</f>
        <v>26652.1989825572</v>
      </c>
      <c r="J584" s="85"/>
      <c r="K584" s="85"/>
      <c r="L584" s="85"/>
      <c r="M584" s="85"/>
      <c r="N584" s="85"/>
      <c r="O584" s="85"/>
      <c r="P584" s="85"/>
      <c r="Q584" s="85"/>
      <c r="R584" s="85"/>
    </row>
    <row r="585" customFormat="false" ht="15" hidden="false" customHeight="false" outlineLevel="0" collapsed="false">
      <c r="F585" s="99" t="n">
        <f aca="false">G585/H585</f>
        <v>7.0804153377141E-011</v>
      </c>
      <c r="G585" s="52" t="n">
        <f aca="false">G584*(1-$O$1)</f>
        <v>0.00137371262809915</v>
      </c>
      <c r="H585" s="15" t="n">
        <f aca="false">I585/G585</f>
        <v>19401582.570757</v>
      </c>
      <c r="I585" s="0" t="n">
        <f aca="false">I584</f>
        <v>26652.1989825572</v>
      </c>
      <c r="J585" s="85"/>
      <c r="K585" s="85"/>
      <c r="L585" s="85"/>
      <c r="M585" s="85"/>
      <c r="N585" s="85"/>
      <c r="O585" s="85"/>
      <c r="P585" s="85"/>
      <c r="Q585" s="85"/>
      <c r="R585" s="85"/>
    </row>
    <row r="586" customFormat="false" ht="15" hidden="false" customHeight="false" outlineLevel="0" collapsed="false">
      <c r="F586" s="99" t="n">
        <f aca="false">G586/H586</f>
        <v>6.80003089034062E-011</v>
      </c>
      <c r="G586" s="52" t="n">
        <f aca="false">G585*(1-$O$1)</f>
        <v>0.00134623837553716</v>
      </c>
      <c r="H586" s="15" t="n">
        <f aca="false">I586/G586</f>
        <v>19797533.2354663</v>
      </c>
      <c r="I586" s="0" t="n">
        <f aca="false">I585</f>
        <v>26652.1989825572</v>
      </c>
      <c r="J586" s="85"/>
      <c r="K586" s="85"/>
      <c r="L586" s="85"/>
      <c r="M586" s="85"/>
      <c r="N586" s="85"/>
      <c r="O586" s="85"/>
      <c r="P586" s="85"/>
      <c r="Q586" s="85"/>
      <c r="R586" s="85"/>
    </row>
    <row r="587" customFormat="false" ht="15" hidden="false" customHeight="false" outlineLevel="0" collapsed="false">
      <c r="F587" s="99" t="n">
        <f aca="false">G587/H587</f>
        <v>6.53074966708313E-011</v>
      </c>
      <c r="G587" s="52" t="n">
        <f aca="false">G586*(1-$O$1)</f>
        <v>0.00131931360802642</v>
      </c>
      <c r="H587" s="15" t="n">
        <f aca="false">I587/G587</f>
        <v>20201564.5259861</v>
      </c>
      <c r="I587" s="0" t="n">
        <f aca="false">I586</f>
        <v>26652.1989825572</v>
      </c>
      <c r="J587" s="85"/>
      <c r="K587" s="85"/>
      <c r="L587" s="85"/>
      <c r="M587" s="85"/>
      <c r="N587" s="85"/>
      <c r="O587" s="85"/>
      <c r="P587" s="85"/>
      <c r="Q587" s="85"/>
      <c r="R587" s="85"/>
    </row>
    <row r="588" customFormat="false" ht="15" hidden="false" customHeight="false" outlineLevel="0" collapsed="false">
      <c r="F588" s="99" t="n">
        <f aca="false">G588/H588</f>
        <v>6.27213198026664E-011</v>
      </c>
      <c r="G588" s="52" t="n">
        <f aca="false">G587*(1-$O$1)</f>
        <v>0.00129292733586589</v>
      </c>
      <c r="H588" s="15" t="n">
        <f aca="false">I588/G588</f>
        <v>20613841.353047</v>
      </c>
      <c r="I588" s="0" t="n">
        <f aca="false">I587</f>
        <v>26652.1989825572</v>
      </c>
      <c r="J588" s="85"/>
      <c r="K588" s="85"/>
      <c r="L588" s="85"/>
      <c r="M588" s="85"/>
      <c r="N588" s="85"/>
      <c r="O588" s="85"/>
      <c r="P588" s="85"/>
      <c r="Q588" s="85"/>
      <c r="R588" s="85"/>
    </row>
    <row r="589" customFormat="false" ht="15" hidden="false" customHeight="false" outlineLevel="0" collapsed="false">
      <c r="F589" s="99" t="n">
        <f aca="false">G589/H589</f>
        <v>6.02375555384808E-011</v>
      </c>
      <c r="G589" s="52" t="n">
        <f aca="false">G588*(1-$O$1)</f>
        <v>0.00126706878914857</v>
      </c>
      <c r="H589" s="15" t="n">
        <f aca="false">I589/G589</f>
        <v>21034531.9929051</v>
      </c>
      <c r="I589" s="0" t="n">
        <f aca="false">I588</f>
        <v>26652.1989825572</v>
      </c>
      <c r="J589" s="85"/>
      <c r="K589" s="85"/>
      <c r="L589" s="85"/>
      <c r="M589" s="85"/>
      <c r="N589" s="85"/>
      <c r="O589" s="85"/>
      <c r="P589" s="85"/>
      <c r="Q589" s="85"/>
      <c r="R589" s="85"/>
    </row>
    <row r="590" customFormat="false" ht="15" hidden="false" customHeight="false" outlineLevel="0" collapsed="false">
      <c r="F590" s="99" t="n">
        <f aca="false">G590/H590</f>
        <v>5.78521483391569E-011</v>
      </c>
      <c r="G590" s="52" t="n">
        <f aca="false">G589*(1-$O$1)</f>
        <v>0.0012417274133656</v>
      </c>
      <c r="H590" s="15" t="n">
        <f aca="false">I590/G590</f>
        <v>21463808.1560256</v>
      </c>
      <c r="I590" s="0" t="n">
        <f aca="false">I589</f>
        <v>26652.1989825572</v>
      </c>
      <c r="J590" s="85"/>
      <c r="K590" s="85"/>
      <c r="L590" s="85"/>
      <c r="M590" s="85"/>
      <c r="N590" s="85"/>
      <c r="O590" s="85"/>
      <c r="P590" s="85"/>
      <c r="Q590" s="85"/>
      <c r="R590" s="85"/>
    </row>
    <row r="591" customFormat="false" ht="15" hidden="false" customHeight="false" outlineLevel="0" collapsed="false">
      <c r="F591" s="99" t="n">
        <f aca="false">G591/H591</f>
        <v>5.55612032649263E-011</v>
      </c>
      <c r="G591" s="52" t="n">
        <f aca="false">G590*(1-$O$1)</f>
        <v>0.00121689286509829</v>
      </c>
      <c r="H591" s="15" t="n">
        <f aca="false">I591/G591</f>
        <v>21901845.057169</v>
      </c>
      <c r="I591" s="0" t="n">
        <f aca="false">I590</f>
        <v>26652.1989825572</v>
      </c>
      <c r="J591" s="85"/>
      <c r="K591" s="85"/>
      <c r="L591" s="85"/>
      <c r="M591" s="85"/>
      <c r="N591" s="85"/>
      <c r="O591" s="85"/>
      <c r="P591" s="85"/>
      <c r="Q591" s="85"/>
      <c r="R591" s="85"/>
    </row>
    <row r="592" customFormat="false" ht="15" hidden="false" customHeight="false" outlineLevel="0" collapsed="false">
      <c r="F592" s="99" t="n">
        <f aca="false">G592/H592</f>
        <v>5.33609796156352E-011</v>
      </c>
      <c r="G592" s="52" t="n">
        <f aca="false">G591*(1-$O$1)</f>
        <v>0.00119255500779632</v>
      </c>
      <c r="H592" s="15" t="n">
        <f aca="false">I592/G592</f>
        <v>22348821.4869072</v>
      </c>
      <c r="I592" s="0" t="n">
        <f aca="false">I591</f>
        <v>26652.1989825572</v>
      </c>
      <c r="J592" s="85"/>
      <c r="K592" s="85"/>
      <c r="L592" s="85"/>
      <c r="M592" s="85"/>
      <c r="N592" s="85"/>
      <c r="O592" s="85"/>
      <c r="P592" s="85"/>
      <c r="Q592" s="85"/>
      <c r="R592" s="85"/>
    </row>
    <row r="593" customFormat="false" ht="15" hidden="false" customHeight="false" outlineLevel="0" collapsed="false">
      <c r="F593" s="99" t="n">
        <f aca="false">G593/H593</f>
        <v>5.12478848228561E-011</v>
      </c>
      <c r="G593" s="52" t="n">
        <f aca="false">G592*(1-$O$1)</f>
        <v>0.0011687039076404</v>
      </c>
      <c r="H593" s="15" t="n">
        <f aca="false">I593/G593</f>
        <v>22804919.8845991</v>
      </c>
      <c r="I593" s="0" t="n">
        <f aca="false">I592</f>
        <v>26652.1989825572</v>
      </c>
      <c r="J593" s="85"/>
      <c r="K593" s="85"/>
      <c r="L593" s="85"/>
      <c r="M593" s="85"/>
      <c r="N593" s="85"/>
      <c r="O593" s="85"/>
      <c r="P593" s="85"/>
      <c r="Q593" s="85"/>
      <c r="R593" s="85"/>
    </row>
    <row r="594" customFormat="false" ht="15" hidden="false" customHeight="false" outlineLevel="0" collapsed="false">
      <c r="F594" s="99" t="n">
        <f aca="false">G594/H594</f>
        <v>4.9218468583871E-011</v>
      </c>
      <c r="G594" s="52" t="n">
        <f aca="false">G593*(1-$O$1)</f>
        <v>0.00114532982948759</v>
      </c>
      <c r="H594" s="15" t="n">
        <f aca="false">I594/G594</f>
        <v>23270326.4128563</v>
      </c>
      <c r="I594" s="0" t="n">
        <f aca="false">I593</f>
        <v>26652.1989825572</v>
      </c>
      <c r="J594" s="85"/>
      <c r="K594" s="85"/>
      <c r="L594" s="85"/>
      <c r="M594" s="85"/>
      <c r="N594" s="85"/>
      <c r="O594" s="85"/>
      <c r="P594" s="85"/>
      <c r="Q594" s="85"/>
      <c r="R594" s="85"/>
    </row>
    <row r="595" customFormat="false" ht="15" hidden="false" customHeight="false" outlineLevel="0" collapsed="false">
      <c r="F595" s="99" t="n">
        <f aca="false">G595/H595</f>
        <v>4.72694172279497E-011</v>
      </c>
      <c r="G595" s="52" t="n">
        <f aca="false">G594*(1-$O$1)</f>
        <v>0.00112242323289784</v>
      </c>
      <c r="H595" s="15" t="n">
        <f aca="false">I595/G595</f>
        <v>23745231.0335268</v>
      </c>
      <c r="I595" s="0" t="n">
        <f aca="false">I594</f>
        <v>26652.1989825572</v>
      </c>
      <c r="J595" s="85"/>
      <c r="K595" s="85"/>
      <c r="L595" s="85"/>
      <c r="M595" s="85"/>
      <c r="N595" s="85"/>
      <c r="O595" s="85"/>
      <c r="P595" s="85"/>
      <c r="Q595" s="85"/>
      <c r="R595" s="85"/>
    </row>
    <row r="596" customFormat="false" ht="15" hidden="false" customHeight="false" outlineLevel="0" collapsed="false">
      <c r="F596" s="99" t="n">
        <f aca="false">G596/H596</f>
        <v>4.53975483057229E-011</v>
      </c>
      <c r="G596" s="52" t="n">
        <f aca="false">G595*(1-$O$1)</f>
        <v>0.00109997476823988</v>
      </c>
      <c r="H596" s="15" t="n">
        <f aca="false">I596/G596</f>
        <v>24229827.5852314</v>
      </c>
      <c r="I596" s="0" t="n">
        <f aca="false">I595</f>
        <v>26652.1989825572</v>
      </c>
      <c r="J596" s="85"/>
      <c r="K596" s="85"/>
      <c r="L596" s="85"/>
      <c r="M596" s="85"/>
      <c r="N596" s="85"/>
      <c r="O596" s="85"/>
      <c r="P596" s="85"/>
      <c r="Q596" s="85"/>
      <c r="R596" s="85"/>
    </row>
    <row r="597" customFormat="false" ht="15" hidden="false" customHeight="false" outlineLevel="0" collapsed="false">
      <c r="F597" s="99" t="n">
        <f aca="false">G597/H597</f>
        <v>4.35998053928162E-011</v>
      </c>
      <c r="G597" s="52" t="n">
        <f aca="false">G596*(1-$O$1)</f>
        <v>0.00107797527287508</v>
      </c>
      <c r="H597" s="15" t="n">
        <f aca="false">I597/G597</f>
        <v>24724313.8624811</v>
      </c>
      <c r="I597" s="0" t="n">
        <f aca="false">I596</f>
        <v>26652.1989825572</v>
      </c>
      <c r="J597" s="85"/>
      <c r="K597" s="85"/>
      <c r="L597" s="85"/>
      <c r="M597" s="85"/>
      <c r="N597" s="85"/>
      <c r="O597" s="85"/>
      <c r="P597" s="85"/>
      <c r="Q597" s="85"/>
      <c r="R597" s="85"/>
    </row>
    <row r="598" customFormat="false" ht="15" hidden="false" customHeight="false" outlineLevel="0" collapsed="false">
      <c r="F598" s="99" t="n">
        <f aca="false">G598/H598</f>
        <v>4.18732530992607E-011</v>
      </c>
      <c r="G598" s="52" t="n">
        <f aca="false">G597*(1-$O$1)</f>
        <v>0.00105641576741758</v>
      </c>
      <c r="H598" s="15" t="n">
        <f aca="false">I598/G598</f>
        <v>25228891.6964092</v>
      </c>
      <c r="I598" s="0" t="n">
        <f aca="false">I597</f>
        <v>26652.1989825572</v>
      </c>
      <c r="J598" s="85"/>
      <c r="K598" s="85"/>
      <c r="L598" s="85"/>
      <c r="M598" s="85"/>
      <c r="N598" s="85"/>
      <c r="O598" s="85"/>
      <c r="P598" s="85"/>
      <c r="Q598" s="85"/>
      <c r="R598" s="85"/>
    </row>
    <row r="599" customFormat="false" ht="15" hidden="false" customHeight="false" outlineLevel="0" collapsed="false">
      <c r="F599" s="99" t="n">
        <f aca="false">G599/H599</f>
        <v>4.021507227653E-011</v>
      </c>
      <c r="G599" s="52" t="n">
        <f aca="false">G598*(1-$O$1)</f>
        <v>0.00103528745206923</v>
      </c>
      <c r="H599" s="15" t="n">
        <f aca="false">I599/G599</f>
        <v>25743767.0371523</v>
      </c>
      <c r="I599" s="0" t="n">
        <f aca="false">I598</f>
        <v>26652.1989825572</v>
      </c>
      <c r="J599" s="85"/>
      <c r="K599" s="85"/>
      <c r="L599" s="85"/>
      <c r="M599" s="85"/>
      <c r="N599" s="85"/>
      <c r="O599" s="85"/>
      <c r="P599" s="85"/>
      <c r="Q599" s="85"/>
      <c r="R599" s="85"/>
    </row>
    <row r="600" customFormat="false" ht="15" hidden="false" customHeight="false" outlineLevel="0" collapsed="false">
      <c r="F600" s="99" t="n">
        <f aca="false">G600/H600</f>
        <v>3.86225554143794E-011</v>
      </c>
      <c r="G600" s="52" t="n">
        <f aca="false">G599*(1-$O$1)</f>
        <v>0.00101458170302784</v>
      </c>
      <c r="H600" s="15" t="n">
        <f aca="false">I600/G600</f>
        <v>26269150.0379105</v>
      </c>
      <c r="I600" s="0" t="n">
        <f aca="false">I599</f>
        <v>26652.1989825572</v>
      </c>
      <c r="J600" s="85"/>
      <c r="K600" s="85"/>
      <c r="L600" s="85"/>
      <c r="M600" s="85"/>
      <c r="N600" s="85"/>
      <c r="O600" s="85"/>
      <c r="P600" s="85"/>
      <c r="Q600" s="85"/>
      <c r="R600" s="85"/>
    </row>
    <row r="601" customFormat="false" ht="15" hidden="false" customHeight="false" outlineLevel="0" collapsed="false">
      <c r="F601" s="99" t="n">
        <f aca="false">G601/H601</f>
        <v>3.709310221997E-011</v>
      </c>
      <c r="G601" s="52" t="n">
        <f aca="false">G600*(1-$O$1)</f>
        <v>0.000994290068967288</v>
      </c>
      <c r="H601" s="15" t="n">
        <f aca="false">I601/G601</f>
        <v>26805255.140725</v>
      </c>
      <c r="I601" s="0" t="n">
        <f aca="false">I600</f>
        <v>26652.1989825572</v>
      </c>
      <c r="J601" s="85"/>
      <c r="K601" s="85"/>
      <c r="L601" s="85"/>
      <c r="M601" s="85"/>
      <c r="N601" s="85"/>
      <c r="O601" s="85"/>
      <c r="P601" s="85"/>
      <c r="Q601" s="85"/>
      <c r="R601" s="85"/>
    </row>
    <row r="602" customFormat="false" ht="15" hidden="false" customHeight="false" outlineLevel="0" collapsed="false">
      <c r="F602" s="99" t="n">
        <f aca="false">G602/H602</f>
        <v>3.56242153720592E-011</v>
      </c>
      <c r="G602" s="52" t="n">
        <f aca="false">G601*(1-$O$1)</f>
        <v>0.000974404267587942</v>
      </c>
      <c r="H602" s="15" t="n">
        <f aca="false">I602/G602</f>
        <v>27352301.1640051</v>
      </c>
      <c r="I602" s="0" t="n">
        <f aca="false">I601</f>
        <v>26652.1989825572</v>
      </c>
      <c r="J602" s="85"/>
      <c r="K602" s="85"/>
      <c r="L602" s="85"/>
      <c r="M602" s="85"/>
      <c r="N602" s="85"/>
      <c r="O602" s="85"/>
      <c r="P602" s="85"/>
      <c r="Q602" s="85"/>
      <c r="R602" s="85"/>
    </row>
    <row r="603" customFormat="false" ht="15" hidden="false" customHeight="false" outlineLevel="0" collapsed="false">
      <c r="F603" s="99" t="n">
        <f aca="false">G603/H603</f>
        <v>3.42134964433256E-011</v>
      </c>
      <c r="G603" s="52" t="n">
        <f aca="false">G602*(1-$O$1)</f>
        <v>0.000954916182236183</v>
      </c>
      <c r="H603" s="15" t="n">
        <f aca="false">I603/G603</f>
        <v>27910511.3918419</v>
      </c>
      <c r="I603" s="0" t="n">
        <f aca="false">I602</f>
        <v>26652.1989825572</v>
      </c>
      <c r="J603" s="85"/>
      <c r="K603" s="85"/>
      <c r="L603" s="85"/>
      <c r="M603" s="85"/>
      <c r="N603" s="85"/>
      <c r="O603" s="85"/>
      <c r="P603" s="85"/>
      <c r="Q603" s="85"/>
      <c r="R603" s="85"/>
    </row>
    <row r="604" customFormat="false" ht="15" hidden="false" customHeight="false" outlineLevel="0" collapsed="false">
      <c r="F604" s="99" t="n">
        <f aca="false">G604/H604</f>
        <v>3.28586419841699E-011</v>
      </c>
      <c r="G604" s="52" t="n">
        <f aca="false">G603*(1-$O$1)</f>
        <v>0.000935817858591459</v>
      </c>
      <c r="H604" s="15" t="n">
        <f aca="false">I604/G604</f>
        <v>28480113.6651448</v>
      </c>
      <c r="I604" s="0" t="n">
        <f aca="false">I603</f>
        <v>26652.1989825572</v>
      </c>
      <c r="J604" s="85"/>
      <c r="K604" s="85"/>
      <c r="L604" s="85"/>
      <c r="M604" s="85"/>
      <c r="N604" s="85"/>
      <c r="O604" s="85"/>
      <c r="P604" s="85"/>
      <c r="Q604" s="85"/>
      <c r="R604" s="85"/>
    </row>
    <row r="605" customFormat="false" ht="15" hidden="false" customHeight="false" outlineLevel="0" collapsed="false">
      <c r="F605" s="99" t="n">
        <f aca="false">G605/H605</f>
        <v>3.15574397615968E-011</v>
      </c>
      <c r="G605" s="52" t="n">
        <f aca="false">G604*(1-$O$1)</f>
        <v>0.00091710150141963</v>
      </c>
      <c r="H605" s="15" t="n">
        <f aca="false">I605/G605</f>
        <v>29061340.4746376</v>
      </c>
      <c r="I605" s="0" t="n">
        <f aca="false">I604</f>
        <v>26652.1989825572</v>
      </c>
      <c r="J605" s="85"/>
      <c r="K605" s="85"/>
      <c r="L605" s="85"/>
      <c r="M605" s="85"/>
      <c r="N605" s="85"/>
      <c r="O605" s="85"/>
      <c r="P605" s="85"/>
      <c r="Q605" s="85"/>
      <c r="R605" s="85"/>
    </row>
    <row r="606" customFormat="false" ht="15" hidden="false" customHeight="false" outlineLevel="0" collapsed="false">
      <c r="F606" s="99" t="n">
        <f aca="false">G606/H606</f>
        <v>3.03077651470375E-011</v>
      </c>
      <c r="G606" s="52" t="n">
        <f aca="false">G605*(1-$O$1)</f>
        <v>0.000898759471391237</v>
      </c>
      <c r="H606" s="15" t="n">
        <f aca="false">I606/G606</f>
        <v>29654429.0557526</v>
      </c>
      <c r="I606" s="0" t="n">
        <f aca="false">I605</f>
        <v>26652.1989825572</v>
      </c>
      <c r="J606" s="85"/>
      <c r="K606" s="85"/>
      <c r="L606" s="85"/>
      <c r="M606" s="85"/>
      <c r="N606" s="85"/>
      <c r="O606" s="85"/>
      <c r="P606" s="85"/>
      <c r="Q606" s="85"/>
      <c r="R606" s="85"/>
    </row>
    <row r="607" customFormat="false" ht="15" hidden="false" customHeight="false" outlineLevel="0" collapsed="false">
      <c r="F607" s="99" t="n">
        <f aca="false">G607/H607</f>
        <v>2.91075776472149E-011</v>
      </c>
      <c r="G607" s="52" t="n">
        <f aca="false">G606*(1-$O$1)</f>
        <v>0.000880784281963413</v>
      </c>
      <c r="H607" s="15" t="n">
        <f aca="false">I607/G607</f>
        <v>30259621.4854619</v>
      </c>
      <c r="I607" s="0" t="n">
        <f aca="false">I606</f>
        <v>26652.1989825572</v>
      </c>
      <c r="J607" s="85"/>
      <c r="K607" s="85"/>
      <c r="L607" s="85"/>
      <c r="M607" s="85"/>
      <c r="N607" s="85"/>
      <c r="O607" s="85"/>
      <c r="P607" s="85"/>
      <c r="Q607" s="85"/>
      <c r="R607" s="85"/>
    </row>
    <row r="608" customFormat="false" ht="15" hidden="false" customHeight="false" outlineLevel="0" collapsed="false">
      <c r="F608" s="99" t="n">
        <f aca="false">G608/H608</f>
        <v>2.79549175723852E-011</v>
      </c>
      <c r="G608" s="52" t="n">
        <f aca="false">G607*(1-$O$1)</f>
        <v>0.000863168596324145</v>
      </c>
      <c r="H608" s="15" t="n">
        <f aca="false">I608/G608</f>
        <v>30877164.7810835</v>
      </c>
      <c r="I608" s="0" t="n">
        <f aca="false">I607</f>
        <v>26652.1989825572</v>
      </c>
      <c r="J608" s="85"/>
      <c r="K608" s="85"/>
      <c r="L608" s="85"/>
      <c r="M608" s="85"/>
      <c r="N608" s="85"/>
      <c r="O608" s="85"/>
      <c r="P608" s="85"/>
      <c r="Q608" s="85"/>
      <c r="R608" s="85"/>
    </row>
    <row r="609" customFormat="false" ht="15" hidden="false" customHeight="false" outlineLevel="0" collapsed="false">
      <c r="F609" s="99" t="n">
        <f aca="false">G609/H609</f>
        <v>2.68479028365187E-011</v>
      </c>
      <c r="G609" s="52" t="n">
        <f aca="false">G608*(1-$O$1)</f>
        <v>0.000845905224397662</v>
      </c>
      <c r="H609" s="15" t="n">
        <f aca="false">I609/G609</f>
        <v>31507311.0011057</v>
      </c>
      <c r="I609" s="0" t="n">
        <f aca="false">I608</f>
        <v>26652.1989825572</v>
      </c>
      <c r="J609" s="85"/>
      <c r="K609" s="85"/>
      <c r="L609" s="85"/>
      <c r="M609" s="85"/>
      <c r="N609" s="85"/>
      <c r="O609" s="85"/>
      <c r="P609" s="85"/>
      <c r="Q609" s="85"/>
      <c r="R609" s="85"/>
    </row>
    <row r="610" customFormat="false" ht="15" hidden="false" customHeight="false" outlineLevel="0" collapsed="false">
      <c r="F610" s="99" t="n">
        <f aca="false">G610/H610</f>
        <v>2.57847258841926E-011</v>
      </c>
      <c r="G610" s="52" t="n">
        <f aca="false">G609*(1-$O$1)</f>
        <v>0.000828987119909708</v>
      </c>
      <c r="H610" s="15" t="n">
        <f aca="false">I610/G610</f>
        <v>32150317.348067</v>
      </c>
      <c r="I610" s="0" t="n">
        <f aca="false">I609</f>
        <v>26652.1989825572</v>
      </c>
      <c r="J610" s="85"/>
      <c r="K610" s="85"/>
      <c r="L610" s="85"/>
      <c r="M610" s="85"/>
      <c r="N610" s="85"/>
      <c r="O610" s="85"/>
      <c r="P610" s="85"/>
      <c r="Q610" s="85"/>
      <c r="R610" s="85"/>
    </row>
    <row r="611" customFormat="false" ht="15" hidden="false" customHeight="false" outlineLevel="0" collapsed="false">
      <c r="F611" s="99" t="n">
        <f aca="false">G611/H611</f>
        <v>2.47636507391785E-011</v>
      </c>
      <c r="G611" s="52" t="n">
        <f aca="false">G610*(1-$O$1)</f>
        <v>0.000812407377511514</v>
      </c>
      <c r="H611" s="15" t="n">
        <f aca="false">I611/G611</f>
        <v>32806446.2735378</v>
      </c>
      <c r="I611" s="0" t="n">
        <f aca="false">I610</f>
        <v>26652.1989825572</v>
      </c>
      <c r="J611" s="85"/>
      <c r="K611" s="85"/>
      <c r="L611" s="85"/>
      <c r="M611" s="85"/>
      <c r="N611" s="85"/>
      <c r="O611" s="85"/>
      <c r="P611" s="85"/>
      <c r="Q611" s="85"/>
      <c r="R611" s="85"/>
    </row>
    <row r="612" customFormat="false" ht="15" hidden="false" customHeight="false" outlineLevel="0" collapsed="false">
      <c r="F612" s="99" t="n">
        <f aca="false">G612/H612</f>
        <v>2.37830101699071E-011</v>
      </c>
      <c r="G612" s="52" t="n">
        <f aca="false">G611*(1-$O$1)</f>
        <v>0.000796159229961284</v>
      </c>
      <c r="H612" s="15" t="n">
        <f aca="false">I612/G612</f>
        <v>33475965.5852426</v>
      </c>
      <c r="I612" s="0" t="n">
        <f aca="false">I611</f>
        <v>26652.1989825572</v>
      </c>
      <c r="J612" s="85"/>
      <c r="K612" s="85"/>
      <c r="L612" s="85"/>
      <c r="M612" s="85"/>
      <c r="N612" s="85"/>
      <c r="O612" s="85"/>
      <c r="P612" s="85"/>
      <c r="Q612" s="85"/>
      <c r="R612" s="85"/>
    </row>
    <row r="613" customFormat="false" ht="15" hidden="false" customHeight="false" outlineLevel="0" collapsed="false">
      <c r="F613" s="99" t="n">
        <f aca="false">G613/H613</f>
        <v>2.28412029671787E-011</v>
      </c>
      <c r="G613" s="52" t="n">
        <f aca="false">G612*(1-$O$1)</f>
        <v>0.000780236045362058</v>
      </c>
      <c r="H613" s="15" t="n">
        <f aca="false">I613/G613</f>
        <v>34159148.55637</v>
      </c>
      <c r="I613" s="0" t="n">
        <f aca="false">I612</f>
        <v>26652.1989825572</v>
      </c>
      <c r="J613" s="85"/>
      <c r="K613" s="85"/>
      <c r="L613" s="85"/>
      <c r="M613" s="85"/>
      <c r="N613" s="85"/>
      <c r="O613" s="85"/>
      <c r="P613" s="85"/>
      <c r="Q613" s="85"/>
      <c r="R613" s="85"/>
    </row>
    <row r="614" customFormat="false" ht="15" hidden="false" customHeight="false" outlineLevel="0" collapsed="false">
      <c r="F614" s="99" t="n">
        <f aca="false">G614/H614</f>
        <v>2.19366913296785E-011</v>
      </c>
      <c r="G614" s="52" t="n">
        <f aca="false">G613*(1-$O$1)</f>
        <v>0.000764631324454817</v>
      </c>
      <c r="H614" s="15" t="n">
        <f aca="false">I614/G614</f>
        <v>34856274.0371123</v>
      </c>
      <c r="I614" s="0" t="n">
        <f aca="false">I613</f>
        <v>26652.1989825572</v>
      </c>
      <c r="J614" s="85"/>
      <c r="K614" s="85"/>
      <c r="L614" s="85"/>
      <c r="M614" s="85"/>
      <c r="N614" s="85"/>
      <c r="O614" s="85"/>
      <c r="P614" s="85"/>
      <c r="Q614" s="85"/>
      <c r="R614" s="85"/>
    </row>
    <row r="615" customFormat="false" ht="15" hidden="false" customHeight="false" outlineLevel="0" collapsed="false">
      <c r="F615" s="99" t="n">
        <f aca="false">G615/H615</f>
        <v>2.10679983530232E-011</v>
      </c>
      <c r="G615" s="52" t="n">
        <f aca="false">G614*(1-$O$1)</f>
        <v>0.000749338697965721</v>
      </c>
      <c r="H615" s="15" t="n">
        <f aca="false">I615/G615</f>
        <v>35567626.5684819</v>
      </c>
      <c r="I615" s="0" t="n">
        <f aca="false">I614</f>
        <v>26652.1989825572</v>
      </c>
      <c r="J615" s="85"/>
      <c r="K615" s="85"/>
      <c r="L615" s="85"/>
      <c r="M615" s="85"/>
      <c r="N615" s="85"/>
      <c r="O615" s="85"/>
      <c r="P615" s="85"/>
      <c r="Q615" s="85"/>
      <c r="R615" s="85"/>
    </row>
    <row r="616" customFormat="false" ht="15" hidden="false" customHeight="false" outlineLevel="0" collapsed="false">
      <c r="F616" s="99" t="n">
        <f aca="false">G616/H616</f>
        <v>2.02337056182435E-011</v>
      </c>
      <c r="G616" s="52" t="n">
        <f aca="false">G615*(1-$O$1)</f>
        <v>0.000734351924006406</v>
      </c>
      <c r="H616" s="15" t="n">
        <f aca="false">I616/G616</f>
        <v>36293496.4984509</v>
      </c>
      <c r="I616" s="0" t="n">
        <f aca="false">I615</f>
        <v>26652.1989825572</v>
      </c>
      <c r="J616" s="85"/>
      <c r="K616" s="85"/>
      <c r="L616" s="85"/>
      <c r="M616" s="85"/>
      <c r="N616" s="85"/>
      <c r="O616" s="85"/>
      <c r="P616" s="85"/>
      <c r="Q616" s="85"/>
      <c r="R616" s="85"/>
    </row>
    <row r="617" customFormat="false" ht="15" hidden="false" customHeight="false" outlineLevel="0" collapsed="false">
      <c r="F617" s="99" t="n">
        <f aca="false">G617/H617</f>
        <v>1.9432450875761E-011</v>
      </c>
      <c r="G617" s="52" t="n">
        <f aca="false">G616*(1-$O$1)</f>
        <v>0.000719664885526278</v>
      </c>
      <c r="H617" s="15" t="n">
        <f aca="false">I617/G617</f>
        <v>37034180.1004601</v>
      </c>
      <c r="I617" s="0" t="n">
        <f aca="false">I616</f>
        <v>26652.1989825572</v>
      </c>
      <c r="J617" s="85"/>
      <c r="K617" s="85"/>
      <c r="L617" s="85"/>
      <c r="M617" s="85"/>
      <c r="N617" s="85"/>
      <c r="O617" s="85"/>
      <c r="P617" s="85"/>
      <c r="Q617" s="85"/>
      <c r="R617" s="85"/>
    </row>
    <row r="618" customFormat="false" ht="15" hidden="false" customHeight="false" outlineLevel="0" collapsed="false">
      <c r="F618" s="99" t="n">
        <f aca="false">G618/H618</f>
        <v>1.86629258210809E-011</v>
      </c>
      <c r="G618" s="52" t="n">
        <f aca="false">G617*(1-$O$1)</f>
        <v>0.000705271587815752</v>
      </c>
      <c r="H618" s="15" t="n">
        <f aca="false">I618/G618</f>
        <v>37789979.6943471</v>
      </c>
      <c r="I618" s="0" t="n">
        <f aca="false">I617</f>
        <v>26652.1989825572</v>
      </c>
      <c r="J618" s="85"/>
      <c r="K618" s="85"/>
      <c r="L618" s="85"/>
      <c r="M618" s="85"/>
      <c r="N618" s="85"/>
      <c r="O618" s="85"/>
      <c r="P618" s="85"/>
      <c r="Q618" s="85"/>
      <c r="R618" s="85"/>
    </row>
    <row r="619" customFormat="false" ht="15" hidden="false" customHeight="false" outlineLevel="0" collapsed="false">
      <c r="F619" s="99" t="n">
        <f aca="false">G619/H619</f>
        <v>1.79238739585661E-011</v>
      </c>
      <c r="G619" s="52" t="n">
        <f aca="false">G618*(1-$O$1)</f>
        <v>0.000691166156059437</v>
      </c>
      <c r="H619" s="15" t="n">
        <f aca="false">I619/G619</f>
        <v>38561203.7697419</v>
      </c>
      <c r="I619" s="0" t="n">
        <f aca="false">I618</f>
        <v>26652.1989825572</v>
      </c>
      <c r="J619" s="85"/>
      <c r="K619" s="85"/>
      <c r="L619" s="85"/>
      <c r="M619" s="85"/>
      <c r="N619" s="85"/>
      <c r="O619" s="85"/>
      <c r="P619" s="85"/>
      <c r="Q619" s="85"/>
      <c r="R619" s="85"/>
    </row>
    <row r="620" customFormat="false" ht="15" hidden="false" customHeight="false" outlineLevel="0" collapsed="false">
      <c r="F620" s="99" t="n">
        <f aca="false">G620/H620</f>
        <v>1.72140885498069E-011</v>
      </c>
      <c r="G620" s="52" t="n">
        <f aca="false">G619*(1-$O$1)</f>
        <v>0.000677342832938249</v>
      </c>
      <c r="H620" s="15" t="n">
        <f aca="false">I620/G620</f>
        <v>39348167.1119815</v>
      </c>
      <c r="I620" s="0" t="n">
        <f aca="false">I619</f>
        <v>26652.1989825572</v>
      </c>
      <c r="J620" s="85"/>
      <c r="K620" s="85"/>
      <c r="L620" s="85"/>
      <c r="M620" s="85"/>
      <c r="N620" s="85"/>
      <c r="O620" s="85"/>
      <c r="P620" s="85"/>
      <c r="Q620" s="85"/>
      <c r="R620" s="85"/>
    </row>
    <row r="621" customFormat="false" ht="15" hidden="false" customHeight="false" outlineLevel="0" collapsed="false">
      <c r="F621" s="99" t="n">
        <f aca="false">G621/H621</f>
        <v>1.65324106432345E-011</v>
      </c>
      <c r="G621" s="52" t="n">
        <f aca="false">G620*(1-$O$1)</f>
        <v>0.000663795976279484</v>
      </c>
      <c r="H621" s="15" t="n">
        <f aca="false">I621/G621</f>
        <v>40151190.9305934</v>
      </c>
      <c r="I621" s="0" t="n">
        <f aca="false">I620</f>
        <v>26652.1989825572</v>
      </c>
      <c r="J621" s="85"/>
      <c r="K621" s="85"/>
      <c r="L621" s="85"/>
      <c r="M621" s="85"/>
      <c r="N621" s="85"/>
      <c r="O621" s="85"/>
      <c r="P621" s="85"/>
      <c r="Q621" s="85"/>
      <c r="R621" s="85"/>
    </row>
    <row r="622" customFormat="false" ht="15" hidden="false" customHeight="false" outlineLevel="0" collapsed="false">
      <c r="F622" s="99" t="n">
        <f aca="false">G622/H622</f>
        <v>1.58777271817624E-011</v>
      </c>
      <c r="G622" s="52" t="n">
        <f aca="false">G621*(1-$O$1)</f>
        <v>0.000650520056753894</v>
      </c>
      <c r="H622" s="15" t="n">
        <f aca="false">I622/G622</f>
        <v>40970602.9904014</v>
      </c>
      <c r="I622" s="0" t="n">
        <f aca="false">I621</f>
        <v>26652.1989825572</v>
      </c>
      <c r="J622" s="85"/>
      <c r="K622" s="85"/>
      <c r="L622" s="85"/>
      <c r="M622" s="85"/>
      <c r="N622" s="85"/>
      <c r="O622" s="85"/>
      <c r="P622" s="85"/>
      <c r="Q622" s="85"/>
      <c r="R622" s="85"/>
    </row>
    <row r="623" customFormat="false" ht="15" hidden="false" customHeight="false" outlineLevel="0" collapsed="false">
      <c r="F623" s="99" t="n">
        <f aca="false">G623/H623</f>
        <v>1.52489691853646E-011</v>
      </c>
      <c r="G623" s="52" t="n">
        <f aca="false">G622*(1-$O$1)</f>
        <v>0.000637509655618816</v>
      </c>
      <c r="H623" s="15" t="n">
        <f aca="false">I623/G623</f>
        <v>41806737.7453076</v>
      </c>
      <c r="I623" s="0" t="n">
        <f aca="false">I622</f>
        <v>26652.1989825572</v>
      </c>
      <c r="J623" s="85"/>
      <c r="K623" s="85"/>
      <c r="L623" s="85"/>
      <c r="M623" s="85"/>
      <c r="N623" s="85"/>
      <c r="O623" s="85"/>
      <c r="P623" s="85"/>
      <c r="Q623" s="85"/>
      <c r="R623" s="85"/>
    </row>
    <row r="624" customFormat="false" ht="15" hidden="false" customHeight="false" outlineLevel="0" collapsed="false">
      <c r="F624" s="99" t="n">
        <f aca="false">G624/H624</f>
        <v>1.46451100056242E-011</v>
      </c>
      <c r="G624" s="52" t="n">
        <f aca="false">G623*(1-$O$1)</f>
        <v>0.00062475946250644</v>
      </c>
      <c r="H624" s="15" t="n">
        <f aca="false">I624/G624</f>
        <v>42659936.4748037</v>
      </c>
      <c r="I624" s="0" t="n">
        <f aca="false">I623</f>
        <v>26652.1989825572</v>
      </c>
      <c r="J624" s="85"/>
      <c r="K624" s="85"/>
      <c r="L624" s="85"/>
      <c r="M624" s="85"/>
      <c r="N624" s="85"/>
      <c r="O624" s="85"/>
      <c r="P624" s="85"/>
      <c r="Q624" s="85"/>
      <c r="R624" s="85"/>
    </row>
    <row r="625" customFormat="false" ht="15" hidden="false" customHeight="false" outlineLevel="0" collapsed="false">
      <c r="F625" s="99" t="n">
        <f aca="false">G625/H625</f>
        <v>1.40651636494015E-011</v>
      </c>
      <c r="G625" s="52" t="n">
        <f aca="false">G624*(1-$O$1)</f>
        <v>0.000612264273256311</v>
      </c>
      <c r="H625" s="15" t="n">
        <f aca="false">I625/G625</f>
        <v>43530547.423269</v>
      </c>
      <c r="I625" s="0" t="n">
        <f aca="false">I624</f>
        <v>26652.1989825572</v>
      </c>
      <c r="J625" s="85"/>
      <c r="K625" s="85"/>
      <c r="L625" s="85"/>
      <c r="M625" s="85"/>
      <c r="N625" s="85"/>
      <c r="O625" s="85"/>
      <c r="P625" s="85"/>
      <c r="Q625" s="85"/>
      <c r="R625" s="85"/>
    </row>
    <row r="626" customFormat="false" ht="15" hidden="false" customHeight="false" outlineLevel="0" collapsed="false">
      <c r="F626" s="99" t="n">
        <f aca="false">G626/H626</f>
        <v>1.35081831688852E-011</v>
      </c>
      <c r="G626" s="52" t="n">
        <f aca="false">G625*(1-$O$1)</f>
        <v>0.000600018987791185</v>
      </c>
      <c r="H626" s="15" t="n">
        <f aca="false">I626/G626</f>
        <v>44418925.9421113</v>
      </c>
      <c r="I626" s="0" t="n">
        <f aca="false">I625</f>
        <v>26652.1989825572</v>
      </c>
      <c r="J626" s="85"/>
      <c r="K626" s="85"/>
      <c r="L626" s="85"/>
      <c r="M626" s="85"/>
      <c r="N626" s="85"/>
      <c r="O626" s="85"/>
      <c r="P626" s="85"/>
      <c r="Q626" s="85"/>
      <c r="R626" s="85"/>
    </row>
    <row r="627" customFormat="false" ht="15" hidden="false" customHeight="false" outlineLevel="0" collapsed="false">
      <c r="F627" s="99" t="n">
        <f aca="false">G627/H627</f>
        <v>1.29732591153973E-011</v>
      </c>
      <c r="G627" s="52" t="n">
        <f aca="false">G626*(1-$O$1)</f>
        <v>0.000588018608035361</v>
      </c>
      <c r="H627" s="15" t="n">
        <f aca="false">I627/G627</f>
        <v>45325434.6348074</v>
      </c>
      <c r="I627" s="0" t="n">
        <f aca="false">I626</f>
        <v>26652.1989825572</v>
      </c>
      <c r="J627" s="85"/>
      <c r="K627" s="85"/>
      <c r="L627" s="85"/>
      <c r="M627" s="85"/>
      <c r="N627" s="85"/>
      <c r="O627" s="85"/>
      <c r="P627" s="85"/>
      <c r="Q627" s="85"/>
      <c r="R627" s="85"/>
    </row>
    <row r="628" customFormat="false" ht="15" hidden="false" customHeight="false" outlineLevel="0" collapsed="false">
      <c r="F628" s="99" t="n">
        <f aca="false">G628/H628</f>
        <v>1.24595180544276E-011</v>
      </c>
      <c r="G628" s="52" t="n">
        <f aca="false">G627*(1-$O$1)</f>
        <v>0.000576258235874654</v>
      </c>
      <c r="H628" s="15" t="n">
        <f aca="false">I628/G628</f>
        <v>46250443.5049055</v>
      </c>
      <c r="I628" s="0" t="n">
        <f aca="false">I627</f>
        <v>26652.1989825572</v>
      </c>
      <c r="J628" s="85"/>
      <c r="K628" s="85"/>
      <c r="L628" s="85"/>
      <c r="M628" s="85"/>
      <c r="N628" s="85"/>
      <c r="O628" s="85"/>
      <c r="P628" s="85"/>
      <c r="Q628" s="85"/>
      <c r="R628" s="85"/>
    </row>
    <row r="629" customFormat="false" ht="15" hidden="false" customHeight="false" outlineLevel="0" collapsed="false">
      <c r="F629" s="99" t="n">
        <f aca="false">G629/H629</f>
        <v>1.19661211394723E-011</v>
      </c>
      <c r="G629" s="52" t="n">
        <f aca="false">G628*(1-$O$1)</f>
        <v>0.000564733071157161</v>
      </c>
      <c r="H629" s="15" t="n">
        <f aca="false">I629/G629</f>
        <v>47194330.1070465</v>
      </c>
      <c r="I629" s="0" t="n">
        <f aca="false">I628</f>
        <v>26652.1989825572</v>
      </c>
      <c r="J629" s="85"/>
      <c r="K629" s="85"/>
      <c r="L629" s="85"/>
      <c r="M629" s="85"/>
      <c r="N629" s="85"/>
      <c r="O629" s="85"/>
      <c r="P629" s="85"/>
      <c r="Q629" s="85"/>
      <c r="R629" s="85"/>
    </row>
    <row r="630" customFormat="false" ht="15" hidden="false" customHeight="false" outlineLevel="0" collapsed="false">
      <c r="F630" s="99" t="n">
        <f aca="false">G630/H630</f>
        <v>1.14922627423492E-011</v>
      </c>
      <c r="G630" s="52" t="n">
        <f aca="false">G629*(1-$O$1)</f>
        <v>0.000553438409734017</v>
      </c>
      <c r="H630" s="15" t="n">
        <f aca="false">I630/G630</f>
        <v>48157479.7010678</v>
      </c>
      <c r="I630" s="0" t="n">
        <f aca="false">I629</f>
        <v>26652.1989825572</v>
      </c>
      <c r="J630" s="85"/>
      <c r="K630" s="85"/>
      <c r="L630" s="85"/>
      <c r="M630" s="85"/>
      <c r="N630" s="85"/>
      <c r="O630" s="85"/>
      <c r="P630" s="85"/>
      <c r="Q630" s="85"/>
      <c r="R630" s="85"/>
    </row>
    <row r="631" customFormat="false" ht="15" hidden="false" customHeight="false" outlineLevel="0" collapsed="false">
      <c r="F631" s="99" t="n">
        <f aca="false">G631/H631</f>
        <v>1.10371691377521E-011</v>
      </c>
      <c r="G631" s="52" t="n">
        <f aca="false">G630*(1-$O$1)</f>
        <v>0.000542369641539337</v>
      </c>
      <c r="H631" s="15" t="n">
        <f aca="false">I631/G631</f>
        <v>49140285.4092529</v>
      </c>
      <c r="I631" s="0" t="n">
        <f aca="false">I630</f>
        <v>26652.1989825572</v>
      </c>
      <c r="J631" s="85"/>
      <c r="K631" s="85"/>
      <c r="L631" s="85"/>
      <c r="M631" s="85"/>
      <c r="N631" s="85"/>
      <c r="O631" s="85"/>
      <c r="P631" s="85"/>
      <c r="Q631" s="85"/>
      <c r="R631" s="85"/>
    </row>
    <row r="632" customFormat="false" ht="15" hidden="false" customHeight="false" outlineLevel="0" collapsed="false">
      <c r="F632" s="99" t="n">
        <f aca="false">G632/H632</f>
        <v>1.06000972398971E-011</v>
      </c>
      <c r="G632" s="52" t="n">
        <f aca="false">G631*(1-$O$1)</f>
        <v>0.00053152224870855</v>
      </c>
      <c r="H632" s="15" t="n">
        <f aca="false">I632/G632</f>
        <v>50143148.3767886</v>
      </c>
      <c r="I632" s="0" t="n">
        <f aca="false">I631</f>
        <v>26652.1989825572</v>
      </c>
      <c r="J632" s="85"/>
      <c r="K632" s="85"/>
      <c r="L632" s="85"/>
      <c r="M632" s="85"/>
      <c r="N632" s="85"/>
      <c r="O632" s="85"/>
      <c r="P632" s="85"/>
      <c r="Q632" s="85"/>
      <c r="R632" s="85"/>
    </row>
    <row r="633" customFormat="false" ht="15" hidden="false" customHeight="false" outlineLevel="0" collapsed="false">
      <c r="F633" s="99" t="n">
        <f aca="false">G633/H633</f>
        <v>1.01803333891972E-011</v>
      </c>
      <c r="G633" s="52" t="n">
        <f aca="false">G632*(1-$O$1)</f>
        <v>0.000520891803734379</v>
      </c>
      <c r="H633" s="15" t="n">
        <f aca="false">I633/G633</f>
        <v>51166477.9354986</v>
      </c>
      <c r="I633" s="0" t="n">
        <f aca="false">I632</f>
        <v>26652.1989825572</v>
      </c>
      <c r="J633" s="85"/>
      <c r="K633" s="85"/>
      <c r="L633" s="85"/>
      <c r="M633" s="85"/>
      <c r="N633" s="85"/>
      <c r="O633" s="85"/>
      <c r="P633" s="85"/>
      <c r="Q633" s="85"/>
      <c r="R633" s="85"/>
    </row>
    <row r="634" customFormat="false" ht="15" hidden="false" customHeight="false" outlineLevel="0" collapsed="false">
      <c r="F634" s="99" t="n">
        <f aca="false">G634/H634</f>
        <v>9.77719218698501E-012</v>
      </c>
      <c r="G634" s="52" t="n">
        <f aca="false">G633*(1-$O$1)</f>
        <v>0.000510473967659692</v>
      </c>
      <c r="H634" s="15" t="n">
        <f aca="false">I634/G634</f>
        <v>52210691.770917</v>
      </c>
      <c r="I634" s="0" t="n">
        <f aca="false">I633</f>
        <v>26652.1989825572</v>
      </c>
      <c r="J634" s="85"/>
      <c r="K634" s="85"/>
      <c r="L634" s="85"/>
      <c r="M634" s="85"/>
      <c r="N634" s="85"/>
      <c r="O634" s="85"/>
      <c r="P634" s="85"/>
      <c r="Q634" s="85"/>
      <c r="R634" s="85"/>
    </row>
    <row r="635" customFormat="false" ht="15" hidden="false" customHeight="false" outlineLevel="0" collapsed="false">
      <c r="F635" s="99" t="n">
        <f aca="false">G635/H635</f>
        <v>9.3900153763804E-012</v>
      </c>
      <c r="G635" s="52" t="n">
        <f aca="false">G634*(1-$O$1)</f>
        <v>0.000500264488306498</v>
      </c>
      <c r="H635" s="15" t="n">
        <f aca="false">I635/G635</f>
        <v>53276216.0927724</v>
      </c>
      <c r="I635" s="0" t="n">
        <f aca="false">I634</f>
        <v>26652.1989825572</v>
      </c>
      <c r="J635" s="85"/>
      <c r="K635" s="85"/>
      <c r="L635" s="85"/>
      <c r="M635" s="85"/>
      <c r="N635" s="85"/>
      <c r="O635" s="85"/>
      <c r="P635" s="85"/>
      <c r="Q635" s="85"/>
      <c r="R635" s="85"/>
    </row>
    <row r="636" customFormat="false" ht="15" hidden="false" customHeight="false" outlineLevel="0" collapsed="false">
      <c r="F636" s="99" t="n">
        <f aca="false">G636/H636</f>
        <v>9.01817076747574E-012</v>
      </c>
      <c r="G636" s="52" t="n">
        <f aca="false">G635*(1-$O$1)</f>
        <v>0.000490259198540368</v>
      </c>
      <c r="H636" s="15" t="n">
        <f aca="false">I636/G636</f>
        <v>54363485.8089514</v>
      </c>
      <c r="I636" s="0" t="n">
        <f aca="false">I635</f>
        <v>26652.1989825572</v>
      </c>
      <c r="J636" s="85"/>
      <c r="K636" s="85"/>
      <c r="L636" s="85"/>
      <c r="M636" s="85"/>
      <c r="N636" s="85"/>
      <c r="O636" s="85"/>
      <c r="P636" s="85"/>
      <c r="Q636" s="85"/>
      <c r="R636" s="85"/>
    </row>
    <row r="637" customFormat="false" ht="15" hidden="false" customHeight="false" outlineLevel="0" collapsed="false">
      <c r="F637" s="99" t="n">
        <f aca="false">G637/H637</f>
        <v>8.6610512050837E-012</v>
      </c>
      <c r="G637" s="52" t="n">
        <f aca="false">G636*(1-$O$1)</f>
        <v>0.000480454014569561</v>
      </c>
      <c r="H637" s="15" t="n">
        <f aca="false">I637/G637</f>
        <v>55472944.7030117</v>
      </c>
      <c r="I637" s="0" t="n">
        <f aca="false">I636</f>
        <v>26652.1989825572</v>
      </c>
      <c r="J637" s="85"/>
      <c r="K637" s="85"/>
      <c r="L637" s="85"/>
      <c r="M637" s="85"/>
      <c r="N637" s="85"/>
      <c r="O637" s="85"/>
      <c r="P637" s="85"/>
      <c r="Q637" s="85"/>
      <c r="R637" s="85"/>
    </row>
    <row r="638" customFormat="false" ht="15" hidden="false" customHeight="false" outlineLevel="0" collapsed="false">
      <c r="F638" s="99" t="n">
        <f aca="false">G638/H638</f>
        <v>8.31807357736239E-012</v>
      </c>
      <c r="G638" s="52" t="n">
        <f aca="false">G637*(1-$O$1)</f>
        <v>0.000470844934278169</v>
      </c>
      <c r="H638" s="15" t="n">
        <f aca="false">I638/G638</f>
        <v>56605045.615318</v>
      </c>
      <c r="I638" s="0" t="n">
        <f aca="false">I637</f>
        <v>26652.1989825572</v>
      </c>
      <c r="J638" s="85"/>
      <c r="K638" s="85"/>
      <c r="L638" s="85"/>
      <c r="M638" s="85"/>
      <c r="N638" s="85"/>
      <c r="O638" s="85"/>
      <c r="P638" s="85"/>
      <c r="Q638" s="85"/>
      <c r="R638" s="85"/>
    </row>
    <row r="639" customFormat="false" ht="15" hidden="false" customHeight="false" outlineLevel="0" collapsed="false">
      <c r="F639" s="99" t="n">
        <f aca="false">G639/H639</f>
        <v>7.98867786369884E-012</v>
      </c>
      <c r="G639" s="52" t="n">
        <f aca="false">G638*(1-$O$1)</f>
        <v>0.000461428035592606</v>
      </c>
      <c r="H639" s="15" t="n">
        <f aca="false">I639/G639</f>
        <v>57760250.6278755</v>
      </c>
      <c r="I639" s="0" t="n">
        <f aca="false">I638</f>
        <v>26652.1989825572</v>
      </c>
      <c r="J639" s="85"/>
      <c r="K639" s="85"/>
      <c r="L639" s="85"/>
      <c r="M639" s="85"/>
      <c r="N639" s="85"/>
      <c r="O639" s="85"/>
      <c r="P639" s="85"/>
      <c r="Q639" s="85"/>
      <c r="R639" s="85"/>
    </row>
    <row r="640" customFormat="false" ht="15" hidden="false" customHeight="false" outlineLevel="0" collapsed="false">
      <c r="F640" s="99" t="n">
        <f aca="false">G640/H640</f>
        <v>7.67232622029636E-012</v>
      </c>
      <c r="G640" s="52" t="n">
        <f aca="false">G639*(1-$O$1)</f>
        <v>0.000452199474880754</v>
      </c>
      <c r="H640" s="15" t="n">
        <f aca="false">I640/G640</f>
        <v>58939031.2529342</v>
      </c>
      <c r="I640" s="0" t="n">
        <f aca="false">I639</f>
        <v>26652.1989825572</v>
      </c>
      <c r="J640" s="85"/>
      <c r="K640" s="85"/>
      <c r="L640" s="85"/>
      <c r="M640" s="85"/>
      <c r="N640" s="85"/>
      <c r="O640" s="85"/>
      <c r="P640" s="85"/>
      <c r="Q640" s="85"/>
      <c r="R640" s="85"/>
    </row>
    <row r="641" customFormat="false" ht="15" hidden="false" customHeight="false" outlineLevel="0" collapsed="false">
      <c r="F641" s="99" t="n">
        <f aca="false">G641/H641</f>
        <v>7.36850210197262E-012</v>
      </c>
      <c r="G641" s="52" t="n">
        <f aca="false">G640*(1-$O$1)</f>
        <v>0.000443155485383139</v>
      </c>
      <c r="H641" s="15" t="n">
        <f aca="false">I641/G641</f>
        <v>60141868.6254431</v>
      </c>
      <c r="I641" s="0" t="n">
        <f aca="false">I640</f>
        <v>26652.1989825572</v>
      </c>
      <c r="J641" s="85"/>
      <c r="K641" s="85"/>
      <c r="L641" s="85"/>
      <c r="M641" s="85"/>
      <c r="N641" s="85"/>
      <c r="O641" s="85"/>
      <c r="P641" s="85"/>
      <c r="Q641" s="85"/>
      <c r="R641" s="85"/>
    </row>
    <row r="642" customFormat="false" ht="15" hidden="false" customHeight="false" outlineLevel="0" collapsed="false">
      <c r="F642" s="99" t="n">
        <f aca="false">G642/H642</f>
        <v>7.07670941873451E-012</v>
      </c>
      <c r="G642" s="52" t="n">
        <f aca="false">G641*(1-$O$1)</f>
        <v>0.000434292375675476</v>
      </c>
      <c r="H642" s="15" t="n">
        <f aca="false">I642/G642</f>
        <v>61369253.6994317</v>
      </c>
      <c r="I642" s="0" t="n">
        <f aca="false">I641</f>
        <v>26652.1989825572</v>
      </c>
      <c r="J642" s="85"/>
      <c r="K642" s="85"/>
      <c r="L642" s="85"/>
      <c r="M642" s="85"/>
      <c r="N642" s="85"/>
      <c r="O642" s="85"/>
      <c r="P642" s="85"/>
      <c r="Q642" s="85"/>
      <c r="R642" s="85"/>
    </row>
    <row r="643" customFormat="false" ht="15" hidden="false" customHeight="false" outlineLevel="0" collapsed="false">
      <c r="F643" s="99" t="n">
        <f aca="false">G643/H643</f>
        <v>6.79647172575262E-012</v>
      </c>
      <c r="G643" s="52" t="n">
        <f aca="false">G642*(1-$O$1)</f>
        <v>0.000425606528161966</v>
      </c>
      <c r="H643" s="15" t="n">
        <f aca="false">I643/G643</f>
        <v>62621687.4483997</v>
      </c>
      <c r="I643" s="0" t="n">
        <f aca="false">I642</f>
        <v>26652.1989825572</v>
      </c>
      <c r="J643" s="85"/>
      <c r="K643" s="85"/>
      <c r="L643" s="85"/>
      <c r="M643" s="85"/>
      <c r="N643" s="85"/>
      <c r="O643" s="85"/>
      <c r="P643" s="85"/>
      <c r="Q643" s="85"/>
      <c r="R643" s="85"/>
    </row>
    <row r="644" customFormat="false" ht="15" hidden="false" customHeight="false" outlineLevel="0" collapsed="false">
      <c r="F644" s="99" t="n">
        <f aca="false">G644/H644</f>
        <v>6.52733144541282E-012</v>
      </c>
      <c r="G644" s="52" t="n">
        <f aca="false">G643*(1-$O$1)</f>
        <v>0.000417094397598727</v>
      </c>
      <c r="H644" s="15" t="n">
        <f aca="false">I644/G644</f>
        <v>63899681.0697956</v>
      </c>
      <c r="I644" s="0" t="n">
        <f aca="false">I643</f>
        <v>26652.1989825572</v>
      </c>
      <c r="J644" s="85"/>
      <c r="K644" s="85"/>
      <c r="L644" s="85"/>
      <c r="M644" s="85"/>
      <c r="N644" s="85"/>
      <c r="O644" s="85"/>
      <c r="P644" s="85"/>
      <c r="Q644" s="85"/>
      <c r="R644" s="85"/>
    </row>
    <row r="645" customFormat="false" ht="15" hidden="false" customHeight="false" outlineLevel="0" collapsed="false">
      <c r="F645" s="99" t="n">
        <f aca="false">G645/H645</f>
        <v>6.26884912017447E-012</v>
      </c>
      <c r="G645" s="52" t="n">
        <f aca="false">G644*(1-$O$1)</f>
        <v>0.000408752509646753</v>
      </c>
      <c r="H645" s="15" t="n">
        <f aca="false">I645/G645</f>
        <v>65203756.193669</v>
      </c>
      <c r="I645" s="0" t="n">
        <f aca="false">I644</f>
        <v>26652.1989825572</v>
      </c>
      <c r="J645" s="85"/>
      <c r="K645" s="85"/>
      <c r="L645" s="85"/>
      <c r="M645" s="85"/>
      <c r="N645" s="85"/>
      <c r="O645" s="85"/>
      <c r="P645" s="85"/>
      <c r="Q645" s="85"/>
      <c r="R645" s="85"/>
    </row>
    <row r="646" customFormat="false" ht="15" hidden="false" customHeight="false" outlineLevel="0" collapsed="false">
      <c r="F646" s="99" t="n">
        <f aca="false">G646/H646</f>
        <v>6.02060269501556E-012</v>
      </c>
      <c r="G646" s="52" t="n">
        <f aca="false">G645*(1-$O$1)</f>
        <v>0.000400577459453818</v>
      </c>
      <c r="H646" s="15" t="n">
        <f aca="false">I646/G646</f>
        <v>66534445.0955806</v>
      </c>
      <c r="I646" s="0" t="n">
        <f aca="false">I645</f>
        <v>26652.1989825572</v>
      </c>
      <c r="J646" s="85"/>
      <c r="K646" s="85"/>
      <c r="L646" s="85"/>
      <c r="M646" s="85"/>
      <c r="N646" s="85"/>
      <c r="O646" s="85"/>
      <c r="P646" s="85"/>
      <c r="Q646" s="85"/>
      <c r="R646" s="85"/>
    </row>
    <row r="647" customFormat="false" ht="15" hidden="false" customHeight="false" outlineLevel="0" collapsed="false">
      <c r="F647" s="99" t="n">
        <f aca="false">G647/H647</f>
        <v>5.78218682829294E-012</v>
      </c>
      <c r="G647" s="52" t="n">
        <f aca="false">G646*(1-$O$1)</f>
        <v>0.000392565910264741</v>
      </c>
      <c r="H647" s="15" t="n">
        <f aca="false">I647/G647</f>
        <v>67892290.9138578</v>
      </c>
      <c r="I647" s="0" t="n">
        <f aca="false">I646</f>
        <v>26652.1989825572</v>
      </c>
      <c r="J647" s="85"/>
      <c r="K647" s="85"/>
      <c r="L647" s="85"/>
      <c r="M647" s="85"/>
      <c r="N647" s="85"/>
      <c r="O647" s="85"/>
      <c r="P647" s="85"/>
      <c r="Q647" s="85"/>
      <c r="R647" s="85"/>
    </row>
    <row r="648" customFormat="false" ht="15" hidden="false" customHeight="false" outlineLevel="0" collapsed="false">
      <c r="F648" s="99" t="n">
        <f aca="false">G648/H648</f>
        <v>5.55321222989254E-012</v>
      </c>
      <c r="G648" s="52" t="n">
        <f aca="false">G647*(1-$O$1)</f>
        <v>0.000384714592059446</v>
      </c>
      <c r="H648" s="15" t="n">
        <f aca="false">I648/G648</f>
        <v>69277847.8712835</v>
      </c>
      <c r="I648" s="0" t="n">
        <f aca="false">I647</f>
        <v>26652.1989825572</v>
      </c>
      <c r="J648" s="85"/>
      <c r="K648" s="85"/>
      <c r="L648" s="85"/>
      <c r="M648" s="85"/>
      <c r="N648" s="85"/>
      <c r="O648" s="85"/>
      <c r="P648" s="85"/>
      <c r="Q648" s="85"/>
      <c r="R648" s="85"/>
    </row>
    <row r="649" customFormat="false" ht="15" hidden="false" customHeight="false" outlineLevel="0" collapsed="false">
      <c r="F649" s="99" t="n">
        <f aca="false">G649/H649</f>
        <v>5.3333050255888E-012</v>
      </c>
      <c r="G649" s="52" t="n">
        <f aca="false">G648*(1-$O$1)</f>
        <v>0.000377020300218257</v>
      </c>
      <c r="H649" s="15" t="n">
        <f aca="false">I649/G649</f>
        <v>70691681.5013097</v>
      </c>
      <c r="I649" s="0" t="n">
        <f aca="false">I648</f>
        <v>26652.1989825572</v>
      </c>
      <c r="J649" s="85"/>
      <c r="K649" s="85"/>
      <c r="L649" s="85"/>
      <c r="M649" s="85"/>
      <c r="N649" s="85"/>
      <c r="O649" s="85"/>
      <c r="P649" s="85"/>
      <c r="Q649" s="85"/>
      <c r="R649" s="85"/>
    </row>
    <row r="650" customFormat="false" ht="15" hidden="false" customHeight="false" outlineLevel="0" collapsed="false">
      <c r="F650" s="99" t="n">
        <f aca="false">G650/H650</f>
        <v>5.12210614657548E-012</v>
      </c>
      <c r="G650" s="52" t="n">
        <f aca="false">G649*(1-$O$1)</f>
        <v>0.000369479894213892</v>
      </c>
      <c r="H650" s="15" t="n">
        <f aca="false">I650/G650</f>
        <v>72134368.8788874</v>
      </c>
      <c r="I650" s="0" t="n">
        <f aca="false">I649</f>
        <v>26652.1989825572</v>
      </c>
      <c r="J650" s="85"/>
      <c r="K650" s="85"/>
      <c r="L650" s="85"/>
      <c r="M650" s="85"/>
      <c r="N650" s="85"/>
      <c r="O650" s="85"/>
      <c r="P650" s="85"/>
      <c r="Q650" s="85"/>
      <c r="R650" s="85"/>
    </row>
    <row r="651" customFormat="false" ht="15" hidden="false" customHeight="false" outlineLevel="0" collapsed="false">
      <c r="F651" s="99" t="n">
        <f aca="false">G651/H651</f>
        <v>4.91927074317109E-012</v>
      </c>
      <c r="G651" s="52" t="n">
        <f aca="false">G650*(1-$O$1)</f>
        <v>0.000362090296329614</v>
      </c>
      <c r="H651" s="15" t="n">
        <f aca="false">I651/G651</f>
        <v>73606498.8560076</v>
      </c>
      <c r="I651" s="0" t="n">
        <f aca="false">I650</f>
        <v>26652.1989825572</v>
      </c>
      <c r="J651" s="85"/>
      <c r="K651" s="85"/>
      <c r="L651" s="85"/>
      <c r="M651" s="85"/>
      <c r="N651" s="85"/>
      <c r="O651" s="85"/>
      <c r="P651" s="85"/>
      <c r="Q651" s="85"/>
      <c r="R651" s="85"/>
    </row>
    <row r="652" customFormat="false" ht="15" hidden="false" customHeight="false" outlineLevel="0" collapsed="false">
      <c r="F652" s="99" t="n">
        <f aca="false">G652/H652</f>
        <v>4.72446762174152E-012</v>
      </c>
      <c r="G652" s="52" t="n">
        <f aca="false">G651*(1-$O$1)</f>
        <v>0.000354848490403022</v>
      </c>
      <c r="H652" s="15" t="n">
        <f aca="false">I652/G652</f>
        <v>75108672.3020485</v>
      </c>
      <c r="I652" s="0" t="n">
        <f aca="false">I651</f>
        <v>26652.1989825572</v>
      </c>
      <c r="J652" s="85"/>
      <c r="K652" s="85"/>
      <c r="L652" s="85"/>
      <c r="M652" s="85"/>
      <c r="N652" s="85"/>
      <c r="O652" s="85"/>
      <c r="P652" s="85"/>
      <c r="Q652" s="85"/>
      <c r="R652" s="85"/>
    </row>
    <row r="653" customFormat="false" ht="15" hidden="false" customHeight="false" outlineLevel="0" collapsed="false">
      <c r="F653" s="99" t="n">
        <f aca="false">G653/H653</f>
        <v>4.53737870392055E-012</v>
      </c>
      <c r="G653" s="52" t="n">
        <f aca="false">G652*(1-$O$1)</f>
        <v>0.000347751520594962</v>
      </c>
      <c r="H653" s="15" t="n">
        <f aca="false">I653/G653</f>
        <v>76641502.3490291</v>
      </c>
      <c r="I653" s="0" t="n">
        <f aca="false">I652</f>
        <v>26652.1989825572</v>
      </c>
      <c r="J653" s="85"/>
      <c r="K653" s="85"/>
      <c r="L653" s="85"/>
      <c r="M653" s="85"/>
      <c r="N653" s="85"/>
      <c r="O653" s="85"/>
      <c r="P653" s="85"/>
      <c r="Q653" s="85"/>
      <c r="R653" s="85"/>
    </row>
    <row r="654" customFormat="false" ht="15" hidden="false" customHeight="false" outlineLevel="0" collapsed="false">
      <c r="F654" s="99" t="n">
        <f aca="false">G654/H654</f>
        <v>4.3576985072453E-012</v>
      </c>
      <c r="G654" s="52" t="n">
        <f aca="false">G653*(1-$O$1)</f>
        <v>0.000340796490183062</v>
      </c>
      <c r="H654" s="15" t="n">
        <f aca="false">I654/G654</f>
        <v>78205614.6418664</v>
      </c>
      <c r="I654" s="0" t="n">
        <f aca="false">I653</f>
        <v>26652.1989825572</v>
      </c>
      <c r="J654" s="85"/>
      <c r="K654" s="85"/>
      <c r="L654" s="85"/>
      <c r="M654" s="85"/>
      <c r="N654" s="85"/>
      <c r="O654" s="85"/>
      <c r="P654" s="85"/>
      <c r="Q654" s="85"/>
      <c r="R654" s="85"/>
    </row>
    <row r="655" customFormat="false" ht="15" hidden="false" customHeight="false" outlineLevel="0" collapsed="false">
      <c r="F655" s="99" t="n">
        <f aca="false">G655/H655</f>
        <v>4.18513364635838E-012</v>
      </c>
      <c r="G655" s="52" t="n">
        <f aca="false">G654*(1-$O$1)</f>
        <v>0.000333980560379401</v>
      </c>
      <c r="H655" s="15" t="n">
        <f aca="false">I655/G655</f>
        <v>79801647.5937413</v>
      </c>
      <c r="I655" s="0" t="n">
        <f aca="false">I654</f>
        <v>26652.1989825572</v>
      </c>
      <c r="J655" s="85"/>
      <c r="K655" s="85"/>
      <c r="L655" s="85"/>
      <c r="M655" s="85"/>
      <c r="N655" s="85"/>
      <c r="O655" s="85"/>
      <c r="P655" s="85"/>
      <c r="Q655" s="85"/>
      <c r="R655" s="85"/>
    </row>
    <row r="656" customFormat="false" ht="15" hidden="false" customHeight="false" outlineLevel="0" collapsed="false">
      <c r="F656" s="99" t="n">
        <f aca="false">G656/H656</f>
        <v>4.01940235396259E-012</v>
      </c>
      <c r="G656" s="52" t="n">
        <f aca="false">G655*(1-$O$1)</f>
        <v>0.000327300949171813</v>
      </c>
      <c r="H656" s="15" t="n">
        <f aca="false">I656/G656</f>
        <v>81430252.6466748</v>
      </c>
      <c r="I656" s="0" t="n">
        <f aca="false">I655</f>
        <v>26652.1989825572</v>
      </c>
      <c r="J656" s="85"/>
      <c r="K656" s="85"/>
      <c r="L656" s="85"/>
      <c r="M656" s="85"/>
      <c r="N656" s="85"/>
      <c r="O656" s="85"/>
      <c r="P656" s="85"/>
      <c r="Q656" s="85"/>
      <c r="R656" s="85"/>
    </row>
    <row r="657" customFormat="false" ht="15" hidden="false" customHeight="false" outlineLevel="0" collapsed="false">
      <c r="F657" s="99" t="n">
        <f aca="false">G657/H657</f>
        <v>3.86023402074567E-012</v>
      </c>
      <c r="G657" s="52" t="n">
        <f aca="false">G656*(1-$O$1)</f>
        <v>0.000320754930188377</v>
      </c>
      <c r="H657" s="15" t="n">
        <f aca="false">I657/G657</f>
        <v>83092094.5374232</v>
      </c>
      <c r="I657" s="0" t="n">
        <f aca="false">I656</f>
        <v>26652.1989825572</v>
      </c>
      <c r="J657" s="85"/>
      <c r="K657" s="85"/>
      <c r="L657" s="85"/>
      <c r="M657" s="85"/>
      <c r="N657" s="85"/>
      <c r="O657" s="85"/>
      <c r="P657" s="85"/>
      <c r="Q657" s="85"/>
      <c r="R657" s="85"/>
    </row>
    <row r="658" customFormat="false" ht="15" hidden="false" customHeight="false" outlineLevel="0" collapsed="false">
      <c r="F658" s="99" t="n">
        <f aca="false">G658/H658</f>
        <v>3.70736875352414E-012</v>
      </c>
      <c r="G658" s="52" t="n">
        <f aca="false">G657*(1-$O$1)</f>
        <v>0.000314339831584609</v>
      </c>
      <c r="H658" s="15" t="n">
        <f aca="false">I658/G658</f>
        <v>84787851.5687992</v>
      </c>
      <c r="I658" s="0" t="n">
        <f aca="false">I657</f>
        <v>26652.1989825572</v>
      </c>
      <c r="J658" s="85"/>
      <c r="K658" s="85"/>
      <c r="L658" s="85"/>
      <c r="M658" s="85"/>
      <c r="N658" s="85"/>
      <c r="O658" s="85"/>
      <c r="P658" s="85"/>
      <c r="Q658" s="85"/>
      <c r="R658" s="85"/>
    </row>
    <row r="659" customFormat="false" ht="15" hidden="false" customHeight="false" outlineLevel="0" collapsed="false">
      <c r="F659" s="99" t="n">
        <f aca="false">G659/H659</f>
        <v>3.56055695088459E-012</v>
      </c>
      <c r="G659" s="52" t="n">
        <f aca="false">G658*(1-$O$1)</f>
        <v>0.000308053034952917</v>
      </c>
      <c r="H659" s="15" t="n">
        <f aca="false">I659/G659</f>
        <v>86518215.8865298</v>
      </c>
      <c r="I659" s="0" t="n">
        <f aca="false">I658</f>
        <v>26652.1989825572</v>
      </c>
      <c r="J659" s="85"/>
      <c r="K659" s="85"/>
      <c r="L659" s="85"/>
      <c r="M659" s="85"/>
      <c r="N659" s="85"/>
      <c r="O659" s="85"/>
      <c r="P659" s="85"/>
      <c r="Q659" s="85"/>
      <c r="R659" s="85"/>
    </row>
    <row r="660" customFormat="false" ht="15" hidden="false" customHeight="false" outlineLevel="0" collapsed="false">
      <c r="F660" s="99" t="n">
        <f aca="false">G660/H660</f>
        <v>3.41955889562956E-012</v>
      </c>
      <c r="G660" s="52" t="n">
        <f aca="false">G659*(1-$O$1)</f>
        <v>0.000301891974253859</v>
      </c>
      <c r="H660" s="15" t="n">
        <f aca="false">I660/G660</f>
        <v>88283893.7617651</v>
      </c>
      <c r="I660" s="0" t="n">
        <f aca="false">I659</f>
        <v>26652.1989825572</v>
      </c>
      <c r="J660" s="85"/>
      <c r="K660" s="85"/>
      <c r="L660" s="85"/>
      <c r="M660" s="85"/>
      <c r="N660" s="85"/>
      <c r="O660" s="85"/>
      <c r="P660" s="85"/>
      <c r="Q660" s="85"/>
      <c r="R660" s="85"/>
    </row>
    <row r="661" customFormat="false" ht="15" hidden="false" customHeight="false" outlineLevel="0" collapsed="false">
      <c r="F661" s="99" t="n">
        <f aca="false">G661/H661</f>
        <v>3.28414436336263E-012</v>
      </c>
      <c r="G661" s="52" t="n">
        <f aca="false">G660*(1-$O$1)</f>
        <v>0.000295854134768782</v>
      </c>
      <c r="H661" s="15" t="n">
        <f aca="false">I661/G661</f>
        <v>90085605.8793522</v>
      </c>
      <c r="I661" s="0" t="n">
        <f aca="false">I660</f>
        <v>26652.1989825572</v>
      </c>
      <c r="J661" s="85"/>
      <c r="K661" s="85"/>
      <c r="L661" s="85"/>
      <c r="M661" s="85"/>
      <c r="N661" s="85"/>
      <c r="O661" s="85"/>
      <c r="P661" s="85"/>
      <c r="Q661" s="85"/>
      <c r="R661" s="85"/>
    </row>
    <row r="662" customFormat="false" ht="15" hidden="false" customHeight="false" outlineLevel="0" collapsed="false">
      <c r="F662" s="99" t="n">
        <f aca="false">G662/H662</f>
        <v>3.15409224657347E-012</v>
      </c>
      <c r="G662" s="52" t="n">
        <f aca="false">G661*(1-$O$1)</f>
        <v>0.000289937052073406</v>
      </c>
      <c r="H662" s="15" t="n">
        <f aca="false">I662/G662</f>
        <v>91924087.631992</v>
      </c>
      <c r="I662" s="0" t="n">
        <f aca="false">I661</f>
        <v>26652.1989825572</v>
      </c>
      <c r="J662" s="85"/>
      <c r="K662" s="85"/>
      <c r="L662" s="85"/>
      <c r="M662" s="85"/>
      <c r="N662" s="85"/>
      <c r="O662" s="85"/>
      <c r="P662" s="85"/>
      <c r="Q662" s="85"/>
      <c r="R662" s="85"/>
    </row>
    <row r="663" customFormat="false" ht="15" hidden="false" customHeight="false" outlineLevel="0" collapsed="false">
      <c r="F663" s="99" t="n">
        <f aca="false">G663/H663</f>
        <v>3.02919019360916E-012</v>
      </c>
      <c r="G663" s="52" t="n">
        <f aca="false">G662*(1-$O$1)</f>
        <v>0.000284138311031938</v>
      </c>
      <c r="H663" s="15" t="n">
        <f aca="false">I663/G663</f>
        <v>93800089.4204</v>
      </c>
      <c r="I663" s="0" t="n">
        <f aca="false">I662</f>
        <v>26652.1989825572</v>
      </c>
      <c r="J663" s="85"/>
      <c r="K663" s="85"/>
      <c r="L663" s="85"/>
      <c r="M663" s="85"/>
      <c r="N663" s="85"/>
      <c r="O663" s="85"/>
      <c r="P663" s="85"/>
      <c r="Q663" s="85"/>
      <c r="R663" s="85"/>
    </row>
    <row r="664" customFormat="false" ht="15" hidden="false" customHeight="false" outlineLevel="0" collapsed="false">
      <c r="F664" s="99" t="n">
        <f aca="false">G664/H664</f>
        <v>2.90923426194224E-012</v>
      </c>
      <c r="G664" s="52" t="n">
        <f aca="false">G663*(1-$O$1)</f>
        <v>0.000278455544811299</v>
      </c>
      <c r="H664" s="15" t="n">
        <f aca="false">I664/G664</f>
        <v>95714376.9595918</v>
      </c>
      <c r="I664" s="0" t="n">
        <f aca="false">I663</f>
        <v>26652.1989825572</v>
      </c>
      <c r="J664" s="85"/>
      <c r="K664" s="85"/>
      <c r="L664" s="85"/>
      <c r="M664" s="85"/>
      <c r="N664" s="85"/>
      <c r="O664" s="85"/>
      <c r="P664" s="85"/>
      <c r="Q664" s="85"/>
      <c r="R664" s="85"/>
    </row>
    <row r="665" customFormat="false" ht="15" hidden="false" customHeight="false" outlineLevel="0" collapsed="false">
      <c r="F665" s="99" t="n">
        <f aca="false">G665/H665</f>
        <v>2.79402858516932E-012</v>
      </c>
      <c r="G665" s="52" t="n">
        <f aca="false">G664*(1-$O$1)</f>
        <v>0.000272886433915073</v>
      </c>
      <c r="H665" s="15" t="n">
        <f aca="false">I665/G665</f>
        <v>97667731.5914202</v>
      </c>
      <c r="I665" s="0" t="n">
        <f aca="false">I664</f>
        <v>26652.1989825572</v>
      </c>
      <c r="J665" s="85"/>
      <c r="K665" s="85"/>
      <c r="L665" s="85"/>
      <c r="M665" s="85"/>
      <c r="N665" s="85"/>
      <c r="O665" s="85"/>
      <c r="P665" s="85"/>
      <c r="Q665" s="85"/>
      <c r="R665" s="85"/>
    </row>
    <row r="666" customFormat="false" ht="15" hidden="false" customHeight="false" outlineLevel="0" collapsed="false">
      <c r="F666" s="99" t="n">
        <f aca="false">G666/H666</f>
        <v>2.68338505319662E-012</v>
      </c>
      <c r="G666" s="52" t="n">
        <f aca="false">G665*(1-$O$1)</f>
        <v>0.000267428705236772</v>
      </c>
      <c r="H666" s="15" t="n">
        <f aca="false">I666/G666</f>
        <v>99660950.60349</v>
      </c>
      <c r="I666" s="0" t="n">
        <f aca="false">I665</f>
        <v>26652.1989825572</v>
      </c>
      <c r="J666" s="85"/>
      <c r="K666" s="85"/>
      <c r="L666" s="85"/>
      <c r="M666" s="85"/>
      <c r="N666" s="85"/>
      <c r="O666" s="85"/>
      <c r="P666" s="85"/>
      <c r="Q666" s="85"/>
      <c r="R666" s="85"/>
    </row>
    <row r="667" customFormat="false" ht="15" hidden="false" customHeight="false" outlineLevel="0" collapsed="false">
      <c r="F667" s="99" t="n">
        <f aca="false">G667/H667</f>
        <v>2.57712300509003E-012</v>
      </c>
      <c r="G667" s="52" t="n">
        <f aca="false">G666*(1-$O$1)</f>
        <v>0.000262080131132036</v>
      </c>
      <c r="H667" s="15" t="n">
        <f aca="false">I667/G667</f>
        <v>101694847.554582</v>
      </c>
      <c r="I667" s="0" t="n">
        <f aca="false">I666</f>
        <v>26652.1989825572</v>
      </c>
      <c r="J667" s="85"/>
      <c r="K667" s="85"/>
      <c r="L667" s="85"/>
      <c r="M667" s="85"/>
      <c r="N667" s="85"/>
      <c r="O667" s="85"/>
      <c r="P667" s="85"/>
      <c r="Q667" s="85"/>
      <c r="R667" s="85"/>
    </row>
    <row r="668" customFormat="false" ht="15" hidden="false" customHeight="false" outlineLevel="0" collapsed="false">
      <c r="F668" s="99" t="n">
        <f aca="false">G668/H668</f>
        <v>2.47506893408847E-012</v>
      </c>
      <c r="G668" s="52" t="n">
        <f aca="false">G667*(1-$O$1)</f>
        <v>0.000256838528509395</v>
      </c>
      <c r="H668" s="15" t="n">
        <f aca="false">I668/G668</f>
        <v>103770252.606716</v>
      </c>
      <c r="I668" s="0" t="n">
        <f aca="false">I667</f>
        <v>26652.1989825572</v>
      </c>
      <c r="J668" s="85"/>
      <c r="K668" s="85"/>
      <c r="L668" s="85"/>
      <c r="M668" s="85"/>
      <c r="N668" s="85"/>
      <c r="O668" s="85"/>
      <c r="P668" s="85"/>
      <c r="Q668" s="85"/>
      <c r="R668" s="85"/>
    </row>
    <row r="669" customFormat="false" ht="15" hidden="false" customHeight="false" outlineLevel="0" collapsed="false">
      <c r="F669" s="99" t="n">
        <f aca="false">G669/H669</f>
        <v>2.37705620429856E-012</v>
      </c>
      <c r="G669" s="52" t="n">
        <f aca="false">G668*(1-$O$1)</f>
        <v>0.000251701757939208</v>
      </c>
      <c r="H669" s="15" t="n">
        <f aca="false">I669/G669</f>
        <v>105888012.863996</v>
      </c>
      <c r="I669" s="0" t="n">
        <f aca="false">I668</f>
        <v>26652.1989825572</v>
      </c>
      <c r="J669" s="85"/>
      <c r="K669" s="85"/>
      <c r="L669" s="85"/>
      <c r="M669" s="85"/>
      <c r="N669" s="85"/>
      <c r="O669" s="85"/>
      <c r="P669" s="85"/>
      <c r="Q669" s="85"/>
      <c r="R669" s="85"/>
    </row>
    <row r="670" customFormat="false" ht="15" hidden="false" customHeight="false" outlineLevel="0" collapsed="false">
      <c r="F670" s="99" t="n">
        <f aca="false">G670/H670</f>
        <v>2.28292477860834E-012</v>
      </c>
      <c r="G670" s="52" t="n">
        <f aca="false">G669*(1-$O$1)</f>
        <v>0.000246667722780423</v>
      </c>
      <c r="H670" s="15" t="n">
        <f aca="false">I670/G670</f>
        <v>108048992.718363</v>
      </c>
      <c r="I670" s="0" t="n">
        <f aca="false">I669</f>
        <v>26652.1989825572</v>
      </c>
      <c r="J670" s="85"/>
      <c r="K670" s="85"/>
      <c r="L670" s="85"/>
      <c r="M670" s="85"/>
      <c r="N670" s="85"/>
      <c r="O670" s="85"/>
      <c r="P670" s="85"/>
      <c r="Q670" s="85"/>
      <c r="R670" s="85"/>
    </row>
    <row r="671" customFormat="false" ht="15" hidden="false" customHeight="false" outlineLevel="0" collapsed="false">
      <c r="F671" s="99" t="n">
        <f aca="false">G671/H671</f>
        <v>2.19252095737545E-012</v>
      </c>
      <c r="G671" s="52" t="n">
        <f aca="false">G670*(1-$O$1)</f>
        <v>0.000241734368324815</v>
      </c>
      <c r="H671" s="15" t="n">
        <f aca="false">I671/G671</f>
        <v>110254074.202411</v>
      </c>
      <c r="I671" s="0" t="n">
        <f aca="false">I670</f>
        <v>26652.1989825572</v>
      </c>
      <c r="J671" s="85"/>
      <c r="K671" s="85"/>
      <c r="L671" s="85"/>
      <c r="M671" s="85"/>
      <c r="N671" s="85"/>
      <c r="O671" s="85"/>
      <c r="P671" s="85"/>
      <c r="Q671" s="85"/>
      <c r="R671" s="85"/>
    </row>
    <row r="672" customFormat="false" ht="15" hidden="false" customHeight="false" outlineLevel="0" collapsed="false">
      <c r="F672" s="99" t="n">
        <f aca="false">G672/H672</f>
        <v>2.10569712746338E-012</v>
      </c>
      <c r="G672" s="52" t="n">
        <f aca="false">G671*(1-$O$1)</f>
        <v>0.000236899680958319</v>
      </c>
      <c r="H672" s="15" t="n">
        <f aca="false">I672/G672</f>
        <v>112504157.349399</v>
      </c>
      <c r="I672" s="0" t="n">
        <f aca="false">I671</f>
        <v>26652.1989825572</v>
      </c>
      <c r="J672" s="85"/>
      <c r="K672" s="85"/>
      <c r="L672" s="85"/>
      <c r="M672" s="85"/>
      <c r="N672" s="85"/>
      <c r="O672" s="85"/>
      <c r="P672" s="85"/>
      <c r="Q672" s="85"/>
      <c r="R672" s="85"/>
    </row>
    <row r="673" customFormat="false" ht="15" hidden="false" customHeight="false" outlineLevel="0" collapsed="false">
      <c r="F673" s="99" t="n">
        <f aca="false">G673/H673</f>
        <v>2.02231152121583E-012</v>
      </c>
      <c r="G673" s="52" t="n">
        <f aca="false">G672*(1-$O$1)</f>
        <v>0.000232161687339152</v>
      </c>
      <c r="H673" s="15" t="n">
        <f aca="false">I673/G673</f>
        <v>114800160.560612</v>
      </c>
      <c r="I673" s="0" t="n">
        <f aca="false">I672</f>
        <v>26652.1989825572</v>
      </c>
      <c r="J673" s="85"/>
      <c r="K673" s="85"/>
      <c r="L673" s="85"/>
      <c r="M673" s="85"/>
      <c r="N673" s="85"/>
      <c r="O673" s="85"/>
      <c r="P673" s="85"/>
      <c r="Q673" s="85"/>
      <c r="R673" s="85"/>
    </row>
    <row r="674" customFormat="false" ht="15" hidden="false" customHeight="false" outlineLevel="0" collapsed="false">
      <c r="F674" s="99" t="n">
        <f aca="false">G674/H674</f>
        <v>1.94222798497569E-012</v>
      </c>
      <c r="G674" s="52" t="n">
        <f aca="false">G673*(1-$O$1)</f>
        <v>0.000227518453592369</v>
      </c>
      <c r="H674" s="15" t="n">
        <f aca="false">I674/G674</f>
        <v>117143020.980216</v>
      </c>
      <c r="I674" s="0" t="n">
        <f aca="false">I673</f>
        <v>26652.1989825572</v>
      </c>
      <c r="J674" s="85"/>
      <c r="K674" s="85"/>
      <c r="L674" s="85"/>
      <c r="M674" s="85"/>
      <c r="N674" s="85"/>
      <c r="O674" s="85"/>
      <c r="P674" s="85"/>
      <c r="Q674" s="85"/>
      <c r="R674" s="85"/>
    </row>
    <row r="675" customFormat="false" ht="15" hidden="false" customHeight="false" outlineLevel="0" collapsed="false">
      <c r="F675" s="99" t="n">
        <f aca="false">G675/H675</f>
        <v>1.86531575677065E-012</v>
      </c>
      <c r="G675" s="52" t="n">
        <f aca="false">G674*(1-$O$1)</f>
        <v>0.000222968084520522</v>
      </c>
      <c r="H675" s="15" t="n">
        <f aca="false">I675/G675</f>
        <v>119533694.877771</v>
      </c>
      <c r="I675" s="0" t="n">
        <f aca="false">I674</f>
        <v>26652.1989825572</v>
      </c>
      <c r="J675" s="85"/>
      <c r="K675" s="85"/>
      <c r="L675" s="85"/>
      <c r="M675" s="85"/>
      <c r="N675" s="85"/>
      <c r="O675" s="85"/>
      <c r="P675" s="85"/>
      <c r="Q675" s="85"/>
      <c r="R675" s="85"/>
    </row>
    <row r="676" customFormat="false" ht="15" hidden="false" customHeight="false" outlineLevel="0" collapsed="false">
      <c r="F676" s="99" t="n">
        <f aca="false">G676/H676</f>
        <v>1.79144925280253E-012</v>
      </c>
      <c r="G676" s="52" t="n">
        <f aca="false">G675*(1-$O$1)</f>
        <v>0.000218508722830111</v>
      </c>
      <c r="H676" s="15" t="n">
        <f aca="false">I676/G676</f>
        <v>121973158.038542</v>
      </c>
      <c r="I676" s="0" t="n">
        <f aca="false">I675</f>
        <v>26652.1989825572</v>
      </c>
      <c r="J676" s="85"/>
      <c r="K676" s="85"/>
      <c r="L676" s="85"/>
      <c r="M676" s="85"/>
      <c r="N676" s="85"/>
      <c r="O676" s="85"/>
      <c r="P676" s="85"/>
      <c r="Q676" s="85"/>
      <c r="R676" s="85"/>
    </row>
    <row r="677" customFormat="false" ht="15" hidden="false" customHeight="false" outlineLevel="0" collapsed="false">
      <c r="F677" s="99" t="n">
        <f aca="false">G677/H677</f>
        <v>1.72050786239155E-012</v>
      </c>
      <c r="G677" s="52" t="n">
        <f aca="false">G676*(1-$O$1)</f>
        <v>0.000214138548373509</v>
      </c>
      <c r="H677" s="15" t="n">
        <f aca="false">I677/G677</f>
        <v>124462406.161778</v>
      </c>
      <c r="I677" s="0" t="n">
        <f aca="false">I676</f>
        <v>26652.1989825572</v>
      </c>
      <c r="J677" s="85"/>
      <c r="K677" s="85"/>
      <c r="L677" s="85"/>
      <c r="M677" s="85"/>
      <c r="N677" s="85"/>
      <c r="O677" s="85"/>
      <c r="P677" s="85"/>
      <c r="Q677" s="85"/>
      <c r="R677" s="85"/>
    </row>
    <row r="678" customFormat="false" ht="15" hidden="false" customHeight="false" outlineLevel="0" collapsed="false">
      <c r="F678" s="99" t="n">
        <f aca="false">G678/H678</f>
        <v>1.65237575104084E-012</v>
      </c>
      <c r="G678" s="52" t="n">
        <f aca="false">G677*(1-$O$1)</f>
        <v>0.000209855777406039</v>
      </c>
      <c r="H678" s="15" t="n">
        <f aca="false">I678/G678</f>
        <v>127002455.26712</v>
      </c>
      <c r="I678" s="0" t="n">
        <f aca="false">I677</f>
        <v>26652.1989825572</v>
      </c>
      <c r="J678" s="85"/>
      <c r="K678" s="85"/>
      <c r="L678" s="85"/>
      <c r="M678" s="85"/>
      <c r="N678" s="85"/>
      <c r="O678" s="85"/>
      <c r="P678" s="85"/>
      <c r="Q678" s="85"/>
      <c r="R678" s="85"/>
    </row>
    <row r="679" customFormat="false" ht="15" hidden="false" customHeight="false" outlineLevel="0" collapsed="false">
      <c r="F679" s="99" t="n">
        <f aca="false">G679/H679</f>
        <v>1.58694167129963E-012</v>
      </c>
      <c r="G679" s="52" t="n">
        <f aca="false">G678*(1-$O$1)</f>
        <v>0.000205658661857918</v>
      </c>
      <c r="H679" s="15" t="n">
        <f aca="false">I679/G679</f>
        <v>129594342.109306</v>
      </c>
      <c r="I679" s="0" t="n">
        <f aca="false">I678</f>
        <v>26652.1989825572</v>
      </c>
      <c r="J679" s="85"/>
      <c r="K679" s="85"/>
      <c r="L679" s="85"/>
      <c r="M679" s="85"/>
      <c r="N679" s="85"/>
      <c r="O679" s="85"/>
      <c r="P679" s="85"/>
      <c r="Q679" s="85"/>
      <c r="R679" s="85"/>
    </row>
    <row r="680" customFormat="false" ht="15" hidden="false" customHeight="false" outlineLevel="0" collapsed="false">
      <c r="F680" s="99" t="n">
        <f aca="false">G680/H680</f>
        <v>1.52409878111616E-012</v>
      </c>
      <c r="G680" s="52" t="n">
        <f aca="false">G679*(1-$O$1)</f>
        <v>0.00020154548862076</v>
      </c>
      <c r="H680" s="15" t="n">
        <f aca="false">I680/G680</f>
        <v>132239124.601333</v>
      </c>
      <c r="I680" s="0" t="n">
        <f aca="false">I679</f>
        <v>26652.1989825572</v>
      </c>
      <c r="J680" s="85"/>
      <c r="K680" s="85"/>
      <c r="L680" s="85"/>
      <c r="M680" s="85"/>
      <c r="N680" s="85"/>
      <c r="O680" s="85"/>
      <c r="P680" s="85"/>
      <c r="Q680" s="85"/>
      <c r="R680" s="85"/>
    </row>
    <row r="681" customFormat="false" ht="15" hidden="false" customHeight="false" outlineLevel="0" collapsed="false">
      <c r="F681" s="99" t="n">
        <f aca="false">G681/H681</f>
        <v>1.46374446938396E-012</v>
      </c>
      <c r="G681" s="52" t="n">
        <f aca="false">G680*(1-$O$1)</f>
        <v>0.000197514578848345</v>
      </c>
      <c r="H681" s="15" t="n">
        <f aca="false">I681/G681</f>
        <v>134937882.246258</v>
      </c>
      <c r="I681" s="0" t="n">
        <f aca="false">I680</f>
        <v>26652.1989825572</v>
      </c>
      <c r="J681" s="85"/>
      <c r="K681" s="85"/>
      <c r="L681" s="85"/>
      <c r="M681" s="85"/>
      <c r="N681" s="85"/>
      <c r="O681" s="85"/>
      <c r="P681" s="85"/>
      <c r="Q681" s="85"/>
      <c r="R681" s="85"/>
    </row>
    <row r="682" customFormat="false" ht="15" hidden="false" customHeight="false" outlineLevel="0" collapsed="false">
      <c r="F682" s="99" t="n">
        <f aca="false">G682/H682</f>
        <v>1.40578018839636E-012</v>
      </c>
      <c r="G682" s="52" t="n">
        <f aca="false">G681*(1-$O$1)</f>
        <v>0.000193564287271378</v>
      </c>
      <c r="H682" s="15" t="n">
        <f aca="false">I682/G682</f>
        <v>137691716.577814</v>
      </c>
      <c r="I682" s="0" t="n">
        <f aca="false">I681</f>
        <v>26652.1989825572</v>
      </c>
      <c r="J682" s="85"/>
      <c r="K682" s="85"/>
      <c r="L682" s="85"/>
      <c r="M682" s="85"/>
      <c r="N682" s="85"/>
      <c r="O682" s="85"/>
      <c r="P682" s="85"/>
      <c r="Q682" s="85"/>
      <c r="R682" s="85"/>
    </row>
    <row r="683" customFormat="false" ht="15" hidden="false" customHeight="false" outlineLevel="0" collapsed="false">
      <c r="F683" s="99" t="n">
        <f aca="false">G683/H683</f>
        <v>1.35011129293586E-012</v>
      </c>
      <c r="G683" s="52" t="n">
        <f aca="false">G682*(1-$O$1)</f>
        <v>0.00018969300152595</v>
      </c>
      <c r="H683" s="15" t="n">
        <f aca="false">I683/G683</f>
        <v>140501751.610015</v>
      </c>
      <c r="I683" s="0" t="n">
        <f aca="false">I682</f>
        <v>26652.1989825572</v>
      </c>
      <c r="J683" s="85"/>
      <c r="K683" s="85"/>
      <c r="L683" s="85"/>
      <c r="M683" s="85"/>
      <c r="N683" s="85"/>
      <c r="O683" s="85"/>
      <c r="P683" s="85"/>
      <c r="Q683" s="85"/>
      <c r="R683" s="85"/>
    </row>
    <row r="684" customFormat="false" ht="15" hidden="false" customHeight="false" outlineLevel="0" collapsed="false">
      <c r="F684" s="99" t="n">
        <f aca="false">G684/H684</f>
        <v>1.2966468857356E-012</v>
      </c>
      <c r="G684" s="52" t="n">
        <f aca="false">G683*(1-$O$1)</f>
        <v>0.000185899141495431</v>
      </c>
      <c r="H684" s="15" t="n">
        <f aca="false">I684/G684</f>
        <v>143369134.295933</v>
      </c>
      <c r="I684" s="0" t="n">
        <f aca="false">I683</f>
        <v>26652.1989825572</v>
      </c>
      <c r="J684" s="85"/>
      <c r="K684" s="85"/>
      <c r="L684" s="85"/>
      <c r="M684" s="85"/>
      <c r="N684" s="85"/>
      <c r="O684" s="85"/>
      <c r="P684" s="85"/>
      <c r="Q684" s="85"/>
      <c r="R684" s="85"/>
    </row>
    <row r="685" customFormat="false" ht="15" hidden="false" customHeight="false" outlineLevel="0" collapsed="false">
      <c r="F685" s="99" t="n">
        <f aca="false">G685/H685</f>
        <v>1.24529966906047E-012</v>
      </c>
      <c r="G685" s="52" t="n">
        <f aca="false">G684*(1-$O$1)</f>
        <v>0.000182181158665523</v>
      </c>
      <c r="H685" s="15" t="n">
        <f aca="false">I685/G685</f>
        <v>146295034.99585</v>
      </c>
      <c r="I685" s="0" t="n">
        <f aca="false">I684</f>
        <v>26652.1989825572</v>
      </c>
      <c r="J685" s="85"/>
      <c r="K685" s="85"/>
      <c r="L685" s="85"/>
      <c r="M685" s="85"/>
      <c r="N685" s="85"/>
      <c r="O685" s="85"/>
      <c r="P685" s="85"/>
      <c r="Q685" s="85"/>
      <c r="R685" s="85"/>
    </row>
    <row r="686" customFormat="false" ht="15" hidden="false" customHeight="false" outlineLevel="0" collapsed="false">
      <c r="F686" s="99" t="n">
        <f aca="false">G686/H686</f>
        <v>1.19598580216568E-012</v>
      </c>
      <c r="G686" s="52" t="n">
        <f aca="false">G685*(1-$O$1)</f>
        <v>0.000178537535492212</v>
      </c>
      <c r="H686" s="15" t="n">
        <f aca="false">I686/G686</f>
        <v>149280647.954949</v>
      </c>
      <c r="I686" s="0" t="n">
        <f aca="false">I685</f>
        <v>26652.1989825572</v>
      </c>
      <c r="J686" s="85"/>
      <c r="K686" s="85"/>
      <c r="L686" s="85"/>
      <c r="M686" s="85"/>
      <c r="N686" s="85"/>
      <c r="O686" s="85"/>
      <c r="P686" s="85"/>
      <c r="Q686" s="85"/>
      <c r="R686" s="85"/>
    </row>
    <row r="687" customFormat="false" ht="15" hidden="false" customHeight="false" outlineLevel="0" collapsed="false">
      <c r="F687" s="99" t="n">
        <f aca="false">G687/H687</f>
        <v>1.14862476439992E-012</v>
      </c>
      <c r="G687" s="52" t="n">
        <f aca="false">G686*(1-$O$1)</f>
        <v>0.000174966784782368</v>
      </c>
      <c r="H687" s="15" t="n">
        <f aca="false">I687/G687</f>
        <v>152327191.790765</v>
      </c>
      <c r="I687" s="0" t="n">
        <f aca="false">I686</f>
        <v>26652.1989825572</v>
      </c>
      <c r="J687" s="85"/>
      <c r="K687" s="85"/>
      <c r="L687" s="85"/>
      <c r="M687" s="85"/>
      <c r="N687" s="85"/>
      <c r="O687" s="85"/>
      <c r="P687" s="85"/>
      <c r="Q687" s="85"/>
      <c r="R687" s="85"/>
    </row>
    <row r="688" customFormat="false" ht="15" hidden="false" customHeight="false" outlineLevel="0" collapsed="false">
      <c r="F688" s="99" t="n">
        <f aca="false">G688/H688</f>
        <v>1.10313922372968E-012</v>
      </c>
      <c r="G688" s="52" t="n">
        <f aca="false">G687*(1-$O$1)</f>
        <v>0.00017146744908672</v>
      </c>
      <c r="H688" s="15" t="n">
        <f aca="false">I688/G688</f>
        <v>155435909.990576</v>
      </c>
      <c r="I688" s="0" t="n">
        <f aca="false">I687</f>
        <v>26652.1989825572</v>
      </c>
      <c r="J688" s="85"/>
      <c r="K688" s="85"/>
      <c r="L688" s="85"/>
      <c r="M688" s="85"/>
      <c r="N688" s="85"/>
      <c r="O688" s="85"/>
      <c r="P688" s="85"/>
      <c r="Q688" s="85"/>
      <c r="R688" s="85"/>
    </row>
    <row r="689" customFormat="false" ht="15" hidden="false" customHeight="false" outlineLevel="0" collapsed="false">
      <c r="F689" s="99" t="n">
        <f aca="false">G689/H689</f>
        <v>1.05945491046998E-012</v>
      </c>
      <c r="G689" s="52" t="n">
        <f aca="false">G688*(1-$O$1)</f>
        <v>0.000168038100104986</v>
      </c>
      <c r="H689" s="15" t="n">
        <f aca="false">I689/G689</f>
        <v>158608071.418955</v>
      </c>
      <c r="I689" s="0" t="n">
        <f aca="false">I688</f>
        <v>26652.1989825572</v>
      </c>
      <c r="J689" s="85"/>
      <c r="K689" s="85"/>
      <c r="L689" s="85"/>
      <c r="M689" s="85"/>
      <c r="N689" s="85"/>
      <c r="O689" s="85"/>
      <c r="P689" s="85"/>
      <c r="Q689" s="85"/>
      <c r="R689" s="85"/>
    </row>
    <row r="690" customFormat="false" ht="15" hidden="false" customHeight="false" outlineLevel="0" collapsed="false">
      <c r="F690" s="99" t="n">
        <f aca="false">G690/H690</f>
        <v>1.01750049601537E-012</v>
      </c>
      <c r="G690" s="52" t="n">
        <f aca="false">G689*(1-$O$1)</f>
        <v>0.000164677338102886</v>
      </c>
      <c r="H690" s="15" t="n">
        <f aca="false">I690/G690</f>
        <v>161844970.835669</v>
      </c>
      <c r="I690" s="0" t="n">
        <f aca="false">I689</f>
        <v>26652.1989825572</v>
      </c>
      <c r="J690" s="85"/>
      <c r="K690" s="85"/>
      <c r="L690" s="85"/>
      <c r="M690" s="85"/>
      <c r="N690" s="85"/>
      <c r="O690" s="85"/>
      <c r="P690" s="85"/>
      <c r="Q690" s="85"/>
      <c r="R690" s="85"/>
    </row>
    <row r="691" customFormat="false" ht="15" hidden="false" customHeight="false" outlineLevel="0" collapsed="false">
      <c r="F691" s="99" t="n">
        <f aca="false">G691/H691</f>
        <v>9.77207476373163E-013</v>
      </c>
      <c r="G691" s="52" t="n">
        <f aca="false">G690*(1-$O$1)</f>
        <v>0.000161383791340829</v>
      </c>
      <c r="H691" s="15" t="n">
        <f aca="false">I691/G691</f>
        <v>165147929.424152</v>
      </c>
      <c r="I691" s="0" t="n">
        <f aca="false">I690</f>
        <v>26652.1989825572</v>
      </c>
      <c r="J691" s="85"/>
      <c r="K691" s="85"/>
      <c r="L691" s="85"/>
      <c r="M691" s="85"/>
      <c r="N691" s="85"/>
      <c r="O691" s="85"/>
      <c r="P691" s="85"/>
      <c r="Q691" s="85"/>
      <c r="R691" s="85"/>
    </row>
    <row r="692" customFormat="false" ht="15" hidden="false" customHeight="false" outlineLevel="0" collapsed="false">
      <c r="F692" s="99" t="n">
        <f aca="false">G692/H692</f>
        <v>9.38510060308786E-013</v>
      </c>
      <c r="G692" s="52" t="n">
        <f aca="false">G691*(1-$O$1)</f>
        <v>0.000158156115514012</v>
      </c>
      <c r="H692" s="15" t="n">
        <f aca="false">I692/G692</f>
        <v>168518295.330767</v>
      </c>
      <c r="I692" s="0" t="n">
        <f aca="false">I691</f>
        <v>26652.1989825572</v>
      </c>
      <c r="J692" s="85"/>
      <c r="K692" s="85"/>
      <c r="L692" s="85"/>
      <c r="M692" s="85"/>
      <c r="N692" s="85"/>
      <c r="O692" s="85"/>
      <c r="P692" s="85"/>
      <c r="Q692" s="85"/>
      <c r="R692" s="85"/>
    </row>
    <row r="693" customFormat="false" ht="15" hidden="false" customHeight="false" outlineLevel="0" collapsed="false">
      <c r="F693" s="99" t="n">
        <f aca="false">G693/H693</f>
        <v>9.01345061920558E-013</v>
      </c>
      <c r="G693" s="52" t="n">
        <f aca="false">G692*(1-$O$1)</f>
        <v>0.000154992993203732</v>
      </c>
      <c r="H693" s="15" t="n">
        <f aca="false">I693/G693</f>
        <v>171957444.215068</v>
      </c>
      <c r="I693" s="0" t="n">
        <f aca="false">I692</f>
        <v>26652.1989825572</v>
      </c>
      <c r="J693" s="85"/>
      <c r="K693" s="85"/>
      <c r="L693" s="85"/>
      <c r="M693" s="85"/>
      <c r="N693" s="85"/>
      <c r="O693" s="85"/>
      <c r="P693" s="85"/>
      <c r="Q693" s="85"/>
      <c r="R693" s="85"/>
    </row>
    <row r="694" customFormat="false" ht="15" hidden="false" customHeight="false" outlineLevel="0" collapsed="false">
      <c r="F694" s="99" t="n">
        <f aca="false">G694/H694</f>
        <v>8.65651797468504E-013</v>
      </c>
      <c r="G694" s="52" t="n">
        <f aca="false">G693*(1-$O$1)</f>
        <v>0.000151893133339657</v>
      </c>
      <c r="H694" s="15" t="n">
        <f aca="false">I694/G694</f>
        <v>175466779.811294</v>
      </c>
      <c r="I694" s="0" t="n">
        <f aca="false">I693</f>
        <v>26652.1989825572</v>
      </c>
      <c r="J694" s="85"/>
      <c r="K694" s="85"/>
      <c r="L694" s="85"/>
      <c r="M694" s="85"/>
      <c r="N694" s="85"/>
      <c r="O694" s="85"/>
      <c r="P694" s="85"/>
      <c r="Q694" s="85"/>
      <c r="R694" s="85"/>
    </row>
    <row r="695" customFormat="false" ht="15" hidden="false" customHeight="false" outlineLevel="0" collapsed="false">
      <c r="F695" s="99" t="n">
        <f aca="false">G695/H695</f>
        <v>8.31371986288751E-013</v>
      </c>
      <c r="G695" s="52" t="n">
        <f aca="false">G694*(1-$O$1)</f>
        <v>0.000148855270672864</v>
      </c>
      <c r="H695" s="15" t="n">
        <f aca="false">I695/G695</f>
        <v>179047734.501321</v>
      </c>
      <c r="I695" s="0" t="n">
        <f aca="false">I694</f>
        <v>26652.1989825572</v>
      </c>
      <c r="J695" s="85"/>
      <c r="K695" s="85"/>
      <c r="L695" s="85"/>
      <c r="M695" s="85"/>
      <c r="N695" s="85"/>
      <c r="O695" s="85"/>
      <c r="P695" s="85"/>
      <c r="Q695" s="85"/>
      <c r="R695" s="85"/>
    </row>
    <row r="696" customFormat="false" ht="15" hidden="false" customHeight="false" outlineLevel="0" collapsed="false">
      <c r="F696" s="99" t="n">
        <f aca="false">G696/H696</f>
        <v>7.98449655631716E-013</v>
      </c>
      <c r="G696" s="52" t="n">
        <f aca="false">G695*(1-$O$1)</f>
        <v>0.000145878165259407</v>
      </c>
      <c r="H696" s="15" t="n">
        <f aca="false">I696/G696</f>
        <v>182701769.899307</v>
      </c>
      <c r="I696" s="0" t="n">
        <f aca="false">I695</f>
        <v>26652.1989825572</v>
      </c>
      <c r="J696" s="85"/>
      <c r="K696" s="85"/>
      <c r="L696" s="85"/>
      <c r="M696" s="85"/>
      <c r="N696" s="85"/>
      <c r="O696" s="85"/>
      <c r="P696" s="85"/>
      <c r="Q696" s="85"/>
      <c r="R696" s="85"/>
    </row>
    <row r="697" customFormat="false" ht="15" hidden="false" customHeight="false" outlineLevel="0" collapsed="false">
      <c r="F697" s="99" t="n">
        <f aca="false">G697/H697</f>
        <v>7.66831049268701E-013</v>
      </c>
      <c r="G697" s="52" t="n">
        <f aca="false">G696*(1-$O$1)</f>
        <v>0.000142960601954219</v>
      </c>
      <c r="H697" s="15" t="n">
        <f aca="false">I697/G697</f>
        <v>186430377.448272</v>
      </c>
      <c r="I697" s="0" t="n">
        <f aca="false">I696</f>
        <v>26652.1989825572</v>
      </c>
      <c r="J697" s="85"/>
      <c r="K697" s="85"/>
      <c r="L697" s="85"/>
      <c r="M697" s="85"/>
      <c r="N697" s="85"/>
      <c r="O697" s="85"/>
      <c r="P697" s="85"/>
      <c r="Q697" s="85"/>
      <c r="R697" s="85"/>
    </row>
    <row r="698" customFormat="false" ht="15" hidden="false" customHeight="false" outlineLevel="0" collapsed="false">
      <c r="F698" s="99" t="n">
        <f aca="false">G698/H698</f>
        <v>7.3646453971766E-013</v>
      </c>
      <c r="G698" s="52" t="n">
        <f aca="false">G697*(1-$O$1)</f>
        <v>0.000140101389915134</v>
      </c>
      <c r="H698" s="15" t="n">
        <f aca="false">I698/G698</f>
        <v>190235079.028849</v>
      </c>
      <c r="I698" s="0" t="n">
        <f aca="false">I697</f>
        <v>26652.1989825572</v>
      </c>
      <c r="J698" s="85"/>
      <c r="K698" s="85"/>
      <c r="L698" s="85"/>
      <c r="M698" s="85"/>
      <c r="N698" s="85"/>
      <c r="O698" s="85"/>
      <c r="P698" s="85"/>
      <c r="Q698" s="85"/>
      <c r="R698" s="85"/>
    </row>
    <row r="699" customFormat="false" ht="15" hidden="false" customHeight="false" outlineLevel="0" collapsed="false">
      <c r="F699" s="99" t="n">
        <f aca="false">G699/H699</f>
        <v>7.07300543944841E-013</v>
      </c>
      <c r="G699" s="52" t="n">
        <f aca="false">G698*(1-$O$1)</f>
        <v>0.000137299362116832</v>
      </c>
      <c r="H699" s="15" t="n">
        <f aca="false">I699/G699</f>
        <v>194117427.580459</v>
      </c>
      <c r="I699" s="0" t="n">
        <f aca="false">I698</f>
        <v>26652.1989825572</v>
      </c>
      <c r="J699" s="85"/>
      <c r="K699" s="85"/>
      <c r="L699" s="85"/>
      <c r="M699" s="85"/>
      <c r="N699" s="85"/>
      <c r="O699" s="85"/>
      <c r="P699" s="85"/>
      <c r="Q699" s="85"/>
      <c r="R699" s="85"/>
    </row>
    <row r="700" customFormat="false" ht="15" hidden="false" customHeight="false" outlineLevel="0" collapsed="false">
      <c r="F700" s="99" t="n">
        <f aca="false">G700/H700</f>
        <v>6.79291442404625E-013</v>
      </c>
      <c r="G700" s="52" t="n">
        <f aca="false">G699*(1-$O$1)</f>
        <v>0.000134553374874495</v>
      </c>
      <c r="H700" s="15" t="n">
        <f aca="false">I700/G700</f>
        <v>198079007.735162</v>
      </c>
      <c r="I700" s="0" t="n">
        <f aca="false">I699</f>
        <v>26652.1989825572</v>
      </c>
      <c r="J700" s="85"/>
      <c r="K700" s="85"/>
      <c r="L700" s="85"/>
      <c r="M700" s="85"/>
      <c r="N700" s="85"/>
      <c r="O700" s="85"/>
      <c r="P700" s="85"/>
      <c r="Q700" s="85"/>
      <c r="R700" s="85"/>
    </row>
    <row r="701" customFormat="false" ht="15" hidden="false" customHeight="false" outlineLevel="0" collapsed="false">
      <c r="F701" s="99" t="n">
        <f aca="false">G701/H701</f>
        <v>6.52391501285402E-013</v>
      </c>
      <c r="G701" s="52" t="n">
        <f aca="false">G700*(1-$O$1)</f>
        <v>0.000131862307377005</v>
      </c>
      <c r="H701" s="15" t="n">
        <f aca="false">I701/G701</f>
        <v>202121436.464451</v>
      </c>
      <c r="I701" s="0" t="n">
        <f aca="false">I700</f>
        <v>26652.1989825572</v>
      </c>
      <c r="J701" s="85"/>
      <c r="K701" s="85"/>
      <c r="L701" s="85"/>
      <c r="M701" s="85"/>
      <c r="N701" s="85"/>
      <c r="O701" s="85"/>
      <c r="P701" s="85"/>
      <c r="Q701" s="85"/>
      <c r="R701" s="85"/>
    </row>
    <row r="702" customFormat="false" ht="15" hidden="false" customHeight="false" outlineLevel="0" collapsed="false">
      <c r="F702" s="99" t="n">
        <f aca="false">G702/H702</f>
        <v>6.265567978345E-013</v>
      </c>
      <c r="G702" s="52" t="n">
        <f aca="false">G701*(1-$O$1)</f>
        <v>0.000129225061229465</v>
      </c>
      <c r="H702" s="15" t="n">
        <f aca="false">I702/G702</f>
        <v>206246363.739235</v>
      </c>
      <c r="I702" s="0" t="n">
        <f aca="false">I701</f>
        <v>26652.1989825572</v>
      </c>
      <c r="J702" s="85"/>
      <c r="K702" s="85"/>
      <c r="L702" s="85"/>
      <c r="M702" s="85"/>
      <c r="N702" s="85"/>
      <c r="O702" s="85"/>
      <c r="P702" s="85"/>
      <c r="Q702" s="85"/>
      <c r="R702" s="85"/>
    </row>
    <row r="703" customFormat="false" ht="15" hidden="false" customHeight="false" outlineLevel="0" collapsed="false">
      <c r="F703" s="99" t="n">
        <f aca="false">G703/H703</f>
        <v>6.01745148640254E-013</v>
      </c>
      <c r="G703" s="52" t="n">
        <f aca="false">G702*(1-$O$1)</f>
        <v>0.000126640560004876</v>
      </c>
      <c r="H703" s="15" t="n">
        <f aca="false">I703/G703</f>
        <v>210455473.203302</v>
      </c>
      <c r="I703" s="0" t="n">
        <f aca="false">I702</f>
        <v>26652.1989825572</v>
      </c>
      <c r="J703" s="85"/>
      <c r="K703" s="85"/>
      <c r="L703" s="85"/>
      <c r="M703" s="85"/>
      <c r="N703" s="85"/>
      <c r="O703" s="85"/>
      <c r="P703" s="85"/>
      <c r="Q703" s="85"/>
      <c r="R703" s="85"/>
    </row>
    <row r="704" customFormat="false" ht="15" hidden="false" customHeight="false" outlineLevel="0" collapsed="false">
      <c r="F704" s="99" t="n">
        <f aca="false">G704/H704</f>
        <v>5.779160407541E-013</v>
      </c>
      <c r="G704" s="52" t="n">
        <f aca="false">G703*(1-$O$1)</f>
        <v>0.000124107748804778</v>
      </c>
      <c r="H704" s="15" t="n">
        <f aca="false">I704/G704</f>
        <v>214750482.860512</v>
      </c>
      <c r="I704" s="0" t="n">
        <f aca="false">I703</f>
        <v>26652.1989825572</v>
      </c>
      <c r="J704" s="85"/>
      <c r="K704" s="85"/>
      <c r="L704" s="85"/>
      <c r="M704" s="85"/>
      <c r="N704" s="85"/>
      <c r="O704" s="85"/>
      <c r="P704" s="85"/>
      <c r="Q704" s="85"/>
      <c r="R704" s="85"/>
    </row>
    <row r="705" customFormat="false" ht="15" hidden="false" customHeight="false" outlineLevel="0" collapsed="false">
      <c r="F705" s="99" t="n">
        <f aca="false">G705/H705</f>
        <v>5.55030565540237E-013</v>
      </c>
      <c r="G705" s="52" t="n">
        <f aca="false">G704*(1-$O$1)</f>
        <v>0.000121625593828683</v>
      </c>
      <c r="H705" s="15" t="n">
        <f aca="false">I705/G705</f>
        <v>219133145.776032</v>
      </c>
      <c r="I705" s="0" t="n">
        <f aca="false">I704</f>
        <v>26652.1989825572</v>
      </c>
      <c r="J705" s="85"/>
      <c r="K705" s="85"/>
      <c r="L705" s="85"/>
      <c r="M705" s="85"/>
      <c r="N705" s="85"/>
      <c r="O705" s="85"/>
      <c r="P705" s="85"/>
      <c r="Q705" s="85"/>
      <c r="R705" s="85"/>
    </row>
    <row r="706" customFormat="false" ht="15" hidden="false" customHeight="false" outlineLevel="0" collapsed="false">
      <c r="F706" s="99" t="n">
        <f aca="false">G706/H706</f>
        <v>5.33051355144844E-013</v>
      </c>
      <c r="G706" s="52" t="n">
        <f aca="false">G705*(1-$O$1)</f>
        <v>0.000119193081952109</v>
      </c>
      <c r="H706" s="15" t="n">
        <f aca="false">I706/G706</f>
        <v>223605250.79187</v>
      </c>
      <c r="I706" s="0" t="n">
        <f aca="false">I705</f>
        <v>26652.1989825572</v>
      </c>
      <c r="J706" s="85"/>
      <c r="K706" s="85"/>
      <c r="L706" s="85"/>
      <c r="M706" s="85"/>
      <c r="N706" s="85"/>
      <c r="O706" s="85"/>
      <c r="P706" s="85"/>
      <c r="Q706" s="85"/>
      <c r="R706" s="85"/>
    </row>
    <row r="707" customFormat="false" ht="15" hidden="false" customHeight="false" outlineLevel="0" collapsed="false">
      <c r="F707" s="99" t="n">
        <f aca="false">G707/H707</f>
        <v>5.11942521481108E-013</v>
      </c>
      <c r="G707" s="52" t="n">
        <f aca="false">G706*(1-$O$1)</f>
        <v>0.000116809220313067</v>
      </c>
      <c r="H707" s="15" t="n">
        <f aca="false">I707/G707</f>
        <v>228168623.25701</v>
      </c>
      <c r="I707" s="0" t="n">
        <f aca="false">I706</f>
        <v>26652.1989825572</v>
      </c>
      <c r="J707" s="85"/>
      <c r="K707" s="85"/>
      <c r="L707" s="85"/>
      <c r="M707" s="85"/>
      <c r="N707" s="85"/>
      <c r="O707" s="85"/>
      <c r="P707" s="85"/>
      <c r="Q707" s="85"/>
      <c r="R707" s="85"/>
    </row>
    <row r="708" customFormat="false" ht="15" hidden="false" customHeight="false" outlineLevel="0" collapsed="false">
      <c r="F708" s="99" t="n">
        <f aca="false">G708/H708</f>
        <v>4.91669597630456E-013</v>
      </c>
      <c r="G708" s="52" t="n">
        <f aca="false">G707*(1-$O$1)</f>
        <v>0.000114473035906805</v>
      </c>
      <c r="H708" s="15" t="n">
        <f aca="false">I708/G708</f>
        <v>232825125.772459</v>
      </c>
      <c r="I708" s="0" t="n">
        <f aca="false">I707</f>
        <v>26652.1989825572</v>
      </c>
      <c r="J708" s="85"/>
      <c r="K708" s="85"/>
      <c r="L708" s="85"/>
      <c r="M708" s="85"/>
      <c r="N708" s="85"/>
      <c r="O708" s="85"/>
      <c r="P708" s="85"/>
      <c r="Q708" s="85"/>
      <c r="R708" s="85"/>
    </row>
    <row r="709" customFormat="false" ht="15" hidden="false" customHeight="false" outlineLevel="0" collapsed="false">
      <c r="F709" s="99" t="n">
        <f aca="false">G709/H709</f>
        <v>4.7219948156429E-013</v>
      </c>
      <c r="G709" s="52" t="n">
        <f aca="false">G708*(1-$O$1)</f>
        <v>0.000112183575188669</v>
      </c>
      <c r="H709" s="15" t="n">
        <f aca="false">I709/G709</f>
        <v>237576658.951489</v>
      </c>
      <c r="I709" s="0" t="n">
        <f aca="false">I708</f>
        <v>26652.1989825572</v>
      </c>
      <c r="J709" s="85"/>
      <c r="K709" s="85"/>
      <c r="L709" s="85"/>
      <c r="M709" s="85"/>
      <c r="N709" s="85"/>
      <c r="O709" s="85"/>
      <c r="P709" s="85"/>
      <c r="Q709" s="85"/>
      <c r="R709" s="85"/>
    </row>
    <row r="710" customFormat="false" ht="15" hidden="false" customHeight="false" outlineLevel="0" collapsed="false">
      <c r="F710" s="99" t="n">
        <f aca="false">G710/H710</f>
        <v>4.53500382094344E-013</v>
      </c>
      <c r="G710" s="52" t="n">
        <f aca="false">G709*(1-$O$1)</f>
        <v>0.000109939903684896</v>
      </c>
      <c r="H710" s="15" t="n">
        <f aca="false">I710/G710</f>
        <v>242425162.195397</v>
      </c>
      <c r="I710" s="0" t="n">
        <f aca="false">I709</f>
        <v>26652.1989825572</v>
      </c>
      <c r="J710" s="85"/>
      <c r="K710" s="85"/>
      <c r="L710" s="85"/>
      <c r="M710" s="85"/>
      <c r="N710" s="85"/>
      <c r="O710" s="85"/>
      <c r="P710" s="85"/>
      <c r="Q710" s="85"/>
      <c r="R710" s="85"/>
    </row>
    <row r="711" customFormat="false" ht="15" hidden="false" customHeight="false" outlineLevel="0" collapsed="false">
      <c r="F711" s="99" t="n">
        <f aca="false">G711/H711</f>
        <v>4.35541766963408E-013</v>
      </c>
      <c r="G711" s="52" t="n">
        <f aca="false">G710*(1-$O$1)</f>
        <v>0.000107741105611198</v>
      </c>
      <c r="H711" s="15" t="n">
        <f aca="false">I711/G711</f>
        <v>247372614.485099</v>
      </c>
      <c r="I711" s="0" t="n">
        <f aca="false">I710</f>
        <v>26652.1989825572</v>
      </c>
      <c r="J711" s="85"/>
      <c r="K711" s="85"/>
      <c r="L711" s="85"/>
      <c r="M711" s="85"/>
      <c r="N711" s="85"/>
      <c r="O711" s="85"/>
      <c r="P711" s="85"/>
      <c r="Q711" s="85"/>
      <c r="R711" s="85"/>
    </row>
    <row r="712" customFormat="false" ht="15" hidden="false" customHeight="false" outlineLevel="0" collapsed="false">
      <c r="F712" s="99" t="n">
        <f aca="false">G712/H712</f>
        <v>4.18294312991657E-013</v>
      </c>
      <c r="G712" s="52" t="n">
        <f aca="false">G711*(1-$O$1)</f>
        <v>0.000105586283498974</v>
      </c>
      <c r="H712" s="15" t="n">
        <f aca="false">I712/G712</f>
        <v>252421035.188876</v>
      </c>
      <c r="I712" s="0" t="n">
        <f aca="false">I711</f>
        <v>26652.1989825572</v>
      </c>
      <c r="J712" s="85"/>
      <c r="K712" s="85"/>
      <c r="L712" s="85"/>
      <c r="M712" s="85"/>
      <c r="N712" s="85"/>
      <c r="O712" s="85"/>
      <c r="P712" s="85"/>
      <c r="Q712" s="85"/>
      <c r="R712" s="85"/>
    </row>
    <row r="713" customFormat="false" ht="15" hidden="false" customHeight="false" outlineLevel="0" collapsed="false">
      <c r="F713" s="99" t="n">
        <f aca="false">G713/H713</f>
        <v>4.01729858197188E-013</v>
      </c>
      <c r="G713" s="52" t="n">
        <f aca="false">G712*(1-$O$1)</f>
        <v>0.000103474557828995</v>
      </c>
      <c r="H713" s="15" t="n">
        <f aca="false">I713/G713</f>
        <v>257572484.886609</v>
      </c>
      <c r="I713" s="0" t="n">
        <f aca="false">I712</f>
        <v>26652.1989825572</v>
      </c>
      <c r="J713" s="85"/>
      <c r="K713" s="85"/>
      <c r="L713" s="85"/>
      <c r="M713" s="85"/>
      <c r="N713" s="85"/>
      <c r="O713" s="85"/>
      <c r="P713" s="85"/>
      <c r="Q713" s="85"/>
      <c r="R713" s="85"/>
    </row>
    <row r="714" customFormat="false" ht="15" hidden="false" customHeight="false" outlineLevel="0" collapsed="false">
      <c r="F714" s="99" t="n">
        <f aca="false">G714/H714</f>
        <v>3.85821355812579E-013</v>
      </c>
      <c r="G714" s="52" t="n">
        <f aca="false">G713*(1-$O$1)</f>
        <v>0.000101405066672415</v>
      </c>
      <c r="H714" s="15" t="n">
        <f aca="false">I714/G714</f>
        <v>262829066.210825</v>
      </c>
      <c r="I714" s="0" t="n">
        <f aca="false">I713</f>
        <v>26652.1989825572</v>
      </c>
      <c r="J714" s="85"/>
      <c r="K714" s="85"/>
      <c r="L714" s="85"/>
      <c r="M714" s="85"/>
      <c r="N714" s="85"/>
      <c r="O714" s="85"/>
      <c r="P714" s="85"/>
      <c r="Q714" s="85"/>
      <c r="R714" s="85"/>
    </row>
    <row r="715" customFormat="false" ht="15" hidden="false" customHeight="false" outlineLevel="0" collapsed="false">
      <c r="F715" s="99" t="n">
        <f aca="false">G715/H715</f>
        <v>3.70542830122401E-013</v>
      </c>
      <c r="G715" s="52" t="n">
        <f aca="false">G714*(1-$O$1)</f>
        <v>9.93769653389663E-005</v>
      </c>
      <c r="H715" s="15" t="n">
        <f aca="false">I715/G715</f>
        <v>268192924.704924</v>
      </c>
      <c r="I715" s="0" t="n">
        <f aca="false">I714</f>
        <v>26652.1989825572</v>
      </c>
      <c r="J715" s="85"/>
      <c r="K715" s="85"/>
      <c r="L715" s="85"/>
      <c r="M715" s="85"/>
      <c r="N715" s="85"/>
      <c r="O715" s="85"/>
      <c r="P715" s="85"/>
      <c r="Q715" s="85"/>
      <c r="R715" s="85"/>
    </row>
    <row r="716" customFormat="false" ht="15" hidden="false" customHeight="false" outlineLevel="0" collapsed="false">
      <c r="F716" s="99" t="n">
        <f aca="false">G716/H716</f>
        <v>3.55869334049554E-013</v>
      </c>
      <c r="G716" s="52" t="n">
        <f aca="false">G715*(1-$O$1)</f>
        <v>9.7389426032187E-005</v>
      </c>
      <c r="H716" s="15" t="n">
        <f aca="false">I716/G716</f>
        <v>273666249.698902</v>
      </c>
      <c r="I716" s="0" t="n">
        <f aca="false">I715</f>
        <v>26652.1989825572</v>
      </c>
      <c r="J716" s="85"/>
      <c r="K716" s="85"/>
      <c r="L716" s="85"/>
      <c r="M716" s="85"/>
      <c r="N716" s="85"/>
      <c r="O716" s="85"/>
      <c r="P716" s="85"/>
      <c r="Q716" s="85"/>
      <c r="R716" s="85"/>
    </row>
    <row r="717" customFormat="false" ht="15" hidden="false" customHeight="false" outlineLevel="0" collapsed="false">
      <c r="F717" s="99" t="n">
        <f aca="false">G717/H717</f>
        <v>3.41776908421191E-013</v>
      </c>
      <c r="G717" s="52" t="n">
        <f aca="false">G716*(1-$O$1)</f>
        <v>9.54416375115432E-005</v>
      </c>
      <c r="H717" s="15" t="n">
        <f aca="false">I717/G717</f>
        <v>279251275.202961</v>
      </c>
      <c r="I717" s="0" t="n">
        <f aca="false">I716</f>
        <v>26652.1989825572</v>
      </c>
      <c r="J717" s="85"/>
      <c r="K717" s="85"/>
      <c r="L717" s="85"/>
      <c r="M717" s="85"/>
      <c r="N717" s="85"/>
      <c r="O717" s="85"/>
      <c r="P717" s="85"/>
      <c r="Q717" s="85"/>
      <c r="R717" s="85"/>
    </row>
    <row r="718" customFormat="false" ht="15" hidden="false" customHeight="false" outlineLevel="0" collapsed="false">
      <c r="F718" s="99" t="n">
        <f aca="false">G718/H718</f>
        <v>3.28242542847712E-013</v>
      </c>
      <c r="G718" s="52" t="n">
        <f aca="false">G717*(1-$O$1)</f>
        <v>9.35328047613124E-005</v>
      </c>
      <c r="H718" s="15" t="n">
        <f aca="false">I718/G718</f>
        <v>284950280.819348</v>
      </c>
      <c r="I718" s="0" t="n">
        <f aca="false">I717</f>
        <v>26652.1989825572</v>
      </c>
      <c r="J718" s="85"/>
      <c r="K718" s="85"/>
      <c r="L718" s="85"/>
      <c r="M718" s="85"/>
      <c r="N718" s="85"/>
      <c r="O718" s="85"/>
      <c r="P718" s="85"/>
      <c r="Q718" s="85"/>
      <c r="R718" s="85"/>
    </row>
    <row r="719" customFormat="false" ht="15" hidden="false" customHeight="false" outlineLevel="0" collapsed="false">
      <c r="F719" s="99" t="n">
        <f aca="false">G719/H719</f>
        <v>3.15244138150943E-013</v>
      </c>
      <c r="G719" s="52" t="n">
        <f aca="false">G718*(1-$O$1)</f>
        <v>9.16621486660861E-005</v>
      </c>
      <c r="H719" s="15" t="n">
        <f aca="false">I719/G719</f>
        <v>290765592.672804</v>
      </c>
      <c r="I719" s="0" t="n">
        <f aca="false">I718</f>
        <v>26652.1989825572</v>
      </c>
      <c r="J719" s="85"/>
      <c r="K719" s="85"/>
      <c r="L719" s="85"/>
      <c r="M719" s="85"/>
      <c r="N719" s="85"/>
      <c r="O719" s="85"/>
      <c r="P719" s="85"/>
      <c r="Q719" s="85"/>
      <c r="R719" s="85"/>
    </row>
    <row r="720" customFormat="false" ht="15" hidden="false" customHeight="false" outlineLevel="0" collapsed="false">
      <c r="F720" s="99" t="n">
        <f aca="false">G720/H720</f>
        <v>3.02760470280165E-013</v>
      </c>
      <c r="G720" s="52" t="n">
        <f aca="false">G719*(1-$O$1)</f>
        <v>8.98289056927644E-005</v>
      </c>
      <c r="H720" s="15" t="n">
        <f aca="false">I720/G720</f>
        <v>296699584.360004</v>
      </c>
      <c r="I720" s="0" t="n">
        <f aca="false">I719</f>
        <v>26652.1989825572</v>
      </c>
      <c r="J720" s="85"/>
      <c r="K720" s="85"/>
      <c r="L720" s="85"/>
      <c r="M720" s="85"/>
      <c r="N720" s="85"/>
      <c r="O720" s="85"/>
      <c r="P720" s="85"/>
      <c r="Q720" s="85"/>
      <c r="R720" s="85"/>
    </row>
    <row r="721" customFormat="false" ht="15" hidden="false" customHeight="false" outlineLevel="0" collapsed="false">
      <c r="F721" s="99" t="n">
        <f aca="false">G721/H721</f>
        <v>2.90771155657071E-013</v>
      </c>
      <c r="G721" s="52" t="n">
        <f aca="false">G720*(1-$O$1)</f>
        <v>8.80323275789091E-005</v>
      </c>
      <c r="H721" s="15" t="n">
        <f aca="false">I721/G721</f>
        <v>302754677.918371</v>
      </c>
      <c r="I721" s="0" t="n">
        <f aca="false">I720</f>
        <v>26652.1989825572</v>
      </c>
      <c r="J721" s="85"/>
      <c r="K721" s="85"/>
      <c r="L721" s="85"/>
      <c r="M721" s="85"/>
      <c r="N721" s="85"/>
      <c r="O721" s="85"/>
      <c r="P721" s="85"/>
      <c r="Q721" s="85"/>
      <c r="R721" s="85"/>
    </row>
    <row r="722" customFormat="false" ht="15" hidden="false" customHeight="false" outlineLevel="0" collapsed="false">
      <c r="F722" s="99" t="n">
        <f aca="false">G722/H722</f>
        <v>2.79256617893051E-013</v>
      </c>
      <c r="G722" s="52" t="n">
        <f aca="false">G721*(1-$O$1)</f>
        <v>8.62716810273309E-005</v>
      </c>
      <c r="H722" s="15" t="n">
        <f aca="false">I722/G722</f>
        <v>308933344.814665</v>
      </c>
      <c r="I722" s="0" t="n">
        <f aca="false">I721</f>
        <v>26652.1989825572</v>
      </c>
      <c r="J722" s="85"/>
      <c r="K722" s="85"/>
      <c r="L722" s="85"/>
      <c r="M722" s="85"/>
      <c r="N722" s="85"/>
      <c r="O722" s="85"/>
      <c r="P722" s="85"/>
      <c r="Q722" s="85"/>
      <c r="R722" s="85"/>
    </row>
    <row r="723" customFormat="false" ht="15" hidden="false" customHeight="false" outlineLevel="0" collapsed="false">
      <c r="F723" s="99" t="n">
        <f aca="false">G723/H723</f>
        <v>2.68198055824486E-013</v>
      </c>
      <c r="G723" s="52" t="n">
        <f aca="false">G722*(1-$O$1)</f>
        <v>8.45462474067843E-005</v>
      </c>
      <c r="H723" s="15" t="n">
        <f aca="false">I723/G723</f>
        <v>315238106.953739</v>
      </c>
      <c r="I723" s="0" t="n">
        <f aca="false">I722</f>
        <v>26652.1989825572</v>
      </c>
      <c r="J723" s="85"/>
      <c r="K723" s="85"/>
      <c r="L723" s="85"/>
      <c r="M723" s="85"/>
      <c r="N723" s="85"/>
      <c r="O723" s="85"/>
      <c r="P723" s="85"/>
      <c r="Q723" s="85"/>
      <c r="R723" s="85"/>
    </row>
    <row r="724" customFormat="false" ht="15" hidden="false" customHeight="false" outlineLevel="0" collapsed="false">
      <c r="F724" s="99" t="n">
        <f aca="false">G724/H724</f>
        <v>2.57577412813836E-013</v>
      </c>
      <c r="G724" s="52" t="n">
        <f aca="false">G723*(1-$O$1)</f>
        <v>8.28553224586486E-005</v>
      </c>
      <c r="H724" s="15" t="n">
        <f aca="false">I724/G724</f>
        <v>321671537.707897</v>
      </c>
      <c r="I724" s="0" t="n">
        <f aca="false">I723</f>
        <v>26652.1989825572</v>
      </c>
      <c r="J724" s="85"/>
      <c r="K724" s="85"/>
      <c r="L724" s="85"/>
      <c r="M724" s="85"/>
      <c r="N724" s="85"/>
      <c r="O724" s="85"/>
      <c r="P724" s="85"/>
      <c r="Q724" s="85"/>
      <c r="R724" s="85"/>
    </row>
    <row r="725" customFormat="false" ht="15" hidden="false" customHeight="false" outlineLevel="0" collapsed="false">
      <c r="F725" s="99" t="n">
        <f aca="false">G725/H725</f>
        <v>2.47377347266408E-013</v>
      </c>
      <c r="G725" s="52" t="n">
        <f aca="false">G724*(1-$O$1)</f>
        <v>8.11982160094756E-005</v>
      </c>
      <c r="H725" s="15" t="n">
        <f aca="false">I725/G725</f>
        <v>328236262.967242</v>
      </c>
      <c r="I725" s="0" t="n">
        <f aca="false">I724</f>
        <v>26652.1989825572</v>
      </c>
      <c r="J725" s="85"/>
      <c r="K725" s="85"/>
      <c r="L725" s="85"/>
      <c r="M725" s="85"/>
      <c r="N725" s="85"/>
      <c r="O725" s="85"/>
      <c r="P725" s="85"/>
      <c r="Q725" s="85"/>
      <c r="R725" s="85"/>
    </row>
    <row r="726" customFormat="false" ht="15" hidden="false" customHeight="false" outlineLevel="0" collapsed="false">
      <c r="F726" s="99" t="n">
        <f aca="false">G726/H726</f>
        <v>2.37581204314659E-013</v>
      </c>
      <c r="G726" s="52" t="n">
        <f aca="false">G725*(1-$O$1)</f>
        <v>7.95742516892861E-005</v>
      </c>
      <c r="H726" s="15" t="n">
        <f aca="false">I726/G726</f>
        <v>334934962.211472</v>
      </c>
      <c r="I726" s="0" t="n">
        <f aca="false">I725</f>
        <v>26652.1989825572</v>
      </c>
      <c r="J726" s="85"/>
      <c r="K726" s="85"/>
      <c r="L726" s="85"/>
      <c r="M726" s="85"/>
      <c r="N726" s="85"/>
      <c r="O726" s="85"/>
      <c r="P726" s="85"/>
      <c r="Q726" s="85"/>
      <c r="R726" s="85"/>
    </row>
    <row r="727" customFormat="false" ht="15" hidden="false" customHeight="false" outlineLevel="0" collapsed="false">
      <c r="F727" s="99" t="n">
        <f aca="false">G727/H727</f>
        <v>2.28172988623798E-013</v>
      </c>
      <c r="G727" s="52" t="n">
        <f aca="false">G726*(1-$O$1)</f>
        <v>7.79827666555004E-005</v>
      </c>
      <c r="H727" s="15" t="n">
        <f aca="false">I727/G727</f>
        <v>341770369.603543</v>
      </c>
      <c r="I727" s="0" t="n">
        <f aca="false">I726</f>
        <v>26652.1989825572</v>
      </c>
      <c r="J727" s="85"/>
      <c r="K727" s="85"/>
      <c r="L727" s="85"/>
      <c r="M727" s="85"/>
      <c r="N727" s="85"/>
      <c r="O727" s="85"/>
      <c r="P727" s="85"/>
      <c r="Q727" s="85"/>
      <c r="R727" s="85"/>
    </row>
    <row r="728" customFormat="false" ht="15" hidden="false" customHeight="false" outlineLevel="0" collapsed="false">
      <c r="F728" s="99" t="n">
        <f aca="false">G728/H728</f>
        <v>2.19137338274296E-013</v>
      </c>
      <c r="G728" s="52" t="n">
        <f aca="false">G727*(1-$O$1)</f>
        <v>7.64231113223904E-005</v>
      </c>
      <c r="H728" s="15" t="n">
        <f aca="false">I728/G728</f>
        <v>348745275.105656</v>
      </c>
      <c r="I728" s="0" t="n">
        <f aca="false">I727</f>
        <v>26652.1989825572</v>
      </c>
      <c r="J728" s="85"/>
      <c r="K728" s="85"/>
      <c r="L728" s="85"/>
      <c r="M728" s="85"/>
      <c r="N728" s="85"/>
      <c r="O728" s="85"/>
      <c r="P728" s="85"/>
      <c r="Q728" s="85"/>
      <c r="R728" s="85"/>
    </row>
    <row r="729" customFormat="false" ht="15" hidden="false" customHeight="false" outlineLevel="0" collapsed="false">
      <c r="F729" s="99" t="n">
        <f aca="false">G729/H729</f>
        <v>2.10459499678634E-013</v>
      </c>
      <c r="G729" s="52" t="n">
        <f aca="false">G728*(1-$O$1)</f>
        <v>7.48946490959426E-005</v>
      </c>
      <c r="H729" s="15" t="n">
        <f aca="false">I729/G729</f>
        <v>355862525.618016</v>
      </c>
      <c r="I729" s="0" t="n">
        <f aca="false">I728</f>
        <v>26652.1989825572</v>
      </c>
      <c r="J729" s="85"/>
      <c r="K729" s="85"/>
      <c r="L729" s="85"/>
      <c r="M729" s="85"/>
      <c r="N729" s="85"/>
      <c r="O729" s="85"/>
      <c r="P729" s="85"/>
      <c r="Q729" s="85"/>
      <c r="R729" s="85"/>
    </row>
    <row r="730" customFormat="false" ht="15" hidden="false" customHeight="false" outlineLevel="0" collapsed="false">
      <c r="F730" s="99" t="n">
        <f aca="false">G730/H730</f>
        <v>2.0212530349136E-013</v>
      </c>
      <c r="G730" s="52" t="n">
        <f aca="false">G729*(1-$O$1)</f>
        <v>7.33967561140237E-005</v>
      </c>
      <c r="H730" s="15" t="n">
        <f aca="false">I730/G730</f>
        <v>363125026.140833</v>
      </c>
      <c r="I730" s="0" t="n">
        <f aca="false">I729</f>
        <v>26652.1989825572</v>
      </c>
      <c r="J730" s="85"/>
      <c r="K730" s="85"/>
      <c r="L730" s="85"/>
      <c r="M730" s="85"/>
      <c r="N730" s="85"/>
      <c r="O730" s="85"/>
      <c r="P730" s="85"/>
      <c r="Q730" s="85"/>
      <c r="R730" s="85"/>
    </row>
    <row r="731" customFormat="false" ht="15" hidden="false" customHeight="false" outlineLevel="0" collapsed="false">
      <c r="F731" s="99" t="n">
        <f aca="false">G731/H731</f>
        <v>1.94121141473102E-013</v>
      </c>
      <c r="G731" s="52" t="n">
        <f aca="false">G730*(1-$O$1)</f>
        <v>7.19288209917433E-005</v>
      </c>
      <c r="H731" s="15" t="n">
        <f aca="false">I731/G731</f>
        <v>370535740.960033</v>
      </c>
      <c r="I731" s="0" t="n">
        <f aca="false">I730</f>
        <v>26652.1989825572</v>
      </c>
      <c r="J731" s="85"/>
      <c r="K731" s="85"/>
      <c r="L731" s="85"/>
      <c r="M731" s="85"/>
      <c r="N731" s="85"/>
      <c r="O731" s="85"/>
      <c r="P731" s="85"/>
      <c r="Q731" s="85"/>
      <c r="R731" s="85"/>
    </row>
    <row r="732" customFormat="false" ht="15" hidden="false" customHeight="false" outlineLevel="0" collapsed="false">
      <c r="F732" s="99" t="n">
        <f aca="false">G732/H732</f>
        <v>1.86433944270767E-013</v>
      </c>
      <c r="G732" s="52" t="n">
        <f aca="false">G731*(1-$O$1)</f>
        <v>7.04902445719084E-005</v>
      </c>
      <c r="H732" s="15" t="n">
        <f aca="false">I732/G732</f>
        <v>378097694.857177</v>
      </c>
      <c r="I732" s="0" t="n">
        <f aca="false">I731</f>
        <v>26652.1989825572</v>
      </c>
      <c r="J732" s="85"/>
      <c r="K732" s="85"/>
      <c r="L732" s="85"/>
      <c r="M732" s="85"/>
      <c r="N732" s="85"/>
      <c r="O732" s="85"/>
      <c r="P732" s="85"/>
      <c r="Q732" s="85"/>
      <c r="R732" s="85"/>
    </row>
    <row r="733" customFormat="false" ht="15" hidden="false" customHeight="false" outlineLevel="0" collapsed="false">
      <c r="F733" s="99" t="n">
        <f aca="false">G733/H733</f>
        <v>1.79051160077645E-013</v>
      </c>
      <c r="G733" s="52" t="n">
        <f aca="false">G732*(1-$O$1)</f>
        <v>6.90804396804702E-005</v>
      </c>
      <c r="H733" s="15" t="n">
        <f aca="false">I733/G733</f>
        <v>385813974.344058</v>
      </c>
      <c r="I733" s="0" t="n">
        <f aca="false">I732</f>
        <v>26652.1989825572</v>
      </c>
      <c r="J733" s="85"/>
      <c r="K733" s="85"/>
      <c r="L733" s="85"/>
      <c r="M733" s="85"/>
      <c r="N733" s="85"/>
      <c r="O733" s="85"/>
      <c r="P733" s="85"/>
      <c r="Q733" s="85"/>
      <c r="R733" s="85"/>
    </row>
    <row r="734" customFormat="false" ht="15" hidden="false" customHeight="false" outlineLevel="0" collapsed="false">
      <c r="F734" s="99" t="n">
        <f aca="false">G734/H734</f>
        <v>1.7196073413857E-013</v>
      </c>
      <c r="G734" s="52" t="n">
        <f aca="false">G733*(1-$O$1)</f>
        <v>6.76988308868608E-005</v>
      </c>
      <c r="H734" s="15" t="n">
        <f aca="false">I734/G734</f>
        <v>393687728.922508</v>
      </c>
      <c r="I734" s="0" t="n">
        <f aca="false">I733</f>
        <v>26652.1989825572</v>
      </c>
      <c r="J734" s="85"/>
      <c r="K734" s="85"/>
      <c r="L734" s="85"/>
      <c r="M734" s="85"/>
      <c r="N734" s="85"/>
      <c r="O734" s="85"/>
      <c r="P734" s="85"/>
      <c r="Q734" s="85"/>
      <c r="R734" s="85"/>
    </row>
    <row r="735" customFormat="false" ht="15" hidden="false" customHeight="false" outlineLevel="0" collapsed="false">
      <c r="F735" s="99" t="n">
        <f aca="false">G735/H735</f>
        <v>1.65151089066683E-013</v>
      </c>
      <c r="G735" s="52" t="n">
        <f aca="false">G734*(1-$O$1)</f>
        <v>6.63448542691236E-005</v>
      </c>
      <c r="H735" s="15" t="n">
        <f aca="false">I735/G735</f>
        <v>401722172.369907</v>
      </c>
      <c r="I735" s="0" t="n">
        <f aca="false">I734</f>
        <v>26652.1989825572</v>
      </c>
      <c r="J735" s="85"/>
      <c r="K735" s="85"/>
      <c r="L735" s="85"/>
      <c r="M735" s="85"/>
      <c r="N735" s="85"/>
      <c r="O735" s="85"/>
      <c r="P735" s="85"/>
      <c r="Q735" s="85"/>
      <c r="R735" s="85"/>
    </row>
    <row r="736" customFormat="false" ht="15" hidden="false" customHeight="false" outlineLevel="0" collapsed="false">
      <c r="F736" s="99" t="n">
        <f aca="false">G736/H736</f>
        <v>1.58611105939642E-013</v>
      </c>
      <c r="G736" s="52" t="n">
        <f aca="false">G735*(1-$O$1)</f>
        <v>6.50179571837411E-005</v>
      </c>
      <c r="H736" s="15" t="n">
        <f aca="false">I736/G736</f>
        <v>409920584.050925</v>
      </c>
      <c r="I736" s="0" t="n">
        <f aca="false">I735</f>
        <v>26652.1989825572</v>
      </c>
      <c r="J736" s="85"/>
      <c r="K736" s="85"/>
      <c r="L736" s="85"/>
      <c r="M736" s="85"/>
      <c r="N736" s="85"/>
      <c r="O736" s="85"/>
      <c r="P736" s="85"/>
      <c r="Q736" s="85"/>
      <c r="R736" s="85"/>
    </row>
    <row r="737" customFormat="false" ht="15" hidden="false" customHeight="false" outlineLevel="0" collapsed="false">
      <c r="F737" s="99" t="n">
        <f aca="false">G737/H737</f>
        <v>1.52330106144432E-013</v>
      </c>
      <c r="G737" s="52" t="n">
        <f aca="false">G736*(1-$O$1)</f>
        <v>6.37175980400663E-005</v>
      </c>
      <c r="H737" s="15" t="n">
        <f aca="false">I737/G737</f>
        <v>418286310.256046</v>
      </c>
      <c r="I737" s="0" t="n">
        <f aca="false">I736</f>
        <v>26652.1989825572</v>
      </c>
      <c r="J737" s="85"/>
      <c r="K737" s="85"/>
      <c r="L737" s="85"/>
      <c r="M737" s="85"/>
      <c r="N737" s="85"/>
      <c r="O737" s="85"/>
      <c r="P737" s="85"/>
      <c r="Q737" s="85"/>
      <c r="R737" s="85"/>
    </row>
    <row r="738" customFormat="false" ht="15" hidden="false" customHeight="false" outlineLevel="0" collapsed="false">
      <c r="F738" s="99" t="n">
        <f aca="false">G738/H738</f>
        <v>1.46297833941113E-013</v>
      </c>
      <c r="G738" s="52" t="n">
        <f aca="false">G737*(1-$O$1)</f>
        <v>6.2443246079265E-005</v>
      </c>
      <c r="H738" s="15" t="n">
        <f aca="false">I738/G738</f>
        <v>426822765.567394</v>
      </c>
      <c r="I738" s="0" t="n">
        <f aca="false">I737</f>
        <v>26652.1989825572</v>
      </c>
      <c r="J738" s="85"/>
      <c r="K738" s="85"/>
      <c r="L738" s="85"/>
      <c r="M738" s="85"/>
      <c r="N738" s="85"/>
      <c r="O738" s="85"/>
      <c r="P738" s="85"/>
      <c r="Q738" s="85"/>
      <c r="R738" s="85"/>
    </row>
    <row r="739" customFormat="false" ht="15" hidden="false" customHeight="false" outlineLevel="0" collapsed="false">
      <c r="F739" s="99" t="n">
        <f aca="false">G739/H739</f>
        <v>1.40504439717045E-013</v>
      </c>
      <c r="G739" s="52" t="n">
        <f aca="false">G738*(1-$O$1)</f>
        <v>6.11943811576797E-005</v>
      </c>
      <c r="H739" s="15" t="n">
        <f aca="false">I739/G739</f>
        <v>435533434.252443</v>
      </c>
      <c r="I739" s="0" t="n">
        <f aca="false">I738</f>
        <v>26652.1989825572</v>
      </c>
      <c r="J739" s="85"/>
      <c r="K739" s="85"/>
      <c r="L739" s="85"/>
      <c r="M739" s="85"/>
      <c r="N739" s="85"/>
      <c r="O739" s="85"/>
      <c r="P739" s="85"/>
      <c r="Q739" s="85"/>
      <c r="R739" s="85"/>
    </row>
    <row r="740" customFormat="false" ht="15" hidden="false" customHeight="false" outlineLevel="0" collapsed="false">
      <c r="F740" s="99" t="n">
        <f aca="false">G740/H740</f>
        <v>1.3494046390425E-013</v>
      </c>
      <c r="G740" s="52" t="n">
        <f aca="false">G739*(1-$O$1)</f>
        <v>5.99704935345261E-005</v>
      </c>
      <c r="H740" s="15" t="n">
        <f aca="false">I740/G740</f>
        <v>444421871.686166</v>
      </c>
      <c r="I740" s="0" t="n">
        <f aca="false">I739</f>
        <v>26652.1989825572</v>
      </c>
      <c r="J740" s="85"/>
      <c r="K740" s="85"/>
      <c r="L740" s="85"/>
      <c r="M740" s="85"/>
      <c r="N740" s="85"/>
      <c r="O740" s="85"/>
      <c r="P740" s="85"/>
      <c r="Q740" s="85"/>
      <c r="R740" s="85"/>
    </row>
    <row r="741" customFormat="false" ht="15" hidden="false" customHeight="false" outlineLevel="0" collapsed="false">
      <c r="F741" s="99" t="n">
        <f aca="false">G741/H741</f>
        <v>1.29596821533641E-013</v>
      </c>
      <c r="G741" s="52" t="n">
        <f aca="false">G740*(1-$O$1)</f>
        <v>5.87710836638356E-005</v>
      </c>
      <c r="H741" s="15" t="n">
        <f aca="false">I741/G741</f>
        <v>453491705.80221</v>
      </c>
      <c r="I741" s="0" t="n">
        <f aca="false">I740</f>
        <v>26652.1989825572</v>
      </c>
      <c r="J741" s="85"/>
      <c r="K741" s="85"/>
      <c r="L741" s="85"/>
      <c r="M741" s="85"/>
      <c r="N741" s="85"/>
      <c r="O741" s="85"/>
      <c r="P741" s="85"/>
      <c r="Q741" s="85"/>
      <c r="R741" s="85"/>
    </row>
    <row r="742" customFormat="false" ht="15" hidden="false" customHeight="false" outlineLevel="0" collapsed="false">
      <c r="F742" s="99" t="n">
        <f aca="false">G742/H742</f>
        <v>1.24464787400909E-013</v>
      </c>
      <c r="G742" s="52" t="n">
        <f aca="false">G741*(1-$O$1)</f>
        <v>5.75956619905589E-005</v>
      </c>
      <c r="H742" s="15" t="n">
        <f aca="false">I742/G742</f>
        <v>462746638.573684</v>
      </c>
      <c r="I742" s="0" t="n">
        <f aca="false">I741</f>
        <v>26652.1989825572</v>
      </c>
      <c r="J742" s="85"/>
      <c r="K742" s="85"/>
      <c r="L742" s="85"/>
      <c r="M742" s="85"/>
      <c r="N742" s="85"/>
      <c r="O742" s="85"/>
      <c r="P742" s="85"/>
      <c r="Q742" s="85"/>
      <c r="R742" s="85"/>
    </row>
    <row r="743" customFormat="false" ht="15" hidden="false" customHeight="false" outlineLevel="0" collapsed="false">
      <c r="F743" s="99" t="n">
        <f aca="false">G743/H743</f>
        <v>1.19535981819833E-013</v>
      </c>
      <c r="G743" s="52" t="n">
        <f aca="false">G742*(1-$O$1)</f>
        <v>5.64437487507477E-005</v>
      </c>
      <c r="H743" s="15" t="n">
        <f aca="false">I743/G743</f>
        <v>472190447.524167</v>
      </c>
      <c r="I743" s="0" t="n">
        <f aca="false">I742</f>
        <v>26652.1989825572</v>
      </c>
      <c r="J743" s="85"/>
      <c r="K743" s="85"/>
      <c r="L743" s="85"/>
      <c r="M743" s="85"/>
      <c r="N743" s="85"/>
      <c r="O743" s="85"/>
      <c r="P743" s="85"/>
      <c r="Q743" s="85"/>
      <c r="R743" s="85"/>
    </row>
    <row r="744" customFormat="false" ht="15" hidden="false" customHeight="false" outlineLevel="0" collapsed="false">
      <c r="F744" s="99" t="n">
        <f aca="false">G744/H744</f>
        <v>1.14802356939768E-013</v>
      </c>
      <c r="G744" s="52" t="n">
        <f aca="false">G743*(1-$O$1)</f>
        <v>5.53148737757327E-005</v>
      </c>
      <c r="H744" s="15" t="n">
        <f aca="false">I744/G744</f>
        <v>481826987.269558</v>
      </c>
      <c r="I744" s="0" t="n">
        <f aca="false">I743</f>
        <v>26652.1989825572</v>
      </c>
      <c r="J744" s="85"/>
      <c r="K744" s="85"/>
      <c r="L744" s="85"/>
      <c r="M744" s="85"/>
      <c r="N744" s="85"/>
      <c r="O744" s="85"/>
      <c r="P744" s="85"/>
      <c r="Q744" s="85"/>
      <c r="R744" s="85"/>
    </row>
    <row r="745" customFormat="false" ht="15" hidden="false" customHeight="false" outlineLevel="0" collapsed="false">
      <c r="F745" s="99" t="n">
        <f aca="false">G745/H745</f>
        <v>1.10256183604953E-013</v>
      </c>
      <c r="G745" s="52" t="n">
        <f aca="false">G744*(1-$O$1)</f>
        <v>5.42085763002181E-005</v>
      </c>
      <c r="H745" s="15" t="n">
        <f aca="false">I745/G745</f>
        <v>491660191.091386</v>
      </c>
      <c r="I745" s="0" t="n">
        <f aca="false">I744</f>
        <v>26652.1989825572</v>
      </c>
      <c r="J745" s="85"/>
      <c r="K745" s="85"/>
      <c r="L745" s="85"/>
      <c r="M745" s="85"/>
      <c r="N745" s="85"/>
      <c r="O745" s="85"/>
      <c r="P745" s="85"/>
      <c r="Q745" s="85"/>
      <c r="R745" s="85"/>
    </row>
    <row r="746" customFormat="false" ht="15" hidden="false" customHeight="false" outlineLevel="0" collapsed="false">
      <c r="F746" s="99" t="n">
        <f aca="false">G746/H746</f>
        <v>1.05890038734197E-013</v>
      </c>
      <c r="G746" s="52" t="n">
        <f aca="false">G745*(1-$O$1)</f>
        <v>5.31244047742137E-005</v>
      </c>
      <c r="H746" s="15" t="n">
        <f aca="false">I746/G746</f>
        <v>501694072.542231</v>
      </c>
      <c r="I746" s="0" t="n">
        <f aca="false">I745</f>
        <v>26652.1989825572</v>
      </c>
      <c r="J746" s="85"/>
      <c r="K746" s="85"/>
      <c r="L746" s="85"/>
      <c r="M746" s="85"/>
      <c r="N746" s="85"/>
      <c r="O746" s="85"/>
      <c r="P746" s="85"/>
      <c r="Q746" s="85"/>
      <c r="R746" s="85"/>
    </row>
    <row r="747" customFormat="false" ht="15" hidden="false" customHeight="false" outlineLevel="0" collapsed="false">
      <c r="F747" s="99" t="n">
        <f aca="false">G747/H747</f>
        <v>1.01696793200323E-013</v>
      </c>
      <c r="G747" s="52" t="n">
        <f aca="false">G746*(1-$O$1)</f>
        <v>5.20619166787294E-005</v>
      </c>
      <c r="H747" s="15" t="n">
        <f aca="false">I747/G747</f>
        <v>511932727.083909</v>
      </c>
      <c r="I747" s="0" t="n">
        <f aca="false">I746</f>
        <v>26652.1989825572</v>
      </c>
      <c r="J747" s="85"/>
      <c r="K747" s="85"/>
      <c r="L747" s="85"/>
      <c r="M747" s="85"/>
      <c r="N747" s="85"/>
      <c r="O747" s="85"/>
      <c r="P747" s="85"/>
      <c r="Q747" s="85"/>
      <c r="R747" s="85"/>
    </row>
    <row r="748" customFormat="false" ht="15" hidden="false" customHeight="false" outlineLevel="0" collapsed="false">
      <c r="F748" s="99" t="n">
        <f aca="false">G748/H748</f>
        <v>9.76696001895898E-014</v>
      </c>
      <c r="G748" s="52" t="n">
        <f aca="false">G747*(1-$O$1)</f>
        <v>5.10206783451549E-005</v>
      </c>
      <c r="H748" s="15" t="n">
        <f aca="false">I748/G748</f>
        <v>522380333.759091</v>
      </c>
      <c r="I748" s="0" t="n">
        <f aca="false">I747</f>
        <v>26652.1989825572</v>
      </c>
      <c r="J748" s="85"/>
      <c r="K748" s="85"/>
      <c r="L748" s="85"/>
      <c r="M748" s="85"/>
      <c r="N748" s="85"/>
      <c r="O748" s="85"/>
      <c r="P748" s="85"/>
      <c r="Q748" s="85"/>
      <c r="R748" s="85"/>
    </row>
    <row r="749" customFormat="false" ht="15" hidden="false" customHeight="false" outlineLevel="0" collapsed="false">
      <c r="F749" s="99" t="n">
        <f aca="false">G749/H749</f>
        <v>9.3801884022082E-014</v>
      </c>
      <c r="G749" s="52" t="n">
        <f aca="false">G748*(1-$O$1)</f>
        <v>5.00002647782518E-005</v>
      </c>
      <c r="H749" s="15" t="n">
        <f aca="false">I749/G749</f>
        <v>533041156.897031</v>
      </c>
      <c r="I749" s="0" t="n">
        <f aca="false">I748</f>
        <v>26652.1989825572</v>
      </c>
      <c r="J749" s="85"/>
      <c r="K749" s="85"/>
      <c r="L749" s="85"/>
      <c r="M749" s="85"/>
      <c r="N749" s="85"/>
      <c r="O749" s="85"/>
      <c r="P749" s="85"/>
      <c r="Q749" s="85"/>
      <c r="R749" s="85"/>
    </row>
    <row r="750" customFormat="false" ht="15" hidden="false" customHeight="false" outlineLevel="0" collapsed="false">
      <c r="F750" s="99" t="n">
        <f aca="false">G750/H750</f>
        <v>9.00873294148076E-014</v>
      </c>
      <c r="G750" s="52" t="n">
        <f aca="false">G749*(1-$O$1)</f>
        <v>4.90002594826867E-005</v>
      </c>
      <c r="H750" s="15" t="n">
        <f aca="false">I750/G750</f>
        <v>543919547.854113</v>
      </c>
      <c r="I750" s="0" t="n">
        <f aca="false">I749</f>
        <v>26652.1989825572</v>
      </c>
      <c r="J750" s="85"/>
      <c r="K750" s="85"/>
      <c r="L750" s="85"/>
      <c r="M750" s="85"/>
      <c r="N750" s="85"/>
      <c r="O750" s="85"/>
      <c r="P750" s="85"/>
      <c r="Q750" s="85"/>
      <c r="R750" s="85"/>
    </row>
    <row r="751" customFormat="false" ht="15" hidden="false" customHeight="false" outlineLevel="0" collapsed="false">
      <c r="F751" s="99" t="n">
        <f aca="false">G751/H751</f>
        <v>8.65198711699812E-014</v>
      </c>
      <c r="G751" s="52" t="n">
        <f aca="false">G750*(1-$O$1)</f>
        <v>4.8020254293033E-005</v>
      </c>
      <c r="H751" s="15" t="n">
        <f aca="false">I751/G751</f>
        <v>555019946.789912</v>
      </c>
      <c r="I751" s="0" t="n">
        <f aca="false">I750</f>
        <v>26652.1989825572</v>
      </c>
      <c r="J751" s="85"/>
      <c r="K751" s="85"/>
      <c r="L751" s="85"/>
      <c r="M751" s="85"/>
      <c r="N751" s="85"/>
      <c r="O751" s="85"/>
      <c r="P751" s="85"/>
      <c r="Q751" s="85"/>
      <c r="R751" s="85"/>
    </row>
    <row r="752" customFormat="false" ht="15" hidden="false" customHeight="false" outlineLevel="0" collapsed="false">
      <c r="F752" s="99" t="n">
        <f aca="false">G752/H752</f>
        <v>8.309368427165E-014</v>
      </c>
      <c r="G752" s="52" t="n">
        <f aca="false">G751*(1-$O$1)</f>
        <v>4.70598492071723E-005</v>
      </c>
      <c r="H752" s="15" t="n">
        <f aca="false">I752/G752</f>
        <v>566346884.479502</v>
      </c>
      <c r="I752" s="0" t="n">
        <f aca="false">I751</f>
        <v>26652.1989825572</v>
      </c>
      <c r="J752" s="85"/>
      <c r="K752" s="85"/>
      <c r="L752" s="85"/>
      <c r="M752" s="85"/>
      <c r="N752" s="85"/>
      <c r="O752" s="85"/>
      <c r="P752" s="85"/>
      <c r="Q752" s="85"/>
      <c r="R752" s="85"/>
    </row>
    <row r="753" customFormat="false" ht="15" hidden="false" customHeight="false" outlineLevel="0" collapsed="false">
      <c r="F753" s="99" t="n">
        <f aca="false">G753/H753</f>
        <v>7.98031743744926E-014</v>
      </c>
      <c r="G753" s="52" t="n">
        <f aca="false">G752*(1-$O$1)</f>
        <v>4.61186522230289E-005</v>
      </c>
      <c r="H753" s="15" t="n">
        <f aca="false">I753/G753</f>
        <v>577904984.162757</v>
      </c>
      <c r="I753" s="0" t="n">
        <f aca="false">I752</f>
        <v>26652.1989825572</v>
      </c>
      <c r="J753" s="85"/>
      <c r="K753" s="85"/>
      <c r="L753" s="85"/>
      <c r="M753" s="85"/>
      <c r="N753" s="85"/>
      <c r="O753" s="85"/>
      <c r="P753" s="85"/>
      <c r="Q753" s="85"/>
      <c r="R753" s="85"/>
    </row>
    <row r="754" customFormat="false" ht="15" hidden="false" customHeight="false" outlineLevel="0" collapsed="false">
      <c r="F754" s="99" t="n">
        <f aca="false">G754/H754</f>
        <v>7.66429686692627E-014</v>
      </c>
      <c r="G754" s="52" t="n">
        <f aca="false">G753*(1-$O$1)</f>
        <v>4.51962791785683E-005</v>
      </c>
      <c r="H754" s="15" t="n">
        <f aca="false">I754/G754</f>
        <v>589698963.431385</v>
      </c>
      <c r="I754" s="0" t="n">
        <f aca="false">I753</f>
        <v>26652.1989825572</v>
      </c>
      <c r="J754" s="85"/>
      <c r="K754" s="85"/>
      <c r="L754" s="85"/>
      <c r="M754" s="85"/>
      <c r="N754" s="85"/>
      <c r="O754" s="85"/>
      <c r="P754" s="85"/>
      <c r="Q754" s="85"/>
      <c r="R754" s="85"/>
    </row>
    <row r="755" customFormat="false" ht="15" hidden="false" customHeight="false" outlineLevel="0" collapsed="false">
      <c r="F755" s="99" t="n">
        <f aca="false">G755/H755</f>
        <v>7.36079071099599E-014</v>
      </c>
      <c r="G755" s="52" t="n">
        <f aca="false">G754*(1-$O$1)</f>
        <v>4.42923535949969E-005</v>
      </c>
      <c r="H755" s="15" t="n">
        <f aca="false">I755/G755</f>
        <v>601733636.154474</v>
      </c>
      <c r="I755" s="0" t="n">
        <f aca="false">I754</f>
        <v>26652.1989825572</v>
      </c>
      <c r="J755" s="85"/>
      <c r="K755" s="85"/>
      <c r="L755" s="85"/>
      <c r="M755" s="85"/>
      <c r="N755" s="85"/>
      <c r="O755" s="85"/>
      <c r="P755" s="85"/>
      <c r="Q755" s="85"/>
      <c r="R755" s="85"/>
    </row>
    <row r="756" customFormat="false" ht="15" hidden="false" customHeight="false" outlineLevel="0" collapsed="false">
      <c r="F756" s="99" t="n">
        <f aca="false">G756/H756</f>
        <v>7.06930339884055E-014</v>
      </c>
      <c r="G756" s="52" t="n">
        <f aca="false">G755*(1-$O$1)</f>
        <v>4.3406506523097E-005</v>
      </c>
      <c r="H756" s="15" t="n">
        <f aca="false">I756/G756</f>
        <v>614013914.443341</v>
      </c>
      <c r="I756" s="0" t="n">
        <f aca="false">I755</f>
        <v>26652.1989825572</v>
      </c>
      <c r="J756" s="85"/>
      <c r="K756" s="85"/>
      <c r="L756" s="85"/>
      <c r="M756" s="85"/>
      <c r="N756" s="85"/>
      <c r="O756" s="85"/>
      <c r="P756" s="85"/>
      <c r="Q756" s="85"/>
      <c r="R756" s="85"/>
    </row>
    <row r="757" customFormat="false" ht="15" hidden="false" customHeight="false" outlineLevel="0" collapsed="false">
      <c r="F757" s="99" t="n">
        <f aca="false">G757/H757</f>
        <v>6.78935898424646E-014</v>
      </c>
      <c r="G757" s="52" t="n">
        <f aca="false">G756*(1-$O$1)</f>
        <v>4.25383763926351E-005</v>
      </c>
      <c r="H757" s="15" t="n">
        <f aca="false">I757/G757</f>
        <v>626544810.65647</v>
      </c>
      <c r="I757" s="0" t="n">
        <f aca="false">I756</f>
        <v>26652.1989825572</v>
      </c>
      <c r="J757" s="85"/>
      <c r="K757" s="85"/>
      <c r="L757" s="85"/>
      <c r="M757" s="85"/>
      <c r="N757" s="85"/>
      <c r="O757" s="85"/>
      <c r="P757" s="85"/>
      <c r="Q757" s="85"/>
      <c r="R757" s="85"/>
    </row>
    <row r="758" customFormat="false" ht="15" hidden="false" customHeight="false" outlineLevel="0" collapsed="false">
      <c r="F758" s="99" t="n">
        <f aca="false">G758/H758</f>
        <v>6.5205003684703E-014</v>
      </c>
      <c r="G758" s="52" t="n">
        <f aca="false">G757*(1-$O$1)</f>
        <v>4.16876088647823E-005</v>
      </c>
      <c r="H758" s="15" t="n">
        <f aca="false">I758/G758</f>
        <v>639331439.445378</v>
      </c>
      <c r="I758" s="0" t="n">
        <f aca="false">I757</f>
        <v>26652.1989825572</v>
      </c>
      <c r="J758" s="85"/>
      <c r="K758" s="85"/>
      <c r="L758" s="85"/>
      <c r="M758" s="85"/>
      <c r="N758" s="85"/>
      <c r="O758" s="85"/>
      <c r="P758" s="85"/>
      <c r="Q758" s="85"/>
      <c r="R758" s="85"/>
    </row>
    <row r="759" customFormat="false" ht="15" hidden="false" customHeight="false" outlineLevel="0" collapsed="false">
      <c r="F759" s="99" t="n">
        <f aca="false">G759/H759</f>
        <v>6.26228855387888E-014</v>
      </c>
      <c r="G759" s="52" t="n">
        <f aca="false">G758*(1-$O$1)</f>
        <v>4.08538566874867E-005</v>
      </c>
      <c r="H759" s="15" t="n">
        <f aca="false">I759/G759</f>
        <v>652379019.842222</v>
      </c>
      <c r="I759" s="0" t="n">
        <f aca="false">I758</f>
        <v>26652.1989825572</v>
      </c>
      <c r="J759" s="85"/>
      <c r="K759" s="85"/>
      <c r="L759" s="85"/>
      <c r="M759" s="85"/>
      <c r="N759" s="85"/>
      <c r="O759" s="85"/>
      <c r="P759" s="85"/>
      <c r="Q759" s="85"/>
      <c r="R759" s="85"/>
    </row>
    <row r="760" customFormat="false" ht="15" hidden="false" customHeight="false" outlineLevel="0" collapsed="false">
      <c r="F760" s="99" t="n">
        <f aca="false">G760/H760</f>
        <v>6.01430192714528E-014</v>
      </c>
      <c r="G760" s="52" t="n">
        <f aca="false">G759*(1-$O$1)</f>
        <v>4.0036779553737E-005</v>
      </c>
      <c r="H760" s="15" t="n">
        <f aca="false">I760/G760</f>
        <v>665692877.390023</v>
      </c>
      <c r="I760" s="0" t="n">
        <f aca="false">I759</f>
        <v>26652.1989825572</v>
      </c>
      <c r="J760" s="85"/>
      <c r="K760" s="85"/>
      <c r="L760" s="85"/>
      <c r="M760" s="85"/>
      <c r="N760" s="85"/>
      <c r="O760" s="85"/>
      <c r="P760" s="85"/>
      <c r="Q760" s="85"/>
      <c r="R760" s="85"/>
    </row>
    <row r="761" customFormat="false" ht="15" hidden="false" customHeight="false" outlineLevel="0" collapsed="false">
      <c r="F761" s="99" t="n">
        <f aca="false">G761/H761</f>
        <v>5.77613557083032E-014</v>
      </c>
      <c r="G761" s="52" t="n">
        <f aca="false">G760*(1-$O$1)</f>
        <v>3.92360439626622E-005</v>
      </c>
      <c r="H761" s="15" t="n">
        <f aca="false">I761/G761</f>
        <v>679278446.31635</v>
      </c>
      <c r="I761" s="0" t="n">
        <f aca="false">I760</f>
        <v>26652.1989825572</v>
      </c>
      <c r="J761" s="85"/>
      <c r="K761" s="85"/>
      <c r="L761" s="85"/>
      <c r="M761" s="85"/>
      <c r="N761" s="85"/>
      <c r="O761" s="85"/>
      <c r="P761" s="85"/>
      <c r="Q761" s="85"/>
      <c r="R761" s="85"/>
    </row>
    <row r="762" customFormat="false" ht="15" hidden="false" customHeight="false" outlineLevel="0" collapsed="false">
      <c r="F762" s="99" t="n">
        <f aca="false">G762/H762</f>
        <v>5.54740060222544E-014</v>
      </c>
      <c r="G762" s="52" t="n">
        <f aca="false">G761*(1-$O$1)</f>
        <v>3.8451323083409E-005</v>
      </c>
      <c r="H762" s="15" t="n">
        <f aca="false">I762/G762</f>
        <v>693141271.751377</v>
      </c>
      <c r="I762" s="0" t="n">
        <f aca="false">I761</f>
        <v>26652.1989825572</v>
      </c>
      <c r="J762" s="85"/>
      <c r="K762" s="85"/>
      <c r="L762" s="85"/>
      <c r="M762" s="85"/>
      <c r="N762" s="85"/>
      <c r="O762" s="85"/>
      <c r="P762" s="85"/>
      <c r="Q762" s="85"/>
      <c r="R762" s="85"/>
    </row>
    <row r="763" customFormat="false" ht="15" hidden="false" customHeight="false" outlineLevel="0" collapsed="false">
      <c r="F763" s="99" t="n">
        <f aca="false">G763/H763</f>
        <v>5.32772353837731E-014</v>
      </c>
      <c r="G763" s="52" t="n">
        <f aca="false">G762*(1-$O$1)</f>
        <v>3.76822966217408E-005</v>
      </c>
      <c r="H763" s="15" t="n">
        <f aca="false">I763/G763</f>
        <v>707287011.991202</v>
      </c>
      <c r="I763" s="0" t="n">
        <f aca="false">I762</f>
        <v>26652.1989825572</v>
      </c>
      <c r="J763" s="85"/>
      <c r="K763" s="85"/>
      <c r="L763" s="85"/>
      <c r="M763" s="85"/>
      <c r="N763" s="85"/>
      <c r="O763" s="85"/>
      <c r="P763" s="85"/>
      <c r="Q763" s="85"/>
      <c r="R763" s="85"/>
    </row>
    <row r="764" customFormat="false" ht="15" hidden="false" customHeight="false" outlineLevel="0" collapsed="false">
      <c r="F764" s="99" t="n">
        <f aca="false">G764/H764</f>
        <v>5.11674568625757E-014</v>
      </c>
      <c r="G764" s="52" t="n">
        <f aca="false">G763*(1-$O$1)</f>
        <v>3.6928650689306E-005</v>
      </c>
      <c r="H764" s="15" t="n">
        <f aca="false">I764/G764</f>
        <v>721721440.807348</v>
      </c>
      <c r="I764" s="0" t="n">
        <f aca="false">I763</f>
        <v>26652.1989825572</v>
      </c>
      <c r="J764" s="85"/>
      <c r="K764" s="85"/>
      <c r="L764" s="85"/>
      <c r="M764" s="85"/>
      <c r="N764" s="85"/>
      <c r="O764" s="85"/>
      <c r="P764" s="85"/>
      <c r="Q764" s="85"/>
      <c r="R764" s="85"/>
    </row>
    <row r="765" customFormat="false" ht="15" hidden="false" customHeight="false" outlineLevel="0" collapsed="false">
      <c r="F765" s="99" t="n">
        <f aca="false">G765/H765</f>
        <v>4.91412255708177E-014</v>
      </c>
      <c r="G765" s="52" t="n">
        <f aca="false">G764*(1-$O$1)</f>
        <v>3.61900776755199E-005</v>
      </c>
      <c r="H765" s="15" t="n">
        <f aca="false">I765/G765</f>
        <v>736450449.803417</v>
      </c>
      <c r="I765" s="0" t="n">
        <f aca="false">I764</f>
        <v>26652.1989825572</v>
      </c>
      <c r="J765" s="85"/>
      <c r="K765" s="85"/>
      <c r="L765" s="85"/>
      <c r="M765" s="85"/>
      <c r="N765" s="85"/>
      <c r="O765" s="85"/>
      <c r="P765" s="85"/>
      <c r="Q765" s="85"/>
      <c r="R765" s="85"/>
    </row>
    <row r="766" customFormat="false" ht="15" hidden="false" customHeight="false" outlineLevel="0" collapsed="false">
      <c r="F766" s="99" t="n">
        <f aca="false">G766/H766</f>
        <v>4.71952330382133E-014</v>
      </c>
      <c r="G766" s="52" t="n">
        <f aca="false">G765*(1-$O$1)</f>
        <v>3.54662761220095E-005</v>
      </c>
      <c r="H766" s="15" t="n">
        <f aca="false">I766/G766</f>
        <v>751480050.819813</v>
      </c>
      <c r="I766" s="0" t="n">
        <f aca="false">I765</f>
        <v>26652.1989825572</v>
      </c>
      <c r="J766" s="85"/>
      <c r="K766" s="85"/>
      <c r="L766" s="85"/>
      <c r="M766" s="85"/>
      <c r="N766" s="85"/>
      <c r="O766" s="85"/>
      <c r="P766" s="85"/>
      <c r="Q766" s="85"/>
      <c r="R766" s="85"/>
    </row>
    <row r="767" customFormat="false" ht="15" hidden="false" customHeight="false" outlineLevel="0" collapsed="false">
      <c r="F767" s="99" t="n">
        <f aca="false">G767/H767</f>
        <v>4.53263018099001E-014</v>
      </c>
      <c r="G767" s="52" t="n">
        <f aca="false">G766*(1-$O$1)</f>
        <v>3.47569505995693E-005</v>
      </c>
      <c r="H767" s="15" t="n">
        <f aca="false">I767/G767</f>
        <v>766816378.387564</v>
      </c>
      <c r="I767" s="0" t="n">
        <f aca="false">I766</f>
        <v>26652.1989825572</v>
      </c>
      <c r="J767" s="85"/>
      <c r="K767" s="85"/>
      <c r="L767" s="85"/>
      <c r="M767" s="85"/>
      <c r="N767" s="85"/>
      <c r="O767" s="85"/>
      <c r="P767" s="85"/>
      <c r="Q767" s="85"/>
      <c r="R767" s="85"/>
    </row>
    <row r="768" customFormat="false" ht="15" hidden="false" customHeight="false" outlineLevel="0" collapsed="false">
      <c r="F768" s="99" t="n">
        <f aca="false">G768/H768</f>
        <v>4.3531380258228E-014</v>
      </c>
      <c r="G768" s="52" t="n">
        <f aca="false">G767*(1-$O$1)</f>
        <v>3.40618115875779E-005</v>
      </c>
      <c r="H768" s="15" t="n">
        <f aca="false">I768/G768</f>
        <v>782465692.232208</v>
      </c>
      <c r="I768" s="0" t="n">
        <f aca="false">I767</f>
        <v>26652.1989825572</v>
      </c>
      <c r="J768" s="85"/>
      <c r="K768" s="85"/>
      <c r="L768" s="85"/>
      <c r="M768" s="85"/>
      <c r="N768" s="85"/>
      <c r="O768" s="85"/>
      <c r="P768" s="85"/>
      <c r="Q768" s="85"/>
      <c r="R768" s="85"/>
    </row>
    <row r="769" customFormat="false" ht="15" hidden="false" customHeight="false" outlineLevel="0" collapsed="false">
      <c r="F769" s="99" t="n">
        <f aca="false">G769/H769</f>
        <v>4.18075376000022E-014</v>
      </c>
      <c r="G769" s="52" t="n">
        <f aca="false">G768*(1-$O$1)</f>
        <v>3.33805753558263E-005</v>
      </c>
      <c r="H769" s="15" t="n">
        <f aca="false">I769/G769</f>
        <v>798434379.828784</v>
      </c>
      <c r="I769" s="0" t="n">
        <f aca="false">I768</f>
        <v>26652.1989825572</v>
      </c>
      <c r="J769" s="85"/>
      <c r="K769" s="85"/>
      <c r="L769" s="85"/>
      <c r="M769" s="85"/>
      <c r="N769" s="85"/>
      <c r="O769" s="85"/>
      <c r="P769" s="85"/>
      <c r="Q769" s="85"/>
      <c r="R769" s="85"/>
    </row>
    <row r="770" customFormat="false" ht="15" hidden="false" customHeight="false" outlineLevel="0" collapsed="false">
      <c r="F770" s="99" t="n">
        <f aca="false">G770/H770</f>
        <v>4.01519591110421E-014</v>
      </c>
      <c r="G770" s="52" t="n">
        <f aca="false">G769*(1-$O$1)</f>
        <v>3.27129638487098E-005</v>
      </c>
      <c r="H770" s="15" t="n">
        <f aca="false">I770/G770</f>
        <v>814728959.008964</v>
      </c>
      <c r="I770" s="0" t="n">
        <f aca="false">I769</f>
        <v>26652.1989825572</v>
      </c>
      <c r="J770" s="85"/>
      <c r="K770" s="85"/>
      <c r="L770" s="85"/>
      <c r="M770" s="85"/>
      <c r="N770" s="85"/>
      <c r="O770" s="85"/>
      <c r="P770" s="85"/>
      <c r="Q770" s="85"/>
      <c r="R770" s="85"/>
    </row>
    <row r="771" customFormat="false" ht="15" hidden="false" customHeight="false" outlineLevel="0" collapsed="false">
      <c r="F771" s="99" t="n">
        <f aca="false">G771/H771</f>
        <v>3.85619415302448E-014</v>
      </c>
      <c r="G771" s="52" t="n">
        <f aca="false">G770*(1-$O$1)</f>
        <v>3.20587045717356E-005</v>
      </c>
      <c r="H771" s="15" t="n">
        <f aca="false">I771/G771</f>
        <v>831356080.621391</v>
      </c>
      <c r="I771" s="0" t="n">
        <f aca="false">I770</f>
        <v>26652.1989825572</v>
      </c>
      <c r="J771" s="85"/>
      <c r="K771" s="85"/>
      <c r="L771" s="85"/>
      <c r="M771" s="85"/>
      <c r="N771" s="85"/>
      <c r="O771" s="85"/>
      <c r="P771" s="85"/>
      <c r="Q771" s="85"/>
      <c r="R771" s="85"/>
    </row>
    <row r="772" customFormat="false" ht="15" hidden="false" customHeight="false" outlineLevel="0" collapsed="false">
      <c r="F772" s="99" t="n">
        <f aca="false">G772/H772</f>
        <v>3.70348886456472E-014</v>
      </c>
      <c r="G772" s="52" t="n">
        <f aca="false">G771*(1-$O$1)</f>
        <v>3.14175304803009E-005</v>
      </c>
      <c r="H772" s="15" t="n">
        <f aca="false">I772/G772</f>
        <v>848322531.246318</v>
      </c>
      <c r="I772" s="0" t="n">
        <f aca="false">I771</f>
        <v>26652.1989825572</v>
      </c>
      <c r="J772" s="85"/>
      <c r="K772" s="85"/>
      <c r="L772" s="85"/>
      <c r="M772" s="85"/>
      <c r="N772" s="85"/>
      <c r="O772" s="85"/>
      <c r="P772" s="85"/>
      <c r="Q772" s="85"/>
      <c r="R772" s="85"/>
    </row>
    <row r="773" customFormat="false" ht="15" hidden="false" customHeight="false" outlineLevel="0" collapsed="false">
      <c r="F773" s="99" t="n">
        <f aca="false">G773/H773</f>
        <v>3.55683070552795E-014</v>
      </c>
      <c r="G773" s="52" t="n">
        <f aca="false">G772*(1-$O$1)</f>
        <v>3.07891798706949E-005</v>
      </c>
      <c r="H773" s="15" t="n">
        <f aca="false">I773/G773</f>
        <v>865635235.96563</v>
      </c>
      <c r="I773" s="0" t="n">
        <f aca="false">I772</f>
        <v>26652.1989825572</v>
      </c>
      <c r="J773" s="85"/>
      <c r="K773" s="85"/>
      <c r="L773" s="85"/>
      <c r="M773" s="85"/>
      <c r="N773" s="85"/>
      <c r="O773" s="85"/>
      <c r="P773" s="85"/>
      <c r="Q773" s="85"/>
      <c r="R773" s="85"/>
    </row>
    <row r="774" customFormat="false" ht="15" hidden="false" customHeight="false" outlineLevel="0" collapsed="false">
      <c r="F774" s="99" t="n">
        <f aca="false">G774/H774</f>
        <v>3.41598020958905E-014</v>
      </c>
      <c r="G774" s="52" t="n">
        <f aca="false">G773*(1-$O$1)</f>
        <v>3.0173396273281E-005</v>
      </c>
      <c r="H774" s="15" t="n">
        <f aca="false">I774/G774</f>
        <v>883301261.189419</v>
      </c>
      <c r="I774" s="0" t="n">
        <f aca="false">I773</f>
        <v>26652.1989825572</v>
      </c>
      <c r="J774" s="85"/>
      <c r="K774" s="85"/>
      <c r="L774" s="85"/>
      <c r="M774" s="85"/>
      <c r="N774" s="85"/>
      <c r="O774" s="85"/>
      <c r="P774" s="85"/>
      <c r="Q774" s="85"/>
      <c r="R774" s="85"/>
    </row>
    <row r="775" customFormat="false" ht="15" hidden="false" customHeight="false" outlineLevel="0" collapsed="false">
      <c r="F775" s="99" t="n">
        <f aca="false">G775/H775</f>
        <v>3.28070739328932E-014</v>
      </c>
      <c r="G775" s="52" t="n">
        <f aca="false">G774*(1-$O$1)</f>
        <v>2.95699283478154E-005</v>
      </c>
      <c r="H775" s="15" t="n">
        <f aca="false">I775/G775</f>
        <v>901327817.540223</v>
      </c>
      <c r="I775" s="0" t="n">
        <f aca="false">I774</f>
        <v>26652.1989825572</v>
      </c>
      <c r="J775" s="85"/>
      <c r="K775" s="85"/>
      <c r="L775" s="85"/>
      <c r="M775" s="85"/>
      <c r="N775" s="85"/>
      <c r="O775" s="85"/>
      <c r="P775" s="85"/>
      <c r="Q775" s="85"/>
      <c r="R775" s="85"/>
    </row>
    <row r="776" customFormat="false" ht="15" hidden="false" customHeight="false" outlineLevel="0" collapsed="false">
      <c r="F776" s="99" t="n">
        <f aca="false">G776/H776</f>
        <v>3.15079138051506E-014</v>
      </c>
      <c r="G776" s="52" t="n">
        <f aca="false">G775*(1-$O$1)</f>
        <v>2.89785297808591E-005</v>
      </c>
      <c r="H776" s="15" t="n">
        <f aca="false">I776/G776</f>
        <v>919722262.796146</v>
      </c>
      <c r="I776" s="0" t="n">
        <f aca="false">I775</f>
        <v>26652.1989825572</v>
      </c>
      <c r="J776" s="85"/>
      <c r="K776" s="85"/>
      <c r="L776" s="85"/>
      <c r="M776" s="85"/>
      <c r="N776" s="85"/>
      <c r="O776" s="85"/>
      <c r="P776" s="85"/>
      <c r="Q776" s="85"/>
      <c r="R776" s="85"/>
    </row>
    <row r="777" customFormat="false" ht="15" hidden="false" customHeight="false" outlineLevel="0" collapsed="false">
      <c r="F777" s="99" t="n">
        <f aca="false">G777/H777</f>
        <v>3.02602004184667E-014</v>
      </c>
      <c r="G777" s="52" t="n">
        <f aca="false">G776*(1-$O$1)</f>
        <v>2.83989591852419E-005</v>
      </c>
      <c r="H777" s="15" t="n">
        <f aca="false">I777/G777</f>
        <v>938492104.894027</v>
      </c>
      <c r="I777" s="0" t="n">
        <f aca="false">I776</f>
        <v>26652.1989825572</v>
      </c>
      <c r="J777" s="85"/>
      <c r="K777" s="85"/>
      <c r="L777" s="85"/>
      <c r="M777" s="85"/>
      <c r="N777" s="85"/>
      <c r="O777" s="85"/>
      <c r="P777" s="85"/>
      <c r="Q777" s="85"/>
      <c r="R777" s="85"/>
    </row>
    <row r="778" customFormat="false" ht="15" hidden="false" customHeight="false" outlineLevel="0" collapsed="false">
      <c r="F778" s="99" t="n">
        <f aca="false">G778/H778</f>
        <v>2.90618964818954E-014</v>
      </c>
      <c r="G778" s="52" t="n">
        <f aca="false">G777*(1-$O$1)</f>
        <v>2.7830980001537E-005</v>
      </c>
      <c r="H778" s="15" t="n">
        <f aca="false">I778/G778</f>
        <v>957645004.993905</v>
      </c>
      <c r="I778" s="0" t="n">
        <f aca="false">I777</f>
        <v>26652.1989825572</v>
      </c>
      <c r="J778" s="85"/>
      <c r="K778" s="85"/>
      <c r="L778" s="85"/>
      <c r="M778" s="85"/>
      <c r="N778" s="85"/>
      <c r="O778" s="85"/>
      <c r="P778" s="85"/>
      <c r="Q778" s="85"/>
      <c r="R778" s="85"/>
    </row>
    <row r="779" customFormat="false" ht="15" hidden="false" customHeight="false" outlineLevel="0" collapsed="false">
      <c r="F779" s="99" t="n">
        <f aca="false">G779/H779</f>
        <v>2.79110453812123E-014</v>
      </c>
      <c r="G779" s="52" t="n">
        <f aca="false">G778*(1-$O$1)</f>
        <v>2.72743604015063E-005</v>
      </c>
      <c r="H779" s="15" t="n">
        <f aca="false">I779/G779</f>
        <v>977188780.606025</v>
      </c>
      <c r="I779" s="0" t="n">
        <f aca="false">I778</f>
        <v>26652.1989825572</v>
      </c>
      <c r="J779" s="85"/>
      <c r="K779" s="85"/>
      <c r="L779" s="85"/>
      <c r="M779" s="85"/>
      <c r="N779" s="85"/>
      <c r="O779" s="85"/>
      <c r="P779" s="85"/>
      <c r="Q779" s="85"/>
      <c r="R779" s="85"/>
    </row>
    <row r="780" customFormat="false" ht="15" hidden="false" customHeight="false" outlineLevel="0" collapsed="false">
      <c r="F780" s="99" t="n">
        <f aca="false">G780/H780</f>
        <v>2.68057679841163E-014</v>
      </c>
      <c r="G780" s="52" t="n">
        <f aca="false">G779*(1-$O$1)</f>
        <v>2.67288731934762E-005</v>
      </c>
      <c r="H780" s="15" t="n">
        <f aca="false">I780/G780</f>
        <v>997131408.781659</v>
      </c>
      <c r="I780" s="0" t="n">
        <f aca="false">I779</f>
        <v>26652.1989825572</v>
      </c>
      <c r="J780" s="85"/>
      <c r="K780" s="85"/>
      <c r="L780" s="85"/>
      <c r="M780" s="85"/>
      <c r="N780" s="85"/>
      <c r="O780" s="85"/>
      <c r="P780" s="85"/>
      <c r="Q780" s="85"/>
      <c r="R780" s="85"/>
    </row>
    <row r="781" customFormat="false" ht="15" hidden="false" customHeight="false" outlineLevel="0" collapsed="false">
      <c r="F781" s="99" t="n">
        <f aca="false">G781/H781</f>
        <v>2.57442595719453E-014</v>
      </c>
      <c r="G781" s="52" t="n">
        <f aca="false">G780*(1-$O$1)</f>
        <v>2.61942957296066E-005</v>
      </c>
      <c r="H781" s="15" t="n">
        <f aca="false">I781/G781</f>
        <v>1017481029.36904</v>
      </c>
      <c r="I781" s="0" t="n">
        <f aca="false">I780</f>
        <v>26652.1989825572</v>
      </c>
      <c r="J781" s="85"/>
      <c r="K781" s="85"/>
      <c r="L781" s="85"/>
      <c r="M781" s="85"/>
      <c r="N781" s="85"/>
      <c r="O781" s="85"/>
      <c r="P781" s="85"/>
      <c r="Q781" s="85"/>
      <c r="R781" s="85"/>
    </row>
    <row r="782" customFormat="false" ht="15" hidden="false" customHeight="false" outlineLevel="0" collapsed="false">
      <c r="F782" s="99" t="n">
        <f aca="false">G782/H782</f>
        <v>2.47247868928963E-014</v>
      </c>
      <c r="G782" s="52" t="n">
        <f aca="false">G781*(1-$O$1)</f>
        <v>2.56704098150145E-005</v>
      </c>
      <c r="H782" s="15" t="n">
        <f aca="false">I782/G782</f>
        <v>1038245948.33575</v>
      </c>
      <c r="I782" s="0" t="n">
        <f aca="false">I781</f>
        <v>26652.1989825572</v>
      </c>
      <c r="J782" s="85"/>
      <c r="K782" s="85"/>
      <c r="L782" s="85"/>
      <c r="M782" s="85"/>
      <c r="N782" s="85"/>
      <c r="O782" s="85"/>
      <c r="P782" s="85"/>
      <c r="Q782" s="85"/>
      <c r="R782" s="85"/>
    </row>
    <row r="783" customFormat="false" ht="15" hidden="false" customHeight="false" outlineLevel="0" collapsed="false">
      <c r="F783" s="99" t="n">
        <f aca="false">G783/H783</f>
        <v>2.37456853319376E-014</v>
      </c>
      <c r="G783" s="52" t="n">
        <f aca="false">G782*(1-$O$1)</f>
        <v>2.51570016187142E-005</v>
      </c>
      <c r="H783" s="15" t="n">
        <f aca="false">I783/G783</f>
        <v>1059434641.15893</v>
      </c>
      <c r="I783" s="0" t="n">
        <f aca="false">I782</f>
        <v>26652.1989825572</v>
      </c>
      <c r="J783" s="85"/>
      <c r="K783" s="85"/>
      <c r="L783" s="85"/>
      <c r="M783" s="85"/>
      <c r="N783" s="85"/>
      <c r="O783" s="85"/>
      <c r="P783" s="85"/>
      <c r="Q783" s="85"/>
      <c r="R783" s="85"/>
    </row>
    <row r="784" customFormat="false" ht="15" hidden="false" customHeight="false" outlineLevel="0" collapsed="false">
      <c r="F784" s="99" t="n">
        <f aca="false">G784/H784</f>
        <v>2.28053561927928E-014</v>
      </c>
      <c r="G784" s="52" t="n">
        <f aca="false">G783*(1-$O$1)</f>
        <v>2.46538615863399E-005</v>
      </c>
      <c r="H784" s="15" t="n">
        <f aca="false">I784/G784</f>
        <v>1081055756.28463</v>
      </c>
      <c r="I784" s="0" t="n">
        <f aca="false">I783</f>
        <v>26652.1989825572</v>
      </c>
      <c r="J784" s="85"/>
      <c r="K784" s="85"/>
      <c r="L784" s="85"/>
      <c r="M784" s="85"/>
      <c r="N784" s="85"/>
      <c r="O784" s="85"/>
      <c r="P784" s="85"/>
      <c r="Q784" s="85"/>
      <c r="R784" s="85"/>
    </row>
    <row r="785" customFormat="false" ht="15" hidden="false" customHeight="false" outlineLevel="0" collapsed="false">
      <c r="F785" s="99" t="n">
        <f aca="false">G785/H785</f>
        <v>2.19022640875582E-014</v>
      </c>
      <c r="G785" s="52" t="n">
        <f aca="false">G784*(1-$O$1)</f>
        <v>2.41607843546131E-005</v>
      </c>
      <c r="H785" s="15" t="n">
        <f aca="false">I785/G785</f>
        <v>1103118118.65778</v>
      </c>
      <c r="I785" s="0" t="n">
        <f aca="false">I784</f>
        <v>26652.1989825572</v>
      </c>
      <c r="J785" s="85"/>
      <c r="K785" s="85"/>
      <c r="L785" s="85"/>
      <c r="M785" s="85"/>
      <c r="N785" s="85"/>
      <c r="O785" s="85"/>
      <c r="P785" s="85"/>
      <c r="Q785" s="85"/>
      <c r="R785" s="85"/>
    </row>
    <row r="786" customFormat="false" ht="15" hidden="false" customHeight="false" outlineLevel="0" collapsed="false">
      <c r="F786" s="99" t="n">
        <f aca="false">G786/H786</f>
        <v>2.10349344296909E-014</v>
      </c>
      <c r="G786" s="52" t="n">
        <f aca="false">G785*(1-$O$1)</f>
        <v>2.36775686675209E-005</v>
      </c>
      <c r="H786" s="15" t="n">
        <f aca="false">I786/G786</f>
        <v>1125630733.32427</v>
      </c>
      <c r="I786" s="0" t="n">
        <f aca="false">I785</f>
        <v>26652.1989825572</v>
      </c>
      <c r="J786" s="85"/>
      <c r="K786" s="85"/>
      <c r="L786" s="85"/>
      <c r="M786" s="85"/>
      <c r="N786" s="85"/>
      <c r="O786" s="85"/>
      <c r="P786" s="85"/>
      <c r="Q786" s="85"/>
      <c r="R786" s="85"/>
    </row>
    <row r="787" customFormat="false" ht="15" hidden="false" customHeight="false" outlineLevel="0" collapsed="false">
      <c r="F787" s="99" t="n">
        <f aca="false">G787/H787</f>
        <v>2.02019510262752E-014</v>
      </c>
      <c r="G787" s="52" t="n">
        <f aca="false">G786*(1-$O$1)</f>
        <v>2.32040172941705E-005</v>
      </c>
      <c r="H787" s="15" t="n">
        <f aca="false">I787/G787</f>
        <v>1148602789.10639</v>
      </c>
      <c r="I787" s="0" t="n">
        <f aca="false">I786</f>
        <v>26652.1989825572</v>
      </c>
      <c r="J787" s="85"/>
      <c r="K787" s="85"/>
      <c r="L787" s="85"/>
      <c r="M787" s="85"/>
      <c r="N787" s="85"/>
      <c r="O787" s="85"/>
      <c r="P787" s="85"/>
      <c r="Q787" s="85"/>
      <c r="R787" s="85"/>
    </row>
    <row r="788" customFormat="false" ht="15" hidden="false" customHeight="false" outlineLevel="0" collapsed="false">
      <c r="F788" s="99" t="n">
        <f aca="false">G788/H788</f>
        <v>1.94019537656347E-014</v>
      </c>
      <c r="G788" s="52" t="n">
        <f aca="false">G787*(1-$O$1)</f>
        <v>2.2739936948287E-005</v>
      </c>
      <c r="H788" s="15" t="n">
        <f aca="false">I788/G788</f>
        <v>1172043662.35346</v>
      </c>
      <c r="I788" s="0" t="n">
        <f aca="false">I787</f>
        <v>26652.1989825572</v>
      </c>
      <c r="J788" s="85"/>
      <c r="K788" s="85"/>
      <c r="L788" s="85"/>
      <c r="M788" s="85"/>
      <c r="N788" s="85"/>
      <c r="O788" s="85"/>
      <c r="P788" s="85"/>
      <c r="Q788" s="85"/>
      <c r="R788" s="85"/>
    </row>
    <row r="789" customFormat="false" ht="15" hidden="false" customHeight="false" outlineLevel="0" collapsed="false">
      <c r="F789" s="99" t="n">
        <f aca="false">G789/H789</f>
        <v>1.86336363965155E-014</v>
      </c>
      <c r="G789" s="52" t="n">
        <f aca="false">G788*(1-$O$1)</f>
        <v>2.22851382093213E-005</v>
      </c>
      <c r="H789" s="15" t="n">
        <f aca="false">I789/G789</f>
        <v>1195962920.76884</v>
      </c>
      <c r="I789" s="0" t="n">
        <f aca="false">I788</f>
        <v>26652.1989825572</v>
      </c>
      <c r="J789" s="85"/>
      <c r="K789" s="85"/>
      <c r="L789" s="85"/>
      <c r="M789" s="85"/>
      <c r="N789" s="85"/>
      <c r="O789" s="85"/>
      <c r="P789" s="85"/>
      <c r="Q789" s="85"/>
      <c r="R789" s="85"/>
    </row>
    <row r="790" customFormat="false" ht="15" hidden="false" customHeight="false" outlineLevel="0" collapsed="false">
      <c r="F790" s="99" t="n">
        <f aca="false">G790/H790</f>
        <v>1.78957443952135E-014</v>
      </c>
      <c r="G790" s="52" t="n">
        <f aca="false">G789*(1-$O$1)</f>
        <v>2.18394354451349E-005</v>
      </c>
      <c r="H790" s="15" t="n">
        <f aca="false">I790/G790</f>
        <v>1220370327.31514</v>
      </c>
      <c r="I790" s="0" t="n">
        <f aca="false">I789</f>
        <v>26652.1989825572</v>
      </c>
      <c r="J790" s="85"/>
      <c r="K790" s="85"/>
      <c r="L790" s="85"/>
      <c r="M790" s="85"/>
      <c r="N790" s="85"/>
      <c r="O790" s="85"/>
      <c r="P790" s="85"/>
      <c r="Q790" s="85"/>
      <c r="R790" s="85"/>
    </row>
    <row r="791" customFormat="false" ht="15" hidden="false" customHeight="false" outlineLevel="0" collapsed="false">
      <c r="F791" s="99" t="n">
        <f aca="false">G791/H791</f>
        <v>1.71870729171631E-014</v>
      </c>
      <c r="G791" s="52" t="n">
        <f aca="false">G790*(1-$O$1)</f>
        <v>2.14026467362322E-005</v>
      </c>
      <c r="H791" s="15" t="n">
        <f aca="false">I791/G791</f>
        <v>1245275844.19913</v>
      </c>
      <c r="I791" s="0" t="n">
        <f aca="false">I790</f>
        <v>26652.1989825572</v>
      </c>
      <c r="J791" s="85"/>
      <c r="K791" s="85"/>
      <c r="L791" s="85"/>
      <c r="M791" s="85"/>
      <c r="N791" s="85"/>
      <c r="O791" s="85"/>
      <c r="P791" s="85"/>
      <c r="Q791" s="85"/>
      <c r="R791" s="85"/>
    </row>
    <row r="792" customFormat="false" ht="15" hidden="false" customHeight="false" outlineLevel="0" collapsed="false">
      <c r="F792" s="99" t="n">
        <f aca="false">G792/H792</f>
        <v>1.65064648296434E-014</v>
      </c>
      <c r="G792" s="52" t="n">
        <f aca="false">G791*(1-$O$1)</f>
        <v>2.09745938015075E-005</v>
      </c>
      <c r="H792" s="15" t="n">
        <f aca="false">I792/G792</f>
        <v>1270689636.93788</v>
      </c>
      <c r="I792" s="0" t="n">
        <f aca="false">I791</f>
        <v>26652.1989825572</v>
      </c>
      <c r="J792" s="85"/>
      <c r="K792" s="85"/>
      <c r="L792" s="85"/>
      <c r="M792" s="85"/>
      <c r="N792" s="85"/>
      <c r="O792" s="85"/>
      <c r="P792" s="85"/>
      <c r="Q792" s="85"/>
      <c r="R792" s="85"/>
    </row>
    <row r="793" customFormat="false" ht="15" hidden="false" customHeight="false" outlineLevel="0" collapsed="false">
      <c r="F793" s="99" t="n">
        <f aca="false">G793/H793</f>
        <v>1.58528088223895E-014</v>
      </c>
      <c r="G793" s="52" t="n">
        <f aca="false">G792*(1-$O$1)</f>
        <v>2.05551019254774E-005</v>
      </c>
      <c r="H793" s="15" t="n">
        <f aca="false">I793/G793</f>
        <v>1296622078.50804</v>
      </c>
      <c r="I793" s="0" t="n">
        <f aca="false">I792</f>
        <v>26652.1989825572</v>
      </c>
      <c r="J793" s="85"/>
      <c r="K793" s="85"/>
      <c r="L793" s="85"/>
      <c r="M793" s="85"/>
      <c r="N793" s="85"/>
      <c r="O793" s="85"/>
      <c r="P793" s="85"/>
      <c r="Q793" s="85"/>
      <c r="R793" s="85"/>
    </row>
    <row r="794" customFormat="false" ht="15" hidden="false" customHeight="false" outlineLevel="0" collapsed="false">
      <c r="F794" s="99" t="n">
        <f aca="false">G794/H794</f>
        <v>1.52250375930229E-014</v>
      </c>
      <c r="G794" s="52" t="n">
        <f aca="false">G793*(1-$O$1)</f>
        <v>2.01439998869678E-005</v>
      </c>
      <c r="H794" s="15" t="n">
        <f aca="false">I794/G794</f>
        <v>1323083753.57964</v>
      </c>
      <c r="I794" s="0" t="n">
        <f aca="false">I793</f>
        <v>26652.1989825572</v>
      </c>
      <c r="J794" s="85"/>
      <c r="K794" s="85"/>
      <c r="L794" s="85"/>
      <c r="M794" s="85"/>
      <c r="N794" s="85"/>
      <c r="O794" s="85"/>
      <c r="P794" s="85"/>
      <c r="Q794" s="85"/>
      <c r="R794" s="85"/>
    </row>
    <row r="795" customFormat="false" ht="15" hidden="false" customHeight="false" outlineLevel="0" collapsed="false">
      <c r="F795" s="99" t="n">
        <f aca="false">G795/H795</f>
        <v>1.46221261043392E-014</v>
      </c>
      <c r="G795" s="52" t="n">
        <f aca="false">G794*(1-$O$1)</f>
        <v>1.97411198892285E-005</v>
      </c>
      <c r="H795" s="15" t="n">
        <f aca="false">I795/G795</f>
        <v>1350085462.83637</v>
      </c>
      <c r="I795" s="0" t="n">
        <f aca="false">I794</f>
        <v>26652.1989825572</v>
      </c>
      <c r="J795" s="85"/>
      <c r="K795" s="85"/>
      <c r="L795" s="85"/>
      <c r="M795" s="85"/>
      <c r="N795" s="85"/>
      <c r="O795" s="85"/>
      <c r="P795" s="85"/>
      <c r="Q795" s="85"/>
      <c r="R795" s="85"/>
    </row>
    <row r="796" customFormat="false" ht="15" hidden="false" customHeight="false" outlineLevel="0" collapsed="false">
      <c r="F796" s="99" t="n">
        <f aca="false">G796/H796</f>
        <v>1.40430899106074E-014</v>
      </c>
      <c r="G796" s="52" t="n">
        <f aca="false">G795*(1-$O$1)</f>
        <v>1.93462974914439E-005</v>
      </c>
      <c r="H796" s="15" t="n">
        <f aca="false">I796/G796</f>
        <v>1377638227.38405</v>
      </c>
      <c r="I796" s="0" t="n">
        <f aca="false">I795</f>
        <v>26652.1989825572</v>
      </c>
      <c r="J796" s="85"/>
      <c r="K796" s="85"/>
      <c r="L796" s="85"/>
      <c r="M796" s="85"/>
      <c r="N796" s="85"/>
      <c r="O796" s="85"/>
      <c r="P796" s="85"/>
      <c r="Q796" s="85"/>
      <c r="R796" s="85"/>
    </row>
    <row r="797" customFormat="false" ht="15" hidden="false" customHeight="false" outlineLevel="0" collapsed="false">
      <c r="F797" s="99" t="n">
        <f aca="false">G797/H797</f>
        <v>1.34869835501473E-014</v>
      </c>
      <c r="G797" s="52" t="n">
        <f aca="false">G796*(1-$O$1)</f>
        <v>1.8959371541615E-005</v>
      </c>
      <c r="H797" s="15" t="n">
        <f aca="false">I797/G797</f>
        <v>1405753293.24903</v>
      </c>
      <c r="I797" s="0" t="n">
        <f aca="false">I796</f>
        <v>26652.1989825572</v>
      </c>
      <c r="J797" s="85"/>
      <c r="K797" s="85"/>
      <c r="L797" s="85"/>
      <c r="M797" s="85"/>
      <c r="N797" s="85"/>
      <c r="O797" s="85"/>
      <c r="P797" s="85"/>
      <c r="Q797" s="85"/>
      <c r="R797" s="85"/>
    </row>
    <row r="798" customFormat="false" ht="15" hidden="false" customHeight="false" outlineLevel="0" collapsed="false">
      <c r="F798" s="99" t="n">
        <f aca="false">G798/H798</f>
        <v>1.29528990015615E-014</v>
      </c>
      <c r="G798" s="52" t="n">
        <f aca="false">G797*(1-$O$1)</f>
        <v>1.85801841107827E-005</v>
      </c>
      <c r="H798" s="15" t="n">
        <f aca="false">I798/G798</f>
        <v>1434442135.96839</v>
      </c>
      <c r="I798" s="0" t="n">
        <f aca="false">I797</f>
        <v>26652.1989825572</v>
      </c>
      <c r="J798" s="85"/>
      <c r="K798" s="85"/>
      <c r="L798" s="85"/>
      <c r="M798" s="85"/>
      <c r="N798" s="85"/>
      <c r="O798" s="85"/>
      <c r="P798" s="85"/>
      <c r="Q798" s="85"/>
      <c r="R798" s="85"/>
    </row>
    <row r="799" customFormat="false" ht="15" hidden="false" customHeight="false" outlineLevel="0" collapsed="false">
      <c r="F799" s="99" t="n">
        <f aca="false">G799/H799</f>
        <v>1.24399642010996E-014</v>
      </c>
      <c r="G799" s="52" t="n">
        <f aca="false">G798*(1-$O$1)</f>
        <v>1.82085804285671E-005</v>
      </c>
      <c r="H799" s="15" t="n">
        <f aca="false">I799/G799</f>
        <v>1463716465.27387</v>
      </c>
      <c r="I799" s="0" t="n">
        <f aca="false">I798</f>
        <v>26652.1989825572</v>
      </c>
      <c r="J799" s="85"/>
      <c r="K799" s="85"/>
      <c r="L799" s="85"/>
      <c r="M799" s="85"/>
      <c r="N799" s="85"/>
      <c r="O799" s="85"/>
      <c r="P799" s="85"/>
      <c r="Q799" s="85"/>
      <c r="R799" s="85"/>
    </row>
    <row r="800" customFormat="false" ht="15" hidden="false" customHeight="false" outlineLevel="0" collapsed="false">
      <c r="F800" s="99" t="n">
        <f aca="false">G800/H800</f>
        <v>1.19473416187361E-014</v>
      </c>
      <c r="G800" s="52" t="n">
        <f aca="false">G799*(1-$O$1)</f>
        <v>1.78444088199957E-005</v>
      </c>
      <c r="H800" s="15" t="n">
        <f aca="false">I800/G800</f>
        <v>1493588229.8713</v>
      </c>
      <c r="I800" s="0" t="n">
        <f aca="false">I799</f>
        <v>26652.1989825572</v>
      </c>
      <c r="J800" s="85"/>
      <c r="K800" s="85"/>
      <c r="L800" s="85"/>
      <c r="M800" s="85"/>
      <c r="N800" s="85"/>
      <c r="O800" s="85"/>
      <c r="P800" s="85"/>
      <c r="Q800" s="85"/>
      <c r="R800" s="85"/>
    </row>
    <row r="801" customFormat="false" ht="15" hidden="false" customHeight="false" outlineLevel="0" collapsed="false">
      <c r="F801" s="99" t="n">
        <f aca="false">G801/H801</f>
        <v>1.14742268906342E-014</v>
      </c>
      <c r="G801" s="52" t="n">
        <f aca="false">G800*(1-$O$1)</f>
        <v>1.74875206435958E-005</v>
      </c>
      <c r="H801" s="15" t="n">
        <f aca="false">I801/G801</f>
        <v>1524069622.31765</v>
      </c>
      <c r="I801" s="0" t="n">
        <f aca="false">I800</f>
        <v>26652.1989825572</v>
      </c>
      <c r="J801" s="85"/>
      <c r="K801" s="85"/>
      <c r="L801" s="85"/>
      <c r="M801" s="85"/>
      <c r="N801" s="85"/>
      <c r="O801" s="85"/>
      <c r="P801" s="85"/>
      <c r="Q801" s="85"/>
      <c r="R801" s="85"/>
    </row>
    <row r="802" customFormat="false" ht="15" hidden="false" customHeight="false" outlineLevel="0" collapsed="false">
      <c r="F802" s="99" t="n">
        <f aca="false">G802/H802</f>
        <v>1.1019847505765E-014</v>
      </c>
      <c r="G802" s="52" t="n">
        <f aca="false">G801*(1-$O$1)</f>
        <v>1.71377702307239E-005</v>
      </c>
      <c r="H802" s="15" t="n">
        <f aca="false">I802/G802</f>
        <v>1555173083.9976</v>
      </c>
      <c r="I802" s="0" t="n">
        <f aca="false">I801</f>
        <v>26652.1989825572</v>
      </c>
      <c r="J802" s="85"/>
      <c r="K802" s="85"/>
      <c r="L802" s="85"/>
      <c r="M802" s="85"/>
      <c r="N802" s="85"/>
      <c r="O802" s="85"/>
      <c r="P802" s="85"/>
      <c r="Q802" s="85"/>
      <c r="R802" s="85"/>
    </row>
    <row r="803" customFormat="false" ht="15" hidden="false" customHeight="false" outlineLevel="0" collapsed="false">
      <c r="F803" s="99" t="n">
        <f aca="false">G803/H803</f>
        <v>1.05834615445367E-014</v>
      </c>
      <c r="G803" s="52" t="n">
        <f aca="false">G802*(1-$O$1)</f>
        <v>1.67950148261094E-005</v>
      </c>
      <c r="H803" s="15" t="n">
        <f aca="false">I803/G803</f>
        <v>1586911310.20164</v>
      </c>
      <c r="I803" s="0" t="n">
        <f aca="false">I802</f>
        <v>26652.1989825572</v>
      </c>
      <c r="J803" s="85"/>
      <c r="K803" s="85"/>
      <c r="L803" s="85"/>
      <c r="M803" s="85"/>
      <c r="N803" s="85"/>
      <c r="O803" s="85"/>
      <c r="P803" s="85"/>
      <c r="Q803" s="85"/>
      <c r="R803" s="85"/>
    </row>
    <row r="804" customFormat="false" ht="15" hidden="false" customHeight="false" outlineLevel="0" collapsed="false">
      <c r="F804" s="99" t="n">
        <f aca="false">G804/H804</f>
        <v>1.01643564673731E-014</v>
      </c>
      <c r="G804" s="52" t="n">
        <f aca="false">G803*(1-$O$1)</f>
        <v>1.64591145295872E-005</v>
      </c>
      <c r="H804" s="15" t="n">
        <f aca="false">I804/G804</f>
        <v>1619297255.30779</v>
      </c>
      <c r="I804" s="0" t="n">
        <f aca="false">I803</f>
        <v>26652.1989825572</v>
      </c>
      <c r="J804" s="85"/>
      <c r="K804" s="85"/>
      <c r="L804" s="85"/>
      <c r="M804" s="85"/>
      <c r="N804" s="85"/>
      <c r="O804" s="85"/>
      <c r="P804" s="85"/>
      <c r="Q804" s="85"/>
      <c r="R804" s="85"/>
    </row>
    <row r="805" customFormat="false" ht="15" hidden="false" customHeight="false" outlineLevel="0" collapsed="false">
      <c r="F805" s="99" t="n">
        <f aca="false">G805/H805</f>
        <v>9.76184795126511E-015</v>
      </c>
      <c r="G805" s="52" t="n">
        <f aca="false">G804*(1-$O$1)</f>
        <v>1.61299322389955E-005</v>
      </c>
      <c r="H805" s="15" t="n">
        <f aca="false">I805/G805</f>
        <v>1652344138.06917</v>
      </c>
      <c r="I805" s="0" t="n">
        <f aca="false">I804</f>
        <v>26652.1989825572</v>
      </c>
      <c r="J805" s="85"/>
      <c r="K805" s="85"/>
      <c r="L805" s="85"/>
      <c r="M805" s="85"/>
      <c r="N805" s="85"/>
      <c r="O805" s="85"/>
      <c r="P805" s="85"/>
      <c r="Q805" s="85"/>
      <c r="R805" s="85"/>
    </row>
    <row r="806" customFormat="false" ht="15" hidden="false" customHeight="false" outlineLevel="0" collapsed="false">
      <c r="F806" s="99" t="n">
        <f aca="false">G806/H806</f>
        <v>9.37527877239501E-015</v>
      </c>
      <c r="G806" s="52" t="n">
        <f aca="false">G805*(1-$O$1)</f>
        <v>1.58073335942156E-005</v>
      </c>
      <c r="H806" s="15" t="n">
        <f aca="false">I806/G806</f>
        <v>1686065447.00936</v>
      </c>
      <c r="I806" s="0" t="n">
        <f aca="false">I805</f>
        <v>26652.1989825572</v>
      </c>
      <c r="J806" s="85"/>
      <c r="K806" s="85"/>
      <c r="L806" s="85"/>
      <c r="M806" s="85"/>
      <c r="N806" s="85"/>
      <c r="O806" s="85"/>
      <c r="P806" s="85"/>
      <c r="Q806" s="85"/>
      <c r="R806" s="85"/>
    </row>
    <row r="807" customFormat="false" ht="15" hidden="false" customHeight="false" outlineLevel="0" collapsed="false">
      <c r="F807" s="99" t="n">
        <f aca="false">G807/H807</f>
        <v>9.00401773300817E-015</v>
      </c>
      <c r="G807" s="52" t="n">
        <f aca="false">G806*(1-$O$1)</f>
        <v>1.54911869223313E-005</v>
      </c>
      <c r="H807" s="15" t="n">
        <f aca="false">I807/G807</f>
        <v>1720474945.92792</v>
      </c>
      <c r="I807" s="0" t="n">
        <f aca="false">I806</f>
        <v>26652.1989825572</v>
      </c>
      <c r="J807" s="85"/>
      <c r="K807" s="85"/>
      <c r="L807" s="85"/>
      <c r="M807" s="85"/>
      <c r="N807" s="85"/>
      <c r="O807" s="85"/>
      <c r="P807" s="85"/>
      <c r="Q807" s="85"/>
      <c r="R807" s="85"/>
    </row>
    <row r="808" customFormat="false" ht="15" hidden="false" customHeight="false" outlineLevel="0" collapsed="false">
      <c r="F808" s="99" t="n">
        <f aca="false">G808/H808</f>
        <v>8.64745863078104E-015</v>
      </c>
      <c r="G808" s="52" t="n">
        <f aca="false">G807*(1-$O$1)</f>
        <v>1.51813631838846E-005</v>
      </c>
      <c r="H808" s="15" t="n">
        <f aca="false">I808/G808</f>
        <v>1755586679.51829</v>
      </c>
      <c r="I808" s="0" t="n">
        <f aca="false">I807</f>
        <v>26652.1989825572</v>
      </c>
      <c r="J808" s="85"/>
      <c r="K808" s="85"/>
      <c r="L808" s="85"/>
      <c r="M808" s="85"/>
      <c r="N808" s="85"/>
      <c r="O808" s="85"/>
      <c r="P808" s="85"/>
      <c r="Q808" s="85"/>
      <c r="R808" s="85"/>
    </row>
    <row r="809" customFormat="false" ht="15" hidden="false" customHeight="false" outlineLevel="0" collapsed="false">
      <c r="F809" s="99" t="n">
        <f aca="false">G809/H809</f>
        <v>8.30501926900211E-015</v>
      </c>
      <c r="G809" s="52" t="n">
        <f aca="false">G808*(1-$O$1)</f>
        <v>1.48777359202069E-005</v>
      </c>
      <c r="H809" s="15" t="n">
        <f aca="false">I809/G809</f>
        <v>1791414979.10029</v>
      </c>
      <c r="I809" s="0" t="n">
        <f aca="false">I808</f>
        <v>26652.1989825572</v>
      </c>
      <c r="J809" s="85"/>
      <c r="K809" s="85"/>
      <c r="L809" s="85"/>
      <c r="M809" s="85"/>
      <c r="N809" s="85"/>
      <c r="O809" s="85"/>
      <c r="P809" s="85"/>
      <c r="Q809" s="85"/>
      <c r="R809" s="85"/>
    </row>
    <row r="810" customFormat="false" ht="15" hidden="false" customHeight="false" outlineLevel="0" collapsed="false">
      <c r="F810" s="99" t="n">
        <f aca="false">G810/H810</f>
        <v>7.97614050594963E-015</v>
      </c>
      <c r="G810" s="52" t="n">
        <f aca="false">G809*(1-$O$1)</f>
        <v>1.45801812018028E-005</v>
      </c>
      <c r="H810" s="15" t="n">
        <f aca="false">I810/G810</f>
        <v>1827974468.46969</v>
      </c>
      <c r="I810" s="0" t="n">
        <f aca="false">I809</f>
        <v>26652.1989825572</v>
      </c>
      <c r="J810" s="85"/>
      <c r="K810" s="85"/>
      <c r="L810" s="85"/>
      <c r="M810" s="85"/>
      <c r="N810" s="85"/>
      <c r="O810" s="85"/>
      <c r="P810" s="85"/>
      <c r="Q810" s="85"/>
      <c r="R810" s="85"/>
    </row>
    <row r="811" customFormat="false" ht="15" hidden="false" customHeight="false" outlineLevel="0" collapsed="false">
      <c r="F811" s="99" t="n">
        <f aca="false">G811/H811</f>
        <v>7.66028534191402E-015</v>
      </c>
      <c r="G811" s="52" t="n">
        <f aca="false">G810*(1-$O$1)</f>
        <v>1.42885775777668E-005</v>
      </c>
      <c r="H811" s="15" t="n">
        <f aca="false">I811/G811</f>
        <v>1865280069.86703</v>
      </c>
      <c r="I811" s="0" t="n">
        <f aca="false">I810</f>
        <v>26652.1989825572</v>
      </c>
      <c r="J811" s="85"/>
      <c r="K811" s="85"/>
      <c r="L811" s="85"/>
      <c r="M811" s="85"/>
      <c r="R811" s="85"/>
    </row>
    <row r="812" customFormat="false" ht="15" hidden="false" customHeight="false" outlineLevel="0" collapsed="false">
      <c r="F812" s="99" t="n">
        <f aca="false">G812/H812</f>
        <v>7.35693804237423E-015</v>
      </c>
      <c r="G812" s="52" t="n">
        <f aca="false">G811*(1-$O$1)</f>
        <v>1.40028060262114E-005</v>
      </c>
      <c r="H812" s="15" t="n">
        <f aca="false">I812/G812</f>
        <v>1903347010.06839</v>
      </c>
      <c r="I812" s="0" t="n">
        <f aca="false">I811</f>
        <v>26652.1989825572</v>
      </c>
      <c r="J812" s="85"/>
      <c r="K812" s="85"/>
      <c r="L812" s="85"/>
      <c r="M812" s="85"/>
      <c r="R812" s="85"/>
    </row>
    <row r="813" customFormat="false" ht="15" hidden="false" customHeight="false" outlineLevel="0" collapsed="false">
      <c r="F813" s="99" t="n">
        <f aca="false">G813/H813</f>
        <v>7.06560329589621E-015</v>
      </c>
      <c r="G813" s="52" t="n">
        <f aca="false">G812*(1-$O$1)</f>
        <v>1.37227499056872E-005</v>
      </c>
      <c r="H813" s="15" t="n">
        <f aca="false">I813/G813</f>
        <v>1942190826.6004</v>
      </c>
      <c r="I813" s="0" t="n">
        <f aca="false">I812</f>
        <v>26652.1989825572</v>
      </c>
      <c r="J813" s="85"/>
      <c r="K813" s="85"/>
      <c r="L813" s="85"/>
      <c r="M813" s="85"/>
      <c r="R813" s="85"/>
    </row>
    <row r="814" customFormat="false" ht="15" hidden="false" customHeight="false" outlineLevel="0" collapsed="false">
      <c r="F814" s="99" t="n">
        <f aca="false">G814/H814</f>
        <v>6.78580540537872E-015</v>
      </c>
      <c r="G814" s="52" t="n">
        <f aca="false">G813*(1-$O$1)</f>
        <v>1.34482949075734E-005</v>
      </c>
      <c r="H814" s="15" t="n">
        <f aca="false">I814/G814</f>
        <v>1981827374.08204</v>
      </c>
      <c r="I814" s="0" t="n">
        <f aca="false">I813</f>
        <v>26652.1989825572</v>
      </c>
      <c r="J814" s="85"/>
      <c r="K814" s="85"/>
      <c r="L814" s="85"/>
      <c r="M814" s="85"/>
      <c r="R814" s="85"/>
    </row>
    <row r="815" customFormat="false" ht="15" hidden="false" customHeight="false" outlineLevel="0" collapsed="false">
      <c r="F815" s="99" t="n">
        <f aca="false">G815/H815</f>
        <v>6.51708751132572E-015</v>
      </c>
      <c r="G815" s="52" t="n">
        <f aca="false">G814*(1-$O$1)</f>
        <v>1.3179329009422E-005</v>
      </c>
      <c r="H815" s="15" t="n">
        <f aca="false">I815/G815</f>
        <v>2022272830.69596</v>
      </c>
      <c r="I815" s="0" t="n">
        <f aca="false">I814</f>
        <v>26652.1989825572</v>
      </c>
      <c r="J815" s="85"/>
      <c r="K815" s="85"/>
      <c r="L815" s="85"/>
      <c r="M815" s="85"/>
      <c r="R815" s="85"/>
    </row>
  </sheetData>
  <mergeCells count="3">
    <mergeCell ref="N6:Q6"/>
    <mergeCell ref="S6:U6"/>
    <mergeCell ref="V6:X6"/>
  </mergeCells>
  <conditionalFormatting sqref="V8:X100">
    <cfRule type="cellIs" priority="2" operator="lessThan" aboveAverage="0" equalAverage="0" bottom="0" percent="0" rank="0" text="" dxfId="41">
      <formula>0</formula>
    </cfRule>
  </conditionalFormatting>
  <conditionalFormatting sqref="Y8:Y100">
    <cfRule type="cellIs" priority="3" operator="lessThan" aboveAverage="0" equalAverage="0" bottom="0" percent="0" rank="0" text="" dxfId="42">
      <formula>0</formula>
    </cfRule>
  </conditionalFormatting>
  <dataValidations count="1">
    <dataValidation allowBlank="true" operator="between" showDropDown="false" showErrorMessage="true" showInputMessage="true" sqref="D1" type="list">
      <formula1>PoolData!$A$12:$A$100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tabColor rgb="FFA9D18E"/>
    <pageSetUpPr fitToPage="false"/>
  </sheetPr>
  <dimension ref="A1:BD815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pane xSplit="0" ySplit="7" topLeftCell="A8" activePane="bottomLeft" state="frozen"/>
      <selection pane="topLeft" activeCell="A1" activeCellId="0" sqref="A1"/>
      <selection pane="bottomLeft" activeCell="K5" activeCellId="0" sqref="K5"/>
    </sheetView>
  </sheetViews>
  <sheetFormatPr defaultRowHeight="15" zeroHeight="false" outlineLevelRow="0" outlineLevelCol="0"/>
  <cols>
    <col collapsed="false" customWidth="true" hidden="false" outlineLevel="0" max="3" min="1" style="0" width="1.42"/>
    <col collapsed="false" customWidth="true" hidden="false" outlineLevel="0" max="4" min="4" style="0" width="13.86"/>
    <col collapsed="false" customWidth="true" hidden="false" outlineLevel="0" max="5" min="5" style="0" width="1.42"/>
    <col collapsed="false" customWidth="true" hidden="true" outlineLevel="0" max="6" min="6" style="0" width="10.99"/>
    <col collapsed="false" customWidth="true" hidden="true" outlineLevel="0" max="7" min="7" style="0" width="23.71"/>
    <col collapsed="false" customWidth="true" hidden="true" outlineLevel="0" max="8" min="8" style="15" width="16.71"/>
    <col collapsed="false" customWidth="true" hidden="true" outlineLevel="0" max="9" min="9" style="0" width="24.29"/>
    <col collapsed="false" customWidth="true" hidden="false" outlineLevel="0" max="10" min="10" style="0" width="36.29"/>
    <col collapsed="false" customWidth="true" hidden="false" outlineLevel="0" max="11" min="11" style="0" width="10.99"/>
    <col collapsed="false" customWidth="true" hidden="false" outlineLevel="0" max="12" min="12" style="0" width="27.42"/>
    <col collapsed="false" customWidth="true" hidden="false" outlineLevel="0" max="13" min="13" style="0" width="1.42"/>
    <col collapsed="false" customWidth="true" hidden="false" outlineLevel="0" max="14" min="14" style="0" width="63.57"/>
    <col collapsed="false" customWidth="true" hidden="false" outlineLevel="0" max="15" min="15" style="0" width="9.71"/>
    <col collapsed="false" customWidth="true" hidden="false" outlineLevel="0" max="16" min="16" style="0" width="11.57"/>
    <col collapsed="false" customWidth="true" hidden="false" outlineLevel="0" max="17" min="17" style="0" width="22.43"/>
    <col collapsed="false" customWidth="true" hidden="false" outlineLevel="0" max="18" min="18" style="0" width="9.71"/>
    <col collapsed="false" customWidth="true" hidden="false" outlineLevel="0" max="19" min="19" style="0" width="1.42"/>
    <col collapsed="false" customWidth="true" hidden="false" outlineLevel="0" max="22" min="20" style="0" width="9.71"/>
    <col collapsed="false" customWidth="true" hidden="false" outlineLevel="0" max="23" min="23" style="0" width="12.86"/>
    <col collapsed="false" customWidth="true" hidden="false" outlineLevel="0" max="24" min="24" style="0" width="16"/>
    <col collapsed="false" customWidth="true" hidden="false" outlineLevel="0" max="25" min="25" style="0" width="14.7"/>
    <col collapsed="false" customWidth="true" hidden="false" outlineLevel="0" max="1025" min="26" style="0" width="8.67"/>
  </cols>
  <sheetData>
    <row r="1" customFormat="false" ht="18.75" hidden="false" customHeight="false" outlineLevel="0" collapsed="false">
      <c r="D1" s="123"/>
      <c r="E1" s="124"/>
      <c r="J1" s="81" t="str">
        <f aca="false">"ENTRY POOL SIZE "&amp;D3</f>
        <v>ENTRY POOL SIZE BNB</v>
      </c>
      <c r="K1" s="82" t="n">
        <f aca="false">VLOOKUP($D$3&amp;"-"&amp;$D$4,PoolData!$A$10:$N$1048576,MATCH("Coin 1 Pool Size",PoolData!$A$10:$N$10,0),0)</f>
        <v>15526.71163</v>
      </c>
      <c r="N1" s="83" t="s">
        <v>112</v>
      </c>
      <c r="O1" s="84" t="n">
        <v>0.025</v>
      </c>
      <c r="P1" s="85"/>
      <c r="Q1" s="85"/>
      <c r="R1" s="85"/>
      <c r="S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</row>
    <row r="2" customFormat="false" ht="15" hidden="false" customHeight="false" outlineLevel="0" collapsed="false">
      <c r="D2" s="0" t="s">
        <v>123</v>
      </c>
      <c r="J2" s="81" t="str">
        <f aca="false">"ENTRY POOL SIZE "&amp;D4</f>
        <v>ENTRY POOL SIZE aUSDT</v>
      </c>
      <c r="K2" s="82" t="n">
        <f aca="false">VLOOKUP($D$3&amp;"-"&amp;$D$4,PoolData!$A$10:$N$1048576,MATCH("Coin 2 Pool Size",PoolData!$A$10:$N$10,0),0)</f>
        <v>393081.57183</v>
      </c>
      <c r="L2" s="86" t="str">
        <f aca="false">D4&amp;"  required to pool"</f>
        <v>aUSDT  required to pool</v>
      </c>
      <c r="P2" s="85"/>
      <c r="Q2" s="85"/>
      <c r="R2" s="85"/>
      <c r="S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</row>
    <row r="3" customFormat="false" ht="15" hidden="false" customHeight="false" outlineLevel="0" collapsed="false">
      <c r="D3" s="125" t="s">
        <v>12</v>
      </c>
      <c r="J3" s="44" t="s">
        <v>124</v>
      </c>
      <c r="K3" s="82" t="n">
        <f aca="false">IF(VLOOKUP($D$3&amp;"-"&amp;$D$4,'Your Pooling'!$A:$B,2,0)=0,1000,VLOOKUP($D$3&amp;"-"&amp;$D$4,'Your Pooling'!$A:$B,2,0))</f>
        <v>1000</v>
      </c>
      <c r="L3" s="87" t="n">
        <f aca="false">K3/(K1/K2)</f>
        <v>25316.4727469084</v>
      </c>
      <c r="P3" s="85"/>
      <c r="Q3" s="85"/>
      <c r="R3" s="85"/>
      <c r="S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</row>
    <row r="4" customFormat="false" ht="21" hidden="false" customHeight="false" outlineLevel="0" collapsed="false">
      <c r="D4" s="125" t="s">
        <v>30</v>
      </c>
      <c r="J4" s="1" t="s">
        <v>114</v>
      </c>
      <c r="K4" s="23" t="n">
        <f aca="false">K3/(K1)</f>
        <v>0.0644051376640399</v>
      </c>
      <c r="N4" s="88" t="str">
        <f aca="false">"Starting Balance is "&amp;ROUND(K3,3)&amp;" "&amp;$D$3&amp;" and "&amp;ROUND(L3,1)&amp;" "&amp;$D$4&amp;" - equivalent of "&amp;ROUND(2*K3,0)&amp;" FSN or "&amp;ROUND(2*L3,1)&amp;" "&amp;$D$4</f>
        <v>Starting Balance is 1000 BNB and 25316.5 aUSDT - equivalent of 2000 FSN or 50632.9 aUSDT</v>
      </c>
      <c r="P4" s="85"/>
      <c r="Q4" s="85"/>
      <c r="R4" s="85"/>
      <c r="S4" s="85"/>
      <c r="U4" s="85"/>
      <c r="V4" s="85"/>
      <c r="W4" s="85"/>
      <c r="X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</row>
    <row r="5" customFormat="false" ht="15" hidden="false" customHeight="false" outlineLevel="0" collapsed="false">
      <c r="D5" s="126"/>
      <c r="N5" s="89" t="s">
        <v>116</v>
      </c>
      <c r="P5" s="85"/>
      <c r="R5" s="85"/>
      <c r="S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</row>
    <row r="6" customFormat="false" ht="15" hidden="false" customHeight="false" outlineLevel="0" collapsed="false">
      <c r="N6" s="90" t="s">
        <v>117</v>
      </c>
      <c r="O6" s="90"/>
      <c r="P6" s="90"/>
      <c r="Q6" s="90"/>
      <c r="R6" s="90"/>
      <c r="S6" s="85"/>
      <c r="T6" s="90" t="s">
        <v>125</v>
      </c>
      <c r="U6" s="90"/>
      <c r="V6" s="90"/>
      <c r="W6" s="91" t="s">
        <v>119</v>
      </c>
      <c r="X6" s="91"/>
      <c r="Y6" s="91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</row>
    <row r="7" customFormat="false" ht="15" hidden="false" customHeight="false" outlineLevel="0" collapsed="false">
      <c r="F7" s="92" t="s">
        <v>126</v>
      </c>
      <c r="G7" s="92" t="s">
        <v>127</v>
      </c>
      <c r="H7" s="93" t="s">
        <v>128</v>
      </c>
      <c r="I7" s="92" t="s">
        <v>120</v>
      </c>
      <c r="N7" s="95" t="str">
        <f aca="false">$D$3&amp;" Price"</f>
        <v>BNB Price</v>
      </c>
      <c r="O7" s="96" t="str">
        <f aca="false">"#"&amp;$D$3</f>
        <v>#BNB</v>
      </c>
      <c r="P7" s="96" t="str">
        <f aca="false">"#"&amp;$D$4</f>
        <v>#aUSDT</v>
      </c>
      <c r="Q7" s="95" t="str">
        <f aca="false">"Equivalent "&amp;$D$3</f>
        <v>Equivalent BNB</v>
      </c>
      <c r="R7" s="95" t="str">
        <f aca="false">"Equivalent USDT Pooling"&amp;ROUND(K3,0)&amp;" "&amp;$D$3&amp;" &amp; "&amp;ROUND(L3,0)&amp;" "&amp;$D$4</f>
        <v>Equivalent USDT Pooling1000 BNB &amp; 25316 aUSDT</v>
      </c>
      <c r="S7" s="85"/>
      <c r="T7" s="96" t="str">
        <f aca="false">"HODL "&amp;ROUND(K3*2,0)&amp;" "&amp;$D$3</f>
        <v>HODL 2000 BNB</v>
      </c>
      <c r="U7" s="96" t="str">
        <f aca="false">"HODL "&amp;ROUND(L3*2,0)&amp;" "&amp;$D$4</f>
        <v>HODL 50633 aUSDT</v>
      </c>
      <c r="V7" s="96" t="str">
        <f aca="false">"HODL "&amp;ROUND(K3,0)&amp;" "&amp;$D$3&amp;"&amp; "&amp;ROUND(L3,0)&amp;" "&amp;$D$4</f>
        <v>HODL 1000 BNB&amp; 25316 aUSDT</v>
      </c>
      <c r="W7" s="96" t="str">
        <f aca="false">"HODL"&amp;$D$3</f>
        <v>HODLBNB</v>
      </c>
      <c r="X7" s="96" t="str">
        <f aca="false">"HODL "&amp;$D$4</f>
        <v>HODL aUSDT</v>
      </c>
      <c r="Y7" s="96" t="s">
        <v>121</v>
      </c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</row>
    <row r="8" customFormat="false" ht="15" hidden="false" customHeight="false" outlineLevel="0" collapsed="false">
      <c r="A8" s="97"/>
      <c r="B8" s="97"/>
      <c r="C8" s="97"/>
      <c r="D8" s="97"/>
      <c r="E8" s="97"/>
      <c r="F8" s="99" t="n">
        <f aca="false">H8/G8</f>
        <v>191.881869435896</v>
      </c>
      <c r="G8" s="52" t="n">
        <f aca="false">G9*(1-$O$1)</f>
        <v>5639.80534880043</v>
      </c>
      <c r="H8" s="15" t="n">
        <f aca="false">I8/G8</f>
        <v>1082176.39358239</v>
      </c>
      <c r="I8" s="0" t="n">
        <f aca="false">I9</f>
        <v>6103264212.87154</v>
      </c>
      <c r="J8" s="97"/>
      <c r="K8" s="97"/>
      <c r="L8" s="97"/>
      <c r="M8" s="97"/>
      <c r="N8" s="127" t="n">
        <f aca="false">F8</f>
        <v>191.881869435896</v>
      </c>
      <c r="O8" s="83" t="n">
        <f aca="false">$O$48/$G$48*G8</f>
        <v>363.23243988788</v>
      </c>
      <c r="P8" s="83" t="n">
        <f aca="false">O8*F8</f>
        <v>69697.7196054483</v>
      </c>
      <c r="Q8" s="81" t="n">
        <f aca="false">O8+P8/N8</f>
        <v>726.464879775761</v>
      </c>
      <c r="R8" s="128" t="n">
        <f aca="false">P8+O8*N8</f>
        <v>139395.439210897</v>
      </c>
      <c r="S8" s="85"/>
      <c r="T8" s="129" t="n">
        <f aca="false">$Q$48*N8</f>
        <v>383763.738871793</v>
      </c>
      <c r="U8" s="129" t="n">
        <f aca="false">$P$48*2</f>
        <v>50632.9454938167</v>
      </c>
      <c r="V8" s="129" t="n">
        <f aca="false">$O$48*N8+$P$48</f>
        <v>217198.342182805</v>
      </c>
      <c r="W8" s="45" t="n">
        <f aca="false">T8/$R8-1</f>
        <v>1.75305807022267</v>
      </c>
      <c r="X8" s="45" t="n">
        <f aca="false">U8/$R8-1</f>
        <v>-0.63676756011212</v>
      </c>
      <c r="Y8" s="45" t="n">
        <f aca="false">V8/$R8-1</f>
        <v>0.558145255055275</v>
      </c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</row>
    <row r="9" customFormat="false" ht="15" hidden="false" customHeight="false" outlineLevel="0" collapsed="false">
      <c r="A9" s="97"/>
      <c r="B9" s="97"/>
      <c r="C9" s="97"/>
      <c r="D9" s="97"/>
      <c r="E9" s="97"/>
      <c r="F9" s="99" t="n">
        <f aca="false">H9/G9</f>
        <v>182.407702132499</v>
      </c>
      <c r="G9" s="52" t="n">
        <f aca="false">G10*(1-$O$1)</f>
        <v>5784.41574235941</v>
      </c>
      <c r="H9" s="15" t="n">
        <f aca="false">I9/G9</f>
        <v>1055121.98374283</v>
      </c>
      <c r="I9" s="0" t="n">
        <f aca="false">I10</f>
        <v>6103264212.87154</v>
      </c>
      <c r="J9" s="97"/>
      <c r="K9" s="97"/>
      <c r="L9" s="97"/>
      <c r="M9" s="97"/>
      <c r="N9" s="127" t="n">
        <f aca="false">F9</f>
        <v>182.407702132499</v>
      </c>
      <c r="O9" s="83" t="n">
        <f aca="false">$O$48/$G$48*G9</f>
        <v>372.546092192698</v>
      </c>
      <c r="P9" s="83" t="n">
        <f aca="false">O9*F9</f>
        <v>67955.2766153121</v>
      </c>
      <c r="Q9" s="81" t="n">
        <f aca="false">O9+P9/N9</f>
        <v>745.092184385396</v>
      </c>
      <c r="R9" s="128" t="n">
        <f aca="false">P9+O9*N9</f>
        <v>135910.553230624</v>
      </c>
      <c r="S9" s="85"/>
      <c r="T9" s="129" t="n">
        <f aca="false">$Q$48*N9</f>
        <v>364815.404264998</v>
      </c>
      <c r="U9" s="129" t="n">
        <f aca="false">$P$48*2</f>
        <v>50632.9454938167</v>
      </c>
      <c r="V9" s="129" t="n">
        <f aca="false">$O$48*N9+$P$48</f>
        <v>207724.174879407</v>
      </c>
      <c r="W9" s="45" t="n">
        <f aca="false">T9/$R9-1</f>
        <v>1.6842316184671</v>
      </c>
      <c r="X9" s="45" t="n">
        <f aca="false">U9/$R9-1</f>
        <v>-0.627453907807302</v>
      </c>
      <c r="Y9" s="45" t="n">
        <f aca="false">V9/$R9-1</f>
        <v>0.5283888553299</v>
      </c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</row>
    <row r="10" customFormat="false" ht="15" hidden="false" customHeight="false" outlineLevel="0" collapsed="false">
      <c r="A10" s="97"/>
      <c r="B10" s="97"/>
      <c r="C10" s="97"/>
      <c r="D10" s="97"/>
      <c r="E10" s="97"/>
      <c r="F10" s="99" t="n">
        <f aca="false">H10/G10</f>
        <v>173.401321839707</v>
      </c>
      <c r="G10" s="52" t="n">
        <f aca="false">G11*(1-$O$1)</f>
        <v>5932.7340947276</v>
      </c>
      <c r="H10" s="15" t="n">
        <f aca="false">I10/G10</f>
        <v>1028743.93414926</v>
      </c>
      <c r="I10" s="0" t="n">
        <f aca="false">I11</f>
        <v>6103264212.87154</v>
      </c>
      <c r="J10" s="97"/>
      <c r="K10" s="85"/>
      <c r="L10" s="85"/>
      <c r="M10" s="85"/>
      <c r="N10" s="127" t="n">
        <f aca="false">F10</f>
        <v>173.401321839707</v>
      </c>
      <c r="O10" s="83" t="n">
        <f aca="false">$O$48/$G$48*G10</f>
        <v>382.098556095075</v>
      </c>
      <c r="P10" s="83" t="n">
        <f aca="false">O10*F10</f>
        <v>66256.3946999293</v>
      </c>
      <c r="Q10" s="81" t="n">
        <f aca="false">O10+P10/N10</f>
        <v>764.19711219015</v>
      </c>
      <c r="R10" s="128" t="n">
        <f aca="false">P10+O10*N10</f>
        <v>132512.789399859</v>
      </c>
      <c r="S10" s="85"/>
      <c r="T10" s="129" t="n">
        <f aca="false">$Q$48*N10</f>
        <v>346802.643679414</v>
      </c>
      <c r="U10" s="129" t="n">
        <f aca="false">$P$48*2</f>
        <v>50632.9454938167</v>
      </c>
      <c r="V10" s="129" t="n">
        <f aca="false">$O$48*N10+$P$48</f>
        <v>198717.794586615</v>
      </c>
      <c r="W10" s="45" t="n">
        <f aca="false">T10/$R10-1</f>
        <v>1.61712582800543</v>
      </c>
      <c r="X10" s="45" t="n">
        <f aca="false">U10/$R10-1</f>
        <v>-0.617901443904925</v>
      </c>
      <c r="Y10" s="45" t="n">
        <f aca="false">V10/$R10-1</f>
        <v>0.49961219205025</v>
      </c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</row>
    <row r="11" customFormat="false" ht="15" hidden="false" customHeight="false" outlineLevel="0" collapsed="false">
      <c r="D11" s="97"/>
      <c r="E11" s="97"/>
      <c r="F11" s="99" t="n">
        <f aca="false">H11/G11</f>
        <v>164.839631573871</v>
      </c>
      <c r="G11" s="52" t="n">
        <f aca="false">G12*(1-$O$1)</f>
        <v>6084.8554817719</v>
      </c>
      <c r="H11" s="15" t="n">
        <f aca="false">I11/G11</f>
        <v>1003025.33579553</v>
      </c>
      <c r="I11" s="0" t="n">
        <f aca="false">I12</f>
        <v>6103264212.87154</v>
      </c>
      <c r="J11" s="85"/>
      <c r="K11" s="85"/>
      <c r="L11" s="85"/>
      <c r="M11" s="85"/>
      <c r="N11" s="127" t="n">
        <f aca="false">F11</f>
        <v>164.839631573871</v>
      </c>
      <c r="O11" s="83" t="n">
        <f aca="false">$O$48/$G$48*G11</f>
        <v>391.895954969307</v>
      </c>
      <c r="P11" s="83" t="n">
        <f aca="false">O11*F11</f>
        <v>64599.9848324311</v>
      </c>
      <c r="Q11" s="81" t="n">
        <f aca="false">O11+P11/N11</f>
        <v>783.791909938615</v>
      </c>
      <c r="R11" s="128" t="n">
        <f aca="false">P11+O11*N11</f>
        <v>129199.969664862</v>
      </c>
      <c r="S11" s="85"/>
      <c r="T11" s="129" t="n">
        <f aca="false">$Q$48*N11</f>
        <v>329679.263147743</v>
      </c>
      <c r="U11" s="129" t="n">
        <f aca="false">$P$48*2</f>
        <v>50632.9454938167</v>
      </c>
      <c r="V11" s="129" t="n">
        <f aca="false">$O$48*N11+$P$48</f>
        <v>190156.10432078</v>
      </c>
      <c r="W11" s="45" t="n">
        <f aca="false">T11/$R11-1</f>
        <v>1.55169768230529</v>
      </c>
      <c r="X11" s="45" t="n">
        <f aca="false">U11/$R11-1</f>
        <v>-0.608104045030693</v>
      </c>
      <c r="Y11" s="45" t="n">
        <f aca="false">V11/$R11-1</f>
        <v>0.471796818637298</v>
      </c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</row>
    <row r="12" customFormat="false" ht="15" hidden="false" customHeight="false" outlineLevel="0" collapsed="false">
      <c r="D12" s="97"/>
      <c r="E12" s="97"/>
      <c r="F12" s="99" t="n">
        <f aca="false">H12/G12</f>
        <v>156.700674764911</v>
      </c>
      <c r="G12" s="52" t="n">
        <f aca="false">G13*(1-$O$1)</f>
        <v>6240.87741720195</v>
      </c>
      <c r="H12" s="15" t="n">
        <f aca="false">I12/G12</f>
        <v>977949.702400643</v>
      </c>
      <c r="I12" s="0" t="n">
        <f aca="false">I13</f>
        <v>6103264212.87154</v>
      </c>
      <c r="J12" s="85"/>
      <c r="K12" s="85"/>
      <c r="L12" s="85"/>
      <c r="M12" s="85"/>
      <c r="N12" s="127" t="n">
        <f aca="false">F12</f>
        <v>156.700674764911</v>
      </c>
      <c r="O12" s="83" t="n">
        <f aca="false">$O$48/$G$48*G12</f>
        <v>401.94456919929</v>
      </c>
      <c r="P12" s="83" t="n">
        <f aca="false">O12*F12</f>
        <v>62984.9852116203</v>
      </c>
      <c r="Q12" s="81" t="n">
        <f aca="false">O12+P12/N12</f>
        <v>803.889138398579</v>
      </c>
      <c r="R12" s="128" t="n">
        <f aca="false">P12+O12*N12</f>
        <v>125969.970423241</v>
      </c>
      <c r="S12" s="85"/>
      <c r="T12" s="129" t="n">
        <f aca="false">$Q$48*N12</f>
        <v>313401.349529823</v>
      </c>
      <c r="U12" s="129" t="n">
        <f aca="false">$P$48*2</f>
        <v>50632.9454938167</v>
      </c>
      <c r="V12" s="129" t="n">
        <f aca="false">$O$48*N12+$P$48</f>
        <v>182017.14751182</v>
      </c>
      <c r="W12" s="45" t="n">
        <f aca="false">T12/$R12-1</f>
        <v>1.48790524024766</v>
      </c>
      <c r="X12" s="45" t="n">
        <f aca="false">U12/$R12-1</f>
        <v>-0.59805543080071</v>
      </c>
      <c r="Y12" s="45" t="n">
        <f aca="false">V12/$R12-1</f>
        <v>0.444924904723474</v>
      </c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</row>
    <row r="13" customFormat="false" ht="15" hidden="false" customHeight="false" outlineLevel="0" collapsed="false">
      <c r="D13" s="97"/>
      <c r="E13" s="97"/>
      <c r="F13" s="99" t="n">
        <f aca="false">H13/G13</f>
        <v>148.963578948394</v>
      </c>
      <c r="G13" s="52" t="n">
        <f aca="false">G14*(1-$O$1)</f>
        <v>6400.89991507892</v>
      </c>
      <c r="H13" s="15" t="n">
        <f aca="false">I13/G13</f>
        <v>953500.959840627</v>
      </c>
      <c r="I13" s="0" t="n">
        <f aca="false">I14</f>
        <v>6103264212.87154</v>
      </c>
      <c r="J13" s="85"/>
      <c r="K13" s="85"/>
      <c r="L13" s="85"/>
      <c r="M13" s="85"/>
      <c r="N13" s="127" t="n">
        <f aca="false">F13</f>
        <v>148.963578948394</v>
      </c>
      <c r="O13" s="83" t="n">
        <f aca="false">$O$48/$G$48*G13</f>
        <v>412.2508402044</v>
      </c>
      <c r="P13" s="83" t="n">
        <f aca="false">O13*F13</f>
        <v>61410.3605813298</v>
      </c>
      <c r="Q13" s="81" t="n">
        <f aca="false">O13+P13/N13</f>
        <v>824.501680408799</v>
      </c>
      <c r="R13" s="128" t="n">
        <f aca="false">P13+O13*N13</f>
        <v>122820.72116266</v>
      </c>
      <c r="S13" s="85"/>
      <c r="T13" s="129" t="n">
        <f aca="false">$Q$48*N13</f>
        <v>297927.157896788</v>
      </c>
      <c r="U13" s="129" t="n">
        <f aca="false">$P$48*2</f>
        <v>50632.9454938167</v>
      </c>
      <c r="V13" s="129" t="n">
        <f aca="false">$O$48*N13+$P$48</f>
        <v>174280.051695302</v>
      </c>
      <c r="W13" s="45" t="n">
        <f aca="false">T13/$R13-1</f>
        <v>1.42570760924147</v>
      </c>
      <c r="X13" s="45" t="n">
        <f aca="false">U13/$R13-1</f>
        <v>-0.587749159795601</v>
      </c>
      <c r="Y13" s="45" t="n">
        <f aca="false">V13/$R13-1</f>
        <v>0.418979224722933</v>
      </c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</row>
    <row r="14" customFormat="false" ht="15" hidden="false" customHeight="false" outlineLevel="0" collapsed="false">
      <c r="F14" s="99" t="n">
        <f aca="false">H14/G14</f>
        <v>141.608502237817</v>
      </c>
      <c r="G14" s="52" t="n">
        <f aca="false">G15*(1-$O$1)</f>
        <v>6565.0255539271</v>
      </c>
      <c r="H14" s="15" t="n">
        <f aca="false">I14/G14</f>
        <v>929663.435844611</v>
      </c>
      <c r="I14" s="0" t="n">
        <f aca="false">I15</f>
        <v>6103264212.87154</v>
      </c>
      <c r="J14" s="85"/>
      <c r="K14" s="85"/>
      <c r="L14" s="85"/>
      <c r="M14" s="85"/>
      <c r="N14" s="127" t="n">
        <f aca="false">F14</f>
        <v>141.608502237817</v>
      </c>
      <c r="O14" s="83" t="n">
        <f aca="false">$O$48/$G$48*G14</f>
        <v>422.821374568615</v>
      </c>
      <c r="P14" s="83" t="n">
        <f aca="false">O14*F14</f>
        <v>59875.1015667966</v>
      </c>
      <c r="Q14" s="81" t="n">
        <f aca="false">O14+P14/N14</f>
        <v>845.64274913723</v>
      </c>
      <c r="R14" s="128" t="n">
        <f aca="false">P14+O14*N14</f>
        <v>119750.203133593</v>
      </c>
      <c r="S14" s="85"/>
      <c r="T14" s="129" t="n">
        <f aca="false">$Q$48*N14</f>
        <v>283217.004475634</v>
      </c>
      <c r="U14" s="129" t="n">
        <f aca="false">$P$48*2</f>
        <v>50632.9454938167</v>
      </c>
      <c r="V14" s="129" t="n">
        <f aca="false">$O$48*N14+$P$48</f>
        <v>166924.974984725</v>
      </c>
      <c r="W14" s="45" t="n">
        <f aca="false">T14/$R14-1</f>
        <v>1.36506491901043</v>
      </c>
      <c r="X14" s="45" t="n">
        <f aca="false">U14/$R14-1</f>
        <v>-0.577178625431385</v>
      </c>
      <c r="Y14" s="45" t="n">
        <f aca="false">V14/$R14-1</f>
        <v>0.393943146789522</v>
      </c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</row>
    <row r="15" customFormat="false" ht="15" hidden="false" customHeight="false" outlineLevel="0" collapsed="false">
      <c r="F15" s="99" t="n">
        <f aca="false">H15/G15</f>
        <v>134.616582439825</v>
      </c>
      <c r="G15" s="52" t="n">
        <f aca="false">G16*(1-$O$1)</f>
        <v>6733.35954248933</v>
      </c>
      <c r="H15" s="15" t="n">
        <f aca="false">I15/G15</f>
        <v>906421.849948496</v>
      </c>
      <c r="I15" s="0" t="n">
        <f aca="false">I16</f>
        <v>6103264212.87154</v>
      </c>
      <c r="J15" s="85"/>
      <c r="K15" s="85"/>
      <c r="L15" s="85"/>
      <c r="M15" s="85"/>
      <c r="N15" s="127" t="n">
        <f aca="false">F15</f>
        <v>134.616582439825</v>
      </c>
      <c r="O15" s="83" t="n">
        <f aca="false">$O$48/$G$48*G15</f>
        <v>433.662948275503</v>
      </c>
      <c r="P15" s="83" t="n">
        <f aca="false">O15*F15</f>
        <v>58378.2240276266</v>
      </c>
      <c r="Q15" s="81" t="n">
        <f aca="false">O15+P15/N15</f>
        <v>867.325896551005</v>
      </c>
      <c r="R15" s="128" t="n">
        <f aca="false">P15+O15*N15</f>
        <v>116756.448055253</v>
      </c>
      <c r="S15" s="85"/>
      <c r="T15" s="129" t="n">
        <f aca="false">$Q$48*N15</f>
        <v>269233.164879649</v>
      </c>
      <c r="U15" s="129" t="n">
        <f aca="false">$P$48*2</f>
        <v>50632.9454938167</v>
      </c>
      <c r="V15" s="129" t="n">
        <f aca="false">$O$48*N15+$P$48</f>
        <v>159933.055186733</v>
      </c>
      <c r="W15" s="45" t="n">
        <f aca="false">T15/$R15-1</f>
        <v>1.30593829603517</v>
      </c>
      <c r="X15" s="45" t="n">
        <f aca="false">U15/$R15-1</f>
        <v>-0.566337051724497</v>
      </c>
      <c r="Y15" s="45" t="n">
        <f aca="false">V15/$R15-1</f>
        <v>0.369800622155336</v>
      </c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</row>
    <row r="16" customFormat="false" ht="15" hidden="false" customHeight="false" outlineLevel="0" collapsed="false">
      <c r="F16" s="99" t="n">
        <f aca="false">H16/G16</f>
        <v>127.969888681858</v>
      </c>
      <c r="G16" s="52" t="n">
        <f aca="false">G17*(1-$O$1)</f>
        <v>6906.00978716855</v>
      </c>
      <c r="H16" s="15" t="n">
        <f aca="false">I16/G16</f>
        <v>883761.303699784</v>
      </c>
      <c r="I16" s="0" t="n">
        <f aca="false">I17</f>
        <v>6103264212.87154</v>
      </c>
      <c r="J16" s="85"/>
      <c r="K16" s="85"/>
      <c r="L16" s="85"/>
      <c r="M16" s="85"/>
      <c r="N16" s="127" t="n">
        <f aca="false">F16</f>
        <v>127.969888681858</v>
      </c>
      <c r="O16" s="83" t="n">
        <f aca="false">$O$48/$G$48*G16</f>
        <v>444.782511051798</v>
      </c>
      <c r="P16" s="83" t="n">
        <f aca="false">O16*F16</f>
        <v>56918.768426936</v>
      </c>
      <c r="Q16" s="81" t="n">
        <f aca="false">O16+P16/N16</f>
        <v>889.565022103595</v>
      </c>
      <c r="R16" s="128" t="n">
        <f aca="false">P16+O16*N16</f>
        <v>113837.536853872</v>
      </c>
      <c r="S16" s="85"/>
      <c r="T16" s="129" t="n">
        <f aca="false">$Q$48*N16</f>
        <v>255939.777363717</v>
      </c>
      <c r="U16" s="129" t="n">
        <f aca="false">$P$48*2</f>
        <v>50632.9454938167</v>
      </c>
      <c r="V16" s="129" t="n">
        <f aca="false">$O$48*N16+$P$48</f>
        <v>153286.361428767</v>
      </c>
      <c r="W16" s="45" t="n">
        <f aca="false">T16/$R16-1</f>
        <v>1.24828983863429</v>
      </c>
      <c r="X16" s="45" t="n">
        <f aca="false">U16/$R16-1</f>
        <v>-0.555217488948202</v>
      </c>
      <c r="Y16" s="45" t="n">
        <f aca="false">V16/$R16-1</f>
        <v>0.346536174843043</v>
      </c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</row>
    <row r="17" customFormat="false" ht="15" hidden="false" customHeight="false" outlineLevel="0" collapsed="false">
      <c r="F17" s="99" t="n">
        <f aca="false">H17/G17</f>
        <v>121.651375428192</v>
      </c>
      <c r="G17" s="52" t="n">
        <f aca="false">G18*(1-$O$1)</f>
        <v>7083.08696119851</v>
      </c>
      <c r="H17" s="15" t="n">
        <f aca="false">I17/G17</f>
        <v>861667.271107289</v>
      </c>
      <c r="I17" s="0" t="n">
        <f aca="false">I18</f>
        <v>6103264212.87154</v>
      </c>
      <c r="K17" s="85"/>
      <c r="L17" s="85"/>
      <c r="M17" s="85"/>
      <c r="N17" s="127" t="n">
        <f aca="false">F17</f>
        <v>121.651375428192</v>
      </c>
      <c r="O17" s="83" t="n">
        <f aca="false">$O$48/$G$48*G17</f>
        <v>456.187190822357</v>
      </c>
      <c r="P17" s="83" t="n">
        <f aca="false">O17*F17</f>
        <v>55495.7992162626</v>
      </c>
      <c r="Q17" s="81" t="n">
        <f aca="false">O17+P17/N17</f>
        <v>912.374381644713</v>
      </c>
      <c r="R17" s="128" t="n">
        <f aca="false">P17+O17*N17</f>
        <v>110991.598432525</v>
      </c>
      <c r="S17" s="85"/>
      <c r="T17" s="129" t="n">
        <f aca="false">$Q$48*N17</f>
        <v>243302.750856383</v>
      </c>
      <c r="U17" s="129" t="n">
        <f aca="false">$P$48*2</f>
        <v>50632.9454938167</v>
      </c>
      <c r="V17" s="129" t="n">
        <f aca="false">$O$48*N17+$P$48</f>
        <v>146967.8481751</v>
      </c>
      <c r="W17" s="45" t="n">
        <f aca="false">T17/$R17-1</f>
        <v>1.19208259266843</v>
      </c>
      <c r="X17" s="45" t="n">
        <f aca="false">U17/$R17-1</f>
        <v>-0.543812809177644</v>
      </c>
      <c r="Y17" s="45" t="n">
        <f aca="false">V17/$R17-1</f>
        <v>0.324134891745394</v>
      </c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</row>
    <row r="18" customFormat="false" ht="15" hidden="false" customHeight="false" outlineLevel="0" collapsed="false">
      <c r="F18" s="99" t="n">
        <f aca="false">H18/G18</f>
        <v>115.644838766425</v>
      </c>
      <c r="G18" s="52" t="n">
        <f aca="false">G19*(1-$O$1)</f>
        <v>7264.70457558822</v>
      </c>
      <c r="H18" s="15" t="n">
        <f aca="false">I18/G18</f>
        <v>840125.589329607</v>
      </c>
      <c r="I18" s="0" t="n">
        <f aca="false">I19</f>
        <v>6103264212.87154</v>
      </c>
      <c r="J18" s="85"/>
      <c r="K18" s="85"/>
      <c r="L18" s="85"/>
      <c r="M18" s="85"/>
      <c r="N18" s="127" t="n">
        <f aca="false">F18</f>
        <v>115.644838766425</v>
      </c>
      <c r="O18" s="83" t="n">
        <f aca="false">$O$48/$G$48*G18</f>
        <v>467.88429827934</v>
      </c>
      <c r="P18" s="83" t="n">
        <f aca="false">O18*F18</f>
        <v>54108.404235856</v>
      </c>
      <c r="Q18" s="81" t="n">
        <f aca="false">O18+P18/N18</f>
        <v>935.76859655868</v>
      </c>
      <c r="R18" s="128" t="n">
        <f aca="false">P18+O18*N18</f>
        <v>108216.808471712</v>
      </c>
      <c r="S18" s="85"/>
      <c r="T18" s="129" t="n">
        <f aca="false">$Q$48*N18</f>
        <v>231289.677532849</v>
      </c>
      <c r="U18" s="129" t="n">
        <f aca="false">$P$48*2</f>
        <v>50632.9454938167</v>
      </c>
      <c r="V18" s="129" t="n">
        <f aca="false">$O$48*N18+$P$48</f>
        <v>140961.311513333</v>
      </c>
      <c r="W18" s="45" t="n">
        <f aca="false">T18/$R18-1</f>
        <v>1.13728052785172</v>
      </c>
      <c r="X18" s="45" t="n">
        <f aca="false">U18/$R18-1</f>
        <v>-0.53211570172066</v>
      </c>
      <c r="Y18" s="45" t="n">
        <f aca="false">V18/$R18-1</f>
        <v>0.302582413065531</v>
      </c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</row>
    <row r="19" customFormat="false" ht="15" hidden="false" customHeight="false" outlineLevel="0" collapsed="false">
      <c r="F19" s="99" t="n">
        <f aca="false">H19/G19</f>
        <v>109.934874852332</v>
      </c>
      <c r="G19" s="52" t="n">
        <f aca="false">G20*(1-$O$1)</f>
        <v>7450.97905188535</v>
      </c>
      <c r="H19" s="15" t="n">
        <f aca="false">I19/G19</f>
        <v>819122.449596366</v>
      </c>
      <c r="I19" s="0" t="n">
        <f aca="false">I20</f>
        <v>6103264212.87154</v>
      </c>
      <c r="J19" s="85"/>
      <c r="K19" s="85"/>
      <c r="L19" s="85"/>
      <c r="M19" s="85"/>
      <c r="N19" s="127" t="n">
        <f aca="false">F19</f>
        <v>109.934874852332</v>
      </c>
      <c r="O19" s="83" t="n">
        <f aca="false">$O$48/$G$48*G19</f>
        <v>479.881331568554</v>
      </c>
      <c r="P19" s="83" t="n">
        <f aca="false">O19*F19</f>
        <v>52755.6941299596</v>
      </c>
      <c r="Q19" s="81" t="n">
        <f aca="false">O19+P19/N19</f>
        <v>959.762663137108</v>
      </c>
      <c r="R19" s="128" t="n">
        <f aca="false">P19+O19*N19</f>
        <v>105511.388259919</v>
      </c>
      <c r="S19" s="85"/>
      <c r="T19" s="129" t="n">
        <f aca="false">$Q$48*N19</f>
        <v>219869.749704665</v>
      </c>
      <c r="U19" s="129" t="n">
        <f aca="false">$P$48*2</f>
        <v>50632.9454938167</v>
      </c>
      <c r="V19" s="129" t="n">
        <f aca="false">$O$48*N19+$P$48</f>
        <v>135251.347599241</v>
      </c>
      <c r="W19" s="45" t="n">
        <f aca="false">T19/$R19-1</f>
        <v>1.08384851465543</v>
      </c>
      <c r="X19" s="45" t="n">
        <f aca="false">U19/$R19-1</f>
        <v>-0.520118668431446</v>
      </c>
      <c r="Y19" s="45" t="n">
        <f aca="false">V19/$R19-1</f>
        <v>0.281864923111991</v>
      </c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</row>
    <row r="20" customFormat="false" ht="15" hidden="false" customHeight="false" outlineLevel="0" collapsed="false">
      <c r="F20" s="99" t="n">
        <f aca="false">H20/G20</f>
        <v>104.506840406498</v>
      </c>
      <c r="G20" s="52" t="n">
        <f aca="false">G21*(1-$O$1)</f>
        <v>7642.02979680549</v>
      </c>
      <c r="H20" s="15" t="n">
        <f aca="false">I20/G20</f>
        <v>798644.388356457</v>
      </c>
      <c r="I20" s="0" t="n">
        <f aca="false">I21</f>
        <v>6103264212.87154</v>
      </c>
      <c r="J20" s="85"/>
      <c r="K20" s="85"/>
      <c r="L20" s="85"/>
      <c r="M20" s="85"/>
      <c r="N20" s="127" t="n">
        <f aca="false">F20</f>
        <v>104.506840406498</v>
      </c>
      <c r="O20" s="83" t="n">
        <f aca="false">$O$48/$G$48*G20</f>
        <v>492.185981095953</v>
      </c>
      <c r="P20" s="83" t="n">
        <f aca="false">O20*F20</f>
        <v>51436.8017767106</v>
      </c>
      <c r="Q20" s="81" t="n">
        <f aca="false">O20+P20/N20</f>
        <v>984.371962191906</v>
      </c>
      <c r="R20" s="128" t="n">
        <f aca="false">P20+O20*N20</f>
        <v>102873.603553421</v>
      </c>
      <c r="S20" s="85"/>
      <c r="T20" s="129" t="n">
        <f aca="false">$Q$48*N20</f>
        <v>209013.680812997</v>
      </c>
      <c r="U20" s="129" t="n">
        <f aca="false">$P$48*2</f>
        <v>50632.9454938167</v>
      </c>
      <c r="V20" s="129" t="n">
        <f aca="false">$O$48*N20+$P$48</f>
        <v>129823.313153407</v>
      </c>
      <c r="W20" s="45" t="n">
        <f aca="false">T20/$R20-1</f>
        <v>1.03175230178904</v>
      </c>
      <c r="X20" s="45" t="n">
        <f aca="false">U20/$R20-1</f>
        <v>-0.507814018904047</v>
      </c>
      <c r="Y20" s="45" t="n">
        <f aca="false">V20/$R20-1</f>
        <v>0.261969141442497</v>
      </c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</row>
    <row r="21" customFormat="false" ht="15" hidden="false" customHeight="false" outlineLevel="0" collapsed="false">
      <c r="F21" s="99" t="n">
        <f aca="false">H21/G21</f>
        <v>99.3468151614276</v>
      </c>
      <c r="G21" s="52" t="n">
        <f aca="false">G22*(1-$O$1)</f>
        <v>7837.97927877486</v>
      </c>
      <c r="H21" s="15" t="n">
        <f aca="false">I21/G21</f>
        <v>778678.278647546</v>
      </c>
      <c r="I21" s="0" t="n">
        <f aca="false">I22</f>
        <v>6103264212.87154</v>
      </c>
      <c r="J21" s="85"/>
      <c r="K21" s="85"/>
      <c r="L21" s="85"/>
      <c r="M21" s="85"/>
      <c r="N21" s="127" t="n">
        <f aca="false">F21</f>
        <v>99.3468151614276</v>
      </c>
      <c r="O21" s="83" t="n">
        <f aca="false">$O$48/$G$48*G21</f>
        <v>504.806134457388</v>
      </c>
      <c r="P21" s="83" t="n">
        <f aca="false">O21*F21</f>
        <v>50150.8817322929</v>
      </c>
      <c r="Q21" s="81" t="n">
        <f aca="false">O21+P21/N21</f>
        <v>1009.61226891478</v>
      </c>
      <c r="R21" s="128" t="n">
        <f aca="false">P21+O21*N21</f>
        <v>100301.763464586</v>
      </c>
      <c r="S21" s="85"/>
      <c r="T21" s="129" t="n">
        <f aca="false">$Q$48*N21</f>
        <v>198693.630322855</v>
      </c>
      <c r="U21" s="129" t="n">
        <f aca="false">$P$48*2</f>
        <v>50632.9454938167</v>
      </c>
      <c r="V21" s="129" t="n">
        <f aca="false">$O$48*N21+$P$48</f>
        <v>124663.287908336</v>
      </c>
      <c r="W21" s="45" t="n">
        <f aca="false">T21/$R21-1</f>
        <v>0.980958494244316</v>
      </c>
      <c r="X21" s="45" t="n">
        <f aca="false">U21/$R21-1</f>
        <v>-0.495193865542613</v>
      </c>
      <c r="Y21" s="45" t="n">
        <f aca="false">V21/$R21-1</f>
        <v>0.242882314350852</v>
      </c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</row>
    <row r="22" customFormat="false" ht="15" hidden="false" customHeight="false" outlineLevel="0" collapsed="false">
      <c r="F22" s="99" t="n">
        <f aca="false">H22/G22</f>
        <v>94.4415661628321</v>
      </c>
      <c r="G22" s="52" t="n">
        <f aca="false">G23*(1-$O$1)</f>
        <v>8038.95310643576</v>
      </c>
      <c r="H22" s="15" t="n">
        <f aca="false">I22/G22</f>
        <v>759211.321681357</v>
      </c>
      <c r="I22" s="0" t="n">
        <f aca="false">I23</f>
        <v>6103264212.87154</v>
      </c>
      <c r="J22" s="85"/>
      <c r="K22" s="85"/>
      <c r="L22" s="85"/>
      <c r="M22" s="85"/>
      <c r="N22" s="127" t="n">
        <f aca="false">F22</f>
        <v>94.4415661628321</v>
      </c>
      <c r="O22" s="83" t="n">
        <f aca="false">$O$48/$G$48*G22</f>
        <v>517.749881494756</v>
      </c>
      <c r="P22" s="83" t="n">
        <f aca="false">O22*F22</f>
        <v>48897.1096889855</v>
      </c>
      <c r="Q22" s="81" t="n">
        <f aca="false">O22+P22/N22</f>
        <v>1035.49976298951</v>
      </c>
      <c r="R22" s="128" t="n">
        <f aca="false">P22+O22*N22</f>
        <v>97794.2193779711</v>
      </c>
      <c r="S22" s="85"/>
      <c r="T22" s="129" t="n">
        <f aca="false">$Q$48*N22</f>
        <v>188883.132325664</v>
      </c>
      <c r="U22" s="129" t="n">
        <f aca="false">$P$48*2</f>
        <v>50632.9454938167</v>
      </c>
      <c r="V22" s="129" t="n">
        <f aca="false">$O$48*N22+$P$48</f>
        <v>119758.03890974</v>
      </c>
      <c r="W22" s="45" t="n">
        <f aca="false">T22/$R22-1</f>
        <v>0.931434531888208</v>
      </c>
      <c r="X22" s="45" t="n">
        <f aca="false">U22/$R22-1</f>
        <v>-0.482250118505244</v>
      </c>
      <c r="Y22" s="45" t="n">
        <f aca="false">V22/$R22-1</f>
        <v>0.224592206691482</v>
      </c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</row>
    <row r="23" customFormat="false" ht="15" hidden="false" customHeight="false" outlineLevel="0" collapsed="false">
      <c r="F23" s="99" t="n">
        <f aca="false">H23/G23</f>
        <v>89.7785138335423</v>
      </c>
      <c r="G23" s="52" t="n">
        <f aca="false">G24*(1-$O$1)</f>
        <v>8245.08010916488</v>
      </c>
      <c r="H23" s="15" t="n">
        <f aca="false">I23/G23</f>
        <v>740231.038639323</v>
      </c>
      <c r="I23" s="0" t="n">
        <f aca="false">I24</f>
        <v>6103264212.87154</v>
      </c>
      <c r="J23" s="85"/>
      <c r="K23" s="85"/>
      <c r="L23" s="85"/>
      <c r="M23" s="85"/>
      <c r="N23" s="127" t="n">
        <f aca="false">F23</f>
        <v>89.7785138335423</v>
      </c>
      <c r="O23" s="83" t="n">
        <f aca="false">$O$48/$G$48*G23</f>
        <v>531.025519481802</v>
      </c>
      <c r="P23" s="83" t="n">
        <f aca="false">O23*F23</f>
        <v>47674.6819467609</v>
      </c>
      <c r="Q23" s="81" t="n">
        <f aca="false">O23+P23/N23</f>
        <v>1062.0510389636</v>
      </c>
      <c r="R23" s="128" t="n">
        <f aca="false">P23+O23*N23</f>
        <v>95349.3638935218</v>
      </c>
      <c r="S23" s="85"/>
      <c r="T23" s="129" t="n">
        <f aca="false">$Q$48*N23</f>
        <v>179557.027667085</v>
      </c>
      <c r="U23" s="129" t="n">
        <f aca="false">$P$48*2</f>
        <v>50632.9454938167</v>
      </c>
      <c r="V23" s="129" t="n">
        <f aca="false">$O$48*N23+$P$48</f>
        <v>115094.986580451</v>
      </c>
      <c r="W23" s="45" t="n">
        <f aca="false">T23/$R23-1</f>
        <v>0.883148668591003</v>
      </c>
      <c r="X23" s="45" t="n">
        <f aca="false">U23/$R23-1</f>
        <v>-0.468974480518199</v>
      </c>
      <c r="Y23" s="45" t="n">
        <f aca="false">V23/$R23-1</f>
        <v>0.207087094036402</v>
      </c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</row>
    <row r="24" customFormat="false" ht="15" hidden="false" customHeight="false" outlineLevel="0" collapsed="false">
      <c r="F24" s="99" t="n">
        <f aca="false">H24/G24</f>
        <v>85.3456997130111</v>
      </c>
      <c r="G24" s="52" t="n">
        <f aca="false">G25*(1-$O$1)</f>
        <v>8456.49241965628</v>
      </c>
      <c r="H24" s="15" t="n">
        <f aca="false">I24/G24</f>
        <v>721725.26267334</v>
      </c>
      <c r="I24" s="0" t="n">
        <f aca="false">I25</f>
        <v>6103264212.87154</v>
      </c>
      <c r="J24" s="85"/>
      <c r="K24" s="85"/>
      <c r="L24" s="85"/>
      <c r="M24" s="85"/>
      <c r="N24" s="127" t="n">
        <f aca="false">F24</f>
        <v>85.3456997130111</v>
      </c>
      <c r="O24" s="83" t="n">
        <f aca="false">$O$48/$G$48*G24</f>
        <v>544.641558442873</v>
      </c>
      <c r="P24" s="83" t="n">
        <f aca="false">O24*F24</f>
        <v>46482.8148980919</v>
      </c>
      <c r="Q24" s="81" t="n">
        <f aca="false">O24+P24/N24</f>
        <v>1089.28311688575</v>
      </c>
      <c r="R24" s="128" t="n">
        <f aca="false">P24+O24*N24</f>
        <v>92965.6297961837</v>
      </c>
      <c r="S24" s="85"/>
      <c r="T24" s="129" t="n">
        <f aca="false">$Q$48*N24</f>
        <v>170691.399426022</v>
      </c>
      <c r="U24" s="129" t="n">
        <f aca="false">$P$48*2</f>
        <v>50632.9454938167</v>
      </c>
      <c r="V24" s="129" t="n">
        <f aca="false">$O$48*N24+$P$48</f>
        <v>110662.172459919</v>
      </c>
      <c r="W24" s="45" t="n">
        <f aca="false">T24/$R24-1</f>
        <v>0.836069951876227</v>
      </c>
      <c r="X24" s="45" t="n">
        <f aca="false">U24/$R24-1</f>
        <v>-0.455358441557127</v>
      </c>
      <c r="Y24" s="45" t="n">
        <f aca="false">V24/$R24-1</f>
        <v>0.190355755159551</v>
      </c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</row>
    <row r="25" customFormat="false" ht="15" hidden="false" customHeight="false" outlineLevel="0" collapsed="false">
      <c r="F25" s="99" t="n">
        <f aca="false">H25/G25</f>
        <v>81.1317557896812</v>
      </c>
      <c r="G25" s="52" t="n">
        <f aca="false">G26*(1-$O$1)</f>
        <v>8673.32555862183</v>
      </c>
      <c r="H25" s="15" t="n">
        <f aca="false">I25/G25</f>
        <v>703682.131106506</v>
      </c>
      <c r="I25" s="0" t="n">
        <f aca="false">I26</f>
        <v>6103264212.87154</v>
      </c>
      <c r="J25" s="85"/>
      <c r="K25" s="85"/>
      <c r="L25" s="85"/>
      <c r="M25" s="85"/>
      <c r="N25" s="127" t="n">
        <f aca="false">F25</f>
        <v>81.1317557896812</v>
      </c>
      <c r="O25" s="83" t="n">
        <f aca="false">$O$48/$G$48*G25</f>
        <v>558.606726608075</v>
      </c>
      <c r="P25" s="83" t="n">
        <f aca="false">O25*F25</f>
        <v>45320.7445256396</v>
      </c>
      <c r="Q25" s="81" t="n">
        <f aca="false">O25+P25/N25</f>
        <v>1117.21345321615</v>
      </c>
      <c r="R25" s="128" t="n">
        <f aca="false">P25+O25*N25</f>
        <v>90641.4890512791</v>
      </c>
      <c r="S25" s="85"/>
      <c r="T25" s="129" t="n">
        <f aca="false">$Q$48*N25</f>
        <v>162263.511579362</v>
      </c>
      <c r="U25" s="129" t="n">
        <f aca="false">$P$48*2</f>
        <v>50632.9454938167</v>
      </c>
      <c r="V25" s="129" t="n">
        <f aca="false">$O$48*N25+$P$48</f>
        <v>106448.22853659</v>
      </c>
      <c r="W25" s="45" t="n">
        <f aca="false">T25/$R25-1</f>
        <v>0.790168203079322</v>
      </c>
      <c r="X25" s="45" t="n">
        <f aca="false">U25/$R25-1</f>
        <v>-0.441393273391925</v>
      </c>
      <c r="Y25" s="45" t="n">
        <f aca="false">V25/$R25-1</f>
        <v>0.174387464843699</v>
      </c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</row>
    <row r="26" customFormat="false" ht="15" hidden="false" customHeight="false" outlineLevel="0" collapsed="false">
      <c r="F26" s="99" t="n">
        <f aca="false">H26/G26</f>
        <v>77.1258753475657</v>
      </c>
      <c r="G26" s="52" t="n">
        <f aca="false">G27*(1-$O$1)</f>
        <v>8895.71852166342</v>
      </c>
      <c r="H26" s="15" t="n">
        <f aca="false">I26/G26</f>
        <v>686090.077828844</v>
      </c>
      <c r="I26" s="0" t="n">
        <f aca="false">I27</f>
        <v>6103264212.87154</v>
      </c>
      <c r="J26" s="85"/>
      <c r="K26" s="85"/>
      <c r="L26" s="85"/>
      <c r="M26" s="85"/>
      <c r="N26" s="127" t="n">
        <f aca="false">F26</f>
        <v>77.1258753475657</v>
      </c>
      <c r="O26" s="83" t="n">
        <f aca="false">$O$48/$G$48*G26</f>
        <v>572.929976008282</v>
      </c>
      <c r="P26" s="83" t="n">
        <f aca="false">O26*F26</f>
        <v>44187.7259124986</v>
      </c>
      <c r="Q26" s="81" t="n">
        <f aca="false">O26+P26/N26</f>
        <v>1145.85995201656</v>
      </c>
      <c r="R26" s="128" t="n">
        <f aca="false">P26+O26*N26</f>
        <v>88375.4518249971</v>
      </c>
      <c r="S26" s="85"/>
      <c r="T26" s="129" t="n">
        <f aca="false">$Q$48*N26</f>
        <v>154251.750695131</v>
      </c>
      <c r="U26" s="129" t="n">
        <f aca="false">$P$48*2</f>
        <v>50632.9454938167</v>
      </c>
      <c r="V26" s="129" t="n">
        <f aca="false">$O$48*N26+$P$48</f>
        <v>102442.348094474</v>
      </c>
      <c r="W26" s="45" t="n">
        <f aca="false">T26/$R26-1</f>
        <v>0.745413998002339</v>
      </c>
      <c r="X26" s="45" t="n">
        <f aca="false">U26/$R26-1</f>
        <v>-0.427070023991718</v>
      </c>
      <c r="Y26" s="45" t="n">
        <f aca="false">V26/$R26-1</f>
        <v>0.159171987005311</v>
      </c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</row>
    <row r="27" customFormat="false" ht="15" hidden="false" customHeight="false" outlineLevel="0" collapsed="false">
      <c r="F27" s="99" t="n">
        <f aca="false">H27/G27</f>
        <v>73.3177852522796</v>
      </c>
      <c r="G27" s="52" t="n">
        <f aca="false">G28*(1-$O$1)</f>
        <v>9123.81386837274</v>
      </c>
      <c r="H27" s="15" t="n">
        <f aca="false">I27/G27</f>
        <v>668937.825883123</v>
      </c>
      <c r="I27" s="0" t="n">
        <f aca="false">I28</f>
        <v>6103264212.87154</v>
      </c>
      <c r="J27" s="85"/>
      <c r="K27" s="85"/>
      <c r="L27" s="85"/>
      <c r="M27" s="85"/>
      <c r="N27" s="127" t="n">
        <f aca="false">F27</f>
        <v>73.3177852522796</v>
      </c>
      <c r="O27" s="83" t="n">
        <f aca="false">$O$48/$G$48*G27</f>
        <v>587.620488213623</v>
      </c>
      <c r="P27" s="83" t="n">
        <f aca="false">O27*F27</f>
        <v>43083.0327646861</v>
      </c>
      <c r="Q27" s="81" t="n">
        <f aca="false">O27+P27/N27</f>
        <v>1175.24097642725</v>
      </c>
      <c r="R27" s="128" t="n">
        <f aca="false">P27+O27*N27</f>
        <v>86166.0655293722</v>
      </c>
      <c r="S27" s="85"/>
      <c r="T27" s="129" t="n">
        <f aca="false">$Q$48*N27</f>
        <v>146635.570504559</v>
      </c>
      <c r="U27" s="129" t="n">
        <f aca="false">$P$48*2</f>
        <v>50632.9454938167</v>
      </c>
      <c r="V27" s="129" t="n">
        <f aca="false">$O$48*N27+$P$48</f>
        <v>98634.257999188</v>
      </c>
      <c r="W27" s="45" t="n">
        <f aca="false">T27/$R27-1</f>
        <v>0.70177864805228</v>
      </c>
      <c r="X27" s="45" t="n">
        <f aca="false">U27/$R27-1</f>
        <v>-0.412379511786377</v>
      </c>
      <c r="Y27" s="45" t="n">
        <f aca="false">V27/$R27-1</f>
        <v>0.144699568132951</v>
      </c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</row>
    <row r="28" customFormat="false" ht="15" hidden="false" customHeight="false" outlineLevel="0" collapsed="false">
      <c r="F28" s="99" t="n">
        <f aca="false">H28/G28</f>
        <v>69.6977196054483</v>
      </c>
      <c r="G28" s="52" t="n">
        <f aca="false">G29*(1-$O$1)</f>
        <v>9357.75781371563</v>
      </c>
      <c r="H28" s="15" t="n">
        <f aca="false">I28/G28</f>
        <v>652214.380236045</v>
      </c>
      <c r="I28" s="0" t="n">
        <f aca="false">I29</f>
        <v>6103264212.87154</v>
      </c>
      <c r="J28" s="85"/>
      <c r="K28" s="85"/>
      <c r="L28" s="85"/>
      <c r="M28" s="85"/>
      <c r="N28" s="127" t="n">
        <f aca="false">F28</f>
        <v>69.6977196054483</v>
      </c>
      <c r="O28" s="83" t="n">
        <f aca="false">$O$48/$G$48*G28</f>
        <v>602.687680219101</v>
      </c>
      <c r="P28" s="83" t="n">
        <f aca="false">O28*F28</f>
        <v>42005.9569455689</v>
      </c>
      <c r="Q28" s="81" t="n">
        <f aca="false">O28+P28/N28</f>
        <v>1205.3753604382</v>
      </c>
      <c r="R28" s="128" t="n">
        <f aca="false">P28+O28*N28</f>
        <v>84011.9138911379</v>
      </c>
      <c r="S28" s="85"/>
      <c r="T28" s="129" t="n">
        <f aca="false">$Q$48*N28</f>
        <v>139395.439210897</v>
      </c>
      <c r="U28" s="129" t="n">
        <f aca="false">$P$48*2</f>
        <v>50632.9454938167</v>
      </c>
      <c r="V28" s="129" t="n">
        <f aca="false">$O$48*N28+$P$48</f>
        <v>95014.1923523566</v>
      </c>
      <c r="W28" s="45" t="n">
        <f aca="false">T28/$R28-1</f>
        <v>0.659234181850973</v>
      </c>
      <c r="X28" s="45" t="n">
        <f aca="false">U28/$R28-1</f>
        <v>-0.3973123197809</v>
      </c>
      <c r="Y28" s="45" t="n">
        <f aca="false">V28/$R28-1</f>
        <v>0.130960931035037</v>
      </c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</row>
    <row r="29" customFormat="false" ht="15" hidden="false" customHeight="false" outlineLevel="0" collapsed="false">
      <c r="F29" s="99" t="n">
        <f aca="false">H29/G29</f>
        <v>66.2563946999293</v>
      </c>
      <c r="G29" s="52" t="n">
        <f aca="false">G30*(1-$O$1)</f>
        <v>9597.70032175962</v>
      </c>
      <c r="H29" s="15" t="n">
        <f aca="false">I29/G29</f>
        <v>635909.020730143</v>
      </c>
      <c r="I29" s="0" t="n">
        <f aca="false">I30</f>
        <v>6103264212.87154</v>
      </c>
      <c r="J29" s="85"/>
      <c r="K29" s="85"/>
      <c r="L29" s="85"/>
      <c r="M29" s="85"/>
      <c r="N29" s="127" t="n">
        <f aca="false">F29</f>
        <v>66.2563946999293</v>
      </c>
      <c r="O29" s="83" t="n">
        <f aca="false">$O$48/$G$48*G29</f>
        <v>618.141210481129</v>
      </c>
      <c r="P29" s="83" t="n">
        <f aca="false">O29*F29</f>
        <v>40955.8080219297</v>
      </c>
      <c r="Q29" s="81" t="n">
        <f aca="false">O29+P29/N29</f>
        <v>1236.28242096226</v>
      </c>
      <c r="R29" s="128" t="n">
        <f aca="false">P29+O29*N29</f>
        <v>81911.6160438595</v>
      </c>
      <c r="S29" s="85"/>
      <c r="T29" s="129" t="n">
        <f aca="false">$Q$48*N29</f>
        <v>132512.789399859</v>
      </c>
      <c r="U29" s="129" t="n">
        <f aca="false">$P$48*2</f>
        <v>50632.9454938167</v>
      </c>
      <c r="V29" s="129" t="n">
        <f aca="false">$O$48*N29+$P$48</f>
        <v>91572.8674468376</v>
      </c>
      <c r="W29" s="45" t="n">
        <f aca="false">T29/$R29-1</f>
        <v>0.617753327304698</v>
      </c>
      <c r="X29" s="45" t="n">
        <f aca="false">U29/$R29-1</f>
        <v>-0.381858789518872</v>
      </c>
      <c r="Y29" s="45" t="n">
        <f aca="false">V29/$R29-1</f>
        <v>0.117947268892914</v>
      </c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</row>
    <row r="30" customFormat="false" ht="15" hidden="false" customHeight="false" outlineLevel="0" collapsed="false">
      <c r="F30" s="99" t="n">
        <f aca="false">H30/G30</f>
        <v>62.9849852116203</v>
      </c>
      <c r="G30" s="52" t="n">
        <f aca="false">G31*(1-$O$1)</f>
        <v>9843.79520180474</v>
      </c>
      <c r="H30" s="15" t="n">
        <f aca="false">I30/G30</f>
        <v>620011.29521189</v>
      </c>
      <c r="I30" s="0" t="n">
        <f aca="false">I31</f>
        <v>6103264212.87154</v>
      </c>
      <c r="J30" s="85"/>
      <c r="K30" s="85"/>
      <c r="L30" s="85"/>
      <c r="M30" s="85"/>
      <c r="N30" s="127" t="n">
        <f aca="false">F30</f>
        <v>62.9849852116203</v>
      </c>
      <c r="O30" s="83" t="n">
        <f aca="false">$O$48/$G$48*G30</f>
        <v>633.99098510885</v>
      </c>
      <c r="P30" s="83" t="n">
        <f aca="false">O30*F30</f>
        <v>39931.9128213815</v>
      </c>
      <c r="Q30" s="81" t="n">
        <f aca="false">O30+P30/N30</f>
        <v>1267.9819702177</v>
      </c>
      <c r="R30" s="128" t="n">
        <f aca="false">P30+O30*N30</f>
        <v>79863.825642763</v>
      </c>
      <c r="S30" s="85"/>
      <c r="T30" s="129" t="n">
        <f aca="false">$Q$48*N30</f>
        <v>125969.970423241</v>
      </c>
      <c r="U30" s="129" t="n">
        <f aca="false">$P$48*2</f>
        <v>50632.9454938167</v>
      </c>
      <c r="V30" s="129" t="n">
        <f aca="false">$O$48*N30+$P$48</f>
        <v>88301.4579585286</v>
      </c>
      <c r="W30" s="45" t="n">
        <f aca="false">T30/$R30-1</f>
        <v>0.577309494122081</v>
      </c>
      <c r="X30" s="45" t="n">
        <f aca="false">U30/$R30-1</f>
        <v>-0.36600901489115</v>
      </c>
      <c r="Y30" s="45" t="n">
        <f aca="false">V30/$R30-1</f>
        <v>0.105650239615466</v>
      </c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</row>
    <row r="31" customFormat="false" ht="15" hidden="false" customHeight="false" outlineLevel="0" collapsed="false">
      <c r="F31" s="99" t="n">
        <f aca="false">H31/G31</f>
        <v>59.8751015667965</v>
      </c>
      <c r="G31" s="52" t="n">
        <f aca="false">G32*(1-$O$1)</f>
        <v>10096.2002069792</v>
      </c>
      <c r="H31" s="15" t="n">
        <f aca="false">I31/G31</f>
        <v>604511.012831593</v>
      </c>
      <c r="I31" s="0" t="n">
        <f aca="false">I32</f>
        <v>6103264212.87154</v>
      </c>
      <c r="J31" s="85"/>
      <c r="K31" s="85"/>
      <c r="L31" s="85"/>
      <c r="M31" s="85"/>
      <c r="N31" s="127" t="n">
        <f aca="false">F31</f>
        <v>59.8751015667965</v>
      </c>
      <c r="O31" s="83" t="n">
        <f aca="false">$O$48/$G$48*G31</f>
        <v>650.247164214205</v>
      </c>
      <c r="P31" s="83" t="n">
        <f aca="false">O31*F31</f>
        <v>38933.6150008469</v>
      </c>
      <c r="Q31" s="81" t="n">
        <f aca="false">O31+P31/N31</f>
        <v>1300.49432842841</v>
      </c>
      <c r="R31" s="128" t="n">
        <f aca="false">P31+O31*N31</f>
        <v>77867.2300016939</v>
      </c>
      <c r="S31" s="85"/>
      <c r="T31" s="129" t="n">
        <f aca="false">$Q$48*N31</f>
        <v>119750.203133593</v>
      </c>
      <c r="U31" s="129" t="n">
        <f aca="false">$P$48*2</f>
        <v>50632.9454938167</v>
      </c>
      <c r="V31" s="129" t="n">
        <f aca="false">$O$48*N31+$P$48</f>
        <v>85191.5743137049</v>
      </c>
      <c r="W31" s="45" t="n">
        <f aca="false">T31/$R31-1</f>
        <v>0.537876756769029</v>
      </c>
      <c r="X31" s="45" t="n">
        <f aca="false">U31/$R31-1</f>
        <v>-0.349752835785795</v>
      </c>
      <c r="Y31" s="45" t="n">
        <f aca="false">V31/$R31-1</f>
        <v>0.0940619604916173</v>
      </c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</row>
    <row r="32" customFormat="false" ht="15" hidden="false" customHeight="false" outlineLevel="0" collapsed="false">
      <c r="F32" s="99" t="n">
        <f aca="false">H32/G32</f>
        <v>56.9187684269359</v>
      </c>
      <c r="G32" s="52" t="n">
        <f aca="false">G33*(1-$O$1)</f>
        <v>10355.0771353633</v>
      </c>
      <c r="H32" s="15" t="n">
        <f aca="false">I32/G32</f>
        <v>589398.237510803</v>
      </c>
      <c r="I32" s="0" t="n">
        <f aca="false">I33</f>
        <v>6103264212.87154</v>
      </c>
      <c r="J32" s="85"/>
      <c r="K32" s="85"/>
      <c r="L32" s="85"/>
      <c r="M32" s="85"/>
      <c r="N32" s="127" t="n">
        <f aca="false">F32</f>
        <v>56.9187684269359</v>
      </c>
      <c r="O32" s="83" t="n">
        <f aca="false">$O$48/$G$48*G32</f>
        <v>666.920168424826</v>
      </c>
      <c r="P32" s="83" t="n">
        <f aca="false">O32*F32</f>
        <v>37960.2746258258</v>
      </c>
      <c r="Q32" s="81" t="n">
        <f aca="false">O32+P32/N32</f>
        <v>1333.84033684965</v>
      </c>
      <c r="R32" s="128" t="n">
        <f aca="false">P32+O32*N32</f>
        <v>75920.5492516516</v>
      </c>
      <c r="S32" s="85"/>
      <c r="T32" s="129" t="n">
        <f aca="false">$Q$48*N32</f>
        <v>113837.536853872</v>
      </c>
      <c r="U32" s="129" t="n">
        <f aca="false">$P$48*2</f>
        <v>50632.9454938167</v>
      </c>
      <c r="V32" s="129" t="n">
        <f aca="false">$O$48*N32+$P$48</f>
        <v>82235.2411738443</v>
      </c>
      <c r="W32" s="45" t="n">
        <f aca="false">T32/$R32-1</f>
        <v>0.499429837849803</v>
      </c>
      <c r="X32" s="45" t="n">
        <f aca="false">U32/$R32-1</f>
        <v>-0.333079831575175</v>
      </c>
      <c r="Y32" s="45" t="n">
        <f aca="false">V32/$R32-1</f>
        <v>0.0831750031373142</v>
      </c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</row>
    <row r="33" customFormat="false" ht="15" hidden="false" customHeight="false" outlineLevel="0" collapsed="false">
      <c r="F33" s="99" t="n">
        <f aca="false">H33/G33</f>
        <v>54.108404235856</v>
      </c>
      <c r="G33" s="52" t="n">
        <f aca="false">G34*(1-$O$1)</f>
        <v>10620.5919337059</v>
      </c>
      <c r="H33" s="15" t="n">
        <f aca="false">I33/G33</f>
        <v>574663.281573033</v>
      </c>
      <c r="I33" s="0" t="n">
        <f aca="false">I34</f>
        <v>6103264212.87154</v>
      </c>
      <c r="J33" s="85"/>
      <c r="K33" s="85"/>
      <c r="L33" s="85"/>
      <c r="M33" s="85"/>
      <c r="N33" s="127" t="n">
        <f aca="false">F33</f>
        <v>54.108404235856</v>
      </c>
      <c r="O33" s="83" t="n">
        <f aca="false">$O$48/$G$48*G33</f>
        <v>684.020685563924</v>
      </c>
      <c r="P33" s="83" t="n">
        <f aca="false">O33*F33</f>
        <v>37011.2677601801</v>
      </c>
      <c r="Q33" s="81" t="n">
        <f aca="false">O33+P33/N33</f>
        <v>1368.04137112785</v>
      </c>
      <c r="R33" s="128" t="n">
        <f aca="false">P33+O33*N33</f>
        <v>74022.5355203603</v>
      </c>
      <c r="S33" s="85"/>
      <c r="T33" s="129" t="n">
        <f aca="false">$Q$48*N33</f>
        <v>108216.808471712</v>
      </c>
      <c r="U33" s="129" t="n">
        <f aca="false">$P$48*2</f>
        <v>50632.9454938167</v>
      </c>
      <c r="V33" s="129" t="n">
        <f aca="false">$O$48*N33+$P$48</f>
        <v>79424.8769827643</v>
      </c>
      <c r="W33" s="45" t="n">
        <f aca="false">T33/$R33-1</f>
        <v>0.461944091903558</v>
      </c>
      <c r="X33" s="45" t="n">
        <f aca="false">U33/$R33-1</f>
        <v>-0.315979314436076</v>
      </c>
      <c r="Y33" s="45" t="n">
        <f aca="false">V33/$R33-1</f>
        <v>0.0729823887337411</v>
      </c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5"/>
      <c r="AK33" s="85"/>
      <c r="AL33" s="85"/>
      <c r="AM33" s="85"/>
      <c r="AN33" s="85"/>
      <c r="AO33" s="85"/>
      <c r="AP33" s="85"/>
      <c r="AQ33" s="85"/>
      <c r="AR33" s="85"/>
      <c r="AS33" s="85"/>
      <c r="AT33" s="85"/>
      <c r="AU33" s="85"/>
      <c r="AV33" s="85"/>
      <c r="AW33" s="85"/>
      <c r="AX33" s="85"/>
      <c r="AY33" s="85"/>
      <c r="AZ33" s="85"/>
      <c r="BA33" s="85"/>
      <c r="BB33" s="85"/>
      <c r="BC33" s="85"/>
      <c r="BD33" s="85"/>
    </row>
    <row r="34" customFormat="false" ht="15" hidden="false" customHeight="false" outlineLevel="0" collapsed="false">
      <c r="F34" s="99" t="n">
        <f aca="false">H34/G34</f>
        <v>51.4368017767106</v>
      </c>
      <c r="G34" s="52" t="n">
        <f aca="false">G35*(1-$O$1)</f>
        <v>10892.914803801</v>
      </c>
      <c r="H34" s="15" t="n">
        <f aca="false">I34/G34</f>
        <v>560296.699533707</v>
      </c>
      <c r="I34" s="0" t="n">
        <f aca="false">I35</f>
        <v>6103264212.87154</v>
      </c>
      <c r="J34" s="85"/>
      <c r="K34" s="85"/>
      <c r="L34" s="85"/>
      <c r="M34" s="85"/>
      <c r="N34" s="127" t="n">
        <f aca="false">F34</f>
        <v>51.4368017767106</v>
      </c>
      <c r="O34" s="83" t="n">
        <f aca="false">$O$48/$G$48*G34</f>
        <v>701.55967750146</v>
      </c>
      <c r="P34" s="83" t="n">
        <f aca="false">O34*F34</f>
        <v>36085.9860661756</v>
      </c>
      <c r="Q34" s="81" t="n">
        <f aca="false">O34+P34/N34</f>
        <v>1403.11935500292</v>
      </c>
      <c r="R34" s="128" t="n">
        <f aca="false">P34+O34*N34</f>
        <v>72171.9721323513</v>
      </c>
      <c r="S34" s="85"/>
      <c r="T34" s="129" t="n">
        <f aca="false">$Q$48*N34</f>
        <v>102873.603553421</v>
      </c>
      <c r="U34" s="129" t="n">
        <f aca="false">$P$48*2</f>
        <v>50632.9454938167</v>
      </c>
      <c r="V34" s="129" t="n">
        <f aca="false">$O$48*N34+$P$48</f>
        <v>76753.2745236189</v>
      </c>
      <c r="W34" s="45" t="n">
        <f aca="false">T34/$R34-1</f>
        <v>0.425395489605969</v>
      </c>
      <c r="X34" s="45" t="n">
        <f aca="false">U34/$R34-1</f>
        <v>-0.29844032249854</v>
      </c>
      <c r="Y34" s="45" t="n">
        <f aca="false">V34/$R34-1</f>
        <v>0.0634775835537147</v>
      </c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5"/>
      <c r="AM34" s="85"/>
      <c r="AN34" s="85"/>
      <c r="AO34" s="85"/>
      <c r="AP34" s="85"/>
      <c r="AQ34" s="85"/>
      <c r="AR34" s="85"/>
      <c r="AS34" s="85"/>
      <c r="AT34" s="85"/>
      <c r="AU34" s="85"/>
      <c r="AV34" s="85"/>
      <c r="AW34" s="85"/>
      <c r="AX34" s="85"/>
      <c r="AY34" s="85"/>
      <c r="AZ34" s="85"/>
      <c r="BA34" s="85"/>
      <c r="BB34" s="85"/>
      <c r="BC34" s="85"/>
      <c r="BD34" s="85"/>
    </row>
    <row r="35" customFormat="false" ht="15" hidden="false" customHeight="false" outlineLevel="0" collapsed="false">
      <c r="F35" s="99" t="n">
        <f aca="false">H35/G35</f>
        <v>48.8971096889855</v>
      </c>
      <c r="G35" s="52" t="n">
        <f aca="false">G36*(1-$O$1)</f>
        <v>11172.2203115907</v>
      </c>
      <c r="H35" s="15" t="n">
        <f aca="false">I35/G35</f>
        <v>546289.282045364</v>
      </c>
      <c r="I35" s="0" t="n">
        <f aca="false">I36</f>
        <v>6103264212.87154</v>
      </c>
      <c r="J35" s="85"/>
      <c r="K35" s="85"/>
      <c r="L35" s="85"/>
      <c r="M35" s="85"/>
      <c r="N35" s="127" t="n">
        <f aca="false">F35</f>
        <v>48.8971096889855</v>
      </c>
      <c r="O35" s="83" t="n">
        <f aca="false">$O$48/$G$48*G35</f>
        <v>719.548387180985</v>
      </c>
      <c r="P35" s="83" t="n">
        <f aca="false">O35*F35</f>
        <v>35183.8364145212</v>
      </c>
      <c r="Q35" s="81" t="n">
        <f aca="false">O35+P35/N35</f>
        <v>1439.09677436197</v>
      </c>
      <c r="R35" s="128" t="n">
        <f aca="false">P35+O35*N35</f>
        <v>70367.6728290425</v>
      </c>
      <c r="S35" s="85"/>
      <c r="T35" s="129" t="n">
        <f aca="false">$Q$48*N35</f>
        <v>97794.219377971</v>
      </c>
      <c r="U35" s="129" t="n">
        <f aca="false">$P$48*2</f>
        <v>50632.9454938167</v>
      </c>
      <c r="V35" s="129" t="n">
        <f aca="false">$O$48*N35+$P$48</f>
        <v>74213.5824358939</v>
      </c>
      <c r="W35" s="45" t="n">
        <f aca="false">T35/$R35-1</f>
        <v>0.38976060236582</v>
      </c>
      <c r="X35" s="45" t="n">
        <f aca="false">U35/$R35-1</f>
        <v>-0.280451612819015</v>
      </c>
      <c r="Y35" s="45" t="n">
        <f aca="false">V35/$R35-1</f>
        <v>0.0546544947734025</v>
      </c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5"/>
      <c r="AK35" s="85"/>
      <c r="AL35" s="85"/>
      <c r="AM35" s="85"/>
      <c r="AN35" s="85"/>
      <c r="AO35" s="85"/>
      <c r="AP35" s="85"/>
      <c r="AQ35" s="85"/>
      <c r="AR35" s="85"/>
      <c r="AS35" s="85"/>
      <c r="AT35" s="85"/>
      <c r="AU35" s="85"/>
      <c r="AV35" s="85"/>
      <c r="AW35" s="85"/>
      <c r="AX35" s="85"/>
      <c r="AY35" s="85"/>
      <c r="AZ35" s="85"/>
      <c r="BA35" s="85"/>
      <c r="BB35" s="85"/>
      <c r="BC35" s="85"/>
      <c r="BD35" s="85"/>
    </row>
    <row r="36" customFormat="false" ht="15" hidden="false" customHeight="false" outlineLevel="0" collapsed="false">
      <c r="F36" s="99" t="n">
        <f aca="false">H36/G36</f>
        <v>46.4828148980918</v>
      </c>
      <c r="G36" s="52" t="n">
        <f aca="false">G37*(1-$O$1)</f>
        <v>11458.6874990674</v>
      </c>
      <c r="H36" s="15" t="n">
        <f aca="false">I36/G36</f>
        <v>532632.04999423</v>
      </c>
      <c r="I36" s="0" t="n">
        <f aca="false">I37</f>
        <v>6103264212.87154</v>
      </c>
      <c r="J36" s="85"/>
      <c r="K36" s="85"/>
      <c r="L36" s="85"/>
      <c r="M36" s="85"/>
      <c r="N36" s="127" t="n">
        <f aca="false">F36</f>
        <v>46.4828148980918</v>
      </c>
      <c r="O36" s="83" t="n">
        <f aca="false">$O$48/$G$48*G36</f>
        <v>737.998345826651</v>
      </c>
      <c r="P36" s="83" t="n">
        <f aca="false">O36*F36</f>
        <v>34304.2405041582</v>
      </c>
      <c r="Q36" s="81" t="n">
        <f aca="false">O36+P36/N36</f>
        <v>1475.9966916533</v>
      </c>
      <c r="R36" s="128" t="n">
        <f aca="false">P36+O36*N36</f>
        <v>68608.4810083164</v>
      </c>
      <c r="S36" s="85"/>
      <c r="T36" s="129" t="n">
        <f aca="false">$Q$48*N36</f>
        <v>92965.6297961837</v>
      </c>
      <c r="U36" s="129" t="n">
        <f aca="false">$P$48*2</f>
        <v>50632.9454938167</v>
      </c>
      <c r="V36" s="129" t="n">
        <f aca="false">$O$48*N36+$P$48</f>
        <v>71799.2876450002</v>
      </c>
      <c r="W36" s="45" t="n">
        <f aca="false">T36/$R36-1</f>
        <v>0.355016587306675</v>
      </c>
      <c r="X36" s="45" t="n">
        <f aca="false">U36/$R36-1</f>
        <v>-0.262001654173349</v>
      </c>
      <c r="Y36" s="45" t="n">
        <f aca="false">V36/$R36-1</f>
        <v>0.0465074665666629</v>
      </c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  <c r="AM36" s="85"/>
      <c r="AN36" s="85"/>
      <c r="AO36" s="85"/>
      <c r="AP36" s="85"/>
      <c r="AQ36" s="85"/>
      <c r="AR36" s="85"/>
      <c r="AS36" s="85"/>
      <c r="AT36" s="85"/>
      <c r="AU36" s="85"/>
      <c r="AV36" s="85"/>
      <c r="AW36" s="85"/>
      <c r="AX36" s="85"/>
      <c r="AY36" s="85"/>
      <c r="AZ36" s="85"/>
      <c r="BA36" s="85"/>
      <c r="BB36" s="85"/>
      <c r="BC36" s="85"/>
      <c r="BD36" s="85"/>
    </row>
    <row r="37" customFormat="false" ht="15" hidden="false" customHeight="false" outlineLevel="0" collapsed="false">
      <c r="F37" s="99" t="n">
        <f aca="false">H37/G37</f>
        <v>44.1877259124986</v>
      </c>
      <c r="G37" s="52" t="n">
        <f aca="false">G38*(1-$O$1)</f>
        <v>11752.4999990435</v>
      </c>
      <c r="H37" s="15" t="n">
        <f aca="false">I37/G37</f>
        <v>519316.248744374</v>
      </c>
      <c r="I37" s="0" t="n">
        <f aca="false">I38</f>
        <v>6103264212.87154</v>
      </c>
      <c r="J37" s="85"/>
      <c r="K37" s="85"/>
      <c r="L37" s="85"/>
      <c r="M37" s="85"/>
      <c r="N37" s="127" t="n">
        <f aca="false">F37</f>
        <v>44.1877259124986</v>
      </c>
      <c r="O37" s="83" t="n">
        <f aca="false">$O$48/$G$48*G37</f>
        <v>756.921380335027</v>
      </c>
      <c r="P37" s="83" t="n">
        <f aca="false">O37*F37</f>
        <v>33446.6344915542</v>
      </c>
      <c r="Q37" s="81" t="n">
        <f aca="false">O37+P37/N37</f>
        <v>1513.84276067005</v>
      </c>
      <c r="R37" s="128" t="n">
        <f aca="false">P37+O37*N37</f>
        <v>66893.2689831085</v>
      </c>
      <c r="S37" s="85"/>
      <c r="T37" s="129" t="n">
        <f aca="false">$Q$48*N37</f>
        <v>88375.4518249971</v>
      </c>
      <c r="U37" s="129" t="n">
        <f aca="false">$P$48*2</f>
        <v>50632.9454938167</v>
      </c>
      <c r="V37" s="129" t="n">
        <f aca="false">$O$48*N37+$P$48</f>
        <v>69504.1986594069</v>
      </c>
      <c r="W37" s="45" t="n">
        <f aca="false">T37/$R37-1</f>
        <v>0.321141172624008</v>
      </c>
      <c r="X37" s="45" t="n">
        <f aca="false">U37/$R37-1</f>
        <v>-0.243078619664973</v>
      </c>
      <c r="Y37" s="45" t="n">
        <f aca="false">V37/$R37-1</f>
        <v>0.0390312764795173</v>
      </c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  <c r="AL37" s="85"/>
      <c r="AM37" s="85"/>
      <c r="AN37" s="85"/>
      <c r="AO37" s="85"/>
      <c r="AP37" s="85"/>
      <c r="AQ37" s="85"/>
      <c r="AR37" s="85"/>
      <c r="AS37" s="85"/>
      <c r="AT37" s="85"/>
      <c r="AU37" s="85"/>
      <c r="AV37" s="85"/>
      <c r="AW37" s="85"/>
      <c r="AX37" s="85"/>
      <c r="AY37" s="85"/>
      <c r="AZ37" s="85"/>
      <c r="BA37" s="85"/>
      <c r="BB37" s="85"/>
      <c r="BC37" s="85"/>
      <c r="BD37" s="85"/>
    </row>
    <row r="38" customFormat="false" ht="15" hidden="false" customHeight="false" outlineLevel="0" collapsed="false">
      <c r="F38" s="99" t="n">
        <f aca="false">H38/G38</f>
        <v>42.0059569455689</v>
      </c>
      <c r="G38" s="52" t="n">
        <f aca="false">G39*(1-$O$1)</f>
        <v>12053.8461528651</v>
      </c>
      <c r="H38" s="15" t="n">
        <f aca="false">I38/G38</f>
        <v>506333.342525765</v>
      </c>
      <c r="I38" s="0" t="n">
        <f aca="false">I39</f>
        <v>6103264212.87154</v>
      </c>
      <c r="J38" s="85"/>
      <c r="K38" s="85"/>
      <c r="L38" s="85"/>
      <c r="M38" s="85"/>
      <c r="N38" s="127" t="n">
        <f aca="false">F38</f>
        <v>42.0059569455689</v>
      </c>
      <c r="O38" s="83" t="n">
        <f aca="false">$O$48/$G$48*G38</f>
        <v>776.329620856438</v>
      </c>
      <c r="P38" s="83" t="n">
        <f aca="false">O38*F38</f>
        <v>32610.4686292654</v>
      </c>
      <c r="Q38" s="81" t="n">
        <f aca="false">O38+P38/N38</f>
        <v>1552.65924171288</v>
      </c>
      <c r="R38" s="128" t="n">
        <f aca="false">P38+O38*N38</f>
        <v>65220.9372585308</v>
      </c>
      <c r="S38" s="85"/>
      <c r="T38" s="129" t="n">
        <f aca="false">$Q$48*N38</f>
        <v>84011.9138911379</v>
      </c>
      <c r="U38" s="129" t="n">
        <f aca="false">$P$48*2</f>
        <v>50632.9454938167</v>
      </c>
      <c r="V38" s="129" t="n">
        <f aca="false">$O$48*N38+$P$48</f>
        <v>67322.4296924773</v>
      </c>
      <c r="W38" s="45" t="n">
        <f aca="false">T38/$R38-1</f>
        <v>0.288112643308408</v>
      </c>
      <c r="X38" s="45" t="n">
        <f aca="false">U38/$R38-1</f>
        <v>-0.223670379143562</v>
      </c>
      <c r="Y38" s="45" t="n">
        <f aca="false">V38/$R38-1</f>
        <v>0.0322211320824226</v>
      </c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5"/>
      <c r="BC38" s="85"/>
      <c r="BD38" s="85"/>
    </row>
    <row r="39" customFormat="false" ht="15" hidden="false" customHeight="false" outlineLevel="0" collapsed="false">
      <c r="F39" s="99" t="n">
        <f aca="false">H39/G39</f>
        <v>39.9319128213815</v>
      </c>
      <c r="G39" s="52" t="n">
        <f aca="false">G40*(1-$O$1)</f>
        <v>12362.9191311437</v>
      </c>
      <c r="H39" s="15" t="n">
        <f aca="false">I39/G39</f>
        <v>493675.008962621</v>
      </c>
      <c r="I39" s="0" t="n">
        <f aca="false">I40</f>
        <v>6103264212.87154</v>
      </c>
      <c r="J39" s="85"/>
      <c r="K39" s="85"/>
      <c r="L39" s="85"/>
      <c r="M39" s="85"/>
      <c r="N39" s="127" t="n">
        <f aca="false">F39</f>
        <v>39.9319128213815</v>
      </c>
      <c r="O39" s="83" t="n">
        <f aca="false">$O$48/$G$48*G39</f>
        <v>796.235508570705</v>
      </c>
      <c r="P39" s="83" t="n">
        <f aca="false">O39*F39</f>
        <v>31795.2069135338</v>
      </c>
      <c r="Q39" s="81" t="n">
        <f aca="false">O39+P39/N39</f>
        <v>1592.47101714141</v>
      </c>
      <c r="R39" s="128" t="n">
        <f aca="false">P39+O39*N39</f>
        <v>63590.4138270675</v>
      </c>
      <c r="S39" s="85"/>
      <c r="T39" s="129" t="n">
        <f aca="false">$Q$48*N39</f>
        <v>79863.825642763</v>
      </c>
      <c r="U39" s="129" t="n">
        <f aca="false">$P$48*2</f>
        <v>50632.9454938167</v>
      </c>
      <c r="V39" s="129" t="n">
        <f aca="false">$O$48*N39+$P$48</f>
        <v>65248.3855682898</v>
      </c>
      <c r="W39" s="45" t="n">
        <f aca="false">T39/$R39-1</f>
        <v>0.255909827225698</v>
      </c>
      <c r="X39" s="45" t="n">
        <f aca="false">U39/$R39-1</f>
        <v>-0.203764491429295</v>
      </c>
      <c r="Y39" s="45" t="n">
        <f aca="false">V39/$R39-1</f>
        <v>0.0260726678982015</v>
      </c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  <c r="AL39" s="85"/>
      <c r="AM39" s="85"/>
      <c r="AN39" s="85"/>
      <c r="AO39" s="85"/>
      <c r="AP39" s="85"/>
      <c r="AQ39" s="85"/>
      <c r="AR39" s="85"/>
      <c r="AS39" s="85"/>
      <c r="AT39" s="85"/>
      <c r="AU39" s="85"/>
      <c r="AV39" s="85"/>
      <c r="AW39" s="85"/>
      <c r="AX39" s="85"/>
      <c r="AY39" s="85"/>
      <c r="AZ39" s="85"/>
      <c r="BA39" s="85"/>
      <c r="BB39" s="85"/>
      <c r="BC39" s="85"/>
      <c r="BD39" s="85"/>
    </row>
    <row r="40" customFormat="false" ht="15" hidden="false" customHeight="false" outlineLevel="0" collapsed="false">
      <c r="F40" s="99" t="n">
        <f aca="false">H40/G40</f>
        <v>37.9602746258258</v>
      </c>
      <c r="G40" s="52" t="n">
        <f aca="false">G41*(1-$O$1)</f>
        <v>12679.9170575833</v>
      </c>
      <c r="H40" s="15" t="n">
        <f aca="false">I40/G40</f>
        <v>481333.133738555</v>
      </c>
      <c r="I40" s="0" t="n">
        <f aca="false">I41</f>
        <v>6103264212.87154</v>
      </c>
      <c r="J40" s="85"/>
      <c r="K40" s="85"/>
      <c r="L40" s="85"/>
      <c r="M40" s="85"/>
      <c r="N40" s="127" t="n">
        <f aca="false">F40</f>
        <v>37.9602746258258</v>
      </c>
      <c r="O40" s="83" t="n">
        <f aca="false">$O$48/$G$48*G40</f>
        <v>816.651803662262</v>
      </c>
      <c r="P40" s="83" t="n">
        <f aca="false">O40*F40</f>
        <v>31000.3267406954</v>
      </c>
      <c r="Q40" s="81" t="n">
        <f aca="false">O40+P40/N40</f>
        <v>1633.30360732452</v>
      </c>
      <c r="R40" s="128" t="n">
        <f aca="false">P40+O40*N40</f>
        <v>62000.6534813908</v>
      </c>
      <c r="S40" s="85"/>
      <c r="T40" s="129" t="n">
        <f aca="false">$Q$48*N40</f>
        <v>75920.5492516516</v>
      </c>
      <c r="U40" s="129" t="n">
        <f aca="false">$P$48*2</f>
        <v>50632.9454938167</v>
      </c>
      <c r="V40" s="129" t="n">
        <f aca="false">$O$48*N40+$P$48</f>
        <v>63276.7473727341</v>
      </c>
      <c r="W40" s="45" t="n">
        <f aca="false">T40/$R40-1</f>
        <v>0.224512081545055</v>
      </c>
      <c r="X40" s="45" t="n">
        <f aca="false">U40/$R40-1</f>
        <v>-0.183348196337738</v>
      </c>
      <c r="Y40" s="45" t="n">
        <f aca="false">V40/$R40-1</f>
        <v>0.0205819426036584</v>
      </c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  <c r="AL40" s="85"/>
      <c r="AM40" s="85"/>
      <c r="AN40" s="85"/>
      <c r="AO40" s="85"/>
      <c r="AP40" s="85"/>
      <c r="AQ40" s="85"/>
      <c r="AR40" s="85"/>
      <c r="AS40" s="85"/>
      <c r="AT40" s="85"/>
      <c r="AU40" s="85"/>
      <c r="AV40" s="85"/>
      <c r="AW40" s="85"/>
      <c r="AX40" s="85"/>
      <c r="AY40" s="85"/>
      <c r="AZ40" s="85"/>
      <c r="BA40" s="85"/>
      <c r="BB40" s="85"/>
      <c r="BC40" s="85"/>
      <c r="BD40" s="85"/>
    </row>
    <row r="41" customFormat="false" ht="15" hidden="false" customHeight="false" outlineLevel="0" collapsed="false">
      <c r="F41" s="99" t="n">
        <f aca="false">H41/G41</f>
        <v>36.0859860661756</v>
      </c>
      <c r="G41" s="52" t="n">
        <f aca="false">G42*(1-$O$1)</f>
        <v>13005.0431359829</v>
      </c>
      <c r="H41" s="15" t="n">
        <f aca="false">I41/G41</f>
        <v>469299.805395092</v>
      </c>
      <c r="I41" s="0" t="n">
        <f aca="false">I42</f>
        <v>6103264212.87154</v>
      </c>
      <c r="J41" s="85"/>
      <c r="K41" s="85"/>
      <c r="L41" s="85"/>
      <c r="M41" s="85"/>
      <c r="N41" s="127" t="n">
        <f aca="false">F41</f>
        <v>36.0859860661756</v>
      </c>
      <c r="O41" s="83" t="n">
        <f aca="false">$O$48/$G$48*G41</f>
        <v>837.591593499756</v>
      </c>
      <c r="P41" s="83" t="n">
        <f aca="false">O41*F41</f>
        <v>30225.318572178</v>
      </c>
      <c r="Q41" s="81" t="n">
        <f aca="false">O41+P41/N41</f>
        <v>1675.18318699951</v>
      </c>
      <c r="R41" s="128" t="n">
        <f aca="false">P41+O41*N41</f>
        <v>60450.6371443561</v>
      </c>
      <c r="S41" s="85"/>
      <c r="T41" s="129" t="n">
        <f aca="false">$Q$48*N41</f>
        <v>72171.9721323513</v>
      </c>
      <c r="U41" s="129" t="n">
        <f aca="false">$P$48*2</f>
        <v>50632.9454938167</v>
      </c>
      <c r="V41" s="129" t="n">
        <f aca="false">$O$48*N41+$P$48</f>
        <v>61402.458813084</v>
      </c>
      <c r="W41" s="45" t="n">
        <f aca="false">T41/$R41-1</f>
        <v>0.193899279506429</v>
      </c>
      <c r="X41" s="45" t="n">
        <f aca="false">U41/$R41-1</f>
        <v>-0.162408406500244</v>
      </c>
      <c r="Y41" s="45" t="n">
        <f aca="false">V41/$R41-1</f>
        <v>0.0157454365030922</v>
      </c>
      <c r="Z41" s="85"/>
      <c r="AA41" s="104"/>
      <c r="AB41" s="104"/>
      <c r="AC41" s="104"/>
    </row>
    <row r="42" customFormat="false" ht="15" hidden="false" customHeight="false" outlineLevel="0" collapsed="false">
      <c r="F42" s="99" t="n">
        <f aca="false">H42/G42</f>
        <v>34.3042405041582</v>
      </c>
      <c r="G42" s="52" t="n">
        <f aca="false">G43*(1-$O$1)</f>
        <v>13338.5057804953</v>
      </c>
      <c r="H42" s="15" t="n">
        <f aca="false">I42/G42</f>
        <v>457567.310260214</v>
      </c>
      <c r="I42" s="0" t="n">
        <f aca="false">I43</f>
        <v>6103264212.87154</v>
      </c>
      <c r="J42" s="85"/>
      <c r="K42" s="85"/>
      <c r="L42" s="85"/>
      <c r="M42" s="85"/>
      <c r="N42" s="127" t="n">
        <f aca="false">F42</f>
        <v>34.3042405041582</v>
      </c>
      <c r="O42" s="83" t="n">
        <f aca="false">$O$48/$G$48*G42</f>
        <v>859.068301025391</v>
      </c>
      <c r="P42" s="83" t="n">
        <f aca="false">O42*F42</f>
        <v>29469.6856078736</v>
      </c>
      <c r="Q42" s="81" t="n">
        <f aca="false">O42+P42/N42</f>
        <v>1718.13660205078</v>
      </c>
      <c r="R42" s="128" t="n">
        <f aca="false">P42+O42*N42</f>
        <v>58939.3712157472</v>
      </c>
      <c r="S42" s="85"/>
      <c r="T42" s="129" t="n">
        <f aca="false">$Q$48*N42</f>
        <v>68608.4810083164</v>
      </c>
      <c r="U42" s="129" t="n">
        <f aca="false">$P$48*2</f>
        <v>50632.9454938167</v>
      </c>
      <c r="V42" s="129" t="n">
        <f aca="false">$O$48*N42+$P$48</f>
        <v>59620.7132510666</v>
      </c>
      <c r="W42" s="45" t="n">
        <f aca="false">T42/$R42-1</f>
        <v>0.164051797518768</v>
      </c>
      <c r="X42" s="45" t="n">
        <f aca="false">U42/$R42-1</f>
        <v>-0.14093169897461</v>
      </c>
      <c r="Y42" s="45" t="n">
        <f aca="false">V42/$R42-1</f>
        <v>0.0115600492720791</v>
      </c>
      <c r="Z42" s="85"/>
      <c r="AA42" s="104"/>
      <c r="AB42" s="104"/>
      <c r="AC42" s="104"/>
    </row>
    <row r="43" customFormat="false" ht="15" hidden="false" customHeight="false" outlineLevel="0" collapsed="false">
      <c r="F43" s="99" t="n">
        <f aca="false">H43/G43</f>
        <v>32.6104686292654</v>
      </c>
      <c r="G43" s="52" t="n">
        <f aca="false">G44*(1-$O$1)</f>
        <v>13680.5187492259</v>
      </c>
      <c r="H43" s="15" t="n">
        <f aca="false">I43/G43</f>
        <v>446128.127503709</v>
      </c>
      <c r="I43" s="0" t="n">
        <f aca="false">I44</f>
        <v>6103264212.87154</v>
      </c>
      <c r="J43" s="85"/>
      <c r="K43" s="85"/>
      <c r="L43" s="85"/>
      <c r="M43" s="85"/>
      <c r="N43" s="127" t="n">
        <f aca="false">F43</f>
        <v>32.6104686292654</v>
      </c>
      <c r="O43" s="83" t="n">
        <f aca="false">$O$48/$G$48*G43</f>
        <v>881.095693359375</v>
      </c>
      <c r="P43" s="83" t="n">
        <f aca="false">O43*F43</f>
        <v>28732.9434676767</v>
      </c>
      <c r="Q43" s="81" t="n">
        <f aca="false">O43+P43/N43</f>
        <v>1762.19138671875</v>
      </c>
      <c r="R43" s="128" t="n">
        <f aca="false">P43+O43*N43</f>
        <v>57465.8869353535</v>
      </c>
      <c r="S43" s="85"/>
      <c r="T43" s="129" t="n">
        <f aca="false">$Q$48*N43</f>
        <v>65220.9372585308</v>
      </c>
      <c r="U43" s="129" t="n">
        <f aca="false">$P$48*2</f>
        <v>50632.9454938167</v>
      </c>
      <c r="V43" s="129" t="n">
        <f aca="false">$O$48*N43+$P$48</f>
        <v>57926.9413761737</v>
      </c>
      <c r="W43" s="45" t="n">
        <f aca="false">T43/$R43-1</f>
        <v>0.134950502580799</v>
      </c>
      <c r="X43" s="45" t="n">
        <f aca="false">U43/$R43-1</f>
        <v>-0.118904306640625</v>
      </c>
      <c r="Y43" s="45" t="n">
        <f aca="false">V43/$R43-1</f>
        <v>0.00802309797008682</v>
      </c>
      <c r="Z43" s="85"/>
      <c r="AA43" s="104"/>
      <c r="AB43" s="104"/>
      <c r="AC43" s="104"/>
    </row>
    <row r="44" customFormat="false" ht="15" hidden="false" customHeight="false" outlineLevel="0" collapsed="false">
      <c r="F44" s="99" t="n">
        <f aca="false">H44/G44</f>
        <v>31.0003267406954</v>
      </c>
      <c r="G44" s="52" t="n">
        <f aca="false">G45*(1-$O$1)</f>
        <v>14031.3012812574</v>
      </c>
      <c r="H44" s="15" t="n">
        <f aca="false">I44/G44</f>
        <v>434974.924316116</v>
      </c>
      <c r="I44" s="0" t="n">
        <f aca="false">I45</f>
        <v>6103264212.87154</v>
      </c>
      <c r="J44" s="85"/>
      <c r="K44" s="85"/>
      <c r="L44" s="85"/>
      <c r="M44" s="85"/>
      <c r="N44" s="127" t="n">
        <f aca="false">F44</f>
        <v>31.0003267406954</v>
      </c>
      <c r="O44" s="83" t="n">
        <f aca="false">$O$48/$G$48*G44</f>
        <v>903.687890625</v>
      </c>
      <c r="P44" s="83" t="n">
        <f aca="false">O44*F44</f>
        <v>28014.6198809848</v>
      </c>
      <c r="Q44" s="81" t="n">
        <f aca="false">O44+P44/N44</f>
        <v>1807.37578125</v>
      </c>
      <c r="R44" s="128" t="n">
        <f aca="false">P44+O44*N44</f>
        <v>56029.2397619696</v>
      </c>
      <c r="S44" s="85"/>
      <c r="T44" s="129" t="n">
        <f aca="false">$Q$48*N44</f>
        <v>62000.6534813908</v>
      </c>
      <c r="U44" s="129" t="n">
        <f aca="false">$P$48*2</f>
        <v>50632.9454938167</v>
      </c>
      <c r="V44" s="129" t="n">
        <f aca="false">$O$48*N44+$P$48</f>
        <v>56316.7994876038</v>
      </c>
      <c r="W44" s="45" t="n">
        <f aca="false">T44/$R44-1</f>
        <v>0.106576740016279</v>
      </c>
      <c r="X44" s="45" t="n">
        <f aca="false">U44/$R44-1</f>
        <v>-0.0963121093750001</v>
      </c>
      <c r="Y44" s="45" t="n">
        <f aca="false">V44/$R44-1</f>
        <v>0.00513231532063929</v>
      </c>
      <c r="Z44" s="85"/>
      <c r="AA44" s="104"/>
      <c r="AB44" s="104"/>
      <c r="AC44" s="104"/>
    </row>
    <row r="45" customFormat="false" ht="15" hidden="false" customHeight="false" outlineLevel="0" collapsed="false">
      <c r="F45" s="99" t="n">
        <f aca="false">H45/G45</f>
        <v>29.4696856078736</v>
      </c>
      <c r="G45" s="52" t="n">
        <f aca="false">G46*(1-$O$1)</f>
        <v>14391.078237187</v>
      </c>
      <c r="H45" s="15" t="n">
        <f aca="false">I45/G45</f>
        <v>424100.551208213</v>
      </c>
      <c r="I45" s="0" t="n">
        <f aca="false">I46</f>
        <v>6103264212.87154</v>
      </c>
      <c r="J45" s="85"/>
      <c r="K45" s="85"/>
      <c r="L45" s="85"/>
      <c r="M45" s="85"/>
      <c r="N45" s="127" t="n">
        <f aca="false">F45</f>
        <v>29.4696856078736</v>
      </c>
      <c r="O45" s="83" t="n">
        <f aca="false">$O$48/$G$48*G45</f>
        <v>926.859375</v>
      </c>
      <c r="P45" s="83" t="n">
        <f aca="false">O45*F45</f>
        <v>27314.2543839602</v>
      </c>
      <c r="Q45" s="81" t="n">
        <f aca="false">O45+P45/N45</f>
        <v>1853.71875</v>
      </c>
      <c r="R45" s="128" t="n">
        <f aca="false">P45+O45*N45</f>
        <v>54628.5087679204</v>
      </c>
      <c r="S45" s="105"/>
      <c r="T45" s="129" t="n">
        <f aca="false">$Q$48*N45</f>
        <v>58939.3712157471</v>
      </c>
      <c r="U45" s="129" t="n">
        <f aca="false">$P$48*2</f>
        <v>50632.9454938167</v>
      </c>
      <c r="V45" s="129" t="n">
        <f aca="false">$O$48*N45+$P$48</f>
        <v>54786.1583547819</v>
      </c>
      <c r="W45" s="45" t="n">
        <f aca="false">T45/$R45-1</f>
        <v>0.0789123215158718</v>
      </c>
      <c r="X45" s="45" t="n">
        <f aca="false">U45/$R45-1</f>
        <v>-0.0731406250000001</v>
      </c>
      <c r="Y45" s="45" t="n">
        <f aca="false">V45/$R45-1</f>
        <v>0.0028858482579357</v>
      </c>
      <c r="Z45" s="85"/>
      <c r="AA45" s="104"/>
      <c r="AB45" s="104"/>
      <c r="AC45" s="104"/>
    </row>
    <row r="46" customFormat="false" ht="15" hidden="false" customHeight="false" outlineLevel="0" collapsed="false">
      <c r="F46" s="99" t="n">
        <f aca="false">H46/G46</f>
        <v>28.0146198809848</v>
      </c>
      <c r="G46" s="52" t="n">
        <f aca="false">G47*(1-$O$1)</f>
        <v>14760.0802432688</v>
      </c>
      <c r="H46" s="15" t="n">
        <f aca="false">I46/G46</f>
        <v>413498.037428008</v>
      </c>
      <c r="I46" s="0" t="n">
        <f aca="false">I47</f>
        <v>6103264212.87154</v>
      </c>
      <c r="J46" s="85"/>
      <c r="K46" s="85"/>
      <c r="L46" s="85"/>
      <c r="M46" s="85"/>
      <c r="N46" s="127" t="n">
        <f aca="false">F46</f>
        <v>28.0146198809848</v>
      </c>
      <c r="O46" s="83" t="n">
        <f aca="false">$O$48/$G$48*G46</f>
        <v>950.625</v>
      </c>
      <c r="P46" s="83" t="n">
        <f aca="false">O46*F46</f>
        <v>26631.3980243612</v>
      </c>
      <c r="Q46" s="81" t="n">
        <f aca="false">O46+P46/N46</f>
        <v>1901.25</v>
      </c>
      <c r="R46" s="128" t="n">
        <f aca="false">P46+O46*N46</f>
        <v>53262.7960487224</v>
      </c>
      <c r="S46" s="105"/>
      <c r="T46" s="129" t="n">
        <f aca="false">$Q$48*N46</f>
        <v>56029.2397619696</v>
      </c>
      <c r="U46" s="129" t="n">
        <f aca="false">$P$48*2</f>
        <v>50632.9454938167</v>
      </c>
      <c r="V46" s="129" t="n">
        <f aca="false">$O$48*N46+$P$48</f>
        <v>53331.0926278932</v>
      </c>
      <c r="W46" s="45" t="n">
        <f aca="false">T46/$R46-1</f>
        <v>0.051939513477975</v>
      </c>
      <c r="X46" s="45" t="n">
        <f aca="false">U46/$R46-1</f>
        <v>-0.0493750000000001</v>
      </c>
      <c r="Y46" s="45" t="n">
        <f aca="false">V46/$R46-1</f>
        <v>0.00128225673898741</v>
      </c>
      <c r="Z46" s="85"/>
      <c r="AA46" s="104"/>
      <c r="AB46" s="104"/>
      <c r="AC46" s="104"/>
    </row>
    <row r="47" customFormat="false" ht="15" hidden="false" customHeight="false" outlineLevel="0" collapsed="false">
      <c r="F47" s="99" t="n">
        <f aca="false">H47/G47</f>
        <v>26.6313980243612</v>
      </c>
      <c r="G47" s="52" t="n">
        <f aca="false">G48*(1-$O$1)</f>
        <v>15138.54383925</v>
      </c>
      <c r="H47" s="15" t="n">
        <f aca="false">I47/G47</f>
        <v>403160.586492308</v>
      </c>
      <c r="I47" s="0" t="n">
        <f aca="false">I48</f>
        <v>6103264212.87154</v>
      </c>
      <c r="J47" s="85"/>
      <c r="K47" s="85"/>
      <c r="L47" s="85"/>
      <c r="M47" s="85"/>
      <c r="N47" s="127" t="n">
        <f aca="false">F47</f>
        <v>26.6313980243612</v>
      </c>
      <c r="O47" s="83" t="n">
        <f aca="false">$O$48/$G$48*G47</f>
        <v>975</v>
      </c>
      <c r="P47" s="83" t="n">
        <f aca="false">O47*F47</f>
        <v>25965.6130737522</v>
      </c>
      <c r="Q47" s="81" t="n">
        <f aca="false">O47+P47/N47</f>
        <v>1950</v>
      </c>
      <c r="R47" s="128" t="n">
        <f aca="false">P47+O47*N47</f>
        <v>51931.2261475043</v>
      </c>
      <c r="S47" s="105"/>
      <c r="T47" s="129" t="n">
        <f aca="false">$Q$48*N47</f>
        <v>53262.7960487224</v>
      </c>
      <c r="U47" s="129" t="n">
        <f aca="false">$P$48*2</f>
        <v>50632.9454938167</v>
      </c>
      <c r="V47" s="129" t="n">
        <f aca="false">$O$48*N47+$P$48</f>
        <v>51947.8707712695</v>
      </c>
      <c r="W47" s="45" t="n">
        <f aca="false">T47/$R47-1</f>
        <v>0.0256410256410253</v>
      </c>
      <c r="X47" s="45" t="n">
        <f aca="false">U47/$R47-1</f>
        <v>-0.0250000000000001</v>
      </c>
      <c r="Y47" s="45" t="n">
        <f aca="false">V47/$R47-1</f>
        <v>0.000320512820512597</v>
      </c>
      <c r="Z47" s="85"/>
      <c r="AA47" s="104"/>
      <c r="AB47" s="104"/>
      <c r="AC47" s="104"/>
    </row>
    <row r="48" customFormat="false" ht="18.75" hidden="false" customHeight="false" outlineLevel="0" collapsed="false">
      <c r="D48" s="106" t="s">
        <v>122</v>
      </c>
      <c r="E48" s="106"/>
      <c r="F48" s="99" t="n">
        <f aca="false">H48/G48</f>
        <v>25.3164727469084</v>
      </c>
      <c r="G48" s="108" t="n">
        <f aca="false">K1</f>
        <v>15526.71163</v>
      </c>
      <c r="H48" s="109" t="n">
        <f aca="false">K2</f>
        <v>393081.57183</v>
      </c>
      <c r="I48" s="110" t="n">
        <f aca="false">G48*H48</f>
        <v>6103264212.87154</v>
      </c>
      <c r="J48" s="111"/>
      <c r="K48" s="111"/>
      <c r="L48" s="111"/>
      <c r="M48" s="110"/>
      <c r="N48" s="130" t="n">
        <f aca="false">F48</f>
        <v>25.3164727469084</v>
      </c>
      <c r="O48" s="113" t="n">
        <f aca="false">K3</f>
        <v>1000</v>
      </c>
      <c r="P48" s="113" t="n">
        <f aca="false">O48*F48</f>
        <v>25316.4727469084</v>
      </c>
      <c r="Q48" s="113" t="n">
        <f aca="false">O48+P48/N48</f>
        <v>2000</v>
      </c>
      <c r="R48" s="131" t="n">
        <f aca="false">P48+O48*N48</f>
        <v>50632.9454938167</v>
      </c>
      <c r="S48" s="115"/>
      <c r="T48" s="131" t="n">
        <f aca="false">$Q$48*N48</f>
        <v>50632.9454938167</v>
      </c>
      <c r="U48" s="131" t="n">
        <f aca="false">$P$48*2</f>
        <v>50632.9454938167</v>
      </c>
      <c r="V48" s="131" t="n">
        <f aca="false">$O$48*N48+$P$48</f>
        <v>50632.9454938167</v>
      </c>
      <c r="W48" s="117" t="n">
        <f aca="false">T48/$R48-1</f>
        <v>0</v>
      </c>
      <c r="X48" s="117" t="n">
        <f aca="false">U48/$R48-1</f>
        <v>0</v>
      </c>
      <c r="Y48" s="117" t="n">
        <f aca="false">V48/$R48-1</f>
        <v>0</v>
      </c>
      <c r="Z48" s="85"/>
      <c r="AA48" s="104"/>
      <c r="AB48" s="104"/>
      <c r="AC48" s="104"/>
    </row>
    <row r="49" customFormat="false" ht="15" hidden="false" customHeight="false" outlineLevel="0" collapsed="false">
      <c r="F49" s="99" t="n">
        <f aca="false">H49/G49</f>
        <v>24.0965832213286</v>
      </c>
      <c r="G49" s="52" t="n">
        <f aca="false">G48*(1+$O$1)</f>
        <v>15914.87942075</v>
      </c>
      <c r="H49" s="15" t="n">
        <f aca="false">I49/G49</f>
        <v>383494.216419512</v>
      </c>
      <c r="I49" s="0" t="n">
        <f aca="false">I48</f>
        <v>6103264212.87154</v>
      </c>
      <c r="J49" s="85"/>
      <c r="K49" s="85"/>
      <c r="L49" s="85"/>
      <c r="M49" s="85"/>
      <c r="N49" s="127" t="n">
        <f aca="false">F49</f>
        <v>24.0965832213286</v>
      </c>
      <c r="O49" s="83" t="n">
        <f aca="false">$O$48/$G$48*G49</f>
        <v>1025</v>
      </c>
      <c r="P49" s="83" t="n">
        <f aca="false">O49*F49</f>
        <v>24698.9978018618</v>
      </c>
      <c r="Q49" s="81" t="n">
        <f aca="false">O49+P49/N49</f>
        <v>2050</v>
      </c>
      <c r="R49" s="128" t="n">
        <f aca="false">P49+O49*N49</f>
        <v>49397.9956037236</v>
      </c>
      <c r="S49" s="105"/>
      <c r="T49" s="129" t="n">
        <f aca="false">$Q$48*N49</f>
        <v>48193.1664426572</v>
      </c>
      <c r="U49" s="129" t="n">
        <f aca="false">$P$48*2</f>
        <v>50632.9454938167</v>
      </c>
      <c r="V49" s="129" t="n">
        <f aca="false">$O$48*N49+$P$48</f>
        <v>49413.055968237</v>
      </c>
      <c r="W49" s="45" t="n">
        <f aca="false">T49/$R49-1</f>
        <v>-0.024390243902439</v>
      </c>
      <c r="X49" s="45" t="n">
        <f aca="false">U49/$R49-1</f>
        <v>0.0249999999999997</v>
      </c>
      <c r="Y49" s="45" t="n">
        <f aca="false">V49/$R49-1</f>
        <v>0.000304878048780211</v>
      </c>
      <c r="Z49" s="85"/>
      <c r="AA49" s="104"/>
      <c r="AB49" s="104"/>
      <c r="AC49" s="104"/>
    </row>
    <row r="50" customFormat="false" ht="15" hidden="false" customHeight="false" outlineLevel="0" collapsed="false">
      <c r="F50" s="99" t="n">
        <f aca="false">H50/G50</f>
        <v>22.9354748091171</v>
      </c>
      <c r="G50" s="52" t="n">
        <f aca="false">G49*(1+$O$1)</f>
        <v>16312.7514062687</v>
      </c>
      <c r="H50" s="15" t="n">
        <f aca="false">I50/G50</f>
        <v>374140.698945866</v>
      </c>
      <c r="I50" s="0" t="n">
        <f aca="false">I49</f>
        <v>6103264212.87154</v>
      </c>
      <c r="J50" s="85"/>
      <c r="K50" s="85"/>
      <c r="L50" s="85"/>
      <c r="M50" s="85"/>
      <c r="N50" s="127" t="n">
        <f aca="false">F50</f>
        <v>22.9354748091171</v>
      </c>
      <c r="O50" s="83" t="n">
        <f aca="false">$O$48/$G$48*G50</f>
        <v>1050.625</v>
      </c>
      <c r="P50" s="83" t="n">
        <f aca="false">O50*F50</f>
        <v>24096.5832213286</v>
      </c>
      <c r="Q50" s="81" t="n">
        <f aca="false">O50+P50/N50</f>
        <v>2101.25</v>
      </c>
      <c r="R50" s="128" t="n">
        <f aca="false">P50+O50*N50</f>
        <v>48193.1664426572</v>
      </c>
      <c r="S50" s="105"/>
      <c r="T50" s="129" t="n">
        <f aca="false">$Q$48*N50</f>
        <v>45870.9496182341</v>
      </c>
      <c r="U50" s="129" t="n">
        <f aca="false">$P$48*2</f>
        <v>50632.9454938167</v>
      </c>
      <c r="V50" s="129" t="n">
        <f aca="false">$O$48*N50+$P$48</f>
        <v>48251.9475560254</v>
      </c>
      <c r="W50" s="45" t="n">
        <f aca="false">T50/$R50-1</f>
        <v>-0.0481856038072572</v>
      </c>
      <c r="X50" s="45" t="n">
        <f aca="false">U50/$R50-1</f>
        <v>0.0506249999999997</v>
      </c>
      <c r="Y50" s="45" t="n">
        <f aca="false">V50/$R50-1</f>
        <v>0.00121969809637124</v>
      </c>
      <c r="Z50" s="85"/>
      <c r="AA50" s="104"/>
      <c r="AB50" s="104"/>
      <c r="AC50" s="104"/>
    </row>
    <row r="51" customFormat="false" ht="15" hidden="false" customHeight="false" outlineLevel="0" collapsed="false">
      <c r="F51" s="99" t="n">
        <f aca="false">H51/G51</f>
        <v>21.8303151068336</v>
      </c>
      <c r="G51" s="52" t="n">
        <f aca="false">G50*(1+$O$1)</f>
        <v>16720.5701914255</v>
      </c>
      <c r="H51" s="15" t="n">
        <f aca="false">I51/G51</f>
        <v>365015.316044747</v>
      </c>
      <c r="I51" s="0" t="n">
        <f aca="false">I50</f>
        <v>6103264212.87154</v>
      </c>
      <c r="J51" s="85"/>
      <c r="K51" s="85"/>
      <c r="L51" s="85"/>
      <c r="M51" s="85"/>
      <c r="N51" s="127" t="n">
        <f aca="false">F51</f>
        <v>21.8303151068336</v>
      </c>
      <c r="O51" s="83" t="n">
        <f aca="false">$O$48/$G$48*G51</f>
        <v>1076.890625</v>
      </c>
      <c r="P51" s="83" t="n">
        <f aca="false">O51*F51</f>
        <v>23508.861679345</v>
      </c>
      <c r="Q51" s="81" t="n">
        <f aca="false">O51+P51/N51</f>
        <v>2153.78125</v>
      </c>
      <c r="R51" s="128" t="n">
        <f aca="false">P51+O51*N51</f>
        <v>47017.72335869</v>
      </c>
      <c r="S51" s="105"/>
      <c r="T51" s="129" t="n">
        <f aca="false">$Q$48*N51</f>
        <v>43660.6302136672</v>
      </c>
      <c r="U51" s="129" t="n">
        <f aca="false">$P$48*2</f>
        <v>50632.9454938167</v>
      </c>
      <c r="V51" s="129" t="n">
        <f aca="false">$O$48*N51+$P$48</f>
        <v>47146.787853742</v>
      </c>
      <c r="W51" s="45" t="n">
        <f aca="false">T51/$R51-1</f>
        <v>-0.0714005890802513</v>
      </c>
      <c r="X51" s="45" t="n">
        <f aca="false">U51/$R51-1</f>
        <v>0.0768906249999994</v>
      </c>
      <c r="Y51" s="45" t="n">
        <f aca="false">V51/$R51-1</f>
        <v>0.00274501795987425</v>
      </c>
      <c r="Z51" s="85"/>
      <c r="AA51" s="104"/>
      <c r="AB51" s="104"/>
      <c r="AC51" s="104"/>
    </row>
    <row r="52" customFormat="false" ht="15" hidden="false" customHeight="false" outlineLevel="0" collapsed="false">
      <c r="F52" s="99" t="n">
        <f aca="false">H52/G52</f>
        <v>20.7784081921081</v>
      </c>
      <c r="G52" s="52" t="n">
        <f aca="false">G51*(1+$O$1)</f>
        <v>17138.5844462111</v>
      </c>
      <c r="H52" s="15" t="n">
        <f aca="false">I52/G52</f>
        <v>356112.50345829</v>
      </c>
      <c r="I52" s="0" t="n">
        <f aca="false">I51</f>
        <v>6103264212.87154</v>
      </c>
      <c r="J52" s="85"/>
      <c r="K52" s="85"/>
      <c r="L52" s="85"/>
      <c r="M52" s="85"/>
      <c r="N52" s="127" t="n">
        <f aca="false">F52</f>
        <v>20.7784081921081</v>
      </c>
      <c r="O52" s="83" t="n">
        <f aca="false">$O$48/$G$48*G52</f>
        <v>1103.812890625</v>
      </c>
      <c r="P52" s="83" t="n">
        <f aca="false">O52*F52</f>
        <v>22935.4748091171</v>
      </c>
      <c r="Q52" s="81" t="n">
        <f aca="false">O52+P52/N52</f>
        <v>2207.62578125</v>
      </c>
      <c r="R52" s="128" t="n">
        <f aca="false">P52+O52*N52</f>
        <v>45870.9496182341</v>
      </c>
      <c r="S52" s="105"/>
      <c r="T52" s="129" t="n">
        <f aca="false">$Q$48*N52</f>
        <v>41556.8163842163</v>
      </c>
      <c r="U52" s="129" t="n">
        <f aca="false">$P$48*2</f>
        <v>50632.9454938167</v>
      </c>
      <c r="V52" s="129" t="n">
        <f aca="false">$O$48*N52+$P$48</f>
        <v>46094.8809390165</v>
      </c>
      <c r="W52" s="45" t="n">
        <f aca="false">T52/$R52-1</f>
        <v>-0.0940493552002449</v>
      </c>
      <c r="X52" s="45" t="n">
        <f aca="false">U52/$R52-1</f>
        <v>0.103812890624999</v>
      </c>
      <c r="Y52" s="45" t="n">
        <f aca="false">V52/$R52-1</f>
        <v>0.00488176771237714</v>
      </c>
      <c r="Z52" s="85"/>
      <c r="AA52" s="104"/>
      <c r="AB52" s="104"/>
      <c r="AC52" s="104"/>
    </row>
    <row r="53" customFormat="false" ht="15" hidden="false" customHeight="false" outlineLevel="0" collapsed="false">
      <c r="F53" s="99" t="n">
        <f aca="false">H53/G53</f>
        <v>19.7771880472177</v>
      </c>
      <c r="G53" s="52" t="n">
        <f aca="false">G52*(1+$O$1)</f>
        <v>17567.0490573664</v>
      </c>
      <c r="H53" s="15" t="n">
        <f aca="false">I53/G53</f>
        <v>347426.832642234</v>
      </c>
      <c r="I53" s="0" t="n">
        <f aca="false">I52</f>
        <v>6103264212.87154</v>
      </c>
      <c r="J53" s="85"/>
      <c r="K53" s="85"/>
      <c r="L53" s="85"/>
      <c r="M53" s="85"/>
      <c r="N53" s="127" t="n">
        <f aca="false">F53</f>
        <v>19.7771880472177</v>
      </c>
      <c r="O53" s="83" t="n">
        <f aca="false">$O$48/$G$48*G53</f>
        <v>1131.40821289062</v>
      </c>
      <c r="P53" s="83" t="n">
        <f aca="false">O53*F53</f>
        <v>22376.0729845045</v>
      </c>
      <c r="Q53" s="81" t="n">
        <f aca="false">O53+P53/N53</f>
        <v>2262.81642578125</v>
      </c>
      <c r="R53" s="128" t="n">
        <f aca="false">P53+O53*N53</f>
        <v>44752.1459690089</v>
      </c>
      <c r="S53" s="105"/>
      <c r="T53" s="129" t="n">
        <f aca="false">$Q$48*N53</f>
        <v>39554.3760944355</v>
      </c>
      <c r="U53" s="129" t="n">
        <f aca="false">$P$48*2</f>
        <v>50632.9454938167</v>
      </c>
      <c r="V53" s="129" t="n">
        <f aca="false">$O$48*N53+$P$48</f>
        <v>45093.6607941261</v>
      </c>
      <c r="W53" s="45" t="n">
        <f aca="false">T53/$R53-1</f>
        <v>-0.116145712390483</v>
      </c>
      <c r="X53" s="45" t="n">
        <f aca="false">U53/$R53-1</f>
        <v>0.131408212890624</v>
      </c>
      <c r="Y53" s="45" t="n">
        <f aca="false">V53/$R53-1</f>
        <v>0.00763125025007061</v>
      </c>
      <c r="Z53" s="85"/>
      <c r="AA53" s="104"/>
      <c r="AB53" s="104"/>
      <c r="AC53" s="104"/>
    </row>
    <row r="54" customFormat="false" ht="15" hidden="false" customHeight="false" outlineLevel="0" collapsed="false">
      <c r="F54" s="99" t="n">
        <f aca="false">H54/G54</f>
        <v>18.8242122995529</v>
      </c>
      <c r="G54" s="52" t="n">
        <f aca="false">G53*(1+$O$1)</f>
        <v>18006.2252838005</v>
      </c>
      <c r="H54" s="15" t="n">
        <f aca="false">I54/G54</f>
        <v>338953.007455838</v>
      </c>
      <c r="I54" s="0" t="n">
        <f aca="false">I53</f>
        <v>6103264212.87154</v>
      </c>
      <c r="J54" s="85"/>
      <c r="K54" s="85"/>
      <c r="L54" s="85"/>
      <c r="M54" s="85"/>
      <c r="N54" s="127" t="n">
        <f aca="false">F54</f>
        <v>18.8242122995529</v>
      </c>
      <c r="O54" s="83" t="n">
        <f aca="false">$O$48/$G$48*G54</f>
        <v>1159.69341821289</v>
      </c>
      <c r="P54" s="83" t="n">
        <f aca="false">O54*F54</f>
        <v>21830.3151068336</v>
      </c>
      <c r="Q54" s="81" t="n">
        <f aca="false">O54+P54/N54</f>
        <v>2319.38683642578</v>
      </c>
      <c r="R54" s="128" t="n">
        <f aca="false">P54+O54*N54</f>
        <v>43660.6302136672</v>
      </c>
      <c r="S54" s="105"/>
      <c r="T54" s="129" t="n">
        <f aca="false">$Q$48*N54</f>
        <v>37648.4245991058</v>
      </c>
      <c r="U54" s="129" t="n">
        <f aca="false">$P$48*2</f>
        <v>50632.9454938167</v>
      </c>
      <c r="V54" s="129" t="n">
        <f aca="false">$O$48*N54+$P$48</f>
        <v>44140.6850464612</v>
      </c>
      <c r="W54" s="45" t="n">
        <f aca="false">T54/$R54-1</f>
        <v>-0.137703134039495</v>
      </c>
      <c r="X54" s="45" t="n">
        <f aca="false">U54/$R54-1</f>
        <v>0.15969341821289</v>
      </c>
      <c r="Y54" s="45" t="n">
        <f aca="false">V54/$R54-1</f>
        <v>0.0109951420866974</v>
      </c>
      <c r="Z54" s="85"/>
      <c r="AA54" s="104"/>
      <c r="AB54" s="104"/>
      <c r="AC54" s="104"/>
    </row>
    <row r="55" customFormat="false" ht="15" hidden="false" customHeight="false" outlineLevel="0" collapsed="false">
      <c r="F55" s="99" t="n">
        <f aca="false">H55/G55</f>
        <v>17.9171562637029</v>
      </c>
      <c r="G55" s="52" t="n">
        <f aca="false">G54*(1+$O$1)</f>
        <v>18456.3809158955</v>
      </c>
      <c r="H55" s="15" t="n">
        <f aca="false">I55/G55</f>
        <v>330685.860932525</v>
      </c>
      <c r="I55" s="0" t="n">
        <f aca="false">I54</f>
        <v>6103264212.87154</v>
      </c>
      <c r="J55" s="85"/>
      <c r="K55" s="85"/>
      <c r="L55" s="85"/>
      <c r="M55" s="85"/>
      <c r="N55" s="127" t="n">
        <f aca="false">F55</f>
        <v>17.9171562637029</v>
      </c>
      <c r="O55" s="83" t="n">
        <f aca="false">$O$48/$G$48*G55</f>
        <v>1188.68575366821</v>
      </c>
      <c r="P55" s="83" t="n">
        <f aca="false">O55*F55</f>
        <v>21297.8683969108</v>
      </c>
      <c r="Q55" s="81" t="n">
        <f aca="false">O55+P55/N55</f>
        <v>2377.37150733642</v>
      </c>
      <c r="R55" s="128" t="n">
        <f aca="false">P55+O55*N55</f>
        <v>42595.7367938217</v>
      </c>
      <c r="S55" s="105"/>
      <c r="T55" s="129" t="n">
        <f aca="false">$Q$48*N55</f>
        <v>35834.3125274059</v>
      </c>
      <c r="U55" s="129" t="n">
        <f aca="false">$P$48*2</f>
        <v>50632.9454938167</v>
      </c>
      <c r="V55" s="129" t="n">
        <f aca="false">$O$48*N55+$P$48</f>
        <v>43233.6290106113</v>
      </c>
      <c r="W55" s="45" t="n">
        <f aca="false">T55/$R55-1</f>
        <v>-0.158734764916581</v>
      </c>
      <c r="X55" s="45" t="n">
        <f aca="false">U55/$R55-1</f>
        <v>0.188685753668211</v>
      </c>
      <c r="Y55" s="45" t="n">
        <f aca="false">V55/$R55-1</f>
        <v>0.0149754943758156</v>
      </c>
      <c r="Z55" s="85"/>
      <c r="AA55" s="104"/>
      <c r="AB55" s="104"/>
      <c r="AC55" s="104"/>
    </row>
    <row r="56" customFormat="false" ht="15" hidden="false" customHeight="false" outlineLevel="0" collapsed="false">
      <c r="F56" s="99" t="n">
        <f aca="false">H56/G56</f>
        <v>17.0538072706274</v>
      </c>
      <c r="G56" s="52" t="n">
        <f aca="false">G55*(1+$O$1)</f>
        <v>18917.7904387929</v>
      </c>
      <c r="H56" s="15" t="n">
        <f aca="false">I56/G56</f>
        <v>322620.352129293</v>
      </c>
      <c r="I56" s="0" t="n">
        <f aca="false">I55</f>
        <v>6103264212.87154</v>
      </c>
      <c r="J56" s="85"/>
      <c r="K56" s="85"/>
      <c r="L56" s="85"/>
      <c r="M56" s="85"/>
      <c r="N56" s="127" t="n">
        <f aca="false">F56</f>
        <v>17.0538072706274</v>
      </c>
      <c r="O56" s="83" t="n">
        <f aca="false">$O$48/$G$48*G56</f>
        <v>1218.40289750992</v>
      </c>
      <c r="P56" s="83" t="n">
        <f aca="false">O56*F56</f>
        <v>20778.4081921081</v>
      </c>
      <c r="Q56" s="81" t="n">
        <f aca="false">O56+P56/N56</f>
        <v>2436.80579501983</v>
      </c>
      <c r="R56" s="128" t="n">
        <f aca="false">P56+O56*N56</f>
        <v>41556.8163842163</v>
      </c>
      <c r="S56" s="105"/>
      <c r="T56" s="129" t="n">
        <f aca="false">$Q$48*N56</f>
        <v>34107.6145412548</v>
      </c>
      <c r="U56" s="129" t="n">
        <f aca="false">$P$48*2</f>
        <v>50632.9454938167</v>
      </c>
      <c r="V56" s="129" t="n">
        <f aca="false">$O$48*N56+$P$48</f>
        <v>42370.2800175358</v>
      </c>
      <c r="W56" s="45" t="n">
        <f aca="false">T56/$R56-1</f>
        <v>-0.179253429186908</v>
      </c>
      <c r="X56" s="45" t="n">
        <f aca="false">U56/$R56-1</f>
        <v>0.218402897509917</v>
      </c>
      <c r="Y56" s="45" t="n">
        <f aca="false">V56/$R56-1</f>
        <v>0.0195747341615045</v>
      </c>
      <c r="Z56" s="85"/>
      <c r="AA56" s="104"/>
      <c r="AB56" s="104"/>
      <c r="AC56" s="104"/>
    </row>
    <row r="57" customFormat="false" ht="15" hidden="false" customHeight="false" outlineLevel="0" collapsed="false">
      <c r="F57" s="99" t="n">
        <f aca="false">H57/G57</f>
        <v>16.2320592700796</v>
      </c>
      <c r="G57" s="52" t="n">
        <f aca="false">G56*(1+$O$1)</f>
        <v>19390.7351997627</v>
      </c>
      <c r="H57" s="15" t="n">
        <f aca="false">I57/G57</f>
        <v>314751.563052969</v>
      </c>
      <c r="I57" s="0" t="n">
        <f aca="false">I56</f>
        <v>6103264212.87154</v>
      </c>
      <c r="J57" s="85"/>
      <c r="K57" s="85"/>
      <c r="L57" s="85"/>
      <c r="M57" s="85"/>
      <c r="N57" s="127" t="n">
        <f aca="false">F57</f>
        <v>16.2320592700796</v>
      </c>
      <c r="O57" s="83" t="n">
        <f aca="false">$O$48/$G$48*G57</f>
        <v>1248.86296994767</v>
      </c>
      <c r="P57" s="83" t="n">
        <f aca="false">O57*F57</f>
        <v>20271.6177483982</v>
      </c>
      <c r="Q57" s="81" t="n">
        <f aca="false">O57+P57/N57</f>
        <v>2497.72593989533</v>
      </c>
      <c r="R57" s="128" t="n">
        <f aca="false">P57+O57*N57</f>
        <v>40543.2354967964</v>
      </c>
      <c r="S57" s="105"/>
      <c r="T57" s="129" t="n">
        <f aca="false">$Q$48*N57</f>
        <v>32464.1185401593</v>
      </c>
      <c r="U57" s="129" t="n">
        <f aca="false">$P$48*2</f>
        <v>50632.9454938167</v>
      </c>
      <c r="V57" s="129" t="n">
        <f aca="false">$O$48*N57+$P$48</f>
        <v>41548.532016988</v>
      </c>
      <c r="W57" s="45" t="n">
        <f aca="false">T57/$R57-1</f>
        <v>-0.199271638231129</v>
      </c>
      <c r="X57" s="45" t="n">
        <f aca="false">U57/$R57-1</f>
        <v>0.248862969947665</v>
      </c>
      <c r="Y57" s="45" t="n">
        <f aca="false">V57/$R57-1</f>
        <v>0.0247956658582675</v>
      </c>
      <c r="Z57" s="85"/>
      <c r="AA57" s="104"/>
      <c r="AB57" s="104"/>
      <c r="AC57" s="104"/>
    </row>
    <row r="58" customFormat="false" ht="15" hidden="false" customHeight="false" outlineLevel="0" collapsed="false">
      <c r="F58" s="99" t="n">
        <f aca="false">H58/G58</f>
        <v>15.4499076931157</v>
      </c>
      <c r="G58" s="52" t="n">
        <f aca="false">G57*(1+$O$1)</f>
        <v>19875.5035797568</v>
      </c>
      <c r="H58" s="15" t="n">
        <f aca="false">I58/G58</f>
        <v>307074.695661433</v>
      </c>
      <c r="I58" s="0" t="n">
        <f aca="false">I57</f>
        <v>6103264212.87154</v>
      </c>
      <c r="J58" s="85"/>
      <c r="K58" s="85"/>
      <c r="L58" s="85"/>
      <c r="M58" s="85"/>
      <c r="N58" s="127" t="n">
        <f aca="false">F58</f>
        <v>15.4499076931157</v>
      </c>
      <c r="O58" s="83" t="n">
        <f aca="false">$O$48/$G$48*G58</f>
        <v>1280.08454419636</v>
      </c>
      <c r="P58" s="83" t="n">
        <f aca="false">O58*F58</f>
        <v>19777.1880472177</v>
      </c>
      <c r="Q58" s="81" t="n">
        <f aca="false">O58+P58/N58</f>
        <v>2560.16908839271</v>
      </c>
      <c r="R58" s="128" t="n">
        <f aca="false">P58+O58*N58</f>
        <v>39554.3760944355</v>
      </c>
      <c r="S58" s="105"/>
      <c r="T58" s="129" t="n">
        <f aca="false">$Q$48*N58</f>
        <v>30899.8153862313</v>
      </c>
      <c r="U58" s="129" t="n">
        <f aca="false">$P$48*2</f>
        <v>50632.9454938167</v>
      </c>
      <c r="V58" s="129" t="n">
        <f aca="false">$O$48*N58+$P$48</f>
        <v>40766.380440024</v>
      </c>
      <c r="W58" s="45" t="n">
        <f aca="false">T58/$R58-1</f>
        <v>-0.218801598274273</v>
      </c>
      <c r="X58" s="45" t="n">
        <f aca="false">U58/$R58-1</f>
        <v>0.280084544196356</v>
      </c>
      <c r="Y58" s="45" t="n">
        <f aca="false">V58/$R58-1</f>
        <v>0.0306414729610418</v>
      </c>
      <c r="Z58" s="85"/>
      <c r="AA58" s="104"/>
      <c r="AB58" s="104"/>
      <c r="AC58" s="104"/>
    </row>
    <row r="59" customFormat="false" ht="15" hidden="false" customHeight="false" outlineLevel="0" collapsed="false">
      <c r="F59" s="99" t="n">
        <f aca="false">H59/G59</f>
        <v>14.7054445621565</v>
      </c>
      <c r="G59" s="52" t="n">
        <f aca="false">G58*(1+$O$1)</f>
        <v>20372.3911692507</v>
      </c>
      <c r="H59" s="15" t="n">
        <f aca="false">I59/G59</f>
        <v>299585.068937983</v>
      </c>
      <c r="I59" s="0" t="n">
        <f aca="false">I58</f>
        <v>6103264212.87154</v>
      </c>
      <c r="J59" s="85"/>
      <c r="K59" s="85"/>
      <c r="L59" s="85"/>
      <c r="M59" s="85"/>
      <c r="N59" s="127" t="n">
        <f aca="false">F59</f>
        <v>14.7054445621565</v>
      </c>
      <c r="O59" s="83" t="n">
        <f aca="false">$O$48/$G$48*G59</f>
        <v>1312.08665780127</v>
      </c>
      <c r="P59" s="83" t="n">
        <f aca="false">O59*F59</f>
        <v>19294.8176070417</v>
      </c>
      <c r="Q59" s="81" t="n">
        <f aca="false">O59+P59/N59</f>
        <v>2624.17331560253</v>
      </c>
      <c r="R59" s="128" t="n">
        <f aca="false">P59+O59*N59</f>
        <v>38589.6352140834</v>
      </c>
      <c r="S59" s="105"/>
      <c r="T59" s="129" t="n">
        <f aca="false">$Q$48*N59</f>
        <v>29410.889124313</v>
      </c>
      <c r="U59" s="129" t="n">
        <f aca="false">$P$48*2</f>
        <v>50632.9454938167</v>
      </c>
      <c r="V59" s="129" t="n">
        <f aca="false">$O$48*N59+$P$48</f>
        <v>40021.9173090648</v>
      </c>
      <c r="W59" s="45" t="n">
        <f aca="false">T59/$R59-1</f>
        <v>-0.237855217828559</v>
      </c>
      <c r="X59" s="45" t="n">
        <f aca="false">U59/$R59-1</f>
        <v>0.312086657801265</v>
      </c>
      <c r="Y59" s="45" t="n">
        <f aca="false">V59/$R59-1</f>
        <v>0.0371157199863532</v>
      </c>
      <c r="Z59" s="85"/>
      <c r="AA59" s="104"/>
      <c r="AB59" s="104"/>
      <c r="AC59" s="104"/>
    </row>
    <row r="60" customFormat="false" ht="15" hidden="false" customHeight="false" outlineLevel="0" collapsed="false">
      <c r="F60" s="99" t="n">
        <f aca="false">H60/G60</f>
        <v>13.9968538366748</v>
      </c>
      <c r="G60" s="52" t="n">
        <f aca="false">G59*(1+$O$1)</f>
        <v>20881.700948482</v>
      </c>
      <c r="H60" s="15" t="n">
        <f aca="false">I60/G60</f>
        <v>292278.116037057</v>
      </c>
      <c r="I60" s="0" t="n">
        <f aca="false">I59</f>
        <v>6103264212.87154</v>
      </c>
      <c r="J60" s="85"/>
      <c r="K60" s="85"/>
      <c r="L60" s="85"/>
      <c r="M60" s="85"/>
      <c r="N60" s="127" t="n">
        <f aca="false">F60</f>
        <v>13.9968538366748</v>
      </c>
      <c r="O60" s="83" t="n">
        <f aca="false">$O$48/$G$48*G60</f>
        <v>1344.8888242463</v>
      </c>
      <c r="P60" s="83" t="n">
        <f aca="false">O60*F60</f>
        <v>18824.2122995529</v>
      </c>
      <c r="Q60" s="81" t="n">
        <f aca="false">O60+P60/N60</f>
        <v>2689.77764849259</v>
      </c>
      <c r="R60" s="128" t="n">
        <f aca="false">P60+O60*N60</f>
        <v>37648.4245991058</v>
      </c>
      <c r="S60" s="105"/>
      <c r="T60" s="129" t="n">
        <f aca="false">$Q$48*N60</f>
        <v>27993.7076733497</v>
      </c>
      <c r="U60" s="129" t="n">
        <f aca="false">$P$48*2</f>
        <v>50632.9454938167</v>
      </c>
      <c r="V60" s="129" t="n">
        <f aca="false">$O$48*N60+$P$48</f>
        <v>39313.3265835832</v>
      </c>
      <c r="W60" s="45" t="n">
        <f aca="false">T60/$R60-1</f>
        <v>-0.256444114954691</v>
      </c>
      <c r="X60" s="45" t="n">
        <f aca="false">U60/$R60-1</f>
        <v>0.344888824246296</v>
      </c>
      <c r="Y60" s="45" t="n">
        <f aca="false">V60/$R60-1</f>
        <v>0.0442223546458027</v>
      </c>
      <c r="Z60" s="85"/>
      <c r="AA60" s="104"/>
      <c r="AB60" s="104"/>
      <c r="AC60" s="104"/>
    </row>
    <row r="61" customFormat="false" ht="15" hidden="false" customHeight="false" outlineLevel="0" collapsed="false">
      <c r="F61" s="99" t="n">
        <f aca="false">H61/G61</f>
        <v>13.3224069831527</v>
      </c>
      <c r="G61" s="52" t="n">
        <f aca="false">G60*(1+$O$1)</f>
        <v>21403.743472194</v>
      </c>
      <c r="H61" s="15" t="n">
        <f aca="false">I61/G61</f>
        <v>285149.381499568</v>
      </c>
      <c r="I61" s="0" t="n">
        <f aca="false">I60</f>
        <v>6103264212.87154</v>
      </c>
      <c r="J61" s="85"/>
      <c r="K61" s="85"/>
      <c r="L61" s="85"/>
      <c r="M61" s="85"/>
      <c r="N61" s="127" t="n">
        <f aca="false">F61</f>
        <v>13.3224069831527</v>
      </c>
      <c r="O61" s="83" t="n">
        <f aca="false">$O$48/$G$48*G61</f>
        <v>1378.51104485245</v>
      </c>
      <c r="P61" s="83" t="n">
        <f aca="false">O61*F61</f>
        <v>18365.0851702955</v>
      </c>
      <c r="Q61" s="81" t="n">
        <f aca="false">O61+P61/N61</f>
        <v>2757.02208970491</v>
      </c>
      <c r="R61" s="128" t="n">
        <f aca="false">P61+O61*N61</f>
        <v>36730.170340591</v>
      </c>
      <c r="S61" s="105"/>
      <c r="T61" s="129" t="n">
        <f aca="false">$Q$48*N61</f>
        <v>26644.8139663055</v>
      </c>
      <c r="U61" s="129" t="n">
        <f aca="false">$P$48*2</f>
        <v>50632.9454938167</v>
      </c>
      <c r="V61" s="129" t="n">
        <f aca="false">$O$48*N61+$P$48</f>
        <v>38638.8797300611</v>
      </c>
      <c r="W61" s="45" t="n">
        <f aca="false">T61/$R61-1</f>
        <v>-0.27457962434604</v>
      </c>
      <c r="X61" s="45" t="n">
        <f aca="false">U61/$R61-1</f>
        <v>0.378511044852454</v>
      </c>
      <c r="Y61" s="45" t="n">
        <f aca="false">V61/$R61-1</f>
        <v>0.0519657102532067</v>
      </c>
      <c r="Z61" s="85"/>
      <c r="AA61" s="104"/>
      <c r="AB61" s="104"/>
      <c r="AC61" s="104"/>
    </row>
    <row r="62" customFormat="false" ht="15" hidden="false" customHeight="false" outlineLevel="0" collapsed="false">
      <c r="F62" s="99" t="n">
        <f aca="false">H62/G62</f>
        <v>12.6804587585035</v>
      </c>
      <c r="G62" s="52" t="n">
        <f aca="false">G61*(1+$O$1)</f>
        <v>21938.8370589989</v>
      </c>
      <c r="H62" s="15" t="n">
        <f aca="false">I62/G62</f>
        <v>278194.518536164</v>
      </c>
      <c r="I62" s="0" t="n">
        <f aca="false">I61</f>
        <v>6103264212.87154</v>
      </c>
      <c r="J62" s="85"/>
      <c r="K62" s="85"/>
      <c r="L62" s="85"/>
      <c r="M62" s="85"/>
      <c r="N62" s="127" t="n">
        <f aca="false">F62</f>
        <v>12.6804587585035</v>
      </c>
      <c r="O62" s="83" t="n">
        <f aca="false">$O$48/$G$48*G62</f>
        <v>1412.97382097377</v>
      </c>
      <c r="P62" s="83" t="n">
        <f aca="false">O62*F62</f>
        <v>17917.1562637029</v>
      </c>
      <c r="Q62" s="81" t="n">
        <f aca="false">O62+P62/N62</f>
        <v>2825.94764194753</v>
      </c>
      <c r="R62" s="128" t="n">
        <f aca="false">P62+O62*N62</f>
        <v>35834.3125274059</v>
      </c>
      <c r="S62" s="105"/>
      <c r="T62" s="129" t="n">
        <f aca="false">$Q$48*N62</f>
        <v>25360.917517007</v>
      </c>
      <c r="U62" s="129" t="n">
        <f aca="false">$P$48*2</f>
        <v>50632.9454938167</v>
      </c>
      <c r="V62" s="129" t="n">
        <f aca="false">$O$48*N62+$P$48</f>
        <v>37996.9315054118</v>
      </c>
      <c r="W62" s="45" t="n">
        <f aca="false">T62/$R62-1</f>
        <v>-0.292272804240039</v>
      </c>
      <c r="X62" s="45" t="n">
        <f aca="false">U62/$R62-1</f>
        <v>0.412973820973765</v>
      </c>
      <c r="Y62" s="45" t="n">
        <f aca="false">V62/$R62-1</f>
        <v>0.060350508366863</v>
      </c>
      <c r="Z62" s="85"/>
      <c r="AA62" s="104"/>
      <c r="AB62" s="104"/>
      <c r="AC62" s="104"/>
    </row>
    <row r="63" customFormat="false" ht="15" hidden="false" customHeight="false" outlineLevel="0" collapsed="false">
      <c r="F63" s="99" t="n">
        <f aca="false">H63/G63</f>
        <v>12.069443196672</v>
      </c>
      <c r="G63" s="52" t="n">
        <f aca="false">G62*(1+$O$1)</f>
        <v>22487.3079854739</v>
      </c>
      <c r="H63" s="15" t="n">
        <f aca="false">I63/G63</f>
        <v>271409.286376745</v>
      </c>
      <c r="I63" s="0" t="n">
        <f aca="false">I62</f>
        <v>6103264212.87154</v>
      </c>
      <c r="J63" s="85"/>
      <c r="K63" s="85"/>
      <c r="L63" s="85"/>
      <c r="M63" s="85"/>
      <c r="N63" s="127" t="n">
        <f aca="false">F63</f>
        <v>12.069443196672</v>
      </c>
      <c r="O63" s="83" t="n">
        <f aca="false">$O$48/$G$48*G63</f>
        <v>1448.29816649811</v>
      </c>
      <c r="P63" s="83" t="n">
        <f aca="false">O63*F63</f>
        <v>17480.1524523931</v>
      </c>
      <c r="Q63" s="81" t="n">
        <f aca="false">O63+P63/N63</f>
        <v>2896.59633299622</v>
      </c>
      <c r="R63" s="128" t="n">
        <f aca="false">P63+O63*N63</f>
        <v>34960.3049047862</v>
      </c>
      <c r="S63" s="105"/>
      <c r="T63" s="129" t="n">
        <f aca="false">$Q$48*N63</f>
        <v>24138.886393344</v>
      </c>
      <c r="U63" s="129" t="n">
        <f aca="false">$P$48*2</f>
        <v>50632.9454938167</v>
      </c>
      <c r="V63" s="129" t="n">
        <f aca="false">$O$48*N63+$P$48</f>
        <v>37385.9159435803</v>
      </c>
      <c r="W63" s="45" t="n">
        <f aca="false">T63/$R63-1</f>
        <v>-0.309534443161014</v>
      </c>
      <c r="X63" s="45" t="n">
        <f aca="false">U63/$R63-1</f>
        <v>0.448298166498109</v>
      </c>
      <c r="Y63" s="45" t="n">
        <f aca="false">V63/$R63-1</f>
        <v>0.0693818616685475</v>
      </c>
      <c r="Z63" s="85"/>
      <c r="AA63" s="104"/>
      <c r="AB63" s="104"/>
      <c r="AC63" s="104"/>
    </row>
    <row r="64" customFormat="false" ht="15" hidden="false" customHeight="false" outlineLevel="0" collapsed="false">
      <c r="F64" s="99" t="n">
        <f aca="false">H64/G64</f>
        <v>11.4878697886229</v>
      </c>
      <c r="G64" s="52" t="n">
        <f aca="false">G63*(1+$O$1)</f>
        <v>23049.4906851107</v>
      </c>
      <c r="H64" s="15" t="n">
        <f aca="false">I64/G64</f>
        <v>264789.547684629</v>
      </c>
      <c r="I64" s="0" t="n">
        <f aca="false">I63</f>
        <v>6103264212.87154</v>
      </c>
      <c r="J64" s="85"/>
      <c r="K64" s="85"/>
      <c r="L64" s="85"/>
      <c r="M64" s="85"/>
      <c r="N64" s="127" t="n">
        <f aca="false">F64</f>
        <v>11.4878697886229</v>
      </c>
      <c r="O64" s="83" t="n">
        <f aca="false">$O$48/$G$48*G64</f>
        <v>1484.50562066056</v>
      </c>
      <c r="P64" s="83" t="n">
        <f aca="false">O64*F64</f>
        <v>17053.8072706274</v>
      </c>
      <c r="Q64" s="81" t="n">
        <f aca="false">O64+P64/N64</f>
        <v>2969.01124132112</v>
      </c>
      <c r="R64" s="128" t="n">
        <f aca="false">P64+O64*N64</f>
        <v>34107.6145412548</v>
      </c>
      <c r="S64" s="105"/>
      <c r="T64" s="129" t="n">
        <f aca="false">$Q$48*N64</f>
        <v>22975.7395772459</v>
      </c>
      <c r="U64" s="129" t="n">
        <f aca="false">$P$48*2</f>
        <v>50632.9454938167</v>
      </c>
      <c r="V64" s="129" t="n">
        <f aca="false">$O$48*N64+$P$48</f>
        <v>36804.3425355313</v>
      </c>
      <c r="W64" s="45" t="n">
        <f aca="false">T64/$R64-1</f>
        <v>-0.32637506649855</v>
      </c>
      <c r="X64" s="45" t="n">
        <f aca="false">U64/$R64-1</f>
        <v>0.484505620660562</v>
      </c>
      <c r="Y64" s="45" t="n">
        <f aca="false">V64/$R64-1</f>
        <v>0.0790652770810059</v>
      </c>
      <c r="Z64" s="85"/>
      <c r="AA64" s="104"/>
      <c r="AB64" s="104"/>
      <c r="AC64" s="104"/>
    </row>
    <row r="65" customFormat="false" ht="15" hidden="false" customHeight="false" outlineLevel="0" collapsed="false">
      <c r="F65" s="99" t="n">
        <f aca="false">H65/G65</f>
        <v>10.934319846399</v>
      </c>
      <c r="G65" s="52" t="n">
        <f aca="false">G64*(1+$O$1)</f>
        <v>23625.7279522385</v>
      </c>
      <c r="H65" s="15" t="n">
        <f aca="false">I65/G65</f>
        <v>258331.266033785</v>
      </c>
      <c r="I65" s="0" t="n">
        <f aca="false">I64</f>
        <v>6103264212.87154</v>
      </c>
      <c r="J65" s="85"/>
      <c r="K65" s="85"/>
      <c r="L65" s="85"/>
      <c r="M65" s="85"/>
      <c r="N65" s="127" t="n">
        <f aca="false">F65</f>
        <v>10.934319846399</v>
      </c>
      <c r="O65" s="83" t="n">
        <f aca="false">$O$48/$G$48*G65</f>
        <v>1521.61826117708</v>
      </c>
      <c r="P65" s="83" t="n">
        <f aca="false">O65*F65</f>
        <v>16637.8607518316</v>
      </c>
      <c r="Q65" s="81" t="n">
        <f aca="false">O65+P65/N65</f>
        <v>3043.23652235415</v>
      </c>
      <c r="R65" s="128" t="n">
        <f aca="false">P65+O65*N65</f>
        <v>33275.7215036633</v>
      </c>
      <c r="S65" s="105"/>
      <c r="T65" s="129" t="n">
        <f aca="false">$Q$48*N65</f>
        <v>21868.639692798</v>
      </c>
      <c r="U65" s="129" t="n">
        <f aca="false">$P$48*2</f>
        <v>50632.9454938167</v>
      </c>
      <c r="V65" s="129" t="n">
        <f aca="false">$O$48*N65+$P$48</f>
        <v>36250.7925933073</v>
      </c>
      <c r="W65" s="45" t="n">
        <f aca="false">T65/$R65-1</f>
        <v>-0.342804942925414</v>
      </c>
      <c r="X65" s="45" t="n">
        <f aca="false">U65/$R65-1</f>
        <v>0.521618261177075</v>
      </c>
      <c r="Y65" s="45" t="n">
        <f aca="false">V65/$R65-1</f>
        <v>0.0894066591258305</v>
      </c>
      <c r="Z65" s="85"/>
      <c r="AA65" s="104"/>
      <c r="AB65" s="104"/>
      <c r="AC65" s="104"/>
    </row>
    <row r="66" customFormat="false" ht="15" hidden="false" customHeight="false" outlineLevel="0" collapsed="false">
      <c r="F66" s="99" t="n">
        <f aca="false">H66/G66</f>
        <v>10.4074430423786</v>
      </c>
      <c r="G66" s="52" t="n">
        <f aca="false">G65*(1+$O$1)</f>
        <v>24216.3711510444</v>
      </c>
      <c r="H66" s="15" t="n">
        <f aca="false">I66/G66</f>
        <v>252030.503447595</v>
      </c>
      <c r="I66" s="0" t="n">
        <f aca="false">I65</f>
        <v>6103264212.87154</v>
      </c>
      <c r="J66" s="85"/>
      <c r="K66" s="85"/>
      <c r="L66" s="85"/>
      <c r="M66" s="85"/>
      <c r="N66" s="127" t="n">
        <f aca="false">F66</f>
        <v>10.4074430423786</v>
      </c>
      <c r="O66" s="83" t="n">
        <f aca="false">$O$48/$G$48*G66</f>
        <v>1559.6587177065</v>
      </c>
      <c r="P66" s="83" t="n">
        <f aca="false">O66*F66</f>
        <v>16232.0592700796</v>
      </c>
      <c r="Q66" s="81" t="n">
        <f aca="false">O66+P66/N66</f>
        <v>3119.31743541301</v>
      </c>
      <c r="R66" s="128" t="n">
        <f aca="false">P66+O66*N66</f>
        <v>32464.1185401593</v>
      </c>
      <c r="S66" s="105"/>
      <c r="T66" s="129" t="n">
        <f aca="false">$Q$48*N66</f>
        <v>20814.8860847572</v>
      </c>
      <c r="U66" s="129" t="n">
        <f aca="false">$P$48*2</f>
        <v>50632.9454938167</v>
      </c>
      <c r="V66" s="129" t="n">
        <f aca="false">$O$48*N66+$P$48</f>
        <v>35723.9157892869</v>
      </c>
      <c r="W66" s="45" t="n">
        <f aca="false">T66/$R66-1</f>
        <v>-0.358834090658941</v>
      </c>
      <c r="X66" s="45" t="n">
        <f aca="false">U66/$R66-1</f>
        <v>0.559658717706502</v>
      </c>
      <c r="Y66" s="45" t="n">
        <f aca="false">V66/$R66-1</f>
        <v>0.100412313523781</v>
      </c>
      <c r="Z66" s="85"/>
      <c r="AA66" s="104"/>
      <c r="AB66" s="104"/>
      <c r="AC66" s="104"/>
    </row>
    <row r="67" customFormat="false" ht="15" hidden="false" customHeight="false" outlineLevel="0" collapsed="false">
      <c r="F67" s="99" t="n">
        <f aca="false">H67/G67</f>
        <v>9.90595411529193</v>
      </c>
      <c r="G67" s="52" t="n">
        <f aca="false">G66*(1+$O$1)</f>
        <v>24821.7804298205</v>
      </c>
      <c r="H67" s="15" t="n">
        <f aca="false">I67/G67</f>
        <v>245883.417997654</v>
      </c>
      <c r="I67" s="0" t="n">
        <f aca="false">I66</f>
        <v>6103264212.87154</v>
      </c>
      <c r="J67" s="85"/>
      <c r="K67" s="85"/>
      <c r="L67" s="85"/>
      <c r="M67" s="85"/>
      <c r="N67" s="127" t="n">
        <f aca="false">F67</f>
        <v>9.90595411529193</v>
      </c>
      <c r="O67" s="83" t="n">
        <f aca="false">$O$48/$G$48*G67</f>
        <v>1598.65018564916</v>
      </c>
      <c r="P67" s="83" t="n">
        <f aca="false">O67*F67</f>
        <v>15836.1553854436</v>
      </c>
      <c r="Q67" s="81" t="n">
        <f aca="false">O67+P67/N67</f>
        <v>3197.30037129833</v>
      </c>
      <c r="R67" s="128" t="n">
        <f aca="false">P67+O67*N67</f>
        <v>31672.3107708871</v>
      </c>
      <c r="S67" s="105"/>
      <c r="T67" s="129" t="n">
        <f aca="false">$Q$48*N67</f>
        <v>19811.9082305839</v>
      </c>
      <c r="U67" s="129" t="n">
        <f aca="false">$P$48*2</f>
        <v>50632.9454938167</v>
      </c>
      <c r="V67" s="129" t="n">
        <f aca="false">$O$48*N67+$P$48</f>
        <v>35222.4268622003</v>
      </c>
      <c r="W67" s="45" t="n">
        <f aca="false">T67/$R67-1</f>
        <v>-0.374472283569698</v>
      </c>
      <c r="X67" s="45" t="n">
        <f aca="false">U67/$R67-1</f>
        <v>0.598650185649165</v>
      </c>
      <c r="Y67" s="45" t="n">
        <f aca="false">V67/$R67-1</f>
        <v>0.112088951039733</v>
      </c>
      <c r="Z67" s="85"/>
      <c r="AA67" s="104"/>
      <c r="AB67" s="104"/>
      <c r="AC67" s="104"/>
    </row>
    <row r="68" customFormat="false" ht="15" hidden="false" customHeight="false" outlineLevel="0" collapsed="false">
      <c r="F68" s="99" t="n">
        <f aca="false">H68/G68</f>
        <v>9.4286297349596</v>
      </c>
      <c r="G68" s="52" t="n">
        <f aca="false">G67*(1+$O$1)</f>
        <v>25442.3249405661</v>
      </c>
      <c r="H68" s="15" t="n">
        <f aca="false">I68/G68</f>
        <v>239886.261461125</v>
      </c>
      <c r="I68" s="0" t="n">
        <f aca="false">I67</f>
        <v>6103264212.87154</v>
      </c>
      <c r="J68" s="85"/>
      <c r="K68" s="85"/>
      <c r="L68" s="85"/>
      <c r="M68" s="85"/>
      <c r="N68" s="127" t="n">
        <f aca="false">F68</f>
        <v>9.4286297349596</v>
      </c>
      <c r="O68" s="83" t="n">
        <f aca="false">$O$48/$G$48*G68</f>
        <v>1638.61644029039</v>
      </c>
      <c r="P68" s="83" t="n">
        <f aca="false">O68*F68</f>
        <v>15449.9076931157</v>
      </c>
      <c r="Q68" s="81" t="n">
        <f aca="false">O68+P68/N68</f>
        <v>3277.23288058079</v>
      </c>
      <c r="R68" s="128" t="n">
        <f aca="false">P68+O68*N68</f>
        <v>30899.8153862313</v>
      </c>
      <c r="S68" s="105"/>
      <c r="T68" s="129" t="n">
        <f aca="false">$Q$48*N68</f>
        <v>18857.2594699192</v>
      </c>
      <c r="U68" s="129" t="n">
        <f aca="false">$P$48*2</f>
        <v>50632.9454938167</v>
      </c>
      <c r="V68" s="129" t="n">
        <f aca="false">$O$48*N68+$P$48</f>
        <v>34745.1024818679</v>
      </c>
      <c r="W68" s="45" t="n">
        <f aca="false">T68/$R68-1</f>
        <v>-0.389729057141169</v>
      </c>
      <c r="X68" s="45" t="n">
        <f aca="false">U68/$R68-1</f>
        <v>0.638616440290393</v>
      </c>
      <c r="Y68" s="45" t="n">
        <f aca="false">V68/$R68-1</f>
        <v>0.124443691574612</v>
      </c>
      <c r="Z68" s="85"/>
      <c r="AA68" s="104"/>
      <c r="AB68" s="104"/>
      <c r="AC68" s="104"/>
    </row>
    <row r="69" customFormat="false" ht="15" hidden="false" customHeight="false" outlineLevel="0" collapsed="false">
      <c r="F69" s="99" t="n">
        <f aca="false">H69/G69</f>
        <v>8.97430551810551</v>
      </c>
      <c r="G69" s="52" t="n">
        <f aca="false">G68*(1+$O$1)</f>
        <v>26078.3830640802</v>
      </c>
      <c r="H69" s="15" t="n">
        <f aca="false">I69/G69</f>
        <v>234035.377035244</v>
      </c>
      <c r="I69" s="0" t="n">
        <f aca="false">I68</f>
        <v>6103264212.87154</v>
      </c>
      <c r="J69" s="85"/>
      <c r="K69" s="85"/>
      <c r="L69" s="85"/>
      <c r="M69" s="85"/>
      <c r="N69" s="127" t="n">
        <f aca="false">F69</f>
        <v>8.97430551810551</v>
      </c>
      <c r="O69" s="83" t="n">
        <f aca="false">$O$48/$G$48*G69</f>
        <v>1679.58185129765</v>
      </c>
      <c r="P69" s="83" t="n">
        <f aca="false">O69*F69</f>
        <v>15073.0806762104</v>
      </c>
      <c r="Q69" s="81" t="n">
        <f aca="false">O69+P69/N69</f>
        <v>3359.16370259531</v>
      </c>
      <c r="R69" s="128" t="n">
        <f aca="false">P69+O69*N69</f>
        <v>30146.1613524208</v>
      </c>
      <c r="S69" s="105"/>
      <c r="T69" s="129" t="n">
        <f aca="false">$Q$48*N69</f>
        <v>17948.611036211</v>
      </c>
      <c r="U69" s="129" t="n">
        <f aca="false">$P$48*2</f>
        <v>50632.9454938167</v>
      </c>
      <c r="V69" s="129" t="n">
        <f aca="false">$O$48*N69+$P$48</f>
        <v>34290.7782650139</v>
      </c>
      <c r="W69" s="45" t="n">
        <f aca="false">T69/$R69-1</f>
        <v>-0.404613714284067</v>
      </c>
      <c r="X69" s="45" t="n">
        <f aca="false">U69/$R69-1</f>
        <v>0.679581851297653</v>
      </c>
      <c r="Y69" s="45" t="n">
        <f aca="false">V69/$R69-1</f>
        <v>0.137484068506793</v>
      </c>
      <c r="Z69" s="85"/>
      <c r="AA69" s="104"/>
      <c r="AB69" s="104"/>
      <c r="AC69" s="104"/>
    </row>
    <row r="70" customFormat="false" ht="15" hidden="false" customHeight="false" outlineLevel="0" collapsed="false">
      <c r="F70" s="99" t="n">
        <f aca="false">H70/G70</f>
        <v>8.54187318796479</v>
      </c>
      <c r="G70" s="52" t="n">
        <f aca="false">G69*(1+$O$1)</f>
        <v>26730.3426406822</v>
      </c>
      <c r="H70" s="15" t="n">
        <f aca="false">I70/G70</f>
        <v>228327.197107555</v>
      </c>
      <c r="I70" s="0" t="n">
        <f aca="false">I69</f>
        <v>6103264212.87154</v>
      </c>
      <c r="J70" s="85"/>
      <c r="K70" s="85"/>
      <c r="L70" s="85"/>
      <c r="M70" s="85"/>
      <c r="N70" s="127" t="n">
        <f aca="false">F70</f>
        <v>8.54187318796479</v>
      </c>
      <c r="O70" s="83" t="n">
        <f aca="false">$O$48/$G$48*G70</f>
        <v>1721.5713975801</v>
      </c>
      <c r="P70" s="83" t="n">
        <f aca="false">O70*F70</f>
        <v>14705.4445621565</v>
      </c>
      <c r="Q70" s="81" t="n">
        <f aca="false">O70+P70/N70</f>
        <v>3443.14279516019</v>
      </c>
      <c r="R70" s="128" t="n">
        <f aca="false">P70+O70*N70</f>
        <v>29410.889124313</v>
      </c>
      <c r="S70" s="105"/>
      <c r="T70" s="129" t="n">
        <f aca="false">$Q$48*N70</f>
        <v>17083.7463759296</v>
      </c>
      <c r="U70" s="129" t="n">
        <f aca="false">$P$48*2</f>
        <v>50632.9454938167</v>
      </c>
      <c r="V70" s="129" t="n">
        <f aca="false">$O$48*N70+$P$48</f>
        <v>33858.3459348731</v>
      </c>
      <c r="W70" s="45" t="n">
        <f aca="false">T70/$R70-1</f>
        <v>-0.419135331008846</v>
      </c>
      <c r="X70" s="45" t="n">
        <f aca="false">U70/$R70-1</f>
        <v>0.721571397580094</v>
      </c>
      <c r="Y70" s="45" t="n">
        <f aca="false">V70/$R70-1</f>
        <v>0.151218033285624</v>
      </c>
      <c r="Z70" s="85"/>
      <c r="AA70" s="104"/>
      <c r="AB70" s="104"/>
      <c r="AC70" s="104"/>
    </row>
    <row r="71" customFormat="false" ht="15" hidden="false" customHeight="false" outlineLevel="0" collapsed="false">
      <c r="F71" s="99" t="n">
        <f aca="false">H71/G71</f>
        <v>8.13027787075769</v>
      </c>
      <c r="G71" s="52" t="n">
        <f aca="false">G70*(1+$O$1)</f>
        <v>27398.6012066993</v>
      </c>
      <c r="H71" s="15" t="n">
        <f aca="false">I71/G71</f>
        <v>222758.241080542</v>
      </c>
      <c r="I71" s="0" t="n">
        <f aca="false">I70</f>
        <v>6103264212.87154</v>
      </c>
      <c r="J71" s="85"/>
      <c r="K71" s="85"/>
      <c r="L71" s="85"/>
      <c r="M71" s="85"/>
      <c r="N71" s="132" t="n">
        <f aca="false">F71</f>
        <v>8.13027787075769</v>
      </c>
      <c r="O71" s="82" t="n">
        <f aca="false">$O$48/$G$48*G71</f>
        <v>1764.6106825196</v>
      </c>
      <c r="P71" s="82" t="n">
        <f aca="false">O71*F71</f>
        <v>14346.7751825917</v>
      </c>
      <c r="Q71" s="133" t="n">
        <f aca="false">O71+P71/N71</f>
        <v>3529.22136503919</v>
      </c>
      <c r="R71" s="134" t="n">
        <f aca="false">P71+O71*N71</f>
        <v>28693.5503651834</v>
      </c>
      <c r="S71" s="105"/>
      <c r="T71" s="129" t="n">
        <f aca="false">$Q$48*N71</f>
        <v>16260.5557415154</v>
      </c>
      <c r="U71" s="129" t="n">
        <f aca="false">$P$48*2</f>
        <v>50632.9454938167</v>
      </c>
      <c r="V71" s="129" t="n">
        <f aca="false">$O$48*N71+$P$48</f>
        <v>33446.750617666</v>
      </c>
      <c r="W71" s="45" t="n">
        <f aca="false">T71/$R71-1</f>
        <v>-0.43330276195985</v>
      </c>
      <c r="X71" s="45" t="n">
        <f aca="false">U71/$R71-1</f>
        <v>0.764610682519596</v>
      </c>
      <c r="Y71" s="45" t="n">
        <f aca="false">V71/$R71-1</f>
        <v>0.165653960279873</v>
      </c>
      <c r="Z71" s="85"/>
      <c r="AA71" s="104"/>
      <c r="AB71" s="104"/>
      <c r="AC71" s="104"/>
    </row>
    <row r="72" customFormat="false" ht="15" hidden="false" customHeight="false" outlineLevel="0" collapsed="false">
      <c r="F72" s="99" t="n">
        <f aca="false">H72/G72</f>
        <v>7.73851552243445</v>
      </c>
      <c r="G72" s="52" t="n">
        <f aca="false">G71*(1+$O$1)</f>
        <v>28083.5662368667</v>
      </c>
      <c r="H72" s="15" t="n">
        <f aca="false">I72/G72</f>
        <v>217325.113249309</v>
      </c>
      <c r="I72" s="0" t="n">
        <f aca="false">I71</f>
        <v>6103264212.87154</v>
      </c>
      <c r="J72" s="85"/>
      <c r="K72" s="85"/>
      <c r="L72" s="85"/>
      <c r="M72" s="85"/>
      <c r="N72" s="132" t="n">
        <f aca="false">F72</f>
        <v>7.73851552243445</v>
      </c>
      <c r="O72" s="82" t="n">
        <f aca="false">$O$48/$G$48*G72</f>
        <v>1808.72594958259</v>
      </c>
      <c r="P72" s="82" t="n">
        <f aca="false">O72*F72</f>
        <v>13996.8538366748</v>
      </c>
      <c r="Q72" s="133" t="n">
        <f aca="false">O72+P72/N72</f>
        <v>3617.45189916517</v>
      </c>
      <c r="R72" s="134" t="n">
        <f aca="false">P72+O72*N72</f>
        <v>27993.7076733497</v>
      </c>
      <c r="S72" s="105"/>
      <c r="T72" s="129" t="n">
        <f aca="false">$Q$48*N72</f>
        <v>15477.0310448689</v>
      </c>
      <c r="U72" s="129" t="n">
        <f aca="false">$P$48*2</f>
        <v>50632.9454938167</v>
      </c>
      <c r="V72" s="129" t="n">
        <f aca="false">$O$48*N72+$P$48</f>
        <v>33054.9882693428</v>
      </c>
      <c r="W72" s="45" t="n">
        <f aca="false">T72/$R72-1</f>
        <v>-0.447124645814488</v>
      </c>
      <c r="X72" s="45" t="n">
        <f aca="false">U72/$R72-1</f>
        <v>0.808725949582586</v>
      </c>
      <c r="Y72" s="45" t="n">
        <f aca="false">V72/$R72-1</f>
        <v>0.180800651884049</v>
      </c>
      <c r="Z72" s="85"/>
      <c r="AA72" s="104"/>
      <c r="AB72" s="104"/>
      <c r="AC72" s="104"/>
    </row>
    <row r="73" customFormat="false" ht="15" hidden="false" customHeight="false" outlineLevel="0" collapsed="false">
      <c r="F73" s="99" t="n">
        <f aca="false">H73/G73</f>
        <v>7.36563047941411</v>
      </c>
      <c r="G73" s="52" t="n">
        <f aca="false">G72*(1+$O$1)</f>
        <v>28785.6553927884</v>
      </c>
      <c r="H73" s="15" t="n">
        <f aca="false">I73/G73</f>
        <v>212024.500731033</v>
      </c>
      <c r="I73" s="0" t="n">
        <f aca="false">I72</f>
        <v>6103264212.87154</v>
      </c>
      <c r="J73" s="85"/>
      <c r="K73" s="85"/>
      <c r="L73" s="85"/>
      <c r="M73" s="85"/>
      <c r="N73" s="132" t="n">
        <f aca="false">F73</f>
        <v>7.36563047941411</v>
      </c>
      <c r="O73" s="82" t="n">
        <f aca="false">$O$48/$G$48*G73</f>
        <v>1853.94409832215</v>
      </c>
      <c r="P73" s="82" t="n">
        <f aca="false">O73*F73</f>
        <v>13655.4671577315</v>
      </c>
      <c r="Q73" s="133" t="n">
        <f aca="false">O73+P73/N73</f>
        <v>3707.8881966443</v>
      </c>
      <c r="R73" s="134" t="n">
        <f aca="false">P73+O73*N73</f>
        <v>27310.9343154631</v>
      </c>
      <c r="S73" s="105"/>
      <c r="T73" s="129" t="n">
        <f aca="false">$Q$48*N73</f>
        <v>14731.2609588282</v>
      </c>
      <c r="U73" s="129" t="n">
        <f aca="false">$P$48*2</f>
        <v>50632.9454938167</v>
      </c>
      <c r="V73" s="129" t="n">
        <f aca="false">$O$48*N73+$P$48</f>
        <v>32682.1032263225</v>
      </c>
      <c r="W73" s="45" t="n">
        <f aca="false">T73/$R73-1</f>
        <v>-0.460609410550719</v>
      </c>
      <c r="X73" s="45" t="n">
        <f aca="false">U73/$R73-1</f>
        <v>0.853944098322151</v>
      </c>
      <c r="Y73" s="45" t="n">
        <f aca="false">V73/$R73-1</f>
        <v>0.196667343885716</v>
      </c>
      <c r="Z73" s="85"/>
      <c r="AA73" s="104"/>
      <c r="AB73" s="104"/>
      <c r="AC73" s="104"/>
    </row>
    <row r="74" customFormat="false" ht="15" hidden="false" customHeight="false" outlineLevel="0" collapsed="false">
      <c r="F74" s="99" t="n">
        <f aca="false">H74/G74</f>
        <v>7.0107131273424</v>
      </c>
      <c r="G74" s="52" t="n">
        <f aca="false">G73*(1+$O$1)</f>
        <v>29505.2967776081</v>
      </c>
      <c r="H74" s="15" t="n">
        <f aca="false">I74/G74</f>
        <v>206853.171444911</v>
      </c>
      <c r="I74" s="0" t="n">
        <f aca="false">I73</f>
        <v>6103264212.87154</v>
      </c>
      <c r="J74" s="85"/>
      <c r="K74" s="85"/>
      <c r="L74" s="85"/>
      <c r="M74" s="85"/>
      <c r="N74" s="132" t="n">
        <f aca="false">F74</f>
        <v>7.0107131273424</v>
      </c>
      <c r="O74" s="82" t="n">
        <f aca="false">$O$48/$G$48*G74</f>
        <v>1900.2927007802</v>
      </c>
      <c r="P74" s="82" t="n">
        <f aca="false">O74*F74</f>
        <v>13322.4069831527</v>
      </c>
      <c r="Q74" s="133" t="n">
        <f aca="false">O74+P74/N74</f>
        <v>3800.58540156041</v>
      </c>
      <c r="R74" s="134" t="n">
        <f aca="false">P74+O74*N74</f>
        <v>26644.8139663055</v>
      </c>
      <c r="S74" s="105"/>
      <c r="T74" s="129" t="n">
        <f aca="false">$Q$48*N74</f>
        <v>14021.4262546848</v>
      </c>
      <c r="U74" s="129" t="n">
        <f aca="false">$P$48*2</f>
        <v>50632.9454938167</v>
      </c>
      <c r="V74" s="129" t="n">
        <f aca="false">$O$48*N74+$P$48</f>
        <v>32327.1858742508</v>
      </c>
      <c r="W74" s="45" t="n">
        <f aca="false">T74/$R74-1</f>
        <v>-0.473765278586068</v>
      </c>
      <c r="X74" s="45" t="n">
        <f aca="false">U74/$R74-1</f>
        <v>0.900292700780204</v>
      </c>
      <c r="Y74" s="45" t="n">
        <f aca="false">V74/$R74-1</f>
        <v>0.213263711097068</v>
      </c>
      <c r="Z74" s="85"/>
      <c r="AA74" s="104"/>
      <c r="AB74" s="104"/>
      <c r="AC74" s="104"/>
    </row>
    <row r="75" customFormat="false" ht="15" hidden="false" customHeight="false" outlineLevel="0" collapsed="false">
      <c r="F75" s="99" t="n">
        <f aca="false">H75/G75</f>
        <v>6.67289768218194</v>
      </c>
      <c r="G75" s="52" t="n">
        <f aca="false">G74*(1+$O$1)</f>
        <v>30242.9291970483</v>
      </c>
      <c r="H75" s="15" t="n">
        <f aca="false">I75/G75</f>
        <v>201807.972141376</v>
      </c>
      <c r="I75" s="0" t="n">
        <f aca="false">I74</f>
        <v>6103264212.87154</v>
      </c>
      <c r="J75" s="85"/>
      <c r="K75" s="85"/>
      <c r="L75" s="85"/>
      <c r="M75" s="85"/>
      <c r="N75" s="132" t="n">
        <f aca="false">F75</f>
        <v>6.67289768218194</v>
      </c>
      <c r="O75" s="82" t="n">
        <f aca="false">$O$48/$G$48*G75</f>
        <v>1947.80001829971</v>
      </c>
      <c r="P75" s="82" t="n">
        <f aca="false">O75*F75</f>
        <v>12997.4702274661</v>
      </c>
      <c r="Q75" s="133" t="n">
        <f aca="false">O75+P75/N75</f>
        <v>3895.60003659942</v>
      </c>
      <c r="R75" s="134" t="n">
        <f aca="false">P75+O75*N75</f>
        <v>25994.9404549322</v>
      </c>
      <c r="S75" s="105"/>
      <c r="T75" s="129" t="n">
        <f aca="false">$Q$48*N75</f>
        <v>13345.7953643639</v>
      </c>
      <c r="U75" s="129" t="n">
        <f aca="false">$P$48*2</f>
        <v>50632.9454938167</v>
      </c>
      <c r="V75" s="129" t="n">
        <f aca="false">$O$48*N75+$P$48</f>
        <v>31989.3704290903</v>
      </c>
      <c r="W75" s="45" t="n">
        <f aca="false">T75/$R75-1</f>
        <v>-0.486600271791286</v>
      </c>
      <c r="X75" s="45" t="n">
        <f aca="false">U75/$R75-1</f>
        <v>0.947800018299709</v>
      </c>
      <c r="Y75" s="45" t="n">
        <f aca="false">V75/$R75-1</f>
        <v>0.230599873254212</v>
      </c>
      <c r="Z75" s="85"/>
      <c r="AA75" s="104"/>
      <c r="AB75" s="104"/>
      <c r="AC75" s="104"/>
    </row>
    <row r="76" customFormat="false" ht="15" hidden="false" customHeight="false" outlineLevel="0" collapsed="false">
      <c r="F76" s="99" t="n">
        <f aca="false">H76/G76</f>
        <v>6.35136007822196</v>
      </c>
      <c r="G76" s="52" t="n">
        <f aca="false">G75*(1+$O$1)</f>
        <v>30999.0024269745</v>
      </c>
      <c r="H76" s="15" t="n">
        <f aca="false">I76/G76</f>
        <v>196885.826479391</v>
      </c>
      <c r="I76" s="0" t="n">
        <f aca="false">I75</f>
        <v>6103264212.87154</v>
      </c>
      <c r="J76" s="85"/>
      <c r="K76" s="85"/>
      <c r="L76" s="85"/>
      <c r="M76" s="85"/>
      <c r="N76" s="132" t="n">
        <f aca="false">F76</f>
        <v>6.35136007822196</v>
      </c>
      <c r="O76" s="82" t="n">
        <f aca="false">$O$48/$G$48*G76</f>
        <v>1996.4950187572</v>
      </c>
      <c r="P76" s="82" t="n">
        <f aca="false">O76*F76</f>
        <v>12680.4587585035</v>
      </c>
      <c r="Q76" s="133" t="n">
        <f aca="false">O76+P76/N76</f>
        <v>3992.9900375144</v>
      </c>
      <c r="R76" s="134" t="n">
        <f aca="false">P76+O76*N76</f>
        <v>25360.917517007</v>
      </c>
      <c r="S76" s="105"/>
      <c r="T76" s="129" t="n">
        <f aca="false">$Q$48*N76</f>
        <v>12702.7201564439</v>
      </c>
      <c r="U76" s="129" t="n">
        <f aca="false">$P$48*2</f>
        <v>50632.9454938167</v>
      </c>
      <c r="V76" s="129" t="n">
        <f aca="false">$O$48*N76+$P$48</f>
        <v>31667.8328251303</v>
      </c>
      <c r="W76" s="45" t="n">
        <f aca="false">T76/$R76-1</f>
        <v>-0.499122216381742</v>
      </c>
      <c r="X76" s="45" t="n">
        <f aca="false">U76/$R76-1</f>
        <v>0.996495018757202</v>
      </c>
      <c r="Y76" s="45" t="n">
        <f aca="false">V76/$R76-1</f>
        <v>0.24868640118773</v>
      </c>
      <c r="Z76" s="85"/>
      <c r="AA76" s="104"/>
      <c r="AB76" s="104"/>
      <c r="AC76" s="104"/>
    </row>
    <row r="77" customFormat="false" ht="15" hidden="false" customHeight="false" outlineLevel="0" collapsed="false">
      <c r="F77" s="99" t="n">
        <f aca="false">H77/G77</f>
        <v>6.04531595785552</v>
      </c>
      <c r="G77" s="52" t="n">
        <f aca="false">G76*(1+$O$1)</f>
        <v>31773.9774876489</v>
      </c>
      <c r="H77" s="15" t="n">
        <f aca="false">I77/G77</f>
        <v>192083.733150626</v>
      </c>
      <c r="I77" s="0" t="n">
        <f aca="false">I76</f>
        <v>6103264212.87154</v>
      </c>
      <c r="J77" s="85"/>
      <c r="K77" s="85"/>
      <c r="L77" s="85"/>
      <c r="M77" s="85"/>
      <c r="N77" s="132" t="n">
        <f aca="false">F77</f>
        <v>6.04531595785552</v>
      </c>
      <c r="O77" s="82" t="n">
        <f aca="false">$O$48/$G$48*G77</f>
        <v>2046.40739422613</v>
      </c>
      <c r="P77" s="82" t="n">
        <f aca="false">O77*F77</f>
        <v>12371.1792765888</v>
      </c>
      <c r="Q77" s="133" t="n">
        <f aca="false">O77+P77/N77</f>
        <v>4092.81478845227</v>
      </c>
      <c r="R77" s="134" t="n">
        <f aca="false">P77+O77*N77</f>
        <v>24742.3585531775</v>
      </c>
      <c r="S77" s="105"/>
      <c r="T77" s="129" t="n">
        <f aca="false">$Q$48*N77</f>
        <v>12090.631915711</v>
      </c>
      <c r="U77" s="129" t="n">
        <f aca="false">$P$48*2</f>
        <v>50632.9454938167</v>
      </c>
      <c r="V77" s="129" t="n">
        <f aca="false">$O$48*N77+$P$48</f>
        <v>31361.7887047639</v>
      </c>
      <c r="W77" s="45" t="n">
        <f aca="false">T77/$R77-1</f>
        <v>-0.511338747689504</v>
      </c>
      <c r="X77" s="45" t="n">
        <f aca="false">U77/$R77-1</f>
        <v>1.04640739422613</v>
      </c>
      <c r="Y77" s="45" t="n">
        <f aca="false">V77/$R77-1</f>
        <v>0.267534323268314</v>
      </c>
      <c r="Z77" s="85"/>
      <c r="AA77" s="104"/>
      <c r="AB77" s="104"/>
      <c r="AC77" s="104"/>
    </row>
    <row r="78" customFormat="false" ht="15" hidden="false" customHeight="false" outlineLevel="0" collapsed="false">
      <c r="F78" s="99" t="n">
        <f aca="false">H78/G78</f>
        <v>5.7540187582206</v>
      </c>
      <c r="G78" s="52" t="n">
        <f aca="false">G77*(1+$O$1)</f>
        <v>32568.3269248401</v>
      </c>
      <c r="H78" s="15" t="n">
        <f aca="false">I78/G78</f>
        <v>187398.764049391</v>
      </c>
      <c r="I78" s="0" t="n">
        <f aca="false">I77</f>
        <v>6103264212.87154</v>
      </c>
      <c r="J78" s="85"/>
      <c r="K78" s="85"/>
      <c r="L78" s="85"/>
      <c r="M78" s="85"/>
      <c r="N78" s="132" t="n">
        <f aca="false">F78</f>
        <v>5.7540187582206</v>
      </c>
      <c r="O78" s="82" t="n">
        <f aca="false">$O$48/$G$48*G78</f>
        <v>2097.56757908179</v>
      </c>
      <c r="P78" s="82" t="n">
        <f aca="false">O78*F78</f>
        <v>12069.443196672</v>
      </c>
      <c r="Q78" s="133" t="n">
        <f aca="false">O78+P78/N78</f>
        <v>4195.13515816357</v>
      </c>
      <c r="R78" s="134" t="n">
        <f aca="false">P78+O78*N78</f>
        <v>24138.8863933439</v>
      </c>
      <c r="S78" s="105"/>
      <c r="T78" s="129" t="n">
        <f aca="false">$Q$48*N78</f>
        <v>11508.0375164412</v>
      </c>
      <c r="U78" s="129" t="n">
        <f aca="false">$P$48*2</f>
        <v>50632.9454938167</v>
      </c>
      <c r="V78" s="129" t="n">
        <f aca="false">$O$48*N78+$P$48</f>
        <v>31070.491505129</v>
      </c>
      <c r="W78" s="45" t="n">
        <f aca="false">T78/$R78-1</f>
        <v>-0.523257314819029</v>
      </c>
      <c r="X78" s="45" t="n">
        <f aca="false">U78/$R78-1</f>
        <v>1.09756757908179</v>
      </c>
      <c r="Y78" s="45" t="n">
        <f aca="false">V78/$R78-1</f>
        <v>0.287155132131378</v>
      </c>
      <c r="Z78" s="85"/>
      <c r="AA78" s="104"/>
      <c r="AB78" s="104"/>
      <c r="AC78" s="104"/>
    </row>
    <row r="79" customFormat="false" ht="15" hidden="false" customHeight="false" outlineLevel="0" collapsed="false">
      <c r="F79" s="99" t="n">
        <f aca="false">H79/G79</f>
        <v>5.47675789003746</v>
      </c>
      <c r="G79" s="52" t="n">
        <f aca="false">G78*(1+$O$1)</f>
        <v>33382.5350979611</v>
      </c>
      <c r="H79" s="15" t="n">
        <f aca="false">I79/G79</f>
        <v>182828.062487211</v>
      </c>
      <c r="I79" s="0" t="n">
        <f aca="false">I78</f>
        <v>6103264212.87154</v>
      </c>
      <c r="J79" s="85"/>
      <c r="K79" s="85"/>
      <c r="L79" s="85"/>
      <c r="M79" s="85"/>
      <c r="N79" s="132" t="n">
        <f aca="false">F79</f>
        <v>5.47675789003746</v>
      </c>
      <c r="O79" s="82" t="n">
        <f aca="false">$O$48/$G$48*G79</f>
        <v>2150.00676855883</v>
      </c>
      <c r="P79" s="82" t="n">
        <f aca="false">O79*F79</f>
        <v>11775.0665333385</v>
      </c>
      <c r="Q79" s="133" t="n">
        <f aca="false">O79+P79/N79</f>
        <v>4300.01353711766</v>
      </c>
      <c r="R79" s="134" t="n">
        <f aca="false">P79+O79*N79</f>
        <v>23550.133066677</v>
      </c>
      <c r="S79" s="105"/>
      <c r="T79" s="129" t="n">
        <f aca="false">$Q$48*N79</f>
        <v>10953.5157800749</v>
      </c>
      <c r="U79" s="129" t="n">
        <f aca="false">$P$48*2</f>
        <v>50632.9454938167</v>
      </c>
      <c r="V79" s="129" t="n">
        <f aca="false">$O$48*N79+$P$48</f>
        <v>30793.2306369458</v>
      </c>
      <c r="W79" s="45" t="n">
        <f aca="false">T79/$R79-1</f>
        <v>-0.534885185189296</v>
      </c>
      <c r="X79" s="45" t="n">
        <f aca="false">U79/$R79-1</f>
        <v>1.15000676855883</v>
      </c>
      <c r="Y79" s="45" t="n">
        <f aca="false">V79/$R79-1</f>
        <v>0.307560791684767</v>
      </c>
      <c r="Z79" s="85"/>
      <c r="AA79" s="104"/>
      <c r="AB79" s="104"/>
      <c r="AC79" s="104"/>
    </row>
    <row r="80" customFormat="false" ht="15" hidden="false" customHeight="false" outlineLevel="0" collapsed="false">
      <c r="F80" s="99" t="n">
        <f aca="false">H80/G80</f>
        <v>5.21285700419984</v>
      </c>
      <c r="G80" s="52" t="n">
        <f aca="false">G79*(1+$O$1)</f>
        <v>34217.0984754101</v>
      </c>
      <c r="H80" s="15" t="n">
        <f aca="false">I80/G80</f>
        <v>178368.841450937</v>
      </c>
      <c r="I80" s="0" t="n">
        <f aca="false">I79</f>
        <v>6103264212.87154</v>
      </c>
      <c r="J80" s="85"/>
      <c r="K80" s="85"/>
      <c r="L80" s="85"/>
      <c r="M80" s="85"/>
      <c r="N80" s="132" t="n">
        <f aca="false">F80</f>
        <v>5.21285700419984</v>
      </c>
      <c r="O80" s="82" t="n">
        <f aca="false">$O$48/$G$48*G80</f>
        <v>2203.7569377728</v>
      </c>
      <c r="P80" s="82" t="n">
        <f aca="false">O80*F80</f>
        <v>11487.8697886229</v>
      </c>
      <c r="Q80" s="133" t="n">
        <f aca="false">O80+P80/N80</f>
        <v>4407.5138755456</v>
      </c>
      <c r="R80" s="134" t="n">
        <f aca="false">P80+O80*N80</f>
        <v>22975.7395772459</v>
      </c>
      <c r="S80" s="105"/>
      <c r="T80" s="129" t="n">
        <f aca="false">$Q$48*N80</f>
        <v>10425.7140083997</v>
      </c>
      <c r="U80" s="129" t="n">
        <f aca="false">$P$48*2</f>
        <v>50632.9454938167</v>
      </c>
      <c r="V80" s="129" t="n">
        <f aca="false">$O$48*N80+$P$48</f>
        <v>30529.3297511082</v>
      </c>
      <c r="W80" s="45" t="n">
        <f aca="false">T80/$R80-1</f>
        <v>-0.546229448965167</v>
      </c>
      <c r="X80" s="45" t="n">
        <f aca="false">U80/$R80-1</f>
        <v>1.2037569377728</v>
      </c>
      <c r="Y80" s="45" t="n">
        <f aca="false">V80/$R80-1</f>
        <v>0.328763744403816</v>
      </c>
      <c r="Z80" s="85"/>
      <c r="AA80" s="104"/>
      <c r="AB80" s="104"/>
      <c r="AC80" s="104"/>
    </row>
    <row r="81" customFormat="false" ht="15" hidden="false" customHeight="false" outlineLevel="0" collapsed="false">
      <c r="F81" s="99" t="n">
        <f aca="false">H81/G81</f>
        <v>4.96167234189158</v>
      </c>
      <c r="G81" s="52" t="n">
        <f aca="false">G80*(1+$O$1)</f>
        <v>35072.5259372954</v>
      </c>
      <c r="H81" s="15" t="n">
        <f aca="false">I81/G81</f>
        <v>174018.381903354</v>
      </c>
      <c r="I81" s="0" t="n">
        <f aca="false">I80</f>
        <v>6103264212.87154</v>
      </c>
      <c r="J81" s="85"/>
      <c r="K81" s="85"/>
      <c r="L81" s="85"/>
      <c r="M81" s="85"/>
      <c r="N81" s="132" t="n">
        <f aca="false">F81</f>
        <v>4.96167234189158</v>
      </c>
      <c r="O81" s="82" t="n">
        <f aca="false">$O$48/$G$48*G81</f>
        <v>2258.85086121712</v>
      </c>
      <c r="P81" s="82" t="n">
        <f aca="false">O81*F81</f>
        <v>11207.677842559</v>
      </c>
      <c r="Q81" s="133" t="n">
        <f aca="false">O81+P81/N81</f>
        <v>4517.70172243424</v>
      </c>
      <c r="R81" s="134" t="n">
        <f aca="false">P81+O81*N81</f>
        <v>22415.3556851179</v>
      </c>
      <c r="S81" s="105"/>
      <c r="T81" s="129" t="n">
        <f aca="false">$Q$48*N81</f>
        <v>9923.34468378316</v>
      </c>
      <c r="U81" s="129" t="n">
        <f aca="false">$P$48*2</f>
        <v>50632.9454938167</v>
      </c>
      <c r="V81" s="129" t="n">
        <f aca="false">$O$48*N81+$P$48</f>
        <v>30278.1450887999</v>
      </c>
      <c r="W81" s="45" t="n">
        <f aca="false">T81/$R81-1</f>
        <v>-0.557297023380651</v>
      </c>
      <c r="X81" s="45" t="n">
        <f aca="false">U81/$R81-1</f>
        <v>1.25885086121712</v>
      </c>
      <c r="Y81" s="45" t="n">
        <f aca="false">V81/$R81-1</f>
        <v>0.350776918918235</v>
      </c>
      <c r="Z81" s="85"/>
      <c r="AA81" s="104"/>
      <c r="AB81" s="104"/>
      <c r="AC81" s="104"/>
    </row>
    <row r="82" customFormat="false" ht="15" hidden="false" customHeight="false" outlineLevel="0" collapsed="false">
      <c r="F82" s="99" t="n">
        <f aca="false">H82/G82</f>
        <v>4.72259116420377</v>
      </c>
      <c r="G82" s="52" t="n">
        <f aca="false">G81*(1+$O$1)</f>
        <v>35949.3390857278</v>
      </c>
      <c r="H82" s="15" t="n">
        <f aca="false">I82/G82</f>
        <v>169774.031125223</v>
      </c>
      <c r="I82" s="0" t="n">
        <f aca="false">I81</f>
        <v>6103264212.87154</v>
      </c>
      <c r="J82" s="85"/>
      <c r="K82" s="85"/>
      <c r="L82" s="85"/>
      <c r="M82" s="85"/>
      <c r="N82" s="132" t="n">
        <f aca="false">F82</f>
        <v>4.72259116420377</v>
      </c>
      <c r="O82" s="82" t="n">
        <f aca="false">$O$48/$G$48*G82</f>
        <v>2315.32213274755</v>
      </c>
      <c r="P82" s="82" t="n">
        <f aca="false">O82*F82</f>
        <v>10934.319846399</v>
      </c>
      <c r="Q82" s="133" t="n">
        <f aca="false">O82+P82/N82</f>
        <v>4630.6442654951</v>
      </c>
      <c r="R82" s="134" t="n">
        <f aca="false">P82+O82*N82</f>
        <v>21868.639692798</v>
      </c>
      <c r="S82" s="105"/>
      <c r="T82" s="129" t="n">
        <f aca="false">$Q$48*N82</f>
        <v>9445.18232840753</v>
      </c>
      <c r="U82" s="129" t="n">
        <f aca="false">$P$48*2</f>
        <v>50632.9454938167</v>
      </c>
      <c r="V82" s="129" t="n">
        <f aca="false">$O$48*N82+$P$48</f>
        <v>30039.0639111121</v>
      </c>
      <c r="W82" s="45" t="n">
        <f aca="false">T82/$R82-1</f>
        <v>-0.568094656956732</v>
      </c>
      <c r="X82" s="45" t="n">
        <f aca="false">U82/$R82-1</f>
        <v>1.31532213274755</v>
      </c>
      <c r="Y82" s="45" t="n">
        <f aca="false">V82/$R82-1</f>
        <v>0.373613737895408</v>
      </c>
      <c r="Z82" s="85"/>
      <c r="AA82" s="104"/>
      <c r="AB82" s="104"/>
      <c r="AC82" s="104"/>
    </row>
    <row r="83" customFormat="false" ht="15" hidden="false" customHeight="false" outlineLevel="0" collapsed="false">
      <c r="F83" s="99" t="n">
        <f aca="false">H83/G83</f>
        <v>4.49503025742179</v>
      </c>
      <c r="G83" s="52" t="n">
        <f aca="false">G82*(1+$O$1)</f>
        <v>36848.072562871</v>
      </c>
      <c r="H83" s="15" t="n">
        <f aca="false">I83/G83</f>
        <v>165633.201097779</v>
      </c>
      <c r="I83" s="0" t="n">
        <f aca="false">I82</f>
        <v>6103264212.87154</v>
      </c>
      <c r="J83" s="85"/>
      <c r="K83" s="85"/>
      <c r="L83" s="85"/>
      <c r="M83" s="85"/>
      <c r="N83" s="132" t="n">
        <f aca="false">F83</f>
        <v>4.49503025742179</v>
      </c>
      <c r="O83" s="82" t="n">
        <f aca="false">$O$48/$G$48*G83</f>
        <v>2373.20518606624</v>
      </c>
      <c r="P83" s="82" t="n">
        <f aca="false">O83*F83</f>
        <v>10667.629118438</v>
      </c>
      <c r="Q83" s="133" t="n">
        <f aca="false">O83+P83/N83</f>
        <v>4746.41037213247</v>
      </c>
      <c r="R83" s="134" t="n">
        <f aca="false">P83+O83*N83</f>
        <v>21335.2582368761</v>
      </c>
      <c r="S83" s="105"/>
      <c r="T83" s="129" t="n">
        <f aca="false">$Q$48*N83</f>
        <v>8990.06051484358</v>
      </c>
      <c r="U83" s="129" t="n">
        <f aca="false">$P$48*2</f>
        <v>50632.9454938167</v>
      </c>
      <c r="V83" s="129" t="n">
        <f aca="false">$O$48*N83+$P$48</f>
        <v>29811.5030043301</v>
      </c>
      <c r="W83" s="45" t="n">
        <f aca="false">T83/$R83-1</f>
        <v>-0.578628933616324</v>
      </c>
      <c r="X83" s="45" t="n">
        <f aca="false">U83/$R83-1</f>
        <v>1.37320518606624</v>
      </c>
      <c r="Y83" s="45" t="n">
        <f aca="false">V83/$R83-1</f>
        <v>0.397288126224956</v>
      </c>
      <c r="Z83" s="85"/>
      <c r="AA83" s="104"/>
      <c r="AB83" s="104"/>
      <c r="AC83" s="104"/>
    </row>
    <row r="84" customFormat="false" ht="15" hidden="false" customHeight="false" outlineLevel="0" collapsed="false">
      <c r="F84" s="99" t="n">
        <f aca="false">H84/G84</f>
        <v>4.27843451033603</v>
      </c>
      <c r="G84" s="52" t="n">
        <f aca="false">G83*(1+$O$1)</f>
        <v>37769.2743769427</v>
      </c>
      <c r="H84" s="15" t="n">
        <f aca="false">I84/G84</f>
        <v>161593.366924662</v>
      </c>
      <c r="I84" s="0" t="n">
        <f aca="false">I83</f>
        <v>6103264212.87154</v>
      </c>
      <c r="J84" s="85"/>
      <c r="K84" s="85"/>
      <c r="L84" s="85"/>
      <c r="M84" s="85"/>
      <c r="N84" s="132" t="n">
        <f aca="false">F84</f>
        <v>4.27843451033603</v>
      </c>
      <c r="O84" s="82" t="n">
        <f aca="false">$O$48/$G$48*G84</f>
        <v>2432.53531571789</v>
      </c>
      <c r="P84" s="82" t="n">
        <f aca="false">O84*F84</f>
        <v>10407.4430423786</v>
      </c>
      <c r="Q84" s="133" t="n">
        <f aca="false">O84+P84/N84</f>
        <v>4865.07063143579</v>
      </c>
      <c r="R84" s="134" t="n">
        <f aca="false">P84+O84*N84</f>
        <v>20814.8860847572</v>
      </c>
      <c r="S84" s="105"/>
      <c r="T84" s="129" t="n">
        <f aca="false">$Q$48*N84</f>
        <v>8556.86902067206</v>
      </c>
      <c r="U84" s="129" t="n">
        <f aca="false">$P$48*2</f>
        <v>50632.9454938167</v>
      </c>
      <c r="V84" s="129" t="n">
        <f aca="false">$O$48*N84+$P$48</f>
        <v>29594.9072572444</v>
      </c>
      <c r="W84" s="45" t="n">
        <f aca="false">T84/$R84-1</f>
        <v>-0.588906276698853</v>
      </c>
      <c r="X84" s="45" t="n">
        <f aca="false">U84/$R84-1</f>
        <v>1.43253531571789</v>
      </c>
      <c r="Y84" s="45" t="n">
        <f aca="false">V84/$R84-1</f>
        <v>0.42181451950952</v>
      </c>
      <c r="Z84" s="85"/>
      <c r="AA84" s="104"/>
      <c r="AB84" s="104"/>
      <c r="AC84" s="104"/>
    </row>
    <row r="85" customFormat="false" ht="15" hidden="false" customHeight="false" outlineLevel="0" collapsed="false">
      <c r="F85" s="99" t="n">
        <f aca="false">H85/G85</f>
        <v>4.07227556010568</v>
      </c>
      <c r="G85" s="52" t="n">
        <f aca="false">G84*(1+$O$1)</f>
        <v>38713.5062363663</v>
      </c>
      <c r="H85" s="15" t="n">
        <f aca="false">I85/G85</f>
        <v>157652.065292353</v>
      </c>
      <c r="I85" s="0" t="n">
        <f aca="false">I84</f>
        <v>6103264212.87154</v>
      </c>
      <c r="J85" s="85"/>
      <c r="K85" s="85"/>
      <c r="L85" s="85"/>
      <c r="M85" s="85"/>
      <c r="N85" s="132" t="n">
        <f aca="false">F85</f>
        <v>4.07227556010568</v>
      </c>
      <c r="O85" s="82" t="n">
        <f aca="false">$O$48/$G$48*G85</f>
        <v>2493.34869861084</v>
      </c>
      <c r="P85" s="82" t="n">
        <f aca="false">O85*F85</f>
        <v>10153.6029681742</v>
      </c>
      <c r="Q85" s="133" t="n">
        <f aca="false">O85+P85/N85</f>
        <v>4986.69739722168</v>
      </c>
      <c r="R85" s="134" t="n">
        <f aca="false">P85+O85*N85</f>
        <v>20307.2059363484</v>
      </c>
      <c r="S85" s="105"/>
      <c r="T85" s="129" t="n">
        <f aca="false">$Q$48*N85</f>
        <v>8144.55112021136</v>
      </c>
      <c r="U85" s="129" t="n">
        <f aca="false">$P$48*2</f>
        <v>50632.9454938167</v>
      </c>
      <c r="V85" s="129" t="n">
        <f aca="false">$O$48*N85+$P$48</f>
        <v>29388.748307014</v>
      </c>
      <c r="W85" s="45" t="n">
        <f aca="false">T85/$R85-1</f>
        <v>-0.59893295287693</v>
      </c>
      <c r="X85" s="45" t="n">
        <f aca="false">U85/$R85-1</f>
        <v>1.49334869861084</v>
      </c>
      <c r="Y85" s="45" t="n">
        <f aca="false">V85/$R85-1</f>
        <v>0.447207872866955</v>
      </c>
      <c r="Z85" s="85"/>
      <c r="AA85" s="104"/>
      <c r="AB85" s="104"/>
      <c r="AC85" s="104"/>
    </row>
    <row r="86" customFormat="false" ht="15" hidden="false" customHeight="false" outlineLevel="0" collapsed="false">
      <c r="F86" s="99" t="n">
        <f aca="false">H86/G86</f>
        <v>3.87605050337245</v>
      </c>
      <c r="G86" s="52" t="n">
        <f aca="false">G85*(1+$O$1)</f>
        <v>39681.3438922754</v>
      </c>
      <c r="H86" s="15" t="n">
        <f aca="false">I86/G86</f>
        <v>153806.892968149</v>
      </c>
      <c r="I86" s="0" t="n">
        <f aca="false">I85</f>
        <v>6103264212.87154</v>
      </c>
      <c r="J86" s="85"/>
      <c r="K86" s="85"/>
      <c r="L86" s="85"/>
      <c r="M86" s="85"/>
      <c r="N86" s="132" t="n">
        <f aca="false">F86</f>
        <v>3.87605050337245</v>
      </c>
      <c r="O86" s="82" t="n">
        <f aca="false">$O$48/$G$48*G86</f>
        <v>2555.68241607611</v>
      </c>
      <c r="P86" s="82" t="n">
        <f aca="false">O86*F86</f>
        <v>9905.95411529193</v>
      </c>
      <c r="Q86" s="133" t="n">
        <f aca="false">O86+P86/N86</f>
        <v>5111.36483215222</v>
      </c>
      <c r="R86" s="134" t="n">
        <f aca="false">P86+O86*N86</f>
        <v>19811.9082305839</v>
      </c>
      <c r="S86" s="105"/>
      <c r="T86" s="129" t="n">
        <f aca="false">$Q$48*N86</f>
        <v>7752.1010067449</v>
      </c>
      <c r="U86" s="129" t="n">
        <f aca="false">$P$48*2</f>
        <v>50632.9454938167</v>
      </c>
      <c r="V86" s="129" t="n">
        <f aca="false">$O$48*N86+$P$48</f>
        <v>29192.5232502808</v>
      </c>
      <c r="W86" s="45" t="n">
        <f aca="false">T86/$R86-1</f>
        <v>-0.608715075977492</v>
      </c>
      <c r="X86" s="45" t="n">
        <f aca="false">U86/$R86-1</f>
        <v>1.55568241607611</v>
      </c>
      <c r="Y86" s="45" t="n">
        <f aca="false">V86/$R86-1</f>
        <v>0.473483670049309</v>
      </c>
      <c r="Z86" s="85"/>
      <c r="AA86" s="104"/>
      <c r="AB86" s="104"/>
      <c r="AC86" s="104"/>
    </row>
    <row r="87" customFormat="false" ht="15" hidden="false" customHeight="false" outlineLevel="0" collapsed="false">
      <c r="F87" s="99" t="n">
        <f aca="false">H87/G87</f>
        <v>3.68928066948002</v>
      </c>
      <c r="G87" s="52" t="n">
        <f aca="false">G86*(1+$O$1)</f>
        <v>40673.3774895823</v>
      </c>
      <c r="H87" s="15" t="n">
        <f aca="false">I87/G87</f>
        <v>150055.50533478</v>
      </c>
      <c r="I87" s="0" t="n">
        <f aca="false">I86</f>
        <v>6103264212.87154</v>
      </c>
      <c r="J87" s="85"/>
      <c r="K87" s="85"/>
      <c r="L87" s="85"/>
      <c r="M87" s="85"/>
      <c r="N87" s="132" t="n">
        <f aca="false">F87</f>
        <v>3.68928066948002</v>
      </c>
      <c r="O87" s="82" t="n">
        <f aca="false">$O$48/$G$48*G87</f>
        <v>2619.57447647801</v>
      </c>
      <c r="P87" s="82" t="n">
        <f aca="false">O87*F87</f>
        <v>9664.34547833359</v>
      </c>
      <c r="Q87" s="133" t="n">
        <f aca="false">O87+P87/N87</f>
        <v>5239.14895295603</v>
      </c>
      <c r="R87" s="134" t="n">
        <f aca="false">P87+O87*N87</f>
        <v>19328.6909566672</v>
      </c>
      <c r="S87" s="105"/>
      <c r="T87" s="129" t="n">
        <f aca="false">$Q$48*N87</f>
        <v>7378.56133896005</v>
      </c>
      <c r="U87" s="129" t="n">
        <f aca="false">$P$48*2</f>
        <v>50632.9454938167</v>
      </c>
      <c r="V87" s="129" t="n">
        <f aca="false">$O$48*N87+$P$48</f>
        <v>29005.7534163884</v>
      </c>
      <c r="W87" s="45" t="n">
        <f aca="false">T87/$R87-1</f>
        <v>-0.618258610709749</v>
      </c>
      <c r="X87" s="45" t="n">
        <f aca="false">U87/$R87-1</f>
        <v>1.61957447647801</v>
      </c>
      <c r="Y87" s="45" t="n">
        <f aca="false">V87/$R87-1</f>
        <v>0.500657932884132</v>
      </c>
      <c r="Z87" s="85"/>
      <c r="AA87" s="104"/>
      <c r="AB87" s="104"/>
      <c r="AC87" s="104"/>
    </row>
    <row r="88" customFormat="false" ht="15" hidden="false" customHeight="false" outlineLevel="0" collapsed="false">
      <c r="F88" s="99" t="n">
        <f aca="false">H88/G88</f>
        <v>3.51151045280669</v>
      </c>
      <c r="G88" s="52" t="n">
        <f aca="false">G87*(1+$O$1)</f>
        <v>41690.2119268219</v>
      </c>
      <c r="H88" s="15" t="n">
        <f aca="false">I88/G88</f>
        <v>146395.614960761</v>
      </c>
      <c r="I88" s="0" t="n">
        <f aca="false">I87</f>
        <v>6103264212.87154</v>
      </c>
      <c r="J88" s="85"/>
      <c r="K88" s="85"/>
      <c r="L88" s="85"/>
      <c r="M88" s="85"/>
      <c r="N88" s="132" t="n">
        <f aca="false">F88</f>
        <v>3.51151045280669</v>
      </c>
      <c r="O88" s="82" t="n">
        <f aca="false">$O$48/$G$48*G88</f>
        <v>2685.06383838996</v>
      </c>
      <c r="P88" s="82" t="n">
        <f aca="false">O88*F88</f>
        <v>9428.6297349596</v>
      </c>
      <c r="Q88" s="133" t="n">
        <f aca="false">O88+P88/N88</f>
        <v>5370.12767677993</v>
      </c>
      <c r="R88" s="134" t="n">
        <f aca="false">P88+O88*N88</f>
        <v>18857.2594699192</v>
      </c>
      <c r="S88" s="105"/>
      <c r="T88" s="129" t="n">
        <f aca="false">$Q$48*N88</f>
        <v>7023.02090561337</v>
      </c>
      <c r="U88" s="129" t="n">
        <f aca="false">$P$48*2</f>
        <v>50632.9454938167</v>
      </c>
      <c r="V88" s="129" t="n">
        <f aca="false">$O$48*N88+$P$48</f>
        <v>28827.983199715</v>
      </c>
      <c r="W88" s="45" t="n">
        <f aca="false">T88/$R88-1</f>
        <v>-0.627569376302194</v>
      </c>
      <c r="X88" s="45" t="n">
        <f aca="false">U88/$R88-1</f>
        <v>1.68506383838996</v>
      </c>
      <c r="Y88" s="45" t="n">
        <f aca="false">V88/$R88-1</f>
        <v>0.528747231043884</v>
      </c>
      <c r="Z88" s="85"/>
      <c r="AA88" s="104"/>
      <c r="AB88" s="104"/>
      <c r="AC88" s="104"/>
    </row>
    <row r="89" customFormat="false" ht="15" hidden="false" customHeight="false" outlineLevel="0" collapsed="false">
      <c r="F89" s="99" t="n">
        <f aca="false">H89/G89</f>
        <v>3.3423062013627</v>
      </c>
      <c r="G89" s="52" t="n">
        <f aca="false">G88*(1+$O$1)</f>
        <v>42732.4672249924</v>
      </c>
      <c r="H89" s="15" t="n">
        <f aca="false">I89/G89</f>
        <v>142824.990205621</v>
      </c>
      <c r="I89" s="0" t="n">
        <f aca="false">I88</f>
        <v>6103264212.87154</v>
      </c>
      <c r="J89" s="85"/>
      <c r="K89" s="85"/>
      <c r="L89" s="85"/>
      <c r="M89" s="85"/>
      <c r="N89" s="132" t="n">
        <f aca="false">F89</f>
        <v>3.3423062013627</v>
      </c>
      <c r="O89" s="82" t="n">
        <f aca="false">$O$48/$G$48*G89</f>
        <v>2752.19043434971</v>
      </c>
      <c r="P89" s="82" t="n">
        <f aca="false">O89*F89</f>
        <v>9198.66315605815</v>
      </c>
      <c r="Q89" s="133" t="n">
        <f aca="false">O89+P89/N89</f>
        <v>5504.38086869942</v>
      </c>
      <c r="R89" s="134" t="n">
        <f aca="false">P89+O89*N89</f>
        <v>18397.3263121163</v>
      </c>
      <c r="S89" s="105"/>
      <c r="T89" s="129" t="n">
        <f aca="false">$Q$48*N89</f>
        <v>6684.6124027254</v>
      </c>
      <c r="U89" s="129" t="n">
        <f aca="false">$P$48*2</f>
        <v>50632.9454938167</v>
      </c>
      <c r="V89" s="129" t="n">
        <f aca="false">$O$48*N89+$P$48</f>
        <v>28658.778948271</v>
      </c>
      <c r="W89" s="45" t="n">
        <f aca="false">T89/$R89-1</f>
        <v>-0.636653050050921</v>
      </c>
      <c r="X89" s="45" t="n">
        <f aca="false">U89/$R89-1</f>
        <v>1.75219043434971</v>
      </c>
      <c r="Y89" s="45" t="n">
        <f aca="false">V89/$R89-1</f>
        <v>0.557768692149395</v>
      </c>
      <c r="Z89" s="85"/>
      <c r="AA89" s="104"/>
      <c r="AB89" s="104"/>
      <c r="AC89" s="104"/>
    </row>
    <row r="90" customFormat="false" ht="15" hidden="false" customHeight="false" outlineLevel="0" collapsed="false">
      <c r="F90" s="99" t="n">
        <f aca="false">H90/G90</f>
        <v>3.1812551589413</v>
      </c>
      <c r="G90" s="52" t="n">
        <f aca="false">G89*(1+$O$1)</f>
        <v>43800.7789056172</v>
      </c>
      <c r="H90" s="15" t="n">
        <f aca="false">I90/G90</f>
        <v>139341.453859142</v>
      </c>
      <c r="I90" s="0" t="n">
        <f aca="false">I89</f>
        <v>6103264212.87154</v>
      </c>
      <c r="J90" s="85"/>
      <c r="K90" s="85"/>
      <c r="L90" s="85"/>
      <c r="M90" s="85"/>
      <c r="N90" s="132" t="n">
        <f aca="false">F90</f>
        <v>3.1812551589413</v>
      </c>
      <c r="O90" s="82" t="n">
        <f aca="false">$O$48/$G$48*G90</f>
        <v>2820.99519520845</v>
      </c>
      <c r="P90" s="82" t="n">
        <f aca="false">O90*F90</f>
        <v>8974.30551810551</v>
      </c>
      <c r="Q90" s="133" t="n">
        <f aca="false">O90+P90/N90</f>
        <v>5641.99039041691</v>
      </c>
      <c r="R90" s="134" t="n">
        <f aca="false">P90+O90*N90</f>
        <v>17948.611036211</v>
      </c>
      <c r="S90" s="105"/>
      <c r="T90" s="129" t="n">
        <f aca="false">$Q$48*N90</f>
        <v>6362.5103178826</v>
      </c>
      <c r="U90" s="129" t="n">
        <f aca="false">$P$48*2</f>
        <v>50632.9454938167</v>
      </c>
      <c r="V90" s="129" t="n">
        <f aca="false">$O$48*N90+$P$48</f>
        <v>28497.7279058496</v>
      </c>
      <c r="W90" s="45" t="n">
        <f aca="false">T90/$R90-1</f>
        <v>-0.645515170781386</v>
      </c>
      <c r="X90" s="45" t="n">
        <f aca="false">U90/$R90-1</f>
        <v>1.82099519520845</v>
      </c>
      <c r="Y90" s="45" t="n">
        <f aca="false">V90/$R90-1</f>
        <v>0.587740012213534</v>
      </c>
      <c r="Z90" s="85"/>
      <c r="AA90" s="104"/>
      <c r="AB90" s="104"/>
      <c r="AC90" s="104"/>
    </row>
    <row r="91" customFormat="false" ht="15" hidden="false" customHeight="false" outlineLevel="0" collapsed="false">
      <c r="F91" s="99" t="n">
        <f aca="false">H91/G91</f>
        <v>3.02796445824276</v>
      </c>
      <c r="G91" s="52" t="n">
        <f aca="false">G90*(1+$O$1)</f>
        <v>44895.7983782577</v>
      </c>
      <c r="H91" s="15" t="n">
        <f aca="false">I91/G91</f>
        <v>135942.881813797</v>
      </c>
      <c r="I91" s="0" t="n">
        <f aca="false">I90</f>
        <v>6103264212.87154</v>
      </c>
      <c r="J91" s="85"/>
      <c r="K91" s="85"/>
      <c r="L91" s="85"/>
      <c r="M91" s="85"/>
      <c r="N91" s="132" t="n">
        <f aca="false">F91</f>
        <v>3.02796445824276</v>
      </c>
      <c r="O91" s="82" t="n">
        <f aca="false">$O$48/$G$48*G91</f>
        <v>2891.52007508867</v>
      </c>
      <c r="P91" s="82" t="n">
        <f aca="false">O91*F91</f>
        <v>8755.42001766391</v>
      </c>
      <c r="Q91" s="133" t="n">
        <f aca="false">O91+P91/N91</f>
        <v>5783.04015017733</v>
      </c>
      <c r="R91" s="134" t="n">
        <f aca="false">P91+O91*N91</f>
        <v>17510.8400353278</v>
      </c>
      <c r="S91" s="105"/>
      <c r="T91" s="129" t="n">
        <f aca="false">$Q$48*N91</f>
        <v>6055.92891648552</v>
      </c>
      <c r="U91" s="129" t="n">
        <f aca="false">$P$48*2</f>
        <v>50632.9454938167</v>
      </c>
      <c r="V91" s="129" t="n">
        <f aca="false">$O$48*N91+$P$48</f>
        <v>28344.4372051511</v>
      </c>
      <c r="W91" s="45" t="n">
        <f aca="false">T91/$R91-1</f>
        <v>-0.654161142225742</v>
      </c>
      <c r="X91" s="45" t="n">
        <f aca="false">U91/$R91-1</f>
        <v>1.89152007508867</v>
      </c>
      <c r="Y91" s="45" t="n">
        <f aca="false">V91/$R91-1</f>
        <v>0.618679466431461</v>
      </c>
      <c r="Z91" s="85"/>
      <c r="AA91" s="104"/>
      <c r="AB91" s="104"/>
      <c r="AC91" s="104"/>
    </row>
    <row r="92" customFormat="false" ht="15" hidden="false" customHeight="false" outlineLevel="0" collapsed="false">
      <c r="F92" s="99" t="n">
        <f aca="false">H92/G92</f>
        <v>2.88206016251541</v>
      </c>
      <c r="G92" s="52" t="n">
        <f aca="false">G91*(1+$O$1)</f>
        <v>46018.1933377141</v>
      </c>
      <c r="H92" s="15" t="n">
        <f aca="false">I92/G92</f>
        <v>132627.201769558</v>
      </c>
      <c r="I92" s="0" t="n">
        <f aca="false">I91</f>
        <v>6103264212.87154</v>
      </c>
      <c r="J92" s="85"/>
      <c r="K92" s="85"/>
      <c r="L92" s="85"/>
      <c r="M92" s="85"/>
      <c r="N92" s="132" t="n">
        <f aca="false">F92</f>
        <v>2.88206016251541</v>
      </c>
      <c r="O92" s="82" t="n">
        <f aca="false">$O$48/$G$48*G92</f>
        <v>2963.80807696588</v>
      </c>
      <c r="P92" s="82" t="n">
        <f aca="false">O92*F92</f>
        <v>8541.87318796479</v>
      </c>
      <c r="Q92" s="133" t="n">
        <f aca="false">O92+P92/N92</f>
        <v>5927.61615393176</v>
      </c>
      <c r="R92" s="134" t="n">
        <f aca="false">P92+O92*N92</f>
        <v>17083.7463759296</v>
      </c>
      <c r="S92" s="105"/>
      <c r="T92" s="129" t="n">
        <f aca="false">$Q$48*N92</f>
        <v>5764.12032503083</v>
      </c>
      <c r="U92" s="129" t="n">
        <f aca="false">$P$48*2</f>
        <v>50632.9454938167</v>
      </c>
      <c r="V92" s="129" t="n">
        <f aca="false">$O$48*N92+$P$48</f>
        <v>28198.5329094238</v>
      </c>
      <c r="W92" s="45" t="n">
        <f aca="false">T92/$R92-1</f>
        <v>-0.662596236317797</v>
      </c>
      <c r="X92" s="45" t="n">
        <f aca="false">U92/$R92-1</f>
        <v>1.96380807696588</v>
      </c>
      <c r="Y92" s="45" t="n">
        <f aca="false">V92/$R92-1</f>
        <v>0.650605920324042</v>
      </c>
      <c r="Z92" s="85"/>
      <c r="AA92" s="104"/>
      <c r="AB92" s="104"/>
      <c r="AC92" s="104"/>
    </row>
    <row r="93" customFormat="false" ht="15" hidden="false" customHeight="false" outlineLevel="0" collapsed="false">
      <c r="F93" s="99" t="n">
        <f aca="false">H93/G93</f>
        <v>2.74318635337577</v>
      </c>
      <c r="G93" s="52" t="n">
        <f aca="false">G92*(1+$O$1)</f>
        <v>47168.6481711569</v>
      </c>
      <c r="H93" s="15" t="n">
        <f aca="false">I93/G93</f>
        <v>129392.391970301</v>
      </c>
      <c r="I93" s="0" t="n">
        <f aca="false">I92</f>
        <v>6103264212.87154</v>
      </c>
      <c r="J93" s="85"/>
      <c r="K93" s="85"/>
      <c r="L93" s="85"/>
      <c r="M93" s="85"/>
      <c r="N93" s="132" t="n">
        <f aca="false">F93</f>
        <v>2.74318635337577</v>
      </c>
      <c r="O93" s="82" t="n">
        <f aca="false">$O$48/$G$48*G93</f>
        <v>3037.90327889003</v>
      </c>
      <c r="P93" s="82" t="n">
        <f aca="false">O93*F93</f>
        <v>8333.53481752663</v>
      </c>
      <c r="Q93" s="133" t="n">
        <f aca="false">O93+P93/N93</f>
        <v>6075.80655778006</v>
      </c>
      <c r="R93" s="134" t="n">
        <f aca="false">P93+O93*N93</f>
        <v>16667.0696350533</v>
      </c>
      <c r="S93" s="105"/>
      <c r="T93" s="129" t="n">
        <f aca="false">$Q$48*N93</f>
        <v>5486.37270675154</v>
      </c>
      <c r="U93" s="129" t="n">
        <f aca="false">$P$48*2</f>
        <v>50632.9454938167</v>
      </c>
      <c r="V93" s="129" t="n">
        <f aca="false">$O$48*N93+$P$48</f>
        <v>28059.6591002841</v>
      </c>
      <c r="W93" s="45" t="n">
        <f aca="false">T93/$R93-1</f>
        <v>-0.670825596407607</v>
      </c>
      <c r="X93" s="45" t="n">
        <f aca="false">U93/$R93-1</f>
        <v>2.03790327889003</v>
      </c>
      <c r="Y93" s="45" t="n">
        <f aca="false">V93/$R93-1</f>
        <v>0.683538841241211</v>
      </c>
      <c r="Z93" s="85"/>
      <c r="AA93" s="104"/>
      <c r="AB93" s="104"/>
      <c r="AC93" s="104"/>
    </row>
    <row r="94" customFormat="false" ht="15" hidden="false" customHeight="false" outlineLevel="0" collapsed="false">
      <c r="F94" s="99" t="n">
        <f aca="false">H94/G94</f>
        <v>2.61100426258253</v>
      </c>
      <c r="G94" s="52" t="n">
        <f aca="false">G93*(1+$O$1)</f>
        <v>48347.8643754359</v>
      </c>
      <c r="H94" s="15" t="n">
        <f aca="false">I94/G94</f>
        <v>126236.479971025</v>
      </c>
      <c r="I94" s="0" t="n">
        <f aca="false">I93</f>
        <v>6103264212.87154</v>
      </c>
      <c r="J94" s="85"/>
      <c r="K94" s="85"/>
      <c r="L94" s="85"/>
      <c r="M94" s="85"/>
      <c r="N94" s="132" t="n">
        <f aca="false">F94</f>
        <v>2.61100426258253</v>
      </c>
      <c r="O94" s="82" t="n">
        <f aca="false">$O$48/$G$48*G94</f>
        <v>3113.85086086228</v>
      </c>
      <c r="P94" s="82" t="n">
        <f aca="false">O94*F94</f>
        <v>8130.27787075769</v>
      </c>
      <c r="Q94" s="133" t="n">
        <f aca="false">O94+P94/N94</f>
        <v>6227.70172172456</v>
      </c>
      <c r="R94" s="134" t="n">
        <f aca="false">P94+O94*N94</f>
        <v>16260.5557415154</v>
      </c>
      <c r="S94" s="105"/>
      <c r="T94" s="129" t="n">
        <f aca="false">$Q$48*N94</f>
        <v>5222.00852516506</v>
      </c>
      <c r="U94" s="129" t="n">
        <f aca="false">$P$48*2</f>
        <v>50632.9454938167</v>
      </c>
      <c r="V94" s="129" t="n">
        <f aca="false">$O$48*N94+$P$48</f>
        <v>27927.4770094909</v>
      </c>
      <c r="W94" s="45" t="n">
        <f aca="false">T94/$R94-1</f>
        <v>-0.678854240397665</v>
      </c>
      <c r="X94" s="45" t="n">
        <f aca="false">U94/$R94-1</f>
        <v>2.11385086086228</v>
      </c>
      <c r="Y94" s="45" t="n">
        <f aca="false">V94/$R94-1</f>
        <v>0.717498310232307</v>
      </c>
      <c r="Z94" s="85"/>
      <c r="AA94" s="104"/>
      <c r="AB94" s="104"/>
      <c r="AC94" s="104"/>
    </row>
    <row r="95" customFormat="false" ht="15" hidden="false" customHeight="false" outlineLevel="0" collapsed="false">
      <c r="F95" s="99" t="n">
        <f aca="false">H95/G95</f>
        <v>2.48519144564667</v>
      </c>
      <c r="G95" s="52" t="n">
        <f aca="false">G94*(1+$O$1)</f>
        <v>49556.5609848218</v>
      </c>
      <c r="H95" s="15" t="n">
        <f aca="false">I95/G95</f>
        <v>123157.541435146</v>
      </c>
      <c r="I95" s="0" t="n">
        <f aca="false">I94</f>
        <v>6103264212.87154</v>
      </c>
      <c r="J95" s="85"/>
      <c r="K95" s="85"/>
      <c r="L95" s="85"/>
      <c r="M95" s="85"/>
      <c r="N95" s="132" t="n">
        <f aca="false">F95</f>
        <v>2.48519144564667</v>
      </c>
      <c r="O95" s="82" t="n">
        <f aca="false">$O$48/$G$48*G95</f>
        <v>3191.69713238384</v>
      </c>
      <c r="P95" s="82" t="n">
        <f aca="false">O95*F95</f>
        <v>7931.9784104953</v>
      </c>
      <c r="Q95" s="133" t="n">
        <f aca="false">O95+P95/N95</f>
        <v>6383.39426476767</v>
      </c>
      <c r="R95" s="134" t="n">
        <f aca="false">P95+O95*N95</f>
        <v>15863.9568209906</v>
      </c>
      <c r="S95" s="105"/>
      <c r="T95" s="129" t="n">
        <f aca="false">$Q$48*N95</f>
        <v>4970.38289129333</v>
      </c>
      <c r="U95" s="129" t="n">
        <f aca="false">$P$48*2</f>
        <v>50632.9454938167</v>
      </c>
      <c r="V95" s="129" t="n">
        <f aca="false">$O$48*N95+$P$48</f>
        <v>27801.664192555</v>
      </c>
      <c r="W95" s="45" t="n">
        <f aca="false">T95/$R95-1</f>
        <v>-0.6866870638026</v>
      </c>
      <c r="X95" s="45" t="n">
        <f aca="false">U95/$R95-1</f>
        <v>2.19169713238384</v>
      </c>
      <c r="Y95" s="45" t="n">
        <f aca="false">V95/$R95-1</f>
        <v>0.752505034290618</v>
      </c>
      <c r="Z95" s="85"/>
      <c r="AA95" s="104"/>
      <c r="AB95" s="104"/>
      <c r="AC95" s="104"/>
    </row>
    <row r="96" customFormat="false" ht="15" hidden="false" customHeight="false" outlineLevel="0" collapsed="false">
      <c r="F96" s="99" t="n">
        <f aca="false">H96/G96</f>
        <v>2.36544099526155</v>
      </c>
      <c r="G96" s="52" t="n">
        <f aca="false">G95*(1+$O$1)</f>
        <v>50795.4750094423</v>
      </c>
      <c r="H96" s="15" t="n">
        <f aca="false">I96/G96</f>
        <v>120153.698961118</v>
      </c>
      <c r="I96" s="0" t="n">
        <f aca="false">I95</f>
        <v>6103264212.87154</v>
      </c>
      <c r="J96" s="85"/>
      <c r="K96" s="85"/>
      <c r="L96" s="85"/>
      <c r="M96" s="85"/>
      <c r="N96" s="132" t="n">
        <f aca="false">F96</f>
        <v>2.36544099526155</v>
      </c>
      <c r="O96" s="82" t="n">
        <f aca="false">$O$48/$G$48*G96</f>
        <v>3271.48956069343</v>
      </c>
      <c r="P96" s="82" t="n">
        <f aca="false">O96*F96</f>
        <v>7738.51552243444</v>
      </c>
      <c r="Q96" s="133" t="n">
        <f aca="false">O96+P96/N96</f>
        <v>6542.97912138687</v>
      </c>
      <c r="R96" s="134" t="n">
        <f aca="false">P96+O96*N96</f>
        <v>15477.0310448689</v>
      </c>
      <c r="S96" s="105"/>
      <c r="T96" s="129" t="n">
        <f aca="false">$Q$48*N96</f>
        <v>4730.8819905231</v>
      </c>
      <c r="U96" s="129" t="n">
        <f aca="false">$P$48*2</f>
        <v>50632.9454938167</v>
      </c>
      <c r="V96" s="129" t="n">
        <f aca="false">$O$48*N96+$P$48</f>
        <v>27681.9137421699</v>
      </c>
      <c r="W96" s="45" t="n">
        <f aca="false">T96/$R96-1</f>
        <v>-0.694328842734244</v>
      </c>
      <c r="X96" s="45" t="n">
        <f aca="false">U96/$R96-1</f>
        <v>2.27148956069343</v>
      </c>
      <c r="Y96" s="45" t="n">
        <f aca="false">V96/$R96-1</f>
        <v>0.788580358979593</v>
      </c>
      <c r="Z96" s="85"/>
      <c r="AA96" s="104"/>
      <c r="AB96" s="104"/>
      <c r="AC96" s="104"/>
    </row>
    <row r="97" customFormat="false" ht="15" hidden="false" customHeight="false" outlineLevel="0" collapsed="false">
      <c r="F97" s="99" t="n">
        <f aca="false">H97/G97</f>
        <v>2.25146079263443</v>
      </c>
      <c r="G97" s="52" t="n">
        <f aca="false">G96*(1+$O$1)</f>
        <v>52065.3618846784</v>
      </c>
      <c r="H97" s="15" t="n">
        <f aca="false">I97/G97</f>
        <v>117223.120937676</v>
      </c>
      <c r="I97" s="0" t="n">
        <f aca="false">I96</f>
        <v>6103264212.87154</v>
      </c>
      <c r="J97" s="85"/>
      <c r="K97" s="85"/>
      <c r="L97" s="85"/>
      <c r="M97" s="85"/>
      <c r="N97" s="132" t="n">
        <f aca="false">F97</f>
        <v>2.25146079263443</v>
      </c>
      <c r="O97" s="82" t="n">
        <f aca="false">$O$48/$G$48*G97</f>
        <v>3353.27679971077</v>
      </c>
      <c r="P97" s="82" t="n">
        <f aca="false">O97*F97</f>
        <v>7549.77124139946</v>
      </c>
      <c r="Q97" s="133" t="n">
        <f aca="false">O97+P97/N97</f>
        <v>6706.55359942154</v>
      </c>
      <c r="R97" s="134" t="n">
        <f aca="false">P97+O97*N97</f>
        <v>15099.5424827989</v>
      </c>
      <c r="S97" s="105"/>
      <c r="T97" s="129" t="n">
        <f aca="false">$Q$48*N97</f>
        <v>4502.92158526886</v>
      </c>
      <c r="U97" s="129" t="n">
        <f aca="false">$P$48*2</f>
        <v>50632.9454938167</v>
      </c>
      <c r="V97" s="129" t="n">
        <f aca="false">$O$48*N97+$P$48</f>
        <v>27567.9335395428</v>
      </c>
      <c r="W97" s="45" t="n">
        <f aca="false">T97/$R97-1</f>
        <v>-0.701784236813897</v>
      </c>
      <c r="X97" s="45" t="n">
        <f aca="false">U97/$R97-1</f>
        <v>2.35327679971077</v>
      </c>
      <c r="Y97" s="45" t="n">
        <f aca="false">V97/$R97-1</f>
        <v>0.825746281448435</v>
      </c>
      <c r="Z97" s="85"/>
      <c r="AA97" s="104"/>
      <c r="AB97" s="104"/>
      <c r="AC97" s="104"/>
    </row>
    <row r="98" customFormat="false" ht="15" hidden="false" customHeight="false" outlineLevel="0" collapsed="false">
      <c r="F98" s="99" t="n">
        <f aca="false">H98/G98</f>
        <v>2.14297279489298</v>
      </c>
      <c r="G98" s="52" t="n">
        <f aca="false">G97*(1+$O$1)</f>
        <v>53366.9959317953</v>
      </c>
      <c r="H98" s="15" t="n">
        <f aca="false">I98/G98</f>
        <v>114364.020427001</v>
      </c>
      <c r="I98" s="0" t="n">
        <f aca="false">I97</f>
        <v>6103264212.87154</v>
      </c>
      <c r="J98" s="85"/>
      <c r="K98" s="85"/>
      <c r="L98" s="85"/>
      <c r="M98" s="85"/>
      <c r="N98" s="132" t="n">
        <f aca="false">F98</f>
        <v>2.14297279489298</v>
      </c>
      <c r="O98" s="82" t="n">
        <f aca="false">$O$48/$G$48*G98</f>
        <v>3437.10871970354</v>
      </c>
      <c r="P98" s="82" t="n">
        <f aca="false">O98*F98</f>
        <v>7365.6304794141</v>
      </c>
      <c r="Q98" s="133" t="n">
        <f aca="false">O98+P98/N98</f>
        <v>6874.21743940707</v>
      </c>
      <c r="R98" s="134" t="n">
        <f aca="false">P98+O98*N98</f>
        <v>14731.2609588282</v>
      </c>
      <c r="S98" s="105"/>
      <c r="T98" s="129" t="n">
        <f aca="false">$Q$48*N98</f>
        <v>4285.94558978595</v>
      </c>
      <c r="U98" s="129" t="n">
        <f aca="false">$P$48*2</f>
        <v>50632.9454938167</v>
      </c>
      <c r="V98" s="129" t="n">
        <f aca="false">$O$48*N98+$P$48</f>
        <v>27459.4455418013</v>
      </c>
      <c r="W98" s="45" t="n">
        <f aca="false">T98/$R98-1</f>
        <v>-0.709057792013558</v>
      </c>
      <c r="X98" s="45" t="n">
        <f aca="false">U98/$R98-1</f>
        <v>2.43710871970354</v>
      </c>
      <c r="Y98" s="45" t="n">
        <f aca="false">V98/$R98-1</f>
        <v>0.864025463844989</v>
      </c>
      <c r="Z98" s="85"/>
      <c r="AA98" s="104"/>
      <c r="AB98" s="104"/>
      <c r="AC98" s="104"/>
    </row>
    <row r="99" customFormat="false" ht="15" hidden="false" customHeight="false" outlineLevel="0" collapsed="false">
      <c r="F99" s="99" t="n">
        <f aca="false">H99/G99</f>
        <v>2.03971235682853</v>
      </c>
      <c r="G99" s="52" t="n">
        <f aca="false">G98*(1+$O$1)</f>
        <v>54701.1708300902</v>
      </c>
      <c r="H99" s="15" t="n">
        <f aca="false">I99/G99</f>
        <v>111574.654075123</v>
      </c>
      <c r="I99" s="0" t="n">
        <f aca="false">I98</f>
        <v>6103264212.87154</v>
      </c>
      <c r="J99" s="85"/>
      <c r="K99" s="85"/>
      <c r="L99" s="85"/>
      <c r="M99" s="85"/>
      <c r="N99" s="132" t="n">
        <f aca="false">F99</f>
        <v>2.03971235682853</v>
      </c>
      <c r="O99" s="82" t="n">
        <f aca="false">$O$48/$G$48*G99</f>
        <v>3523.03643769612</v>
      </c>
      <c r="P99" s="82" t="n">
        <f aca="false">O99*F99</f>
        <v>7185.98095552596</v>
      </c>
      <c r="Q99" s="133" t="n">
        <f aca="false">O99+P99/N99</f>
        <v>7046.07287539225</v>
      </c>
      <c r="R99" s="134" t="n">
        <f aca="false">P99+O99*N99</f>
        <v>14371.9619110519</v>
      </c>
      <c r="S99" s="105"/>
      <c r="T99" s="129" t="n">
        <f aca="false">$Q$48*N99</f>
        <v>4079.42471365706</v>
      </c>
      <c r="U99" s="129" t="n">
        <f aca="false">$P$48*2</f>
        <v>50632.9454938167</v>
      </c>
      <c r="V99" s="129" t="n">
        <f aca="false">$O$48*N99+$P$48</f>
        <v>27356.1851037369</v>
      </c>
      <c r="W99" s="45" t="n">
        <f aca="false">T99/$R99-1</f>
        <v>-0.716153943427861</v>
      </c>
      <c r="X99" s="45" t="n">
        <f aca="false">U99/$R99-1</f>
        <v>2.52303643769612</v>
      </c>
      <c r="Y99" s="45" t="n">
        <f aca="false">V99/$R99-1</f>
        <v>0.903441247134131</v>
      </c>
      <c r="Z99" s="85"/>
      <c r="AA99" s="104"/>
      <c r="AB99" s="104"/>
      <c r="AC99" s="104"/>
    </row>
    <row r="100" customFormat="false" ht="15" hidden="false" customHeight="false" outlineLevel="0" collapsed="false">
      <c r="F100" s="99" t="n">
        <f aca="false">H100/G100</f>
        <v>1.94142758532162</v>
      </c>
      <c r="G100" s="52" t="n">
        <f aca="false">G99*(1+$O$1)</f>
        <v>56068.7001008424</v>
      </c>
      <c r="H100" s="15" t="n">
        <f aca="false">I100/G100</f>
        <v>108853.321048901</v>
      </c>
      <c r="I100" s="0" t="n">
        <f aca="false">I99</f>
        <v>6103264212.87154</v>
      </c>
      <c r="J100" s="85"/>
      <c r="K100" s="85"/>
      <c r="L100" s="85"/>
      <c r="M100" s="85"/>
      <c r="N100" s="132" t="n">
        <f aca="false">F100</f>
        <v>1.94142758532162</v>
      </c>
      <c r="O100" s="82" t="n">
        <f aca="false">$O$48/$G$48*G100</f>
        <v>3611.11234863853</v>
      </c>
      <c r="P100" s="82" t="n">
        <f aca="false">O100*F100</f>
        <v>7010.7131273424</v>
      </c>
      <c r="Q100" s="133" t="n">
        <f aca="false">O100+P100/N100</f>
        <v>7222.22469727706</v>
      </c>
      <c r="R100" s="134" t="n">
        <f aca="false">P100+O100*N100</f>
        <v>14021.4262546848</v>
      </c>
      <c r="S100" s="105"/>
      <c r="T100" s="129" t="n">
        <f aca="false">$Q$48*N100</f>
        <v>3882.85517064325</v>
      </c>
      <c r="U100" s="129" t="n">
        <f aca="false">$P$48*2</f>
        <v>50632.9454938167</v>
      </c>
      <c r="V100" s="129" t="n">
        <f aca="false">$O$48*N100+$P$48</f>
        <v>27257.90033223</v>
      </c>
      <c r="W100" s="45" t="n">
        <f aca="false">T100/$R100-1</f>
        <v>-0.723077017978401</v>
      </c>
      <c r="X100" s="45" t="n">
        <f aca="false">U100/$R100-1</f>
        <v>2.61111234863853</v>
      </c>
      <c r="Y100" s="45" t="n">
        <f aca="false">V100/$R100-1</f>
        <v>0.944017665330062</v>
      </c>
      <c r="Z100" s="85"/>
      <c r="AA100" s="104"/>
      <c r="AB100" s="104"/>
      <c r="AC100" s="104"/>
    </row>
    <row r="101" customFormat="false" ht="15" hidden="false" customHeight="false" outlineLevel="0" collapsed="false">
      <c r="F101" s="99" t="n">
        <f aca="false">H101/G101</f>
        <v>1.84787872487484</v>
      </c>
      <c r="G101" s="52" t="n">
        <f aca="false">G100*(1+$O$1)</f>
        <v>57470.4176033635</v>
      </c>
      <c r="H101" s="15" t="n">
        <f aca="false">I101/G101</f>
        <v>106198.361998928</v>
      </c>
      <c r="I101" s="0" t="n">
        <f aca="false">I100</f>
        <v>6103264212.87154</v>
      </c>
      <c r="J101" s="85"/>
      <c r="K101" s="85"/>
      <c r="L101" s="85"/>
      <c r="M101" s="85"/>
      <c r="N101" s="85"/>
      <c r="O101" s="85"/>
      <c r="P101" s="85"/>
      <c r="Q101" s="85"/>
      <c r="R101" s="85"/>
      <c r="S101" s="85"/>
      <c r="Y101" s="122"/>
      <c r="AA101" s="104"/>
      <c r="AB101" s="104"/>
      <c r="AC101" s="104"/>
    </row>
    <row r="102" customFormat="false" ht="15" hidden="false" customHeight="false" outlineLevel="0" collapsed="false">
      <c r="F102" s="99" t="n">
        <f aca="false">H102/G102</f>
        <v>1.75883757275416</v>
      </c>
      <c r="G102" s="52" t="n">
        <f aca="false">G101*(1+$O$1)</f>
        <v>58907.1780434476</v>
      </c>
      <c r="H102" s="15" t="n">
        <f aca="false">I102/G102</f>
        <v>103608.158047734</v>
      </c>
      <c r="I102" s="0" t="n">
        <f aca="false">I101</f>
        <v>6103264212.87154</v>
      </c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Y102" s="122"/>
      <c r="AA102" s="104"/>
      <c r="AB102" s="104"/>
      <c r="AC102" s="104"/>
    </row>
    <row r="103" customFormat="false" ht="15" hidden="false" customHeight="false" outlineLevel="0" collapsed="false">
      <c r="F103" s="99" t="n">
        <f aca="false">H103/G103</f>
        <v>1.67408692231211</v>
      </c>
      <c r="G103" s="52" t="n">
        <f aca="false">G102*(1+$O$1)</f>
        <v>60379.8574945338</v>
      </c>
      <c r="H103" s="15" t="n">
        <f aca="false">I103/G103</f>
        <v>101081.129802668</v>
      </c>
      <c r="I103" s="0" t="n">
        <f aca="false">I102</f>
        <v>6103264212.87154</v>
      </c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Y103" s="122"/>
      <c r="AA103" s="104"/>
      <c r="AB103" s="104"/>
      <c r="AC103" s="104"/>
    </row>
    <row r="104" customFormat="false" ht="15" hidden="false" customHeight="false" outlineLevel="0" collapsed="false">
      <c r="F104" s="99" t="n">
        <f aca="false">H104/G104</f>
        <v>1.59342003313467</v>
      </c>
      <c r="G104" s="52" t="n">
        <f aca="false">G103*(1+$O$1)</f>
        <v>61889.3539318971</v>
      </c>
      <c r="H104" s="15" t="n">
        <f aca="false">I104/G104</f>
        <v>98615.7363928465</v>
      </c>
      <c r="I104" s="0" t="n">
        <f aca="false">I103</f>
        <v>6103264212.87154</v>
      </c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Y104" s="122"/>
      <c r="AA104" s="104"/>
      <c r="AB104" s="104"/>
      <c r="AC104" s="104"/>
    </row>
    <row r="105" customFormat="false" ht="15" hidden="false" customHeight="false" outlineLevel="0" collapsed="false">
      <c r="F105" s="99" t="n">
        <f aca="false">H105/G105</f>
        <v>1.51664012671949</v>
      </c>
      <c r="G105" s="52" t="n">
        <f aca="false">G104*(1+$O$1)</f>
        <v>63436.5877801945</v>
      </c>
      <c r="H105" s="15" t="n">
        <f aca="false">I105/G105</f>
        <v>96210.4745296063</v>
      </c>
      <c r="I105" s="0" t="n">
        <f aca="false">I104</f>
        <v>6103264212.87154</v>
      </c>
      <c r="J105" s="85"/>
      <c r="K105" s="85"/>
      <c r="L105" s="85"/>
      <c r="M105" s="85"/>
      <c r="N105" s="85"/>
      <c r="O105" s="85"/>
      <c r="P105" s="85"/>
      <c r="Q105" s="85"/>
      <c r="R105" s="85"/>
      <c r="S105" s="85"/>
      <c r="Y105" s="122"/>
      <c r="AA105" s="104"/>
      <c r="AB105" s="104"/>
      <c r="AC105" s="104"/>
    </row>
    <row r="106" customFormat="false" ht="15" hidden="false" customHeight="false" outlineLevel="0" collapsed="false">
      <c r="F106" s="99" t="n">
        <f aca="false">H106/G106</f>
        <v>1.4435599064552</v>
      </c>
      <c r="G106" s="52" t="n">
        <f aca="false">G105*(1+$O$1)</f>
        <v>65022.5024746994</v>
      </c>
      <c r="H106" s="15" t="n">
        <f aca="false">I106/G106</f>
        <v>93863.8775898599</v>
      </c>
      <c r="I106" s="0" t="n">
        <f aca="false">I105</f>
        <v>6103264212.87154</v>
      </c>
      <c r="J106" s="85"/>
      <c r="K106" s="85"/>
      <c r="L106" s="85"/>
      <c r="M106" s="85"/>
      <c r="N106" s="85"/>
      <c r="O106" s="85"/>
      <c r="P106" s="85"/>
      <c r="Q106" s="85"/>
      <c r="R106" s="85"/>
      <c r="S106" s="85"/>
      <c r="Y106" s="122"/>
      <c r="AA106" s="104"/>
      <c r="AB106" s="104"/>
      <c r="AC106" s="104"/>
    </row>
    <row r="107" customFormat="false" ht="15" hidden="false" customHeight="false" outlineLevel="0" collapsed="false">
      <c r="F107" s="99" t="n">
        <f aca="false">H107/G107</f>
        <v>1.37400110073071</v>
      </c>
      <c r="G107" s="52" t="n">
        <f aca="false">G106*(1+$O$1)</f>
        <v>66648.0650365669</v>
      </c>
      <c r="H107" s="15" t="n">
        <f aca="false">I107/G107</f>
        <v>91574.5147218145</v>
      </c>
      <c r="I107" s="0" t="n">
        <f aca="false">I106</f>
        <v>6103264212.87154</v>
      </c>
      <c r="J107" s="85"/>
      <c r="K107" s="85"/>
      <c r="L107" s="85"/>
      <c r="M107" s="85"/>
      <c r="N107" s="85"/>
      <c r="O107" s="85"/>
      <c r="P107" s="85"/>
      <c r="Q107" s="85"/>
      <c r="R107" s="85"/>
      <c r="S107" s="85"/>
      <c r="Y107" s="122"/>
      <c r="AA107" s="104"/>
      <c r="AB107" s="104"/>
      <c r="AC107" s="104"/>
    </row>
    <row r="108" customFormat="false" ht="15" hidden="false" customHeight="false" outlineLevel="0" collapsed="false">
      <c r="F108" s="99" t="n">
        <f aca="false">H108/G108</f>
        <v>1.30779402806016</v>
      </c>
      <c r="G108" s="52" t="n">
        <f aca="false">G107*(1+$O$1)</f>
        <v>68314.266662481</v>
      </c>
      <c r="H108" s="15" t="n">
        <f aca="false">I108/G108</f>
        <v>89340.9899725019</v>
      </c>
      <c r="I108" s="0" t="n">
        <f aca="false">I107</f>
        <v>6103264212.87154</v>
      </c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Y108" s="122"/>
      <c r="AA108" s="104"/>
      <c r="AB108" s="104"/>
      <c r="AC108" s="104"/>
    </row>
    <row r="109" customFormat="false" ht="15" hidden="false" customHeight="false" outlineLevel="0" collapsed="false">
      <c r="F109" s="99" t="n">
        <f aca="false">H109/G109</f>
        <v>1.24477718316256</v>
      </c>
      <c r="G109" s="52" t="n">
        <f aca="false">G108*(1+$O$1)</f>
        <v>70022.123329043</v>
      </c>
      <c r="H109" s="15" t="n">
        <f aca="false">I109/G109</f>
        <v>87161.9414365873</v>
      </c>
      <c r="I109" s="0" t="n">
        <f aca="false">I108</f>
        <v>6103264212.87154</v>
      </c>
      <c r="J109" s="85"/>
      <c r="K109" s="85"/>
      <c r="L109" s="85"/>
      <c r="M109" s="85"/>
      <c r="N109" s="85"/>
      <c r="O109" s="85"/>
      <c r="P109" s="85"/>
      <c r="Q109" s="85"/>
      <c r="R109" s="85"/>
      <c r="S109" s="85"/>
      <c r="Y109" s="122"/>
      <c r="AA109" s="104"/>
      <c r="AB109" s="104"/>
      <c r="AC109" s="104"/>
    </row>
    <row r="110" customFormat="false" ht="15" hidden="false" customHeight="false" outlineLevel="0" collapsed="false">
      <c r="F110" s="99" t="n">
        <f aca="false">H110/G110</f>
        <v>1.18479684298637</v>
      </c>
      <c r="G110" s="52" t="n">
        <f aca="false">G109*(1+$O$1)</f>
        <v>71772.6764122691</v>
      </c>
      <c r="H110" s="15" t="n">
        <f aca="false">I110/G110</f>
        <v>85036.0404259388</v>
      </c>
      <c r="I110" s="0" t="n">
        <f aca="false">I109</f>
        <v>6103264212.87154</v>
      </c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Y110" s="122"/>
      <c r="AA110" s="104"/>
      <c r="AB110" s="104"/>
      <c r="AC110" s="104"/>
    </row>
    <row r="111" customFormat="false" ht="15" hidden="false" customHeight="false" outlineLevel="0" collapsed="false">
      <c r="F111" s="99" t="n">
        <f aca="false">H111/G111</f>
        <v>1.12770669171814</v>
      </c>
      <c r="G111" s="52" t="n">
        <f aca="false">G110*(1+$O$1)</f>
        <v>73566.9933225758</v>
      </c>
      <c r="H111" s="15" t="n">
        <f aca="false">I111/G111</f>
        <v>82961.9906594525</v>
      </c>
      <c r="I111" s="0" t="n">
        <f aca="false">I110</f>
        <v>6103264212.87154</v>
      </c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Y111" s="122"/>
      <c r="AA111" s="104"/>
      <c r="AB111" s="104"/>
      <c r="AC111" s="104"/>
    </row>
    <row r="112" customFormat="false" ht="15" hidden="false" customHeight="false" outlineLevel="0" collapsed="false">
      <c r="F112" s="99" t="n">
        <f aca="false">H112/G112</f>
        <v>1.07336746386022</v>
      </c>
      <c r="G112" s="52" t="n">
        <f aca="false">G111*(1+$O$1)</f>
        <v>75406.1681556402</v>
      </c>
      <c r="H112" s="15" t="n">
        <f aca="false">I112/G112</f>
        <v>80938.5274726366</v>
      </c>
      <c r="I112" s="0" t="n">
        <f aca="false">I111</f>
        <v>6103264212.87154</v>
      </c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Y112" s="122"/>
      <c r="AA112" s="104"/>
      <c r="AB112" s="104"/>
      <c r="AC112" s="104"/>
    </row>
    <row r="113" customFormat="false" ht="15" hidden="false" customHeight="false" outlineLevel="0" collapsed="false">
      <c r="F113" s="99" t="n">
        <f aca="false">H113/G113</f>
        <v>1.02164660450705</v>
      </c>
      <c r="G113" s="52" t="n">
        <f aca="false">G112*(1+$O$1)</f>
        <v>77291.3223595312</v>
      </c>
      <c r="H113" s="15" t="n">
        <f aca="false">I113/G113</f>
        <v>78964.4170464747</v>
      </c>
      <c r="I113" s="0" t="n">
        <f aca="false">I112</f>
        <v>6103264212.87154</v>
      </c>
      <c r="J113" s="85"/>
      <c r="K113" s="85"/>
      <c r="L113" s="85"/>
      <c r="M113" s="85"/>
      <c r="N113" s="85"/>
      <c r="O113" s="85"/>
      <c r="P113" s="85"/>
      <c r="Q113" s="85"/>
      <c r="R113" s="85"/>
      <c r="S113" s="85"/>
      <c r="Y113" s="122"/>
      <c r="AA113" s="104"/>
      <c r="AB113" s="104"/>
      <c r="AC113" s="104"/>
    </row>
    <row r="114" customFormat="false" ht="15" hidden="false" customHeight="false" outlineLevel="0" collapsed="false">
      <c r="F114" s="99" t="n">
        <f aca="false">H114/G114</f>
        <v>0.972417945991241</v>
      </c>
      <c r="G114" s="52" t="n">
        <f aca="false">G113*(1+$O$1)</f>
        <v>79223.6054185195</v>
      </c>
      <c r="H114" s="15" t="n">
        <f aca="false">I114/G114</f>
        <v>77038.4556550973</v>
      </c>
      <c r="I114" s="0" t="n">
        <f aca="false">I113</f>
        <v>6103264212.87154</v>
      </c>
      <c r="J114" s="85"/>
      <c r="K114" s="85"/>
      <c r="L114" s="85"/>
      <c r="M114" s="85"/>
      <c r="N114" s="85"/>
      <c r="O114" s="85"/>
      <c r="P114" s="85"/>
      <c r="Q114" s="85"/>
      <c r="R114" s="85"/>
      <c r="S114" s="85"/>
      <c r="Y114" s="122"/>
      <c r="AA114" s="104"/>
      <c r="AB114" s="104"/>
      <c r="AC114" s="104"/>
    </row>
    <row r="115" customFormat="false" ht="15" hidden="false" customHeight="false" outlineLevel="0" collapsed="false">
      <c r="F115" s="99" t="n">
        <f aca="false">H115/G115</f>
        <v>0.92556140011064</v>
      </c>
      <c r="G115" s="52" t="n">
        <f aca="false">G114*(1+$O$1)</f>
        <v>81204.1955539825</v>
      </c>
      <c r="H115" s="15" t="n">
        <f aca="false">I115/G115</f>
        <v>75159.4689318023</v>
      </c>
      <c r="I115" s="0" t="n">
        <f aca="false">I114</f>
        <v>6103264212.87154</v>
      </c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Y115" s="122"/>
      <c r="AA115" s="104"/>
      <c r="AB115" s="104"/>
      <c r="AC115" s="104"/>
    </row>
    <row r="116" customFormat="false" ht="15" hidden="false" customHeight="false" outlineLevel="0" collapsed="false">
      <c r="F116" s="99" t="n">
        <f aca="false">H116/G116</f>
        <v>0.880962665185619</v>
      </c>
      <c r="G116" s="52" t="n">
        <f aca="false">G115*(1+$O$1)</f>
        <v>83234.300442832</v>
      </c>
      <c r="H116" s="15" t="n">
        <f aca="false">I116/G116</f>
        <v>73326.3111529778</v>
      </c>
      <c r="I116" s="0" t="n">
        <f aca="false">I115</f>
        <v>6103264212.87154</v>
      </c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Y116" s="122"/>
      <c r="AA116" s="104"/>
      <c r="AB116" s="104"/>
      <c r="AC116" s="104"/>
    </row>
    <row r="117" customFormat="false" ht="15" hidden="false" customHeight="false" outlineLevel="0" collapsed="false">
      <c r="F117" s="99" t="n">
        <f aca="false">H117/G117</f>
        <v>0.838512947231999</v>
      </c>
      <c r="G117" s="52" t="n">
        <f aca="false">G116*(1+$O$1)</f>
        <v>85315.1579539028</v>
      </c>
      <c r="H117" s="15" t="n">
        <f aca="false">I117/G117</f>
        <v>71537.8645394906</v>
      </c>
      <c r="I117" s="0" t="n">
        <f aca="false">I116</f>
        <v>6103264212.87154</v>
      </c>
      <c r="J117" s="85"/>
      <c r="K117" s="85"/>
      <c r="L117" s="85"/>
      <c r="M117" s="85"/>
      <c r="N117" s="85"/>
      <c r="O117" s="85"/>
      <c r="P117" s="85"/>
      <c r="Q117" s="85"/>
      <c r="R117" s="85"/>
      <c r="S117" s="85"/>
      <c r="Y117" s="122"/>
      <c r="AA117" s="104"/>
      <c r="AB117" s="104"/>
      <c r="AC117" s="104"/>
    </row>
    <row r="118" customFormat="false" ht="15" hidden="false" customHeight="false" outlineLevel="0" collapsed="false">
      <c r="F118" s="99" t="n">
        <f aca="false">H118/G118</f>
        <v>0.798108694569422</v>
      </c>
      <c r="G118" s="52" t="n">
        <f aca="false">G117*(1+$O$1)</f>
        <v>87448.0369027504</v>
      </c>
      <c r="H118" s="15" t="n">
        <f aca="false">I118/G118</f>
        <v>69793.0385751128</v>
      </c>
      <c r="I118" s="0" t="n">
        <f aca="false">I117</f>
        <v>6103264212.87154</v>
      </c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Y118" s="122"/>
      <c r="AA118" s="104"/>
      <c r="AB118" s="104"/>
      <c r="AC118" s="104"/>
    </row>
    <row r="119" customFormat="false" ht="15" hidden="false" customHeight="false" outlineLevel="0" collapsed="false">
      <c r="F119" s="99" t="n">
        <f aca="false">H119/G119</f>
        <v>0.759651345217773</v>
      </c>
      <c r="G119" s="52" t="n">
        <f aca="false">G118*(1+$O$1)</f>
        <v>89634.2378253191</v>
      </c>
      <c r="H119" s="15" t="n">
        <f aca="false">I119/G119</f>
        <v>68090.7693415734</v>
      </c>
      <c r="I119" s="0" t="n">
        <f aca="false">I118</f>
        <v>6103264212.87154</v>
      </c>
      <c r="J119" s="85"/>
      <c r="K119" s="85"/>
      <c r="L119" s="85"/>
      <c r="M119" s="85"/>
      <c r="N119" s="85"/>
      <c r="O119" s="85"/>
      <c r="P119" s="85"/>
      <c r="Q119" s="85"/>
      <c r="R119" s="85"/>
      <c r="S119" s="85"/>
      <c r="Y119" s="122"/>
      <c r="AA119" s="104"/>
      <c r="AB119" s="104"/>
      <c r="AC119" s="104"/>
    </row>
    <row r="120" customFormat="false" ht="15" hidden="false" customHeight="false" outlineLevel="0" collapsed="false">
      <c r="F120" s="99" t="n">
        <f aca="false">H120/G120</f>
        <v>0.723047086465459</v>
      </c>
      <c r="G120" s="52" t="n">
        <f aca="false">G119*(1+$O$1)</f>
        <v>91875.0937709521</v>
      </c>
      <c r="H120" s="15" t="n">
        <f aca="false">I120/G120</f>
        <v>66430.0188698278</v>
      </c>
      <c r="I120" s="0" t="n">
        <f aca="false">I119</f>
        <v>6103264212.87154</v>
      </c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Y120" s="122"/>
      <c r="AA120" s="104"/>
      <c r="AB120" s="104"/>
      <c r="AC120" s="104"/>
    </row>
    <row r="121" customFormat="false" ht="15" hidden="false" customHeight="false" outlineLevel="0" collapsed="false">
      <c r="F121" s="99" t="n">
        <f aca="false">H121/G121</f>
        <v>0.688206626023043</v>
      </c>
      <c r="G121" s="52" t="n">
        <f aca="false">G120*(1+$O$1)</f>
        <v>94171.9711152259</v>
      </c>
      <c r="H121" s="15" t="n">
        <f aca="false">I121/G121</f>
        <v>64809.774507149</v>
      </c>
      <c r="I121" s="0" t="n">
        <f aca="false">I120</f>
        <v>6103264212.87154</v>
      </c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Y121" s="122"/>
      <c r="AA121" s="104"/>
      <c r="AB121" s="104"/>
      <c r="AC121" s="104"/>
    </row>
    <row r="122" customFormat="false" ht="15" hidden="false" customHeight="false" outlineLevel="0" collapsed="false">
      <c r="F122" s="99" t="n">
        <f aca="false">H122/G122</f>
        <v>0.655044974203967</v>
      </c>
      <c r="G122" s="52" t="n">
        <f aca="false">G121*(1+$O$1)</f>
        <v>96526.2703931065</v>
      </c>
      <c r="H122" s="15" t="n">
        <f aca="false">I122/G122</f>
        <v>63229.0482996576</v>
      </c>
      <c r="I122" s="0" t="n">
        <f aca="false">I121</f>
        <v>6103264212.87154</v>
      </c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Y122" s="122"/>
      <c r="AA122" s="104"/>
      <c r="AB122" s="104"/>
      <c r="AC122" s="104"/>
    </row>
    <row r="123" customFormat="false" ht="15" hidden="false" customHeight="false" outlineLevel="0" collapsed="false">
      <c r="F123" s="99" t="n">
        <f aca="false">H123/G123</f>
        <v>0.623481236601039</v>
      </c>
      <c r="G123" s="52" t="n">
        <f aca="false">G122*(1+$O$1)</f>
        <v>98939.4271529342</v>
      </c>
      <c r="H123" s="15" t="n">
        <f aca="false">I123/G123</f>
        <v>61686.8763899099</v>
      </c>
      <c r="I123" s="0" t="n">
        <f aca="false">I122</f>
        <v>6103264212.87154</v>
      </c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Y123" s="122"/>
      <c r="AA123" s="104"/>
      <c r="AB123" s="104"/>
      <c r="AC123" s="104"/>
    </row>
    <row r="124" customFormat="false" ht="15" hidden="false" customHeight="false" outlineLevel="0" collapsed="false">
      <c r="F124" s="99" t="n">
        <f aca="false">H124/G124</f>
        <v>0.593438416752923</v>
      </c>
      <c r="G124" s="52" t="n">
        <f aca="false">G123*(1+$O$1)</f>
        <v>101412.912831758</v>
      </c>
      <c r="H124" s="15" t="n">
        <f aca="false">I124/G124</f>
        <v>60182.3184291804</v>
      </c>
      <c r="I124" s="0" t="n">
        <f aca="false">I123</f>
        <v>6103264212.87154</v>
      </c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Y124" s="122"/>
      <c r="AA124" s="104"/>
      <c r="AB124" s="104"/>
      <c r="AC124" s="104"/>
    </row>
    <row r="125" customFormat="false" ht="15" hidden="false" customHeight="false" outlineLevel="0" collapsed="false">
      <c r="F125" s="99" t="n">
        <f aca="false">H125/G125</f>
        <v>0.56484322831926</v>
      </c>
      <c r="G125" s="52" t="n">
        <f aca="false">G124*(1+$O$1)</f>
        <v>103948.235652551</v>
      </c>
      <c r="H125" s="15" t="n">
        <f aca="false">I125/G125</f>
        <v>58714.4570040784</v>
      </c>
      <c r="I125" s="0" t="n">
        <f aca="false">I124</f>
        <v>6103264212.87154</v>
      </c>
      <c r="J125" s="85"/>
      <c r="K125" s="85"/>
      <c r="L125" s="85"/>
      <c r="M125" s="85"/>
      <c r="N125" s="85"/>
      <c r="O125" s="85"/>
      <c r="P125" s="85"/>
      <c r="Q125" s="85"/>
      <c r="R125" s="85"/>
      <c r="S125" s="85"/>
      <c r="Y125" s="122"/>
      <c r="AA125" s="104"/>
      <c r="AB125" s="104"/>
      <c r="AC125" s="104"/>
    </row>
    <row r="126" customFormat="false" ht="15" hidden="false" customHeight="false" outlineLevel="0" collapsed="false">
      <c r="F126" s="99" t="n">
        <f aca="false">H126/G126</f>
        <v>0.537625916306256</v>
      </c>
      <c r="G126" s="52" t="n">
        <f aca="false">G125*(1+$O$1)</f>
        <v>106546.941543865</v>
      </c>
      <c r="H126" s="15" t="n">
        <f aca="false">I126/G126</f>
        <v>57282.3970771497</v>
      </c>
      <c r="I126" s="0" t="n">
        <f aca="false">I125</f>
        <v>6103264212.87154</v>
      </c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Y126" s="122"/>
      <c r="AA126" s="104"/>
      <c r="AB126" s="104"/>
      <c r="AC126" s="104"/>
    </row>
    <row r="127" customFormat="false" ht="15" hidden="false" customHeight="false" outlineLevel="0" collapsed="false">
      <c r="F127" s="99" t="n">
        <f aca="false">H127/G127</f>
        <v>0.511720086906609</v>
      </c>
      <c r="G127" s="52" t="n">
        <f aca="false">G126*(1+$O$1)</f>
        <v>109210.615082462</v>
      </c>
      <c r="H127" s="15" t="n">
        <f aca="false">I127/G127</f>
        <v>55885.2654411216</v>
      </c>
      <c r="I127" s="0" t="n">
        <f aca="false">I126</f>
        <v>6103264212.87154</v>
      </c>
      <c r="J127" s="85"/>
      <c r="K127" s="85"/>
      <c r="L127" s="85"/>
      <c r="M127" s="85"/>
      <c r="N127" s="85"/>
      <c r="O127" s="85"/>
      <c r="P127" s="85"/>
      <c r="Q127" s="85"/>
      <c r="R127" s="85"/>
      <c r="S127" s="85"/>
      <c r="Y127" s="122"/>
      <c r="AA127" s="104"/>
      <c r="AB127" s="104"/>
      <c r="AC127" s="104"/>
    </row>
    <row r="128" customFormat="false" ht="15" hidden="false" customHeight="false" outlineLevel="0" collapsed="false">
      <c r="F128" s="99" t="n">
        <f aca="false">H128/G128</f>
        <v>0.487062545538712</v>
      </c>
      <c r="G128" s="52" t="n">
        <f aca="false">G127*(1+$O$1)</f>
        <v>111940.880459523</v>
      </c>
      <c r="H128" s="15" t="n">
        <f aca="false">I128/G128</f>
        <v>54522.2101864601</v>
      </c>
      <c r="I128" s="0" t="n">
        <f aca="false">I127</f>
        <v>6103264212.87154</v>
      </c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Y128" s="122"/>
      <c r="AA128" s="104"/>
      <c r="AB128" s="104"/>
      <c r="AC128" s="104"/>
    </row>
    <row r="129" customFormat="false" ht="15" hidden="false" customHeight="false" outlineLevel="0" collapsed="false">
      <c r="F129" s="99" t="n">
        <f aca="false">H129/G129</f>
        <v>0.463593142690029</v>
      </c>
      <c r="G129" s="52" t="n">
        <f aca="false">G128*(1+$O$1)</f>
        <v>114739.402471011</v>
      </c>
      <c r="H129" s="15" t="n">
        <f aca="false">I129/G129</f>
        <v>53192.4001819123</v>
      </c>
      <c r="I129" s="0" t="n">
        <f aca="false">I128</f>
        <v>6103264212.87154</v>
      </c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Y129" s="122"/>
      <c r="AA129" s="104"/>
      <c r="AB129" s="104"/>
      <c r="AC129" s="104"/>
    </row>
    <row r="130" customFormat="false" ht="15" hidden="false" customHeight="false" outlineLevel="0" collapsed="false">
      <c r="F130" s="99" t="n">
        <f aca="false">H130/G130</f>
        <v>0.441254627188606</v>
      </c>
      <c r="G130" s="52" t="n">
        <f aca="false">G129*(1+$O$1)</f>
        <v>117607.887532787</v>
      </c>
      <c r="H130" s="15" t="n">
        <f aca="false">I130/G130</f>
        <v>51895.0245677193</v>
      </c>
      <c r="I130" s="0" t="n">
        <f aca="false">I129</f>
        <v>6103264212.87154</v>
      </c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Y130" s="122"/>
      <c r="AA130" s="104"/>
      <c r="AB130" s="104"/>
      <c r="AC130" s="104"/>
    </row>
    <row r="131" customFormat="false" ht="15" hidden="false" customHeight="false" outlineLevel="0" collapsed="false">
      <c r="F131" s="99" t="n">
        <f aca="false">H131/G131</f>
        <v>0.419992506544777</v>
      </c>
      <c r="G131" s="52" t="n">
        <f aca="false">G130*(1+$O$1)</f>
        <v>120548.084721106</v>
      </c>
      <c r="H131" s="15" t="n">
        <f aca="false">I131/G131</f>
        <v>50629.2922611896</v>
      </c>
      <c r="I131" s="0" t="n">
        <f aca="false">I130</f>
        <v>6103264212.87154</v>
      </c>
      <c r="J131" s="85"/>
      <c r="K131" s="85"/>
      <c r="L131" s="85"/>
      <c r="M131" s="85"/>
      <c r="N131" s="85"/>
      <c r="O131" s="85"/>
      <c r="P131" s="85"/>
      <c r="Q131" s="85"/>
      <c r="R131" s="85"/>
      <c r="S131" s="85"/>
      <c r="Y131" s="122"/>
      <c r="AA131" s="104"/>
      <c r="AB131" s="104"/>
      <c r="AC131" s="104"/>
    </row>
    <row r="132" customFormat="false" ht="15" hidden="false" customHeight="false" outlineLevel="0" collapsed="false">
      <c r="F132" s="99" t="n">
        <f aca="false">H132/G132</f>
        <v>0.399754914022393</v>
      </c>
      <c r="G132" s="52" t="n">
        <f aca="false">G131*(1+$O$1)</f>
        <v>123561.786839134</v>
      </c>
      <c r="H132" s="15" t="n">
        <f aca="false">I132/G132</f>
        <v>49394.4314743313</v>
      </c>
      <c r="I132" s="0" t="n">
        <f aca="false">I131</f>
        <v>6103264212.87154</v>
      </c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Y132" s="122"/>
      <c r="AA132" s="104"/>
      <c r="AB132" s="104"/>
      <c r="AC132" s="104"/>
    </row>
    <row r="133" customFormat="false" ht="15" hidden="false" customHeight="false" outlineLevel="0" collapsed="false">
      <c r="F133" s="99" t="n">
        <f aca="false">H133/G133</f>
        <v>0.380492482115306</v>
      </c>
      <c r="G133" s="52" t="n">
        <f aca="false">G132*(1+$O$1)</f>
        <v>126650.831510112</v>
      </c>
      <c r="H133" s="15" t="n">
        <f aca="false">I133/G133</f>
        <v>48189.6892432501</v>
      </c>
      <c r="I133" s="0" t="n">
        <f aca="false">I132</f>
        <v>6103264212.87154</v>
      </c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Y133" s="122"/>
      <c r="AA133" s="104"/>
      <c r="AB133" s="104"/>
      <c r="AC133" s="104"/>
    </row>
    <row r="134" customFormat="false" ht="15" hidden="false" customHeight="false" outlineLevel="0" collapsed="false">
      <c r="F134" s="99" t="n">
        <f aca="false">H134/G134</f>
        <v>0.362158222120458</v>
      </c>
      <c r="G134" s="52" t="n">
        <f aca="false">G133*(1+$O$1)</f>
        <v>129817.102297865</v>
      </c>
      <c r="H134" s="15" t="n">
        <f aca="false">I134/G134</f>
        <v>47014.3309690245</v>
      </c>
      <c r="I134" s="0" t="n">
        <f aca="false">I133</f>
        <v>6103264212.87154</v>
      </c>
      <c r="J134" s="85"/>
      <c r="K134" s="85"/>
      <c r="L134" s="85"/>
      <c r="M134" s="85"/>
      <c r="N134" s="85"/>
      <c r="O134" s="85"/>
      <c r="P134" s="85"/>
      <c r="Q134" s="85"/>
      <c r="R134" s="85"/>
      <c r="S134" s="85"/>
      <c r="Y134" s="122"/>
      <c r="AA134" s="104"/>
      <c r="AB134" s="104"/>
      <c r="AC134" s="104"/>
    </row>
    <row r="135" customFormat="false" ht="15" hidden="false" customHeight="false" outlineLevel="0" collapsed="false">
      <c r="F135" s="99" t="n">
        <f aca="false">H135/G135</f>
        <v>0.344707409513821</v>
      </c>
      <c r="G135" s="52" t="n">
        <f aca="false">G134*(1+$O$1)</f>
        <v>133062.529855312</v>
      </c>
      <c r="H135" s="15" t="n">
        <f aca="false">I135/G135</f>
        <v>45867.63996978</v>
      </c>
      <c r="I135" s="0" t="n">
        <f aca="false">I134</f>
        <v>6103264212.87154</v>
      </c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Y135" s="122"/>
      <c r="AA135" s="104"/>
      <c r="AB135" s="104"/>
      <c r="AC135" s="104"/>
    </row>
    <row r="136" customFormat="false" ht="15" hidden="false" customHeight="false" outlineLevel="0" collapsed="false">
      <c r="F136" s="99" t="n">
        <f aca="false">H136/G136</f>
        <v>0.328097474849562</v>
      </c>
      <c r="G136" s="52" t="n">
        <f aca="false">G135*(1+$O$1)</f>
        <v>136389.093101695</v>
      </c>
      <c r="H136" s="15" t="n">
        <f aca="false">I136/G136</f>
        <v>44748.9170436878</v>
      </c>
      <c r="I136" s="0" t="n">
        <f aca="false">I135</f>
        <v>6103264212.87154</v>
      </c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Y136" s="122"/>
      <c r="AA136" s="104"/>
      <c r="AB136" s="104"/>
      <c r="AC136" s="104"/>
    </row>
    <row r="137" customFormat="false" ht="15" hidden="false" customHeight="false" outlineLevel="0" collapsed="false">
      <c r="F137" s="99" t="n">
        <f aca="false">H137/G137</f>
        <v>0.312287899916299</v>
      </c>
      <c r="G137" s="52" t="n">
        <f aca="false">G136*(1+$O$1)</f>
        <v>139798.820429237</v>
      </c>
      <c r="H137" s="15" t="n">
        <f aca="false">I137/G137</f>
        <v>43657.4800426222</v>
      </c>
      <c r="I137" s="0" t="n">
        <f aca="false">I136</f>
        <v>6103264212.87154</v>
      </c>
      <c r="J137" s="85"/>
      <c r="K137" s="85"/>
      <c r="L137" s="85"/>
      <c r="M137" s="85"/>
      <c r="N137" s="85"/>
      <c r="O137" s="85"/>
      <c r="P137" s="85"/>
      <c r="Q137" s="85"/>
      <c r="R137" s="85"/>
      <c r="S137" s="85"/>
      <c r="Y137" s="122"/>
      <c r="AA137" s="104"/>
      <c r="AB137" s="104"/>
      <c r="AC137" s="104"/>
    </row>
    <row r="138" customFormat="false" ht="15" hidden="false" customHeight="false" outlineLevel="0" collapsed="false">
      <c r="F138" s="99" t="n">
        <f aca="false">H138/G138</f>
        <v>0.297240118897132</v>
      </c>
      <c r="G138" s="52" t="n">
        <f aca="false">G137*(1+$O$1)</f>
        <v>143293.790939968</v>
      </c>
      <c r="H138" s="15" t="n">
        <f aca="false">I138/G138</f>
        <v>42592.6634562168</v>
      </c>
      <c r="I138" s="0" t="n">
        <f aca="false">I137</f>
        <v>6103264212.87154</v>
      </c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Y138" s="122"/>
      <c r="AA138" s="104"/>
      <c r="AB138" s="104"/>
      <c r="AC138" s="104"/>
    </row>
    <row r="139" customFormat="false" ht="15" hidden="false" customHeight="false" outlineLevel="0" collapsed="false">
      <c r="F139" s="99" t="n">
        <f aca="false">H139/G139</f>
        <v>0.282917424292333</v>
      </c>
      <c r="G139" s="52" t="n">
        <f aca="false">G138*(1+$O$1)</f>
        <v>146876.135713467</v>
      </c>
      <c r="H139" s="15" t="n">
        <f aca="false">I139/G139</f>
        <v>41553.8180060652</v>
      </c>
      <c r="I139" s="0" t="n">
        <f aca="false">I138</f>
        <v>6103264212.87154</v>
      </c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Y139" s="122"/>
      <c r="AA139" s="104"/>
      <c r="AB139" s="104"/>
      <c r="AC139" s="104"/>
    </row>
    <row r="140" customFormat="false" ht="15" hidden="false" customHeight="false" outlineLevel="0" collapsed="false">
      <c r="F140" s="99" t="n">
        <f aca="false">H140/G140</f>
        <v>0.269284877375213</v>
      </c>
      <c r="G140" s="52" t="n">
        <f aca="false">G139*(1+$O$1)</f>
        <v>150548.039106304</v>
      </c>
      <c r="H140" s="15" t="n">
        <f aca="false">I140/G140</f>
        <v>40540.3102498197</v>
      </c>
      <c r="I140" s="0" t="n">
        <f aca="false">I139</f>
        <v>6103264212.87154</v>
      </c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Y140" s="122"/>
      <c r="AA140" s="104"/>
      <c r="AB140" s="104"/>
      <c r="AC140" s="104"/>
    </row>
    <row r="141" customFormat="false" ht="15" hidden="false" customHeight="false" outlineLevel="0" collapsed="false">
      <c r="F141" s="99" t="n">
        <f aca="false">H141/G141</f>
        <v>0.256309222962725</v>
      </c>
      <c r="G141" s="52" t="n">
        <f aca="false">G140*(1+$O$1)</f>
        <v>154311.740083961</v>
      </c>
      <c r="H141" s="15" t="n">
        <f aca="false">I141/G141</f>
        <v>39551.5221949461</v>
      </c>
      <c r="I141" s="0" t="n">
        <f aca="false">I140</f>
        <v>6103264212.87154</v>
      </c>
      <c r="J141" s="85"/>
      <c r="K141" s="85"/>
      <c r="L141" s="85"/>
      <c r="M141" s="85"/>
      <c r="N141" s="85"/>
      <c r="O141" s="85"/>
      <c r="P141" s="85"/>
      <c r="Q141" s="85"/>
      <c r="R141" s="85"/>
      <c r="S141" s="85"/>
      <c r="Y141" s="122"/>
      <c r="AA141" s="104"/>
      <c r="AB141" s="104"/>
      <c r="AC141" s="104"/>
    </row>
    <row r="142" customFormat="false" ht="15" hidden="false" customHeight="false" outlineLevel="0" collapsed="false">
      <c r="F142" s="99" t="n">
        <f aca="false">H142/G142</f>
        <v>0.243958808292897</v>
      </c>
      <c r="G142" s="52" t="n">
        <f aca="false">G141*(1+$O$1)</f>
        <v>158169.53358606</v>
      </c>
      <c r="H142" s="15" t="n">
        <f aca="false">I142/G142</f>
        <v>38586.8509218986</v>
      </c>
      <c r="I142" s="0" t="n">
        <f aca="false">I141</f>
        <v>6103264212.87154</v>
      </c>
      <c r="J142" s="85"/>
      <c r="K142" s="85"/>
      <c r="L142" s="85"/>
      <c r="M142" s="85"/>
      <c r="N142" s="85"/>
      <c r="O142" s="85"/>
      <c r="P142" s="85"/>
      <c r="Q142" s="85"/>
      <c r="R142" s="85"/>
      <c r="S142" s="85"/>
      <c r="Y142" s="122"/>
      <c r="AA142" s="104"/>
      <c r="AB142" s="104"/>
      <c r="AC142" s="104"/>
    </row>
    <row r="143" customFormat="false" ht="15" hidden="false" customHeight="false" outlineLevel="0" collapsed="false">
      <c r="F143" s="99" t="n">
        <f aca="false">H143/G143</f>
        <v>0.232203505811205</v>
      </c>
      <c r="G143" s="52" t="n">
        <f aca="false">G142*(1+$O$1)</f>
        <v>162123.771925712</v>
      </c>
      <c r="H143" s="15" t="n">
        <f aca="false">I143/G143</f>
        <v>37645.7082164864</v>
      </c>
      <c r="I143" s="0" t="n">
        <f aca="false">I142</f>
        <v>6103264212.87154</v>
      </c>
      <c r="J143" s="85"/>
      <c r="K143" s="85"/>
      <c r="L143" s="85"/>
      <c r="M143" s="85"/>
      <c r="N143" s="85"/>
      <c r="O143" s="85"/>
      <c r="P143" s="85"/>
      <c r="Q143" s="85"/>
      <c r="R143" s="85"/>
      <c r="S143" s="85"/>
      <c r="Y143" s="122"/>
      <c r="AA143" s="104"/>
      <c r="AB143" s="104"/>
      <c r="AC143" s="104"/>
    </row>
    <row r="144" customFormat="false" ht="15" hidden="false" customHeight="false" outlineLevel="0" collapsed="false">
      <c r="F144" s="99" t="n">
        <f aca="false">H144/G144</f>
        <v>0.22101463967753</v>
      </c>
      <c r="G144" s="52" t="n">
        <f aca="false">G143*(1+$O$1)</f>
        <v>166176.866223855</v>
      </c>
      <c r="H144" s="15" t="n">
        <f aca="false">I144/G144</f>
        <v>36727.5202112063</v>
      </c>
      <c r="I144" s="0" t="n">
        <f aca="false">I143</f>
        <v>6103264212.87154</v>
      </c>
      <c r="J144" s="85"/>
      <c r="K144" s="85"/>
      <c r="L144" s="85"/>
      <c r="M144" s="85"/>
      <c r="N144" s="85"/>
      <c r="O144" s="85"/>
      <c r="P144" s="85"/>
      <c r="Q144" s="85"/>
      <c r="R144" s="85"/>
      <c r="S144" s="85"/>
      <c r="Y144" s="122"/>
      <c r="AA144" s="104"/>
      <c r="AB144" s="104"/>
      <c r="AC144" s="104"/>
    </row>
    <row r="145" customFormat="false" ht="15" hidden="false" customHeight="false" outlineLevel="0" collapsed="false">
      <c r="F145" s="99" t="n">
        <f aca="false">H145/G145</f>
        <v>0.210364915814425</v>
      </c>
      <c r="G145" s="52" t="n">
        <f aca="false">G144*(1+$O$1)</f>
        <v>170331.287879451</v>
      </c>
      <c r="H145" s="15" t="n">
        <f aca="false">I145/G145</f>
        <v>35831.7270353232</v>
      </c>
      <c r="I145" s="0" t="n">
        <f aca="false">I144</f>
        <v>6103264212.87154</v>
      </c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Y145" s="122"/>
      <c r="AA145" s="104"/>
      <c r="AB145" s="104"/>
      <c r="AC145" s="104"/>
    </row>
    <row r="146" customFormat="false" ht="15" hidden="false" customHeight="false" outlineLevel="0" collapsed="false">
      <c r="F146" s="99" t="n">
        <f aca="false">H146/G146</f>
        <v>0.200228355326044</v>
      </c>
      <c r="G146" s="52" t="n">
        <f aca="false">G145*(1+$O$1)</f>
        <v>174589.570076437</v>
      </c>
      <c r="H146" s="15" t="n">
        <f aca="false">I146/G146</f>
        <v>34957.7824734861</v>
      </c>
      <c r="I146" s="0" t="n">
        <f aca="false">I145</f>
        <v>6103264212.87154</v>
      </c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Y146" s="122"/>
      <c r="AA146" s="104"/>
      <c r="AB146" s="104"/>
      <c r="AC146" s="104"/>
    </row>
    <row r="147" customFormat="false" ht="15" hidden="false" customHeight="false" outlineLevel="0" collapsed="false">
      <c r="F147" s="99" t="n">
        <f aca="false">H147/G147</f>
        <v>0.190580231125324</v>
      </c>
      <c r="G147" s="52" t="n">
        <f aca="false">G146*(1+$O$1)</f>
        <v>178954.309328348</v>
      </c>
      <c r="H147" s="15" t="n">
        <f aca="false">I147/G147</f>
        <v>34105.1536326693</v>
      </c>
      <c r="I147" s="0" t="n">
        <f aca="false">I146</f>
        <v>6103264212.87154</v>
      </c>
      <c r="J147" s="85"/>
      <c r="K147" s="85"/>
      <c r="L147" s="85"/>
      <c r="M147" s="85"/>
      <c r="N147" s="85"/>
      <c r="O147" s="85"/>
      <c r="P147" s="85"/>
      <c r="Q147" s="85"/>
      <c r="R147" s="85"/>
      <c r="S147" s="85"/>
      <c r="Y147" s="122"/>
      <c r="AA147" s="104"/>
      <c r="AB147" s="104"/>
      <c r="AC147" s="104"/>
    </row>
    <row r="148" customFormat="false" ht="15" hidden="false" customHeight="false" outlineLevel="0" collapsed="false">
      <c r="F148" s="99" t="n">
        <f aca="false">H148/G148</f>
        <v>0.181397007614824</v>
      </c>
      <c r="G148" s="52" t="n">
        <f aca="false">G147*(1+$O$1)</f>
        <v>183428.167061557</v>
      </c>
      <c r="H148" s="15" t="n">
        <f aca="false">I148/G148</f>
        <v>33273.3206172384</v>
      </c>
      <c r="I148" s="0" t="n">
        <f aca="false">I147</f>
        <v>6103264212.87154</v>
      </c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Y148" s="122"/>
      <c r="AA148" s="104"/>
      <c r="AB148" s="104"/>
      <c r="AC148" s="104"/>
    </row>
    <row r="149" customFormat="false" ht="15" hidden="false" customHeight="false" outlineLevel="0" collapsed="false">
      <c r="F149" s="99" t="n">
        <f aca="false">H149/G149</f>
        <v>0.172656283274074</v>
      </c>
      <c r="G149" s="52" t="n">
        <f aca="false">G148*(1+$O$1)</f>
        <v>188013.871238096</v>
      </c>
      <c r="H149" s="15" t="n">
        <f aca="false">I149/G149</f>
        <v>32461.7762119399</v>
      </c>
      <c r="I149" s="0" t="n">
        <f aca="false">I148</f>
        <v>6103264212.87154</v>
      </c>
      <c r="J149" s="85"/>
      <c r="K149" s="85"/>
      <c r="L149" s="85"/>
      <c r="M149" s="85"/>
      <c r="N149" s="85"/>
      <c r="O149" s="85"/>
      <c r="P149" s="85"/>
      <c r="Q149" s="85"/>
      <c r="R149" s="85"/>
      <c r="S149" s="85"/>
      <c r="Y149" s="122"/>
      <c r="AA149" s="104"/>
      <c r="AB149" s="104"/>
      <c r="AC149" s="104"/>
    </row>
    <row r="150" customFormat="false" ht="15" hidden="false" customHeight="false" outlineLevel="0" collapsed="false">
      <c r="F150" s="99" t="n">
        <f aca="false">H150/G150</f>
        <v>0.164336736013396</v>
      </c>
      <c r="G150" s="52" t="n">
        <f aca="false">G149*(1+$O$1)</f>
        <v>192714.218019048</v>
      </c>
      <c r="H150" s="15" t="n">
        <f aca="false">I150/G150</f>
        <v>31670.0255726243</v>
      </c>
      <c r="I150" s="0" t="n">
        <f aca="false">I149</f>
        <v>6103264212.87154</v>
      </c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Y150" s="122"/>
      <c r="AA150" s="104"/>
      <c r="AB150" s="104"/>
      <c r="AC150" s="104"/>
    </row>
    <row r="151" customFormat="false" ht="15" hidden="false" customHeight="false" outlineLevel="0" collapsed="false">
      <c r="F151" s="99" t="n">
        <f aca="false">H151/G151</f>
        <v>0.156418071160876</v>
      </c>
      <c r="G151" s="52" t="n">
        <f aca="false">G150*(1+$O$1)</f>
        <v>197532.073469524</v>
      </c>
      <c r="H151" s="15" t="n">
        <f aca="false">I151/G151</f>
        <v>30897.5859245115</v>
      </c>
      <c r="I151" s="0" t="n">
        <f aca="false">I150</f>
        <v>6103264212.87154</v>
      </c>
      <c r="J151" s="85"/>
      <c r="K151" s="85"/>
      <c r="L151" s="85"/>
      <c r="M151" s="85"/>
      <c r="N151" s="85"/>
      <c r="O151" s="85"/>
      <c r="P151" s="85"/>
      <c r="Q151" s="85"/>
      <c r="R151" s="85"/>
      <c r="S151" s="85"/>
      <c r="Y151" s="122"/>
      <c r="AA151" s="104"/>
      <c r="AB151" s="104"/>
      <c r="AC151" s="104"/>
    </row>
    <row r="152" customFormat="false" ht="15" hidden="false" customHeight="false" outlineLevel="0" collapsed="false">
      <c r="F152" s="99" t="n">
        <f aca="false">H152/G152</f>
        <v>0.148880971955623</v>
      </c>
      <c r="G152" s="52" t="n">
        <f aca="false">G151*(1+$O$1)</f>
        <v>202470.375306262</v>
      </c>
      <c r="H152" s="15" t="n">
        <f aca="false">I152/G152</f>
        <v>30143.9862678161</v>
      </c>
      <c r="I152" s="0" t="n">
        <f aca="false">I151</f>
        <v>6103264212.87154</v>
      </c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Y152" s="122"/>
      <c r="AA152" s="104"/>
      <c r="AB152" s="104"/>
      <c r="AC152" s="104"/>
    </row>
    <row r="153" customFormat="false" ht="15" hidden="false" customHeight="false" outlineLevel="0" collapsed="false">
      <c r="F153" s="99" t="n">
        <f aca="false">H153/G153</f>
        <v>0.14170705242653</v>
      </c>
      <c r="G153" s="52" t="n">
        <f aca="false">G152*(1+$O$1)</f>
        <v>207532.134688919</v>
      </c>
      <c r="H153" s="15" t="n">
        <f aca="false">I153/G153</f>
        <v>29408.7670905523</v>
      </c>
      <c r="I153" s="0" t="n">
        <f aca="false">I152</f>
        <v>6103264212.87154</v>
      </c>
      <c r="J153" s="85"/>
      <c r="K153" s="85"/>
      <c r="L153" s="85"/>
      <c r="M153" s="85"/>
      <c r="N153" s="85"/>
      <c r="O153" s="85"/>
      <c r="P153" s="85"/>
      <c r="Q153" s="85"/>
      <c r="R153" s="85"/>
      <c r="S153" s="85"/>
      <c r="Y153" s="122"/>
      <c r="AA153" s="104"/>
      <c r="AB153" s="104"/>
      <c r="AC153" s="104"/>
    </row>
    <row r="154" customFormat="false" ht="15" hidden="false" customHeight="false" outlineLevel="0" collapsed="false">
      <c r="F154" s="99" t="n">
        <f aca="false">H154/G154</f>
        <v>0.134878812541611</v>
      </c>
      <c r="G154" s="52" t="n">
        <f aca="false">G153*(1+$O$1)</f>
        <v>212720.438056142</v>
      </c>
      <c r="H154" s="15" t="n">
        <f aca="false">I154/G154</f>
        <v>28691.4800883437</v>
      </c>
      <c r="I154" s="0" t="n">
        <f aca="false">I153</f>
        <v>6103264212.87154</v>
      </c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Y154" s="122"/>
      <c r="AA154" s="104"/>
      <c r="AB154" s="104"/>
      <c r="AC154" s="104"/>
    </row>
    <row r="155" customFormat="false" ht="15" hidden="false" customHeight="false" outlineLevel="0" collapsed="false">
      <c r="F155" s="99" t="n">
        <f aca="false">H155/G155</f>
        <v>0.128379595518487</v>
      </c>
      <c r="G155" s="52" t="n">
        <f aca="false">G154*(1+$O$1)</f>
        <v>218038.449007545</v>
      </c>
      <c r="H155" s="15" t="n">
        <f aca="false">I155/G155</f>
        <v>27991.687891067</v>
      </c>
      <c r="I155" s="0" t="n">
        <f aca="false">I154</f>
        <v>6103264212.87154</v>
      </c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Y155" s="122"/>
      <c r="AA155" s="104"/>
      <c r="AB155" s="104"/>
      <c r="AC155" s="104"/>
    </row>
    <row r="156" customFormat="false" ht="15" hidden="false" customHeight="false" outlineLevel="0" collapsed="false">
      <c r="F156" s="99" t="n">
        <f aca="false">H156/G156</f>
        <v>0.122193547191898</v>
      </c>
      <c r="G156" s="52" t="n">
        <f aca="false">G155*(1+$O$1)</f>
        <v>223489.410232734</v>
      </c>
      <c r="H156" s="15" t="n">
        <f aca="false">I156/G156</f>
        <v>27308.9637961629</v>
      </c>
      <c r="I156" s="0" t="n">
        <f aca="false">I155</f>
        <v>6103264212.87154</v>
      </c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Y156" s="122"/>
      <c r="AA156" s="104"/>
      <c r="AB156" s="104"/>
      <c r="AC156" s="104"/>
    </row>
    <row r="157" customFormat="false" ht="15" hidden="false" customHeight="false" outlineLevel="0" collapsed="false">
      <c r="F157" s="99" t="n">
        <f aca="false">H157/G157</f>
        <v>0.116305577339105</v>
      </c>
      <c r="G157" s="52" t="n">
        <f aca="false">G156*(1+$O$1)</f>
        <v>229076.645488552</v>
      </c>
      <c r="H157" s="15" t="n">
        <f aca="false">I157/G157</f>
        <v>26642.8915084517</v>
      </c>
      <c r="I157" s="0" t="n">
        <f aca="false">I156</f>
        <v>6103264212.87154</v>
      </c>
      <c r="J157" s="85"/>
      <c r="K157" s="85"/>
      <c r="L157" s="85"/>
      <c r="M157" s="85"/>
      <c r="N157" s="85"/>
      <c r="O157" s="85"/>
      <c r="P157" s="85"/>
      <c r="Q157" s="85"/>
      <c r="R157" s="85"/>
      <c r="S157" s="85"/>
      <c r="Y157" s="122"/>
      <c r="AA157" s="104"/>
      <c r="AB157" s="104"/>
      <c r="AC157" s="104"/>
    </row>
    <row r="158" customFormat="false" ht="15" hidden="false" customHeight="false" outlineLevel="0" collapsed="false">
      <c r="F158" s="99" t="n">
        <f aca="false">H158/G158</f>
        <v>0.110701322868869</v>
      </c>
      <c r="G158" s="52" t="n">
        <f aca="false">G157*(1+$O$1)</f>
        <v>234803.561625766</v>
      </c>
      <c r="H158" s="15" t="n">
        <f aca="false">I158/G158</f>
        <v>25993.0648862943</v>
      </c>
      <c r="I158" s="0" t="n">
        <f aca="false">I157</f>
        <v>6103264212.87154</v>
      </c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Y158" s="122"/>
      <c r="AA158" s="104"/>
      <c r="AB158" s="104"/>
      <c r="AC158" s="104"/>
    </row>
    <row r="159" customFormat="false" ht="15" hidden="false" customHeight="false" outlineLevel="0" collapsed="false">
      <c r="F159" s="99" t="n">
        <f aca="false">H159/G159</f>
        <v>0.10536711278417</v>
      </c>
      <c r="G159" s="52" t="n">
        <f aca="false">G158*(1+$O$1)</f>
        <v>240673.65066641</v>
      </c>
      <c r="H159" s="15" t="n">
        <f aca="false">I159/G159</f>
        <v>25359.0876939457</v>
      </c>
      <c r="I159" s="0" t="n">
        <f aca="false">I158</f>
        <v>6103264212.87154</v>
      </c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Y159" s="122"/>
      <c r="AA159" s="104"/>
      <c r="AB159" s="104"/>
      <c r="AC159" s="104"/>
    </row>
    <row r="160" customFormat="false" ht="15" hidden="false" customHeight="false" outlineLevel="0" collapsed="false">
      <c r="F160" s="99" t="n">
        <f aca="false">H160/G160</f>
        <v>0.100289934833238</v>
      </c>
      <c r="G160" s="52" t="n">
        <f aca="false">G159*(1+$O$1)</f>
        <v>246690.49193307</v>
      </c>
      <c r="H160" s="15" t="n">
        <f aca="false">I160/G160</f>
        <v>24740.573359947</v>
      </c>
      <c r="I160" s="0" t="n">
        <f aca="false">I159</f>
        <v>6103264212.87154</v>
      </c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Y160" s="122"/>
      <c r="AA160" s="104"/>
      <c r="AB160" s="104"/>
      <c r="AC160" s="104"/>
    </row>
    <row r="161" customFormat="false" ht="15" hidden="false" customHeight="false" outlineLevel="0" collapsed="false">
      <c r="F161" s="99" t="n">
        <f aca="false">H161/G161</f>
        <v>0.0954574037675077</v>
      </c>
      <c r="G161" s="52" t="n">
        <f aca="false">G160*(1+$O$1)</f>
        <v>252857.754231397</v>
      </c>
      <c r="H161" s="15" t="n">
        <f aca="false">I161/G161</f>
        <v>24137.1447414117</v>
      </c>
      <c r="I161" s="0" t="n">
        <f aca="false">I160</f>
        <v>6103264212.87154</v>
      </c>
      <c r="J161" s="85"/>
      <c r="K161" s="85"/>
      <c r="L161" s="85"/>
      <c r="M161" s="85"/>
      <c r="N161" s="85"/>
      <c r="O161" s="85"/>
      <c r="P161" s="85"/>
      <c r="Q161" s="85"/>
      <c r="R161" s="85"/>
      <c r="S161" s="85"/>
      <c r="Y161" s="122"/>
      <c r="AA161" s="104"/>
      <c r="AB161" s="104"/>
      <c r="AC161" s="104"/>
    </row>
    <row r="162" customFormat="false" ht="15" hidden="false" customHeight="false" outlineLevel="0" collapsed="false">
      <c r="F162" s="99" t="n">
        <f aca="false">H162/G162</f>
        <v>0.0908577311290972</v>
      </c>
      <c r="G162" s="52" t="n">
        <f aca="false">G161*(1+$O$1)</f>
        <v>259179.198087182</v>
      </c>
      <c r="H162" s="15" t="n">
        <f aca="false">I162/G162</f>
        <v>23548.4338940602</v>
      </c>
      <c r="I162" s="0" t="n">
        <f aca="false">I161</f>
        <v>6103264212.87154</v>
      </c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Y162" s="122"/>
      <c r="AA162" s="104"/>
      <c r="AB162" s="104"/>
      <c r="AC162" s="104"/>
    </row>
    <row r="163" customFormat="false" ht="15" hidden="false" customHeight="false" outlineLevel="0" collapsed="false">
      <c r="F163" s="99" t="n">
        <f aca="false">H163/G163</f>
        <v>0.0864796964940842</v>
      </c>
      <c r="G163" s="52" t="n">
        <f aca="false">G162*(1+$O$1)</f>
        <v>265658.678039362</v>
      </c>
      <c r="H163" s="15" t="n">
        <f aca="false">I163/G163</f>
        <v>22974.0818478636</v>
      </c>
      <c r="I163" s="0" t="n">
        <f aca="false">I162</f>
        <v>6103264212.87154</v>
      </c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Y163" s="122"/>
      <c r="AA163" s="104"/>
      <c r="AB163" s="104"/>
      <c r="AC163" s="104"/>
    </row>
    <row r="164" customFormat="false" ht="15" hidden="false" customHeight="false" outlineLevel="0" collapsed="false">
      <c r="F164" s="99" t="n">
        <f aca="false">H164/G164</f>
        <v>0.0823126201014483</v>
      </c>
      <c r="G164" s="52" t="n">
        <f aca="false">G163*(1+$O$1)</f>
        <v>272300.144990346</v>
      </c>
      <c r="H164" s="15" t="n">
        <f aca="false">I164/G164</f>
        <v>22413.7383881596</v>
      </c>
      <c r="I164" s="0" t="n">
        <f aca="false">I163</f>
        <v>6103264212.87154</v>
      </c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Y164" s="122"/>
      <c r="AA164" s="104"/>
      <c r="AB164" s="104"/>
      <c r="AC164" s="104"/>
    </row>
    <row r="165" customFormat="false" ht="15" hidden="false" customHeight="false" outlineLevel="0" collapsed="false">
      <c r="F165" s="99" t="n">
        <f aca="false">H165/G165</f>
        <v>0.0783463368009027</v>
      </c>
      <c r="G165" s="52" t="n">
        <f aca="false">G164*(1+$O$1)</f>
        <v>279107.648615104</v>
      </c>
      <c r="H165" s="15" t="n">
        <f aca="false">I165/G165</f>
        <v>21867.0618421069</v>
      </c>
      <c r="I165" s="0" t="n">
        <f aca="false">I164</f>
        <v>6103264212.87154</v>
      </c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Y165" s="122"/>
      <c r="AA165" s="104"/>
      <c r="AB165" s="104"/>
      <c r="AC165" s="104"/>
    </row>
    <row r="166" customFormat="false" ht="15" hidden="false" customHeight="false" outlineLevel="0" collapsed="false">
      <c r="F166" s="99" t="n">
        <f aca="false">H166/G166</f>
        <v>0.0745711712560644</v>
      </c>
      <c r="G166" s="52" t="n">
        <f aca="false">G165*(1+$O$1)</f>
        <v>286085.339830482</v>
      </c>
      <c r="H166" s="15" t="n">
        <f aca="false">I166/G166</f>
        <v>21333.7188703482</v>
      </c>
      <c r="I166" s="0" t="n">
        <f aca="false">I165</f>
        <v>6103264212.87154</v>
      </c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Y166" s="122"/>
      <c r="AA166" s="104"/>
      <c r="AB166" s="104"/>
      <c r="AC166" s="104"/>
    </row>
    <row r="167" customFormat="false" ht="15" hidden="false" customHeight="false" outlineLevel="0" collapsed="false">
      <c r="F167" s="99" t="n">
        <f aca="false">H167/G167</f>
        <v>0.0709779143424765</v>
      </c>
      <c r="G167" s="52" t="n">
        <f aca="false">G166*(1+$O$1)</f>
        <v>293237.473326244</v>
      </c>
      <c r="H167" s="15" t="n">
        <f aca="false">I167/G167</f>
        <v>20813.3842637544</v>
      </c>
      <c r="I167" s="0" t="n">
        <f aca="false">I166</f>
        <v>6103264212.87154</v>
      </c>
      <c r="J167" s="85"/>
      <c r="K167" s="85"/>
      <c r="L167" s="85"/>
      <c r="M167" s="85"/>
      <c r="N167" s="85"/>
      <c r="O167" s="85"/>
      <c r="P167" s="85"/>
      <c r="Q167" s="85"/>
      <c r="R167" s="85"/>
      <c r="S167" s="85"/>
      <c r="Y167" s="122"/>
      <c r="AA167" s="104"/>
      <c r="AB167" s="104"/>
      <c r="AC167" s="104"/>
    </row>
    <row r="168" customFormat="false" ht="15" hidden="false" customHeight="false" outlineLevel="0" collapsed="false">
      <c r="F168" s="99" t="n">
        <f aca="false">H168/G168</f>
        <v>0.0675578006829045</v>
      </c>
      <c r="G168" s="52" t="n">
        <f aca="false">G167*(1+$O$1)</f>
        <v>300568.4101594</v>
      </c>
      <c r="H168" s="15" t="n">
        <f aca="false">I168/G168</f>
        <v>20305.7407451262</v>
      </c>
      <c r="I168" s="0" t="n">
        <f aca="false">I167</f>
        <v>6103264212.87154</v>
      </c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Y168" s="122"/>
      <c r="AA168" s="104"/>
      <c r="AB168" s="104"/>
      <c r="AC168" s="104"/>
    </row>
    <row r="169" customFormat="false" ht="15" hidden="false" customHeight="false" outlineLevel="0" collapsed="false">
      <c r="F169" s="99" t="n">
        <f aca="false">H169/G169</f>
        <v>0.0643024872651084</v>
      </c>
      <c r="G169" s="52" t="n">
        <f aca="false">G168*(1+$O$1)</f>
        <v>308082.620413385</v>
      </c>
      <c r="H169" s="15" t="n">
        <f aca="false">I169/G169</f>
        <v>19810.4787757329</v>
      </c>
      <c r="I169" s="0" t="n">
        <f aca="false">I168</f>
        <v>6103264212.87154</v>
      </c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Y169" s="122"/>
      <c r="AA169" s="104"/>
      <c r="AB169" s="104"/>
      <c r="AC169" s="104"/>
    </row>
    <row r="170" customFormat="false" ht="15" hidden="false" customHeight="false" outlineLevel="0" collapsed="false">
      <c r="F170" s="99" t="n">
        <f aca="false">H170/G170</f>
        <v>0.0612040330899307</v>
      </c>
      <c r="G170" s="52" t="n">
        <f aca="false">G169*(1+$O$1)</f>
        <v>315784.68592372</v>
      </c>
      <c r="H170" s="15" t="n">
        <f aca="false">I170/G170</f>
        <v>19327.2963665687</v>
      </c>
      <c r="I170" s="0" t="n">
        <f aca="false">I169</f>
        <v>6103264212.87154</v>
      </c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Y170" s="122"/>
      <c r="AA170" s="104"/>
      <c r="AB170" s="104"/>
      <c r="AC170" s="104"/>
    </row>
    <row r="171" customFormat="false" ht="15" hidden="false" customHeight="false" outlineLevel="0" collapsed="false">
      <c r="F171" s="99" t="n">
        <f aca="false">H171/G171</f>
        <v>0.058254879800053</v>
      </c>
      <c r="G171" s="52" t="n">
        <f aca="false">G170*(1+$O$1)</f>
        <v>323679.303071812</v>
      </c>
      <c r="H171" s="15" t="n">
        <f aca="false">I171/G171</f>
        <v>18855.8988942134</v>
      </c>
      <c r="I171" s="0" t="n">
        <f aca="false">I170</f>
        <v>6103264212.87154</v>
      </c>
      <c r="J171" s="85"/>
      <c r="K171" s="85"/>
      <c r="L171" s="85"/>
      <c r="M171" s="85"/>
      <c r="N171" s="85"/>
      <c r="O171" s="85"/>
      <c r="P171" s="85"/>
      <c r="Q171" s="85"/>
      <c r="R171" s="85"/>
      <c r="S171" s="85"/>
      <c r="Y171" s="122"/>
      <c r="AA171" s="104"/>
      <c r="AB171" s="104"/>
      <c r="AC171" s="104"/>
    </row>
    <row r="172" customFormat="false" ht="15" hidden="false" customHeight="false" outlineLevel="0" collapsed="false">
      <c r="F172" s="99" t="n">
        <f aca="false">H172/G172</f>
        <v>0.0554478332421683</v>
      </c>
      <c r="G172" s="52" t="n">
        <f aca="false">G171*(1+$O$1)</f>
        <v>331771.285648608</v>
      </c>
      <c r="H172" s="15" t="n">
        <f aca="false">I172/G172</f>
        <v>18395.9989211838</v>
      </c>
      <c r="I172" s="0" t="n">
        <f aca="false">I171</f>
        <v>6103264212.87154</v>
      </c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Y172" s="122"/>
      <c r="AA172" s="104"/>
      <c r="AB172" s="104"/>
      <c r="AC172" s="104"/>
    </row>
    <row r="173" customFormat="false" ht="15" hidden="false" customHeight="false" outlineLevel="0" collapsed="false">
      <c r="F173" s="99" t="n">
        <f aca="false">H173/G173</f>
        <v>0.0527760459175903</v>
      </c>
      <c r="G173" s="52" t="n">
        <f aca="false">G172*(1+$O$1)</f>
        <v>340065.567789823</v>
      </c>
      <c r="H173" s="15" t="n">
        <f aca="false">I173/G173</f>
        <v>17947.3160206671</v>
      </c>
      <c r="I173" s="0" t="n">
        <f aca="false">I172</f>
        <v>6103264212.87154</v>
      </c>
      <c r="J173" s="85"/>
      <c r="K173" s="85"/>
      <c r="L173" s="85"/>
      <c r="M173" s="85"/>
      <c r="N173" s="85"/>
      <c r="O173" s="85"/>
      <c r="P173" s="85"/>
      <c r="Q173" s="85"/>
      <c r="R173" s="85"/>
      <c r="S173" s="85"/>
      <c r="Y173" s="122"/>
      <c r="AA173" s="104"/>
      <c r="AB173" s="104"/>
      <c r="AC173" s="104"/>
    </row>
    <row r="174" customFormat="false" ht="15" hidden="false" customHeight="false" outlineLevel="0" collapsed="false">
      <c r="F174" s="99" t="n">
        <f aca="false">H174/G174</f>
        <v>0.0502330002784916</v>
      </c>
      <c r="G174" s="52" t="n">
        <f aca="false">G173*(1+$O$1)</f>
        <v>348567.206984568</v>
      </c>
      <c r="H174" s="15" t="n">
        <f aca="false">I174/G174</f>
        <v>17509.5766055289</v>
      </c>
      <c r="I174" s="0" t="n">
        <f aca="false">I173</f>
        <v>6103264212.87154</v>
      </c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Y174" s="122"/>
      <c r="AA174" s="104"/>
      <c r="AB174" s="104"/>
      <c r="AC174" s="104"/>
    </row>
    <row r="175" customFormat="false" ht="15" hidden="false" customHeight="false" outlineLevel="0" collapsed="false">
      <c r="F175" s="99" t="n">
        <f aca="false">H175/G175</f>
        <v>0.0478124928290224</v>
      </c>
      <c r="G175" s="52" t="n">
        <f aca="false">G174*(1+$O$1)</f>
        <v>357281.387159183</v>
      </c>
      <c r="H175" s="15" t="n">
        <f aca="false">I175/G175</f>
        <v>17082.5137614916</v>
      </c>
      <c r="I175" s="0" t="n">
        <f aca="false">I174</f>
        <v>6103264212.87154</v>
      </c>
      <c r="J175" s="85"/>
      <c r="K175" s="85"/>
      <c r="L175" s="85"/>
      <c r="M175" s="85"/>
      <c r="N175" s="85"/>
      <c r="O175" s="85"/>
      <c r="P175" s="85"/>
      <c r="Q175" s="85"/>
      <c r="R175" s="85"/>
      <c r="S175" s="85"/>
      <c r="Y175" s="122"/>
      <c r="AA175" s="104"/>
      <c r="AB175" s="104"/>
      <c r="AC175" s="104"/>
    </row>
    <row r="176" customFormat="false" ht="15" hidden="false" customHeight="false" outlineLevel="0" collapsed="false">
      <c r="F176" s="99" t="n">
        <f aca="false">H176/G176</f>
        <v>0.0455086189925258</v>
      </c>
      <c r="G176" s="52" t="n">
        <f aca="false">G175*(1+$O$1)</f>
        <v>366213.421838162</v>
      </c>
      <c r="H176" s="15" t="n">
        <f aca="false">I176/G176</f>
        <v>16665.867084382</v>
      </c>
      <c r="I176" s="0" t="n">
        <f aca="false">I175</f>
        <v>6103264212.87154</v>
      </c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Y176" s="122"/>
      <c r="AA176" s="104"/>
      <c r="AB176" s="104"/>
      <c r="AC176" s="104"/>
    </row>
    <row r="177" customFormat="false" ht="15" hidden="false" customHeight="false" outlineLevel="0" collapsed="false">
      <c r="F177" s="99" t="n">
        <f aca="false">H177/G177</f>
        <v>0.0433157587079365</v>
      </c>
      <c r="G177" s="52" t="n">
        <f aca="false">G176*(1+$O$1)</f>
        <v>375368.757384116</v>
      </c>
      <c r="H177" s="15" t="n">
        <f aca="false">I177/G177</f>
        <v>16259.3825213483</v>
      </c>
      <c r="I177" s="0" t="n">
        <f aca="false">I176</f>
        <v>6103264212.87154</v>
      </c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Y177" s="122"/>
      <c r="AA177" s="104"/>
      <c r="AB177" s="104"/>
      <c r="AC177" s="104"/>
    </row>
    <row r="178" customFormat="false" ht="15" hidden="false" customHeight="false" outlineLevel="0" collapsed="false">
      <c r="F178" s="99" t="n">
        <f aca="false">H178/G178</f>
        <v>0.0412285627202251</v>
      </c>
      <c r="G178" s="52" t="n">
        <f aca="false">G177*(1+$O$1)</f>
        <v>384752.976318719</v>
      </c>
      <c r="H178" s="15" t="n">
        <f aca="false">I178/G178</f>
        <v>15862.8122159496</v>
      </c>
      <c r="I178" s="0" t="n">
        <f aca="false">I177</f>
        <v>6103264212.87154</v>
      </c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Y178" s="122"/>
      <c r="AA178" s="104"/>
      <c r="AB178" s="104"/>
      <c r="AC178" s="104"/>
    </row>
    <row r="179" customFormat="false" ht="15" hidden="false" customHeight="false" outlineLevel="0" collapsed="false">
      <c r="F179" s="99" t="n">
        <f aca="false">H179/G179</f>
        <v>0.0392419395314457</v>
      </c>
      <c r="G179" s="52" t="n">
        <f aca="false">G178*(1+$O$1)</f>
        <v>394371.800726687</v>
      </c>
      <c r="H179" s="15" t="n">
        <f aca="false">I179/G179</f>
        <v>15475.914357024</v>
      </c>
      <c r="I179" s="0" t="n">
        <f aca="false">I178</f>
        <v>6103264212.87154</v>
      </c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Y179" s="122"/>
      <c r="AA179" s="104"/>
      <c r="AB179" s="104"/>
      <c r="AC179" s="104"/>
    </row>
    <row r="180" customFormat="false" ht="15" hidden="false" customHeight="false" outlineLevel="0" collapsed="false">
      <c r="F180" s="99" t="n">
        <f aca="false">H180/G180</f>
        <v>0.0373510429805551</v>
      </c>
      <c r="G180" s="52" t="n">
        <f aca="false">G179*(1+$O$1)</f>
        <v>404231.095744854</v>
      </c>
      <c r="H180" s="15" t="n">
        <f aca="false">I180/G180</f>
        <v>15098.4530312429</v>
      </c>
      <c r="I180" s="0" t="n">
        <f aca="false">I179</f>
        <v>6103264212.87154</v>
      </c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Y180" s="122"/>
      <c r="AA180" s="104"/>
      <c r="AB180" s="104"/>
      <c r="AC180" s="104"/>
    </row>
    <row r="181" customFormat="false" ht="15" hidden="false" customHeight="false" outlineLevel="0" collapsed="false">
      <c r="F181" s="99" t="n">
        <f aca="false">H181/G181</f>
        <v>0.0355512604217062</v>
      </c>
      <c r="G181" s="52" t="n">
        <f aca="false">G180*(1+$O$1)</f>
        <v>414336.873138476</v>
      </c>
      <c r="H181" s="15" t="n">
        <f aca="false">I181/G181</f>
        <v>14730.1980792614</v>
      </c>
      <c r="I181" s="0" t="n">
        <f aca="false">I180</f>
        <v>6103264212.87154</v>
      </c>
      <c r="J181" s="85"/>
      <c r="K181" s="85"/>
      <c r="L181" s="85"/>
      <c r="M181" s="85"/>
      <c r="N181" s="85"/>
      <c r="O181" s="85"/>
      <c r="P181" s="85"/>
      <c r="Q181" s="85"/>
      <c r="R181" s="85"/>
      <c r="S181" s="85"/>
      <c r="Y181" s="122"/>
      <c r="AA181" s="104"/>
      <c r="AB181" s="104"/>
      <c r="AC181" s="104"/>
    </row>
    <row r="182" customFormat="false" ht="15" hidden="false" customHeight="false" outlineLevel="0" collapsed="false">
      <c r="F182" s="99" t="n">
        <f aca="false">H182/G182</f>
        <v>0.0338382014721772</v>
      </c>
      <c r="G182" s="52" t="n">
        <f aca="false">G181*(1+$O$1)</f>
        <v>424695.294966937</v>
      </c>
      <c r="H182" s="15" t="n">
        <f aca="false">I182/G182</f>
        <v>14370.924955377</v>
      </c>
      <c r="I182" s="0" t="n">
        <f aca="false">I181</f>
        <v>6103264212.87154</v>
      </c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Y182" s="122"/>
      <c r="AA182" s="104"/>
      <c r="AB182" s="104"/>
      <c r="AC182" s="104"/>
    </row>
    <row r="183" customFormat="false" ht="15" hidden="false" customHeight="false" outlineLevel="0" collapsed="false">
      <c r="F183" s="99" t="n">
        <f aca="false">H183/G183</f>
        <v>0.0322076873024887</v>
      </c>
      <c r="G183" s="52" t="n">
        <f aca="false">G182*(1+$O$1)</f>
        <v>435312.677341111</v>
      </c>
      <c r="H183" s="15" t="n">
        <f aca="false">I183/G183</f>
        <v>14020.4145906117</v>
      </c>
      <c r="I183" s="0" t="n">
        <f aca="false">I182</f>
        <v>6103264212.87154</v>
      </c>
      <c r="J183" s="85"/>
      <c r="K183" s="85"/>
      <c r="L183" s="85"/>
      <c r="M183" s="85"/>
      <c r="N183" s="85"/>
      <c r="O183" s="85"/>
      <c r="P183" s="85"/>
      <c r="Q183" s="85"/>
      <c r="R183" s="85"/>
      <c r="S183" s="85"/>
      <c r="Y183" s="122"/>
      <c r="AA183" s="104"/>
      <c r="AB183" s="104"/>
      <c r="AC183" s="104"/>
    </row>
    <row r="184" customFormat="false" ht="15" hidden="false" customHeight="false" outlineLevel="0" collapsed="false">
      <c r="F184" s="99" t="n">
        <f aca="false">H184/G184</f>
        <v>0.030655740442583</v>
      </c>
      <c r="G184" s="52" t="n">
        <f aca="false">G183*(1+$O$1)</f>
        <v>446195.494274638</v>
      </c>
      <c r="H184" s="15" t="n">
        <f aca="false">I184/G184</f>
        <v>13678.4532591333</v>
      </c>
      <c r="I184" s="0" t="n">
        <f aca="false">I183</f>
        <v>6103264212.87154</v>
      </c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Y184" s="122"/>
      <c r="AA184" s="104"/>
      <c r="AB184" s="104"/>
      <c r="AC184" s="104"/>
    </row>
    <row r="185" customFormat="false" ht="15" hidden="false" customHeight="false" outlineLevel="0" collapsed="false">
      <c r="F185" s="99" t="n">
        <f aca="false">H185/G185</f>
        <v>0.0291785750791986</v>
      </c>
      <c r="G185" s="52" t="n">
        <f aca="false">G184*(1+$O$1)</f>
        <v>457350.381631504</v>
      </c>
      <c r="H185" s="15" t="n">
        <f aca="false">I185/G185</f>
        <v>13344.832447935</v>
      </c>
      <c r="I185" s="0" t="n">
        <f aca="false">I184</f>
        <v>6103264212.87154</v>
      </c>
      <c r="J185" s="85"/>
      <c r="K185" s="85"/>
      <c r="L185" s="85"/>
      <c r="M185" s="85"/>
      <c r="N185" s="85"/>
      <c r="O185" s="85"/>
      <c r="P185" s="85"/>
      <c r="Q185" s="85"/>
      <c r="R185" s="85"/>
      <c r="S185" s="85"/>
      <c r="Y185" s="122"/>
      <c r="AA185" s="104"/>
      <c r="AB185" s="104"/>
      <c r="AC185" s="104"/>
    </row>
    <row r="186" customFormat="false" ht="15" hidden="false" customHeight="false" outlineLevel="0" collapsed="false">
      <c r="F186" s="99" t="n">
        <f aca="false">H186/G186</f>
        <v>0.027772587820772</v>
      </c>
      <c r="G186" s="52" t="n">
        <f aca="false">G185*(1+$O$1)</f>
        <v>468784.141172292</v>
      </c>
      <c r="H186" s="15" t="n">
        <f aca="false">I186/G186</f>
        <v>13019.3487296927</v>
      </c>
      <c r="I186" s="0" t="n">
        <f aca="false">I185</f>
        <v>6103264212.87154</v>
      </c>
      <c r="J186" s="85"/>
      <c r="K186" s="85"/>
      <c r="L186" s="85"/>
      <c r="M186" s="85"/>
      <c r="N186" s="85"/>
      <c r="O186" s="85"/>
      <c r="P186" s="85"/>
      <c r="Q186" s="85"/>
      <c r="R186" s="85"/>
      <c r="S186" s="85"/>
      <c r="Y186" s="122"/>
      <c r="AA186" s="104"/>
      <c r="AB186" s="104"/>
      <c r="AC186" s="104"/>
    </row>
    <row r="187" customFormat="false" ht="15" hidden="false" customHeight="false" outlineLevel="0" collapsed="false">
      <c r="F187" s="99" t="n">
        <f aca="false">H187/G187</f>
        <v>0.026434348907338</v>
      </c>
      <c r="G187" s="52" t="n">
        <f aca="false">G186*(1+$O$1)</f>
        <v>480503.744701599</v>
      </c>
      <c r="H187" s="15" t="n">
        <f aca="false">I187/G187</f>
        <v>12701.8036387245</v>
      </c>
      <c r="I187" s="0" t="n">
        <f aca="false">I186</f>
        <v>6103264212.87154</v>
      </c>
      <c r="J187" s="85"/>
      <c r="K187" s="85"/>
      <c r="L187" s="85"/>
      <c r="M187" s="85"/>
      <c r="N187" s="85"/>
      <c r="O187" s="85"/>
      <c r="P187" s="85"/>
      <c r="Q187" s="85"/>
      <c r="R187" s="85"/>
      <c r="S187" s="85"/>
      <c r="Y187" s="122"/>
      <c r="AA187" s="104"/>
      <c r="AB187" s="104"/>
      <c r="AC187" s="104"/>
    </row>
    <row r="188" customFormat="false" ht="15" hidden="false" customHeight="false" outlineLevel="0" collapsed="false">
      <c r="F188" s="99" t="n">
        <f aca="false">H188/G188</f>
        <v>0.0251605938439862</v>
      </c>
      <c r="G188" s="52" t="n">
        <f aca="false">G187*(1+$O$1)</f>
        <v>492516.338319139</v>
      </c>
      <c r="H188" s="15" t="n">
        <f aca="false">I188/G188</f>
        <v>12392.0035499752</v>
      </c>
      <c r="I188" s="0" t="n">
        <f aca="false">I187</f>
        <v>6103264212.87154</v>
      </c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Y188" s="122"/>
      <c r="AA188" s="104"/>
      <c r="AB188" s="104"/>
      <c r="AC188" s="104"/>
    </row>
    <row r="189" customFormat="false" ht="15" hidden="false" customHeight="false" outlineLevel="0" collapsed="false">
      <c r="F189" s="99" t="n">
        <f aca="false">H189/G189</f>
        <v>0.0239482154374646</v>
      </c>
      <c r="G189" s="52" t="n">
        <f aca="false">G188*(1+$O$1)</f>
        <v>504829.246777118</v>
      </c>
      <c r="H189" s="15" t="n">
        <f aca="false">I189/G189</f>
        <v>12089.7595609514</v>
      </c>
      <c r="I189" s="0" t="n">
        <f aca="false">I188</f>
        <v>6103264212.87154</v>
      </c>
      <c r="J189" s="85"/>
      <c r="K189" s="85"/>
      <c r="L189" s="85"/>
      <c r="M189" s="85"/>
      <c r="N189" s="85"/>
      <c r="O189" s="85"/>
      <c r="P189" s="85"/>
      <c r="Q189" s="85"/>
      <c r="R189" s="85"/>
      <c r="S189" s="85"/>
      <c r="Y189" s="122"/>
      <c r="AA189" s="104"/>
      <c r="AB189" s="104"/>
      <c r="AC189" s="104"/>
    </row>
    <row r="190" customFormat="false" ht="15" hidden="false" customHeight="false" outlineLevel="0" collapsed="false">
      <c r="F190" s="99" t="n">
        <f aca="false">H190/G190</f>
        <v>0.0227942562165041</v>
      </c>
      <c r="G190" s="52" t="n">
        <f aca="false">G189*(1+$O$1)</f>
        <v>517449.977946546</v>
      </c>
      <c r="H190" s="15" t="n">
        <f aca="false">I190/G190</f>
        <v>11794.8873765379</v>
      </c>
      <c r="I190" s="0" t="n">
        <f aca="false">I189</f>
        <v>6103264212.87154</v>
      </c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Y190" s="122"/>
      <c r="AA190" s="104"/>
      <c r="AB190" s="104"/>
      <c r="AC190" s="104"/>
    </row>
    <row r="191" customFormat="false" ht="15" hidden="false" customHeight="false" outlineLevel="0" collapsed="false">
      <c r="F191" s="99" t="n">
        <f aca="false">H191/G191</f>
        <v>0.0216959012173745</v>
      </c>
      <c r="G191" s="52" t="n">
        <f aca="false">G190*(1+$O$1)</f>
        <v>530386.227395209</v>
      </c>
      <c r="H191" s="15" t="n">
        <f aca="false">I191/G191</f>
        <v>11507.2071966224</v>
      </c>
      <c r="I191" s="0" t="n">
        <f aca="false">I190</f>
        <v>6103264212.87154</v>
      </c>
      <c r="J191" s="85"/>
      <c r="K191" s="85"/>
      <c r="L191" s="85"/>
      <c r="M191" s="85"/>
      <c r="N191" s="85"/>
      <c r="O191" s="85"/>
      <c r="P191" s="85"/>
      <c r="Q191" s="85"/>
      <c r="R191" s="85"/>
      <c r="S191" s="85"/>
      <c r="Y191" s="122"/>
      <c r="AA191" s="104"/>
      <c r="AB191" s="104"/>
      <c r="AC191" s="104"/>
    </row>
    <row r="192" customFormat="false" ht="15" hidden="false" customHeight="false" outlineLevel="0" collapsed="false">
      <c r="F192" s="99" t="n">
        <f aca="false">H192/G192</f>
        <v>0.0206504711170727</v>
      </c>
      <c r="G192" s="52" t="n">
        <f aca="false">G191*(1+$O$1)</f>
        <v>543645.883080089</v>
      </c>
      <c r="H192" s="15" t="n">
        <f aca="false">I192/G192</f>
        <v>11226.5436064609</v>
      </c>
      <c r="I192" s="0" t="n">
        <f aca="false">I191</f>
        <v>6103264212.87154</v>
      </c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Y192" s="122"/>
      <c r="AA192" s="104"/>
      <c r="AB192" s="104"/>
      <c r="AC192" s="104"/>
    </row>
    <row r="193" customFormat="false" ht="15" hidden="false" customHeight="false" outlineLevel="0" collapsed="false">
      <c r="F193" s="99" t="n">
        <f aca="false">H193/G193</f>
        <v>0.0196554156973922</v>
      </c>
      <c r="G193" s="52" t="n">
        <f aca="false">G192*(1+$O$1)</f>
        <v>557237.030157091</v>
      </c>
      <c r="H193" s="15" t="n">
        <f aca="false">I193/G193</f>
        <v>10952.7254697179</v>
      </c>
      <c r="I193" s="0" t="n">
        <f aca="false">I192</f>
        <v>6103264212.87154</v>
      </c>
      <c r="J193" s="85"/>
      <c r="K193" s="85"/>
      <c r="L193" s="85"/>
      <c r="M193" s="85"/>
      <c r="N193" s="85"/>
      <c r="O193" s="85"/>
      <c r="P193" s="85"/>
      <c r="Q193" s="85"/>
      <c r="R193" s="85"/>
      <c r="S193" s="85"/>
      <c r="Y193" s="122"/>
      <c r="AA193" s="104"/>
      <c r="AB193" s="104"/>
      <c r="AC193" s="104"/>
    </row>
    <row r="194" customFormat="false" ht="15" hidden="false" customHeight="false" outlineLevel="0" collapsed="false">
      <c r="F194" s="99" t="n">
        <f aca="false">H194/G194</f>
        <v>0.0187083076239307</v>
      </c>
      <c r="G194" s="52" t="n">
        <f aca="false">G193*(1+$O$1)</f>
        <v>571167.955911019</v>
      </c>
      <c r="H194" s="15" t="n">
        <f aca="false">I194/G194</f>
        <v>10685.585824115</v>
      </c>
      <c r="I194" s="0" t="n">
        <f aca="false">I193</f>
        <v>6103264212.87154</v>
      </c>
      <c r="J194" s="85"/>
      <c r="K194" s="85"/>
      <c r="L194" s="85"/>
      <c r="M194" s="85"/>
      <c r="N194" s="85"/>
      <c r="O194" s="85"/>
      <c r="P194" s="85"/>
      <c r="Q194" s="85"/>
      <c r="R194" s="85"/>
      <c r="S194" s="85"/>
      <c r="Y194" s="122"/>
      <c r="AA194" s="104"/>
      <c r="AB194" s="104"/>
      <c r="AC194" s="104"/>
    </row>
    <row r="195" customFormat="false" ht="15" hidden="false" customHeight="false" outlineLevel="0" collapsed="false">
      <c r="F195" s="99" t="n">
        <f aca="false">H195/G195</f>
        <v>0.0178068365248597</v>
      </c>
      <c r="G195" s="52" t="n">
        <f aca="false">G194*(1+$O$1)</f>
        <v>585447.154808794</v>
      </c>
      <c r="H195" s="15" t="n">
        <f aca="false">I195/G195</f>
        <v>10424.9617796244</v>
      </c>
      <c r="I195" s="0" t="n">
        <f aca="false">I194</f>
        <v>6103264212.87154</v>
      </c>
      <c r="J195" s="85"/>
      <c r="K195" s="85"/>
      <c r="L195" s="85"/>
      <c r="M195" s="85"/>
      <c r="N195" s="85"/>
      <c r="O195" s="85"/>
      <c r="P195" s="85"/>
      <c r="Q195" s="85"/>
      <c r="R195" s="85"/>
      <c r="S195" s="85"/>
      <c r="Y195" s="122"/>
      <c r="AA195" s="104"/>
      <c r="AB195" s="104"/>
      <c r="AC195" s="104"/>
    </row>
    <row r="196" customFormat="false" ht="15" hidden="false" customHeight="false" outlineLevel="0" collapsed="false">
      <c r="F196" s="99" t="n">
        <f aca="false">H196/G196</f>
        <v>0.0169488033550122</v>
      </c>
      <c r="G196" s="52" t="n">
        <f aca="false">G195*(1+$O$1)</f>
        <v>600083.333679014</v>
      </c>
      <c r="H196" s="15" t="n">
        <f aca="false">I196/G196</f>
        <v>10170.6944191458</v>
      </c>
      <c r="I196" s="0" t="n">
        <f aca="false">I195</f>
        <v>6103264212.87154</v>
      </c>
      <c r="J196" s="85"/>
      <c r="K196" s="85"/>
      <c r="L196" s="85"/>
      <c r="M196" s="85"/>
      <c r="N196" s="85"/>
      <c r="O196" s="85"/>
      <c r="P196" s="85"/>
      <c r="Q196" s="85"/>
      <c r="R196" s="85"/>
      <c r="S196" s="85"/>
      <c r="Y196" s="122"/>
      <c r="AA196" s="104"/>
      <c r="AB196" s="104"/>
      <c r="AC196" s="104"/>
    </row>
    <row r="197" customFormat="false" ht="15" hidden="false" customHeight="false" outlineLevel="0" collapsed="false">
      <c r="F197" s="99" t="n">
        <f aca="false">H197/G197</f>
        <v>0.0161321150315405</v>
      </c>
      <c r="G197" s="52" t="n">
        <f aca="false">G196*(1+$O$1)</f>
        <v>615085.417020989</v>
      </c>
      <c r="H197" s="15" t="n">
        <f aca="false">I197/G197</f>
        <v>9922.62870160564</v>
      </c>
      <c r="I197" s="0" t="n">
        <f aca="false">I196</f>
        <v>6103264212.87154</v>
      </c>
      <c r="J197" s="85"/>
      <c r="K197" s="85"/>
      <c r="L197" s="85"/>
      <c r="M197" s="85"/>
      <c r="N197" s="85"/>
      <c r="O197" s="85"/>
      <c r="P197" s="85"/>
      <c r="Q197" s="85"/>
      <c r="R197" s="85"/>
      <c r="S197" s="85"/>
      <c r="Y197" s="122"/>
      <c r="AA197" s="104"/>
      <c r="AB197" s="104"/>
      <c r="AC197" s="104"/>
    </row>
    <row r="198" customFormat="false" ht="15" hidden="false" customHeight="false" outlineLevel="0" collapsed="false">
      <c r="F198" s="99" t="n">
        <f aca="false">H198/G198</f>
        <v>0.0153547793280576</v>
      </c>
      <c r="G198" s="52" t="n">
        <f aca="false">G197*(1+$O$1)</f>
        <v>630462.552446514</v>
      </c>
      <c r="H198" s="15" t="n">
        <f aca="false">I198/G198</f>
        <v>9680.61336742014</v>
      </c>
      <c r="I198" s="0" t="n">
        <f aca="false">I197</f>
        <v>6103264212.87154</v>
      </c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Y198" s="122"/>
      <c r="AA198" s="104"/>
      <c r="AB198" s="104"/>
      <c r="AC198" s="104"/>
    </row>
    <row r="199" customFormat="false" ht="15" hidden="false" customHeight="false" outlineLevel="0" collapsed="false">
      <c r="F199" s="99" t="n">
        <f aca="false">H199/G199</f>
        <v>0.0146149000148079</v>
      </c>
      <c r="G199" s="52" t="n">
        <f aca="false">G198*(1+$O$1)</f>
        <v>646224.116257677</v>
      </c>
      <c r="H199" s="15" t="n">
        <f aca="false">I199/G199</f>
        <v>9444.50084626355</v>
      </c>
      <c r="I199" s="0" t="n">
        <f aca="false">I198</f>
        <v>6103264212.87154</v>
      </c>
      <c r="J199" s="85"/>
      <c r="K199" s="85"/>
      <c r="L199" s="85"/>
      <c r="M199" s="85"/>
      <c r="N199" s="85"/>
      <c r="O199" s="85"/>
      <c r="P199" s="85"/>
      <c r="Q199" s="85"/>
      <c r="R199" s="85"/>
      <c r="S199" s="85"/>
      <c r="Y199" s="122"/>
      <c r="AA199" s="104"/>
      <c r="AB199" s="104"/>
      <c r="AC199" s="104"/>
    </row>
    <row r="200" customFormat="false" ht="15" hidden="false" customHeight="false" outlineLevel="0" collapsed="false">
      <c r="F200" s="99" t="n">
        <f aca="false">H200/G200</f>
        <v>0.0139106722330117</v>
      </c>
      <c r="G200" s="52" t="n">
        <f aca="false">G199*(1+$O$1)</f>
        <v>662379.719164119</v>
      </c>
      <c r="H200" s="15" t="n">
        <f aca="false">I200/G200</f>
        <v>9214.14716708639</v>
      </c>
      <c r="I200" s="0" t="n">
        <f aca="false">I199</f>
        <v>6103264212.87154</v>
      </c>
      <c r="J200" s="85"/>
      <c r="K200" s="85"/>
      <c r="L200" s="85"/>
      <c r="M200" s="85"/>
      <c r="N200" s="85"/>
      <c r="O200" s="85"/>
      <c r="P200" s="85"/>
      <c r="Q200" s="85"/>
      <c r="R200" s="85"/>
      <c r="S200" s="85"/>
      <c r="Y200" s="122"/>
      <c r="AA200" s="104"/>
      <c r="AB200" s="104"/>
      <c r="AC200" s="104"/>
    </row>
    <row r="201" customFormat="false" ht="15" hidden="false" customHeight="false" outlineLevel="0" collapsed="false">
      <c r="F201" s="99" t="n">
        <f aca="false">H201/G201</f>
        <v>0.0132403780920992</v>
      </c>
      <c r="G201" s="52" t="n">
        <f aca="false">G200*(1+$O$1)</f>
        <v>678939.212143222</v>
      </c>
      <c r="H201" s="15" t="n">
        <f aca="false">I201/G201</f>
        <v>8989.41187032818</v>
      </c>
      <c r="I201" s="0" t="n">
        <f aca="false">I200</f>
        <v>6103264212.87154</v>
      </c>
      <c r="J201" s="85"/>
      <c r="K201" s="85"/>
      <c r="L201" s="85"/>
      <c r="M201" s="85"/>
      <c r="N201" s="85"/>
      <c r="O201" s="85"/>
      <c r="P201" s="85"/>
      <c r="Q201" s="85"/>
      <c r="R201" s="85"/>
      <c r="S201" s="85"/>
      <c r="Y201" s="122"/>
      <c r="AA201" s="104"/>
      <c r="AB201" s="104"/>
      <c r="AC201" s="104"/>
    </row>
    <row r="202" customFormat="false" ht="15" hidden="false" customHeight="false" outlineLevel="0" collapsed="false">
      <c r="F202" s="99" t="n">
        <f aca="false">H202/G202</f>
        <v>0.012602382479095</v>
      </c>
      <c r="G202" s="52" t="n">
        <f aca="false">G201*(1+$O$1)</f>
        <v>695912.692446802</v>
      </c>
      <c r="H202" s="15" t="n">
        <f aca="false">I202/G202</f>
        <v>8770.1579222714</v>
      </c>
      <c r="I202" s="0" t="n">
        <f aca="false">I201</f>
        <v>6103264212.87154</v>
      </c>
      <c r="J202" s="85"/>
      <c r="K202" s="85"/>
      <c r="L202" s="85"/>
      <c r="M202" s="85"/>
      <c r="N202" s="85"/>
      <c r="O202" s="85"/>
      <c r="P202" s="85"/>
      <c r="Q202" s="85"/>
      <c r="R202" s="85"/>
      <c r="S202" s="85"/>
      <c r="Y202" s="122"/>
      <c r="AA202" s="104"/>
      <c r="AB202" s="104"/>
      <c r="AC202" s="104"/>
    </row>
    <row r="203" customFormat="false" ht="15" hidden="false" customHeight="false" outlineLevel="0" collapsed="false">
      <c r="F203" s="99" t="n">
        <f aca="false">H203/G203</f>
        <v>0.0119951290699298</v>
      </c>
      <c r="G203" s="52" t="n">
        <f aca="false">G202*(1+$O$1)</f>
        <v>713310.509757972</v>
      </c>
      <c r="H203" s="15" t="n">
        <f aca="false">I203/G203</f>
        <v>8556.25163148429</v>
      </c>
      <c r="I203" s="0" t="n">
        <f aca="false">I202</f>
        <v>6103264212.87154</v>
      </c>
      <c r="J203" s="85"/>
      <c r="K203" s="85"/>
      <c r="L203" s="85"/>
      <c r="M203" s="85"/>
      <c r="N203" s="85"/>
      <c r="O203" s="85"/>
      <c r="P203" s="85"/>
      <c r="Q203" s="85"/>
      <c r="R203" s="85"/>
      <c r="S203" s="85"/>
      <c r="Y203" s="122"/>
      <c r="AA203" s="104"/>
      <c r="AB203" s="104"/>
      <c r="AC203" s="104"/>
    </row>
    <row r="204" customFormat="false" ht="15" hidden="false" customHeight="false" outlineLevel="0" collapsed="false">
      <c r="F204" s="99" t="n">
        <f aca="false">H204/G204</f>
        <v>0.0114171365329492</v>
      </c>
      <c r="G204" s="52" t="n">
        <f aca="false">G203*(1+$O$1)</f>
        <v>731143.272501921</v>
      </c>
      <c r="H204" s="15" t="n">
        <f aca="false">I204/G204</f>
        <v>8347.56256730175</v>
      </c>
      <c r="I204" s="0" t="n">
        <f aca="false">I203</f>
        <v>6103264212.87154</v>
      </c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Y204" s="122"/>
      <c r="AA204" s="104"/>
      <c r="AB204" s="104"/>
      <c r="AC204" s="104"/>
    </row>
    <row r="205" customFormat="false" ht="15" hidden="false" customHeight="false" outlineLevel="0" collapsed="false">
      <c r="F205" s="99" t="n">
        <f aca="false">H205/G205</f>
        <v>0.0108669949153592</v>
      </c>
      <c r="G205" s="52" t="n">
        <f aca="false">G204*(1+$O$1)</f>
        <v>749421.854314469</v>
      </c>
      <c r="H205" s="15" t="n">
        <f aca="false">I205/G205</f>
        <v>8143.96348029439</v>
      </c>
      <c r="I205" s="0" t="n">
        <f aca="false">I204</f>
        <v>6103264212.87154</v>
      </c>
      <c r="J205" s="85"/>
      <c r="K205" s="85"/>
      <c r="L205" s="85"/>
      <c r="M205" s="85"/>
      <c r="N205" s="85"/>
      <c r="O205" s="85"/>
      <c r="P205" s="85"/>
      <c r="Q205" s="85"/>
      <c r="R205" s="85"/>
      <c r="S205" s="85"/>
      <c r="Y205" s="122"/>
      <c r="AA205" s="104"/>
      <c r="AB205" s="104"/>
      <c r="AC205" s="104"/>
    </row>
    <row r="206" customFormat="false" ht="15" hidden="false" customHeight="false" outlineLevel="0" collapsed="false">
      <c r="F206" s="99" t="n">
        <f aca="false">H206/G206</f>
        <v>0.0103433622037922</v>
      </c>
      <c r="G206" s="52" t="n">
        <f aca="false">G205*(1+$O$1)</f>
        <v>768157.400672331</v>
      </c>
      <c r="H206" s="15" t="n">
        <f aca="false">I206/G206</f>
        <v>7945.33022467745</v>
      </c>
      <c r="I206" s="0" t="n">
        <f aca="false">I205</f>
        <v>6103264212.87154</v>
      </c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Y206" s="122"/>
      <c r="AA206" s="104"/>
      <c r="AB206" s="104"/>
      <c r="AC206" s="104"/>
    </row>
    <row r="207" customFormat="false" ht="15" hidden="false" customHeight="false" outlineLevel="0" collapsed="false">
      <c r="F207" s="99" t="n">
        <f aca="false">H207/G207</f>
        <v>0.00984496105060531</v>
      </c>
      <c r="G207" s="52" t="n">
        <f aca="false">G206*(1+$O$1)</f>
        <v>787361.335689139</v>
      </c>
      <c r="H207" s="15" t="n">
        <f aca="false">I207/G207</f>
        <v>7751.54168261215</v>
      </c>
      <c r="I207" s="0" t="n">
        <f aca="false">I206</f>
        <v>6103264212.87154</v>
      </c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Y207" s="122"/>
      <c r="AA207" s="104"/>
      <c r="AB207" s="104"/>
      <c r="AC207" s="104"/>
    </row>
    <row r="208" customFormat="false" ht="15" hidden="false" customHeight="false" outlineLevel="0" collapsed="false">
      <c r="F208" s="99" t="n">
        <f aca="false">H208/G208</f>
        <v>0.00937057565792296</v>
      </c>
      <c r="G208" s="52" t="n">
        <f aca="false">G207*(1+$O$1)</f>
        <v>807045.369081368</v>
      </c>
      <c r="H208" s="15" t="n">
        <f aca="false">I208/G208</f>
        <v>7562.47969035332</v>
      </c>
      <c r="I208" s="0" t="n">
        <f aca="false">I207</f>
        <v>6103264212.87154</v>
      </c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Y208" s="122"/>
      <c r="AA208" s="104"/>
      <c r="AB208" s="104"/>
      <c r="AC208" s="104"/>
    </row>
    <row r="209" customFormat="false" ht="15" hidden="false" customHeight="false" outlineLevel="0" collapsed="false">
      <c r="F209" s="99" t="n">
        <f aca="false">H209/G209</f>
        <v>0.00891904881182436</v>
      </c>
      <c r="G209" s="52" t="n">
        <f aca="false">G208*(1+$O$1)</f>
        <v>827221.503308402</v>
      </c>
      <c r="H209" s="15" t="n">
        <f aca="false">I209/G209</f>
        <v>7378.02896619836</v>
      </c>
      <c r="I209" s="0" t="n">
        <f aca="false">I208</f>
        <v>6103264212.87154</v>
      </c>
      <c r="J209" s="85"/>
      <c r="K209" s="85"/>
      <c r="L209" s="85"/>
      <c r="M209" s="85"/>
      <c r="N209" s="85"/>
      <c r="O209" s="85"/>
      <c r="P209" s="85"/>
      <c r="Q209" s="85"/>
      <c r="R209" s="85"/>
      <c r="S209" s="85"/>
      <c r="Y209" s="122"/>
      <c r="AA209" s="104"/>
      <c r="AB209" s="104"/>
      <c r="AC209" s="104"/>
    </row>
    <row r="210" customFormat="false" ht="15" hidden="false" customHeight="false" outlineLevel="0" collapsed="false">
      <c r="F210" s="99" t="n">
        <f aca="false">H210/G210</f>
        <v>0.0084892790594402</v>
      </c>
      <c r="G210" s="52" t="n">
        <f aca="false">G209*(1+$O$1)</f>
        <v>847902.040891112</v>
      </c>
      <c r="H210" s="15" t="n">
        <f aca="false">I210/G210</f>
        <v>7198.07704019352</v>
      </c>
      <c r="I210" s="0" t="n">
        <f aca="false">I209</f>
        <v>6103264212.87154</v>
      </c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Y210" s="122"/>
      <c r="AA210" s="104"/>
      <c r="AB210" s="104"/>
      <c r="AC210" s="104"/>
    </row>
    <row r="211" customFormat="false" ht="15" hidden="false" customHeight="false" outlineLevel="0" collapsed="false">
      <c r="F211" s="99" t="n">
        <f aca="false">H211/G211</f>
        <v>0.00808021802207277</v>
      </c>
      <c r="G211" s="52" t="n">
        <f aca="false">G210*(1+$O$1)</f>
        <v>869099.591913389</v>
      </c>
      <c r="H211" s="15" t="n">
        <f aca="false">I211/G211</f>
        <v>7022.51418555466</v>
      </c>
      <c r="I211" s="0" t="n">
        <f aca="false">I210</f>
        <v>6103264212.87154</v>
      </c>
      <c r="J211" s="85"/>
      <c r="K211" s="85"/>
      <c r="L211" s="85"/>
      <c r="M211" s="85"/>
      <c r="N211" s="85"/>
      <c r="O211" s="85"/>
      <c r="P211" s="85"/>
      <c r="Q211" s="85"/>
      <c r="R211" s="85"/>
      <c r="S211" s="85"/>
      <c r="Y211" s="122"/>
      <c r="AA211" s="104"/>
      <c r="AB211" s="104"/>
      <c r="AC211" s="104"/>
    </row>
    <row r="212" customFormat="false" ht="15" hidden="false" customHeight="false" outlineLevel="0" collapsed="false">
      <c r="F212" s="99" t="n">
        <f aca="false">H212/G212</f>
        <v>0.00769086783778491</v>
      </c>
      <c r="G212" s="52" t="n">
        <f aca="false">G211*(1+$O$1)</f>
        <v>890827.081711224</v>
      </c>
      <c r="H212" s="15" t="n">
        <f aca="false">I212/G212</f>
        <v>6851.23335176064</v>
      </c>
      <c r="I212" s="0" t="n">
        <f aca="false">I211</f>
        <v>6103264212.87154</v>
      </c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Y212" s="122"/>
      <c r="AA212" s="104"/>
      <c r="AB212" s="104"/>
      <c r="AC212" s="104"/>
    </row>
    <row r="213" customFormat="false" ht="15" hidden="false" customHeight="false" outlineLevel="0" collapsed="false">
      <c r="F213" s="99" t="n">
        <f aca="false">H213/G213</f>
        <v>0.00732027872721943</v>
      </c>
      <c r="G213" s="52" t="n">
        <f aca="false">G212*(1+$O$1)</f>
        <v>913097.758754005</v>
      </c>
      <c r="H213" s="15" t="n">
        <f aca="false">I213/G213</f>
        <v>6684.13009927868</v>
      </c>
      <c r="I213" s="0" t="n">
        <f aca="false">I212</f>
        <v>6103264212.87154</v>
      </c>
      <c r="J213" s="85"/>
      <c r="K213" s="85"/>
      <c r="L213" s="85"/>
      <c r="M213" s="85"/>
      <c r="N213" s="85"/>
      <c r="O213" s="85"/>
      <c r="P213" s="85"/>
      <c r="Q213" s="85"/>
      <c r="R213" s="85"/>
      <c r="S213" s="85"/>
      <c r="Y213" s="122"/>
      <c r="AA213" s="104"/>
      <c r="AB213" s="104"/>
      <c r="AC213" s="104"/>
    </row>
    <row r="214" customFormat="false" ht="15" hidden="false" customHeight="false" outlineLevel="0" collapsed="false">
      <c r="F214" s="99" t="n">
        <f aca="false">H214/G214</f>
        <v>0.00696754667671094</v>
      </c>
      <c r="G214" s="52" t="n">
        <f aca="false">G213*(1+$O$1)</f>
        <v>935925.202722855</v>
      </c>
      <c r="H214" s="15" t="n">
        <f aca="false">I214/G214</f>
        <v>6521.10253588164</v>
      </c>
      <c r="I214" s="0" t="n">
        <f aca="false">I213</f>
        <v>6103264212.87154</v>
      </c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Y214" s="122"/>
      <c r="AA214" s="104"/>
      <c r="AB214" s="104"/>
      <c r="AC214" s="104"/>
    </row>
    <row r="215" customFormat="false" ht="15" hidden="false" customHeight="false" outlineLevel="0" collapsed="false">
      <c r="F215" s="99" t="n">
        <f aca="false">H215/G215</f>
        <v>0.00663181123303837</v>
      </c>
      <c r="G215" s="52" t="n">
        <f aca="false">G214*(1+$O$1)</f>
        <v>959323.332790926</v>
      </c>
      <c r="H215" s="15" t="n">
        <f aca="false">I215/G215</f>
        <v>6362.05125451867</v>
      </c>
      <c r="I215" s="0" t="n">
        <f aca="false">I214</f>
        <v>6103264212.87154</v>
      </c>
      <c r="J215" s="85"/>
      <c r="K215" s="85"/>
      <c r="L215" s="85"/>
      <c r="M215" s="85"/>
      <c r="N215" s="85"/>
      <c r="O215" s="85"/>
      <c r="P215" s="85"/>
      <c r="Q215" s="85"/>
      <c r="R215" s="85"/>
      <c r="S215" s="85"/>
      <c r="Y215" s="122"/>
      <c r="AA215" s="104"/>
      <c r="AB215" s="104"/>
      <c r="AC215" s="104"/>
    </row>
    <row r="216" customFormat="false" ht="15" hidden="false" customHeight="false" outlineLevel="0" collapsed="false">
      <c r="F216" s="99" t="n">
        <f aca="false">H216/G216</f>
        <v>0.00631225340443866</v>
      </c>
      <c r="G216" s="52" t="n">
        <f aca="false">G215*(1+$O$1)</f>
        <v>983306.416110699</v>
      </c>
      <c r="H216" s="15" t="n">
        <f aca="false">I216/G216</f>
        <v>6206.87927270114</v>
      </c>
      <c r="I216" s="0" t="n">
        <f aca="false">I215</f>
        <v>6103264212.87154</v>
      </c>
      <c r="J216" s="85"/>
      <c r="K216" s="85"/>
      <c r="L216" s="85"/>
      <c r="M216" s="85"/>
      <c r="N216" s="85"/>
      <c r="O216" s="85"/>
      <c r="P216" s="85"/>
      <c r="Q216" s="85"/>
      <c r="R216" s="85"/>
      <c r="S216" s="85"/>
      <c r="Y216" s="122"/>
      <c r="AA216" s="104"/>
      <c r="AB216" s="104"/>
      <c r="AC216" s="104"/>
    </row>
    <row r="217" customFormat="false" ht="15" hidden="false" customHeight="false" outlineLevel="0" collapsed="false">
      <c r="F217" s="99" t="n">
        <f aca="false">H217/G217</f>
        <v>0.00600809366276137</v>
      </c>
      <c r="G217" s="52" t="n">
        <f aca="false">G216*(1+$O$1)</f>
        <v>1007889.07651347</v>
      </c>
      <c r="H217" s="15" t="n">
        <f aca="false">I217/G217</f>
        <v>6055.49197336697</v>
      </c>
      <c r="I217" s="0" t="n">
        <f aca="false">I216</f>
        <v>6103264212.87154</v>
      </c>
      <c r="J217" s="85"/>
      <c r="K217" s="85"/>
      <c r="L217" s="85"/>
      <c r="M217" s="85"/>
      <c r="N217" s="85"/>
      <c r="O217" s="85"/>
      <c r="P217" s="85"/>
      <c r="Q217" s="85"/>
      <c r="R217" s="85"/>
      <c r="S217" s="85"/>
      <c r="Y217" s="122"/>
      <c r="AA217" s="104"/>
      <c r="AB217" s="104"/>
      <c r="AC217" s="104"/>
    </row>
    <row r="218" customFormat="false" ht="15" hidden="false" customHeight="false" outlineLevel="0" collapsed="false">
      <c r="F218" s="99" t="n">
        <f aca="false">H218/G218</f>
        <v>0.00571859004189066</v>
      </c>
      <c r="G218" s="52" t="n">
        <f aca="false">G217*(1+$O$1)</f>
        <v>1033086.3034263</v>
      </c>
      <c r="H218" s="15" t="n">
        <f aca="false">I218/G218</f>
        <v>5907.79704718729</v>
      </c>
      <c r="I218" s="0" t="n">
        <f aca="false">I217</f>
        <v>6103264212.87154</v>
      </c>
      <c r="J218" s="85"/>
      <c r="K218" s="85"/>
      <c r="L218" s="85"/>
      <c r="M218" s="85"/>
      <c r="N218" s="85"/>
      <c r="O218" s="85"/>
      <c r="P218" s="85"/>
      <c r="Q218" s="85"/>
      <c r="R218" s="85"/>
      <c r="S218" s="85"/>
      <c r="Y218" s="122"/>
      <c r="AA218" s="104"/>
      <c r="AB218" s="104"/>
      <c r="AC218" s="104"/>
    </row>
    <row r="219" customFormat="false" ht="15" hidden="false" customHeight="false" outlineLevel="0" collapsed="false">
      <c r="F219" s="99" t="n">
        <f aca="false">H219/G219</f>
        <v>0.00544303632779599</v>
      </c>
      <c r="G219" s="52" t="n">
        <f aca="false">G218*(1+$O$1)</f>
        <v>1058913.46101196</v>
      </c>
      <c r="H219" s="15" t="n">
        <f aca="false">I219/G219</f>
        <v>5763.70443628028</v>
      </c>
      <c r="I219" s="0" t="n">
        <f aca="false">I218</f>
        <v>6103264212.87154</v>
      </c>
      <c r="J219" s="85"/>
      <c r="K219" s="85"/>
      <c r="L219" s="85"/>
      <c r="M219" s="85"/>
      <c r="N219" s="85"/>
      <c r="O219" s="85"/>
      <c r="P219" s="85"/>
      <c r="Q219" s="85"/>
      <c r="R219" s="85"/>
      <c r="S219" s="85"/>
      <c r="Y219" s="122"/>
      <c r="AA219" s="104"/>
      <c r="AB219" s="104"/>
      <c r="AC219" s="104"/>
    </row>
    <row r="220" customFormat="false" ht="15" hidden="false" customHeight="false" outlineLevel="0" collapsed="false">
      <c r="F220" s="99" t="n">
        <f aca="false">H220/G220</f>
        <v>0.0051807603357963</v>
      </c>
      <c r="G220" s="52" t="n">
        <f aca="false">G219*(1+$O$1)</f>
        <v>1085386.29753726</v>
      </c>
      <c r="H220" s="15" t="n">
        <f aca="false">I220/G220</f>
        <v>5623.12627929783</v>
      </c>
      <c r="I220" s="0" t="n">
        <f aca="false">I219</f>
        <v>6103264212.87154</v>
      </c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Y220" s="122"/>
      <c r="AA220" s="104"/>
      <c r="AB220" s="104"/>
      <c r="AC220" s="104"/>
    </row>
    <row r="221" customFormat="false" ht="15" hidden="false" customHeight="false" outlineLevel="0" collapsed="false">
      <c r="F221" s="99" t="n">
        <f aca="false">H221/G221</f>
        <v>0.00493112227083527</v>
      </c>
      <c r="G221" s="52" t="n">
        <f aca="false">G220*(1+$O$1)</f>
        <v>1112520.95497569</v>
      </c>
      <c r="H221" s="15" t="n">
        <f aca="false">I221/G221</f>
        <v>5485.97685785155</v>
      </c>
      <c r="I221" s="0" t="n">
        <f aca="false">I220</f>
        <v>6103264212.87154</v>
      </c>
      <c r="J221" s="85"/>
      <c r="K221" s="85"/>
      <c r="L221" s="85"/>
      <c r="M221" s="85"/>
      <c r="N221" s="85"/>
      <c r="O221" s="85"/>
      <c r="P221" s="85"/>
      <c r="Q221" s="85"/>
      <c r="R221" s="85"/>
      <c r="S221" s="85"/>
      <c r="Y221" s="122"/>
      <c r="AA221" s="104"/>
      <c r="AB221" s="104"/>
      <c r="AC221" s="104"/>
    </row>
    <row r="222" customFormat="false" ht="15" hidden="false" customHeight="false" outlineLevel="0" collapsed="false">
      <c r="F222" s="99" t="n">
        <f aca="false">H222/G222</f>
        <v>0.00469351316676765</v>
      </c>
      <c r="G222" s="52" t="n">
        <f aca="false">G221*(1+$O$1)</f>
        <v>1140333.97885008</v>
      </c>
      <c r="H222" s="15" t="n">
        <f aca="false">I222/G222</f>
        <v>5352.17254424541</v>
      </c>
      <c r="I222" s="0" t="n">
        <f aca="false">I221</f>
        <v>6103264212.87154</v>
      </c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Y222" s="122"/>
      <c r="AA222" s="104"/>
      <c r="AB222" s="104"/>
      <c r="AC222" s="104"/>
    </row>
    <row r="223" customFormat="false" ht="15" hidden="false" customHeight="false" outlineLevel="0" collapsed="false">
      <c r="F223" s="99" t="n">
        <f aca="false">H223/G223</f>
        <v>0.00446735340084964</v>
      </c>
      <c r="G223" s="52" t="n">
        <f aca="false">G222*(1+$O$1)</f>
        <v>1168842.32832134</v>
      </c>
      <c r="H223" s="15" t="n">
        <f aca="false">I223/G223</f>
        <v>5221.63175048333</v>
      </c>
      <c r="I223" s="0" t="n">
        <f aca="false">I222</f>
        <v>6103264212.87154</v>
      </c>
      <c r="J223" s="85"/>
      <c r="K223" s="85"/>
      <c r="L223" s="85"/>
      <c r="M223" s="85"/>
      <c r="N223" s="85"/>
      <c r="O223" s="85"/>
      <c r="P223" s="85"/>
      <c r="Q223" s="85"/>
      <c r="R223" s="85"/>
      <c r="S223" s="85"/>
      <c r="Y223" s="122"/>
      <c r="AA223" s="104"/>
      <c r="AB223" s="104"/>
      <c r="AC223" s="104"/>
    </row>
    <row r="224" customFormat="false" ht="15" hidden="false" customHeight="false" outlineLevel="0" collapsed="false">
      <c r="F224" s="99" t="n">
        <f aca="false">H224/G224</f>
        <v>0.0042520912798093</v>
      </c>
      <c r="G224" s="52" t="n">
        <f aca="false">G223*(1+$O$1)</f>
        <v>1198063.38652937</v>
      </c>
      <c r="H224" s="15" t="n">
        <f aca="false">I224/G224</f>
        <v>5094.27487852032</v>
      </c>
      <c r="I224" s="0" t="n">
        <f aca="false">I223</f>
        <v>6103264212.87154</v>
      </c>
      <c r="J224" s="85"/>
      <c r="K224" s="85"/>
      <c r="L224" s="85"/>
      <c r="M224" s="85"/>
      <c r="N224" s="85"/>
      <c r="O224" s="85"/>
      <c r="P224" s="85"/>
      <c r="Q224" s="85"/>
      <c r="R224" s="85"/>
      <c r="S224" s="85"/>
      <c r="Y224" s="122"/>
      <c r="AA224" s="104"/>
      <c r="AB224" s="104"/>
      <c r="AC224" s="104"/>
    </row>
    <row r="225" customFormat="false" ht="15" hidden="false" customHeight="false" outlineLevel="0" collapsed="false">
      <c r="F225" s="99" t="n">
        <f aca="false">H225/G225</f>
        <v>0.00404720169404811</v>
      </c>
      <c r="G225" s="52" t="n">
        <f aca="false">G224*(1+$O$1)</f>
        <v>1228014.9711926</v>
      </c>
      <c r="H225" s="15" t="n">
        <f aca="false">I225/G225</f>
        <v>4970.02427172714</v>
      </c>
      <c r="I225" s="0" t="n">
        <f aca="false">I224</f>
        <v>6103264212.87154</v>
      </c>
      <c r="J225" s="85"/>
      <c r="K225" s="85"/>
      <c r="L225" s="85"/>
      <c r="M225" s="85"/>
      <c r="N225" s="85"/>
      <c r="O225" s="85"/>
      <c r="P225" s="85"/>
      <c r="Q225" s="85"/>
      <c r="R225" s="85"/>
      <c r="S225" s="85"/>
      <c r="Y225" s="122"/>
      <c r="AA225" s="104"/>
      <c r="AB225" s="104"/>
      <c r="AC225" s="104"/>
    </row>
    <row r="226" customFormat="false" ht="15" hidden="false" customHeight="false" outlineLevel="0" collapsed="false">
      <c r="F226" s="99" t="n">
        <f aca="false">H226/G226</f>
        <v>0.00385218483669065</v>
      </c>
      <c r="G226" s="52" t="n">
        <f aca="false">G225*(1+$O$1)</f>
        <v>1258715.34547242</v>
      </c>
      <c r="H226" s="15" t="n">
        <f aca="false">I226/G226</f>
        <v>4848.80416753868</v>
      </c>
      <c r="I226" s="0" t="n">
        <f aca="false">I225</f>
        <v>6103264212.87154</v>
      </c>
      <c r="J226" s="85"/>
      <c r="K226" s="85"/>
      <c r="L226" s="85"/>
      <c r="M226" s="85"/>
      <c r="N226" s="85"/>
      <c r="O226" s="85"/>
      <c r="P226" s="85"/>
      <c r="Q226" s="85"/>
      <c r="R226" s="85"/>
      <c r="S226" s="85"/>
      <c r="Y226" s="122"/>
      <c r="AA226" s="104"/>
      <c r="AB226" s="104"/>
      <c r="AC226" s="104"/>
    </row>
    <row r="227" customFormat="false" ht="15" hidden="false" customHeight="false" outlineLevel="0" collapsed="false">
      <c r="F227" s="99" t="n">
        <f aca="false">H227/G227</f>
        <v>0.00366656498435755</v>
      </c>
      <c r="G227" s="52" t="n">
        <f aca="false">G226*(1+$O$1)</f>
        <v>1290183.22910923</v>
      </c>
      <c r="H227" s="15" t="n">
        <f aca="false">I227/G227</f>
        <v>4730.54065125724</v>
      </c>
      <c r="I227" s="0" t="n">
        <f aca="false">I226</f>
        <v>6103264212.87154</v>
      </c>
      <c r="J227" s="85"/>
      <c r="K227" s="85"/>
      <c r="L227" s="85"/>
      <c r="M227" s="85"/>
      <c r="N227" s="85"/>
      <c r="O227" s="85"/>
      <c r="P227" s="85"/>
      <c r="Q227" s="85"/>
      <c r="R227" s="85"/>
      <c r="S227" s="85"/>
      <c r="Y227" s="122"/>
      <c r="AA227" s="104"/>
      <c r="AB227" s="104"/>
      <c r="AC227" s="104"/>
    </row>
    <row r="228" customFormat="false" ht="15" hidden="false" customHeight="false" outlineLevel="0" collapsed="false">
      <c r="F228" s="99" t="n">
        <f aca="false">H228/G228</f>
        <v>0.00348988933668773</v>
      </c>
      <c r="G228" s="52" t="n">
        <f aca="false">G227*(1+$O$1)</f>
        <v>1322437.80983696</v>
      </c>
      <c r="H228" s="15" t="n">
        <f aca="false">I228/G228</f>
        <v>4615.16161098268</v>
      </c>
      <c r="I228" s="0" t="n">
        <f aca="false">I227</f>
        <v>6103264212.87154</v>
      </c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Y228" s="122"/>
      <c r="AA228" s="104"/>
      <c r="AB228" s="104"/>
      <c r="AC228" s="104"/>
    </row>
    <row r="229" customFormat="false" ht="15" hidden="false" customHeight="false" outlineLevel="0" collapsed="false">
      <c r="F229" s="99" t="n">
        <f aca="false">H229/G229</f>
        <v>0.00332172691177892</v>
      </c>
      <c r="G229" s="52" t="n">
        <f aca="false">G228*(1+$O$1)</f>
        <v>1355498.75508288</v>
      </c>
      <c r="H229" s="15" t="n">
        <f aca="false">I229/G229</f>
        <v>4502.59669364164</v>
      </c>
      <c r="I229" s="0" t="n">
        <f aca="false">I228</f>
        <v>6103264212.87154</v>
      </c>
      <c r="J229" s="85"/>
      <c r="K229" s="85"/>
      <c r="L229" s="85"/>
      <c r="M229" s="85"/>
      <c r="N229" s="85"/>
      <c r="O229" s="85"/>
      <c r="P229" s="85"/>
      <c r="Q229" s="85"/>
      <c r="R229" s="85"/>
      <c r="S229" s="85"/>
      <c r="Y229" s="122"/>
      <c r="AA229" s="104"/>
      <c r="AB229" s="104"/>
      <c r="AC229" s="104"/>
    </row>
    <row r="230" customFormat="false" ht="15" hidden="false" customHeight="false" outlineLevel="0" collapsed="false">
      <c r="F230" s="99" t="n">
        <f aca="false">H230/G230</f>
        <v>0.00316166749485204</v>
      </c>
      <c r="G230" s="52" t="n">
        <f aca="false">G229*(1+$O$1)</f>
        <v>1389386.22395995</v>
      </c>
      <c r="H230" s="15" t="n">
        <f aca="false">I230/G230</f>
        <v>4392.7772620894</v>
      </c>
      <c r="I230" s="0" t="n">
        <f aca="false">I229</f>
        <v>6103264212.87154</v>
      </c>
      <c r="J230" s="85"/>
      <c r="K230" s="85"/>
      <c r="L230" s="85"/>
      <c r="M230" s="85"/>
      <c r="N230" s="85"/>
      <c r="O230" s="85"/>
      <c r="P230" s="85"/>
      <c r="Q230" s="85"/>
      <c r="R230" s="85"/>
      <c r="S230" s="85"/>
      <c r="Y230" s="122"/>
      <c r="AA230" s="104"/>
      <c r="AB230" s="104"/>
      <c r="AC230" s="104"/>
    </row>
    <row r="231" customFormat="false" ht="15" hidden="false" customHeight="false" outlineLevel="0" collapsed="false">
      <c r="F231" s="99" t="n">
        <f aca="false">H231/G231</f>
        <v>0.00300932063757481</v>
      </c>
      <c r="G231" s="52" t="n">
        <f aca="false">G230*(1+$O$1)</f>
        <v>1424120.87955895</v>
      </c>
      <c r="H231" s="15" t="n">
        <f aca="false">I231/G231</f>
        <v>4285.63635325795</v>
      </c>
      <c r="I231" s="0" t="n">
        <f aca="false">I230</f>
        <v>6103264212.87154</v>
      </c>
      <c r="J231" s="85"/>
      <c r="K231" s="85"/>
      <c r="L231" s="85"/>
      <c r="M231" s="85"/>
      <c r="N231" s="85"/>
      <c r="O231" s="85"/>
      <c r="P231" s="85"/>
      <c r="Q231" s="85"/>
      <c r="R231" s="85"/>
      <c r="S231" s="85"/>
      <c r="Y231" s="122"/>
      <c r="AA231" s="104"/>
      <c r="AB231" s="104"/>
      <c r="AC231" s="104"/>
    </row>
    <row r="232" customFormat="false" ht="15" hidden="false" customHeight="false" outlineLevel="0" collapsed="false">
      <c r="F232" s="99" t="n">
        <f aca="false">H232/G232</f>
        <v>0.00286431470560363</v>
      </c>
      <c r="G232" s="52" t="n">
        <f aca="false">G231*(1+$O$1)</f>
        <v>1459723.90154793</v>
      </c>
      <c r="H232" s="15" t="n">
        <f aca="false">I232/G232</f>
        <v>4181.10863732483</v>
      </c>
      <c r="I232" s="0" t="n">
        <f aca="false">I231</f>
        <v>6103264212.87154</v>
      </c>
      <c r="J232" s="85"/>
      <c r="K232" s="85"/>
      <c r="L232" s="85"/>
      <c r="M232" s="85"/>
      <c r="N232" s="85"/>
      <c r="O232" s="85"/>
      <c r="P232" s="85"/>
      <c r="Q232" s="85"/>
      <c r="R232" s="85"/>
      <c r="S232" s="85"/>
      <c r="Y232" s="122"/>
      <c r="AA232" s="104"/>
      <c r="AB232" s="104"/>
      <c r="AC232" s="104"/>
    </row>
    <row r="233" customFormat="false" ht="15" hidden="false" customHeight="false" outlineLevel="0" collapsed="false">
      <c r="F233" s="99" t="n">
        <f aca="false">H233/G233</f>
        <v>0.00272629597202011</v>
      </c>
      <c r="G233" s="52" t="n">
        <f aca="false">G232*(1+$O$1)</f>
        <v>1496216.99908662</v>
      </c>
      <c r="H233" s="15" t="n">
        <f aca="false">I233/G233</f>
        <v>4079.13037787789</v>
      </c>
      <c r="I233" s="0" t="n">
        <f aca="false">I232</f>
        <v>6103264212.87154</v>
      </c>
      <c r="J233" s="85"/>
      <c r="K233" s="85"/>
      <c r="L233" s="85"/>
      <c r="M233" s="85"/>
      <c r="N233" s="85"/>
      <c r="O233" s="85"/>
      <c r="P233" s="85"/>
      <c r="Q233" s="85"/>
      <c r="R233" s="85"/>
      <c r="S233" s="85"/>
      <c r="Y233" s="122"/>
      <c r="AA233" s="104"/>
      <c r="AB233" s="104"/>
      <c r="AC233" s="104"/>
    </row>
    <row r="234" customFormat="false" ht="15" hidden="false" customHeight="false" outlineLevel="0" collapsed="false">
      <c r="F234" s="99" t="n">
        <f aca="false">H234/G234</f>
        <v>0.00259492775445103</v>
      </c>
      <c r="G234" s="52" t="n">
        <f aca="false">G233*(1+$O$1)</f>
        <v>1533622.42406379</v>
      </c>
      <c r="H234" s="15" t="n">
        <f aca="false">I234/G234</f>
        <v>3979.6393930516</v>
      </c>
      <c r="I234" s="0" t="n">
        <f aca="false">I233</f>
        <v>6103264212.87154</v>
      </c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Y234" s="122"/>
      <c r="AA234" s="104"/>
      <c r="AB234" s="104"/>
      <c r="AC234" s="104"/>
    </row>
    <row r="235" customFormat="false" ht="15" hidden="false" customHeight="false" outlineLevel="0" collapsed="false">
      <c r="F235" s="99" t="n">
        <f aca="false">H235/G235</f>
        <v>0.0024698895937666</v>
      </c>
      <c r="G235" s="52" t="n">
        <f aca="false">G234*(1+$O$1)</f>
        <v>1571962.98466538</v>
      </c>
      <c r="H235" s="15" t="n">
        <f aca="false">I235/G235</f>
        <v>3882.57501761131</v>
      </c>
      <c r="I235" s="0" t="n">
        <f aca="false">I234</f>
        <v>6103264212.87154</v>
      </c>
      <c r="J235" s="85"/>
      <c r="K235" s="85"/>
      <c r="L235" s="85"/>
      <c r="M235" s="85"/>
      <c r="N235" s="85"/>
      <c r="O235" s="85"/>
      <c r="P235" s="85"/>
      <c r="Q235" s="85"/>
      <c r="R235" s="85"/>
      <c r="S235" s="85"/>
      <c r="Y235" s="122"/>
      <c r="AA235" s="104"/>
      <c r="AB235" s="104"/>
      <c r="AC235" s="104"/>
    </row>
    <row r="236" customFormat="false" ht="15" hidden="false" customHeight="false" outlineLevel="0" collapsed="false">
      <c r="F236" s="99" t="n">
        <f aca="false">H236/G236</f>
        <v>0.00235087647235369</v>
      </c>
      <c r="G236" s="52" t="n">
        <f aca="false">G235*(1+$O$1)</f>
        <v>1611262.05928202</v>
      </c>
      <c r="H236" s="15" t="n">
        <f aca="false">I236/G236</f>
        <v>3787.87806596226</v>
      </c>
      <c r="I236" s="0" t="n">
        <f aca="false">I235</f>
        <v>6103264212.87154</v>
      </c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Y236" s="122"/>
      <c r="AA236" s="104"/>
      <c r="AB236" s="104"/>
      <c r="AC236" s="104"/>
    </row>
    <row r="237" customFormat="false" ht="15" hidden="false" customHeight="false" outlineLevel="0" collapsed="false">
      <c r="F237" s="99" t="n">
        <f aca="false">H237/G237</f>
        <v>0.00223759807005705</v>
      </c>
      <c r="G237" s="52" t="n">
        <f aca="false">G236*(1+$O$1)</f>
        <v>1651543.61076407</v>
      </c>
      <c r="H237" s="15" t="n">
        <f aca="false">I237/G237</f>
        <v>3695.49079606074</v>
      </c>
      <c r="I237" s="0" t="n">
        <f aca="false">I236</f>
        <v>6103264212.87154</v>
      </c>
      <c r="J237" s="85"/>
      <c r="K237" s="85"/>
      <c r="L237" s="85"/>
      <c r="M237" s="85"/>
      <c r="N237" s="85"/>
      <c r="O237" s="85"/>
      <c r="P237" s="85"/>
      <c r="Q237" s="85"/>
      <c r="R237" s="85"/>
      <c r="S237" s="85"/>
      <c r="Y237" s="122"/>
      <c r="AA237" s="104"/>
      <c r="AB237" s="104"/>
      <c r="AC237" s="104"/>
    </row>
    <row r="238" customFormat="false" ht="15" hidden="false" customHeight="false" outlineLevel="0" collapsed="false">
      <c r="F238" s="99" t="n">
        <f aca="false">H238/G238</f>
        <v>0.0021297780559734</v>
      </c>
      <c r="G238" s="52" t="n">
        <f aca="false">G237*(1+$O$1)</f>
        <v>1692832.20103317</v>
      </c>
      <c r="H238" s="15" t="n">
        <f aca="false">I238/G238</f>
        <v>3605.3568742056</v>
      </c>
      <c r="I238" s="0" t="n">
        <f aca="false">I237</f>
        <v>6103264212.87154</v>
      </c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Y238" s="122"/>
      <c r="AA238" s="104"/>
      <c r="AB238" s="104"/>
      <c r="AC238" s="104"/>
    </row>
    <row r="239" customFormat="false" ht="15" hidden="false" customHeight="false" outlineLevel="0" collapsed="false">
      <c r="F239" s="99" t="n">
        <f aca="false">H239/G239</f>
        <v>0.00202715341437088</v>
      </c>
      <c r="G239" s="52" t="n">
        <f aca="false">G238*(1+$O$1)</f>
        <v>1735153.006059</v>
      </c>
      <c r="H239" s="15" t="n">
        <f aca="false">I239/G239</f>
        <v>3517.42134068839</v>
      </c>
      <c r="I239" s="0" t="n">
        <f aca="false">I238</f>
        <v>6103264212.87154</v>
      </c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Y239" s="122"/>
      <c r="AA239" s="104"/>
      <c r="AB239" s="104"/>
      <c r="AC239" s="104"/>
    </row>
    <row r="240" customFormat="false" ht="15" hidden="false" customHeight="false" outlineLevel="0" collapsed="false">
      <c r="F240" s="99" t="n">
        <f aca="false">H240/G240</f>
        <v>0.00192947380308947</v>
      </c>
      <c r="G240" s="52" t="n">
        <f aca="false">G239*(1+$O$1)</f>
        <v>1778531.83121048</v>
      </c>
      <c r="H240" s="15" t="n">
        <f aca="false">I240/G240</f>
        <v>3431.63057628136</v>
      </c>
      <c r="I240" s="0" t="n">
        <f aca="false">I239</f>
        <v>6103264212.87154</v>
      </c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Y240" s="122"/>
      <c r="AA240" s="104"/>
      <c r="AB240" s="104"/>
      <c r="AC240" s="104"/>
    </row>
    <row r="241" customFormat="false" ht="15" hidden="false" customHeight="false" outlineLevel="0" collapsed="false">
      <c r="F241" s="99" t="n">
        <f aca="false">H241/G241</f>
        <v>0.00183650094285732</v>
      </c>
      <c r="G241" s="52" t="n">
        <f aca="false">G240*(1+$O$1)</f>
        <v>1822995.12699074</v>
      </c>
      <c r="H241" s="15" t="n">
        <f aca="false">I241/G241</f>
        <v>3347.93226954279</v>
      </c>
      <c r="I241" s="0" t="n">
        <f aca="false">I240</f>
        <v>6103264212.87154</v>
      </c>
      <c r="J241" s="85"/>
      <c r="K241" s="85"/>
      <c r="L241" s="85"/>
      <c r="M241" s="85"/>
      <c r="N241" s="85"/>
      <c r="O241" s="85"/>
      <c r="P241" s="85"/>
      <c r="Q241" s="85"/>
      <c r="R241" s="85"/>
      <c r="S241" s="85"/>
      <c r="Y241" s="122"/>
      <c r="AA241" s="104"/>
      <c r="AB241" s="104"/>
      <c r="AC241" s="104"/>
    </row>
    <row r="242" customFormat="false" ht="15" hidden="false" customHeight="false" outlineLevel="0" collapsed="false">
      <c r="F242" s="99" t="n">
        <f aca="false">H242/G242</f>
        <v>0.00174800803603314</v>
      </c>
      <c r="G242" s="52" t="n">
        <f aca="false">G241*(1+$O$1)</f>
        <v>1868570.00516551</v>
      </c>
      <c r="H242" s="15" t="n">
        <f aca="false">I242/G242</f>
        <v>3266.27538491979</v>
      </c>
      <c r="I242" s="0" t="n">
        <f aca="false">I241</f>
        <v>6103264212.87154</v>
      </c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Y242" s="122"/>
      <c r="AA242" s="104"/>
      <c r="AB242" s="104"/>
      <c r="AC242" s="104"/>
    </row>
    <row r="243" customFormat="false" ht="15" hidden="false" customHeight="false" outlineLevel="0" collapsed="false">
      <c r="F243" s="99" t="n">
        <f aca="false">H243/G243</f>
        <v>0.00166377921335695</v>
      </c>
      <c r="G243" s="52" t="n">
        <f aca="false">G242*(1+$O$1)</f>
        <v>1915284.25529464</v>
      </c>
      <c r="H243" s="15" t="n">
        <f aca="false">I243/G243</f>
        <v>3186.61013162907</v>
      </c>
      <c r="I243" s="0" t="n">
        <f aca="false">I242</f>
        <v>6103264212.87154</v>
      </c>
      <c r="J243" s="85"/>
      <c r="K243" s="85"/>
      <c r="L243" s="85"/>
      <c r="M243" s="85"/>
      <c r="N243" s="85"/>
      <c r="O243" s="85"/>
      <c r="P243" s="85"/>
      <c r="Q243" s="85"/>
      <c r="R243" s="85"/>
      <c r="S243" s="85"/>
      <c r="Y243" s="122"/>
      <c r="AA243" s="104"/>
      <c r="AB243" s="104"/>
      <c r="AC243" s="104"/>
    </row>
    <row r="244" customFormat="false" ht="15" hidden="false" customHeight="false" outlineLevel="0" collapsed="false">
      <c r="F244" s="99" t="n">
        <f aca="false">H244/G244</f>
        <v>0.00158360900735938</v>
      </c>
      <c r="G244" s="52" t="n">
        <f aca="false">G243*(1+$O$1)</f>
        <v>1963166.36167701</v>
      </c>
      <c r="H244" s="15" t="n">
        <f aca="false">I244/G244</f>
        <v>3108.88793329665</v>
      </c>
      <c r="I244" s="0" t="n">
        <f aca="false">I243</f>
        <v>6103264212.87154</v>
      </c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Y244" s="122"/>
      <c r="AA244" s="104"/>
      <c r="AB244" s="104"/>
      <c r="AC244" s="104"/>
    </row>
    <row r="245" customFormat="false" ht="15" hidden="false" customHeight="false" outlineLevel="0" collapsed="false">
      <c r="F245" s="99" t="n">
        <f aca="false">H245/G245</f>
        <v>0.00150730185114516</v>
      </c>
      <c r="G245" s="52" t="n">
        <f aca="false">G244*(1+$O$1)</f>
        <v>2012245.52071893</v>
      </c>
      <c r="H245" s="15" t="n">
        <f aca="false">I245/G245</f>
        <v>3033.0613983382</v>
      </c>
      <c r="I245" s="0" t="n">
        <f aca="false">I244</f>
        <v>6103264212.87154</v>
      </c>
      <c r="J245" s="85"/>
      <c r="K245" s="85"/>
      <c r="L245" s="85"/>
      <c r="M245" s="85"/>
      <c r="N245" s="85"/>
      <c r="O245" s="85"/>
      <c r="P245" s="85"/>
      <c r="Q245" s="85"/>
      <c r="R245" s="85"/>
      <c r="S245" s="85"/>
      <c r="Y245" s="122"/>
      <c r="AA245" s="104"/>
      <c r="AB245" s="104"/>
      <c r="AC245" s="104"/>
    </row>
    <row r="246" customFormat="false" ht="15" hidden="false" customHeight="false" outlineLevel="0" collapsed="false">
      <c r="F246" s="99" t="n">
        <f aca="false">H246/G246</f>
        <v>0.00143467160132793</v>
      </c>
      <c r="G246" s="52" t="n">
        <f aca="false">G245*(1+$O$1)</f>
        <v>2062551.65873691</v>
      </c>
      <c r="H246" s="15" t="n">
        <f aca="false">I246/G246</f>
        <v>2959.08429106165</v>
      </c>
      <c r="I246" s="0" t="n">
        <f aca="false">I245</f>
        <v>6103264212.87154</v>
      </c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Y246" s="122"/>
      <c r="AA246" s="104"/>
      <c r="AB246" s="104"/>
      <c r="AC246" s="104"/>
    </row>
    <row r="247" customFormat="false" ht="15" hidden="false" customHeight="false" outlineLevel="0" collapsed="false">
      <c r="F247" s="99" t="n">
        <f aca="false">H247/G247</f>
        <v>0.00136554108395282</v>
      </c>
      <c r="G247" s="52" t="n">
        <f aca="false">G246*(1+$O$1)</f>
        <v>2114115.45020533</v>
      </c>
      <c r="H247" s="15" t="n">
        <f aca="false">I247/G247</f>
        <v>2886.91150347479</v>
      </c>
      <c r="I247" s="0" t="n">
        <f aca="false">I246</f>
        <v>6103264212.87154</v>
      </c>
      <c r="J247" s="85"/>
      <c r="K247" s="85"/>
      <c r="L247" s="85"/>
      <c r="M247" s="85"/>
      <c r="N247" s="85"/>
      <c r="O247" s="85"/>
      <c r="P247" s="85"/>
      <c r="Q247" s="85"/>
      <c r="R247" s="85"/>
      <c r="S247" s="85"/>
      <c r="Y247" s="122"/>
      <c r="AA247" s="104"/>
      <c r="AB247" s="104"/>
      <c r="AC247" s="104"/>
    </row>
    <row r="248" customFormat="false" ht="15" hidden="false" customHeight="false" outlineLevel="0" collapsed="false">
      <c r="F248" s="99" t="n">
        <f aca="false">H248/G248</f>
        <v>0.00129974166229893</v>
      </c>
      <c r="G248" s="52" t="n">
        <f aca="false">G247*(1+$O$1)</f>
        <v>2166968.33646046</v>
      </c>
      <c r="H248" s="15" t="n">
        <f aca="false">I248/G248</f>
        <v>2816.49902778028</v>
      </c>
      <c r="I248" s="0" t="n">
        <f aca="false">I247</f>
        <v>6103264212.87154</v>
      </c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Y248" s="122"/>
      <c r="AA248" s="104"/>
      <c r="AB248" s="104"/>
      <c r="AC248" s="104"/>
    </row>
    <row r="249" customFormat="false" ht="15" hidden="false" customHeight="false" outlineLevel="0" collapsed="false">
      <c r="F249" s="99" t="n">
        <f aca="false">H249/G249</f>
        <v>0.00123711282550761</v>
      </c>
      <c r="G249" s="52" t="n">
        <f aca="false">G248*(1+$O$1)</f>
        <v>2221142.54487197</v>
      </c>
      <c r="H249" s="15" t="n">
        <f aca="false">I249/G249</f>
        <v>2747.80392954174</v>
      </c>
      <c r="I249" s="0" t="n">
        <f aca="false">I248</f>
        <v>6103264212.87154</v>
      </c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Y249" s="122"/>
      <c r="AA249" s="104"/>
      <c r="AB249" s="104"/>
      <c r="AC249" s="104"/>
    </row>
    <row r="250" customFormat="false" ht="15" hidden="false" customHeight="false" outlineLevel="0" collapsed="false">
      <c r="F250" s="99" t="n">
        <f aca="false">H250/G250</f>
        <v>0.00117750179703283</v>
      </c>
      <c r="G250" s="52" t="n">
        <f aca="false">G249*(1+$O$1)</f>
        <v>2276671.10849377</v>
      </c>
      <c r="H250" s="15" t="n">
        <f aca="false">I250/G250</f>
        <v>2680.78432150413</v>
      </c>
      <c r="I250" s="0" t="n">
        <f aca="false">I249</f>
        <v>6103264212.87154</v>
      </c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Y250" s="122"/>
      <c r="AA250" s="104"/>
      <c r="AB250" s="104"/>
      <c r="AC250" s="104"/>
    </row>
    <row r="251" customFormat="false" ht="15" hidden="false" customHeight="false" outlineLevel="0" collapsed="false">
      <c r="F251" s="99" t="n">
        <f aca="false">H251/G251</f>
        <v>0.00112076316195867</v>
      </c>
      <c r="G251" s="52" t="n">
        <f aca="false">G250*(1+$O$1)</f>
        <v>2333587.88620612</v>
      </c>
      <c r="H251" s="15" t="n">
        <f aca="false">I251/G251</f>
        <v>2615.39933805281</v>
      </c>
      <c r="I251" s="0" t="n">
        <f aca="false">I250</f>
        <v>6103264212.87154</v>
      </c>
      <c r="J251" s="85"/>
      <c r="K251" s="85"/>
      <c r="L251" s="85"/>
      <c r="M251" s="85"/>
      <c r="N251" s="85"/>
      <c r="O251" s="85"/>
      <c r="P251" s="85"/>
      <c r="Q251" s="85"/>
      <c r="R251" s="85"/>
      <c r="S251" s="85"/>
      <c r="Y251" s="122"/>
      <c r="AA251" s="104"/>
      <c r="AB251" s="104"/>
      <c r="AC251" s="104"/>
    </row>
    <row r="252" customFormat="false" ht="15" hidden="false" customHeight="false" outlineLevel="0" collapsed="false">
      <c r="F252" s="99" t="n">
        <f aca="false">H252/G252</f>
        <v>0.00106675851227476</v>
      </c>
      <c r="G252" s="52" t="n">
        <f aca="false">G251*(1+$O$1)</f>
        <v>2391927.58336127</v>
      </c>
      <c r="H252" s="15" t="n">
        <f aca="false">I252/G252</f>
        <v>2551.60911029543</v>
      </c>
      <c r="I252" s="0" t="n">
        <f aca="false">I251</f>
        <v>6103264212.87154</v>
      </c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Y252" s="122"/>
      <c r="AA252" s="104"/>
      <c r="AB252" s="104"/>
      <c r="AC252" s="104"/>
    </row>
    <row r="253" customFormat="false" ht="15" hidden="false" customHeight="false" outlineLevel="0" collapsed="false">
      <c r="F253" s="99" t="n">
        <f aca="false">H253/G253</f>
        <v>0.00101535610924427</v>
      </c>
      <c r="G253" s="52" t="n">
        <f aca="false">G252*(1+$O$1)</f>
        <v>2451725.7729453</v>
      </c>
      <c r="H253" s="15" t="n">
        <f aca="false">I253/G253</f>
        <v>2489.37474175164</v>
      </c>
      <c r="I253" s="0" t="n">
        <f aca="false">I252</f>
        <v>6103264212.87154</v>
      </c>
      <c r="J253" s="85"/>
      <c r="K253" s="85"/>
      <c r="L253" s="85"/>
      <c r="M253" s="85"/>
      <c r="N253" s="85"/>
      <c r="O253" s="85"/>
      <c r="P253" s="85"/>
      <c r="Q253" s="85"/>
      <c r="R253" s="85"/>
      <c r="S253" s="85"/>
      <c r="Y253" s="122"/>
      <c r="AA253" s="104"/>
      <c r="AB253" s="104"/>
      <c r="AC253" s="104"/>
    </row>
    <row r="254" customFormat="false" ht="15" hidden="false" customHeight="false" outlineLevel="0" collapsed="false">
      <c r="F254" s="99" t="n">
        <f aca="false">H254/G254</f>
        <v>0.000966430562040945</v>
      </c>
      <c r="G254" s="52" t="n">
        <f aca="false">G253*(1+$O$1)</f>
        <v>2513018.91726893</v>
      </c>
      <c r="H254" s="15" t="n">
        <f aca="false">I254/G254</f>
        <v>2428.65828463574</v>
      </c>
      <c r="I254" s="0" t="n">
        <f aca="false">I253</f>
        <v>6103264212.87154</v>
      </c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Y254" s="122"/>
      <c r="AA254" s="104"/>
      <c r="AB254" s="104"/>
      <c r="AC254" s="104"/>
    </row>
    <row r="255" customFormat="false" ht="15" hidden="false" customHeight="false" outlineLevel="0" collapsed="false">
      <c r="F255" s="99" t="n">
        <f aca="false">H255/G255</f>
        <v>0.000919862521871215</v>
      </c>
      <c r="G255" s="52" t="n">
        <f aca="false">G254*(1+$O$1)</f>
        <v>2575844.39020066</v>
      </c>
      <c r="H255" s="15" t="n">
        <f aca="false">I255/G255</f>
        <v>2369.4227167178</v>
      </c>
      <c r="I255" s="0" t="n">
        <f aca="false">I254</f>
        <v>6103264212.87154</v>
      </c>
      <c r="J255" s="85"/>
      <c r="K255" s="85"/>
      <c r="L255" s="85"/>
      <c r="M255" s="85"/>
      <c r="N255" s="85"/>
      <c r="O255" s="85"/>
      <c r="P255" s="85"/>
      <c r="Q255" s="85"/>
      <c r="R255" s="85"/>
      <c r="S255" s="85"/>
      <c r="Y255" s="122"/>
      <c r="AA255" s="104"/>
      <c r="AB255" s="104"/>
      <c r="AC255" s="104"/>
    </row>
    <row r="256" customFormat="false" ht="15" hidden="false" customHeight="false" outlineLevel="0" collapsed="false">
      <c r="F256" s="99" t="n">
        <f aca="false">H256/G256</f>
        <v>0.000875538390835184</v>
      </c>
      <c r="G256" s="52" t="n">
        <f aca="false">G255*(1+$O$1)</f>
        <v>2640240.49995567</v>
      </c>
      <c r="H256" s="15" t="n">
        <f aca="false">I256/G256</f>
        <v>2311.63191874907</v>
      </c>
      <c r="I256" s="0" t="n">
        <f aca="false">I255</f>
        <v>6103264212.87154</v>
      </c>
      <c r="J256" s="85"/>
      <c r="K256" s="85"/>
      <c r="L256" s="85"/>
      <c r="M256" s="85"/>
      <c r="N256" s="85"/>
      <c r="O256" s="85"/>
      <c r="P256" s="85"/>
      <c r="Q256" s="85"/>
      <c r="R256" s="85"/>
      <c r="S256" s="85"/>
      <c r="Y256" s="122"/>
      <c r="AA256" s="104"/>
      <c r="AB256" s="104"/>
      <c r="AC256" s="104"/>
    </row>
    <row r="257" customFormat="false" ht="15" hidden="false" customHeight="false" outlineLevel="0" collapsed="false">
      <c r="F257" s="99" t="n">
        <f aca="false">H257/G257</f>
        <v>0.000833350044816356</v>
      </c>
      <c r="G257" s="52" t="n">
        <f aca="false">G256*(1+$O$1)</f>
        <v>2706246.51245456</v>
      </c>
      <c r="H257" s="15" t="n">
        <f aca="false">I257/G257</f>
        <v>2255.25065243812</v>
      </c>
      <c r="I257" s="0" t="n">
        <f aca="false">I256</f>
        <v>6103264212.87154</v>
      </c>
      <c r="J257" s="85"/>
      <c r="K257" s="85"/>
      <c r="L257" s="85"/>
      <c r="M257" s="85"/>
      <c r="N257" s="85"/>
      <c r="O257" s="85"/>
      <c r="P257" s="85"/>
      <c r="Q257" s="85"/>
      <c r="R257" s="85"/>
      <c r="S257" s="85"/>
      <c r="Y257" s="122"/>
      <c r="AA257" s="104"/>
      <c r="AB257" s="104"/>
      <c r="AC257" s="104"/>
    </row>
    <row r="258" customFormat="false" ht="15" hidden="false" customHeight="false" outlineLevel="0" collapsed="false">
      <c r="F258" s="99" t="n">
        <f aca="false">H258/G258</f>
        <v>0.000793194569724075</v>
      </c>
      <c r="G258" s="52" t="n">
        <f aca="false">G257*(1+$O$1)</f>
        <v>2773902.67526593</v>
      </c>
      <c r="H258" s="15" t="n">
        <f aca="false">I258/G258</f>
        <v>2200.24453896402</v>
      </c>
      <c r="I258" s="0" t="n">
        <f aca="false">I257</f>
        <v>6103264212.87154</v>
      </c>
      <c r="J258" s="85"/>
      <c r="K258" s="85"/>
      <c r="L258" s="85"/>
      <c r="M258" s="85"/>
      <c r="N258" s="85"/>
      <c r="O258" s="85"/>
      <c r="P258" s="85"/>
      <c r="Q258" s="85"/>
      <c r="R258" s="85"/>
      <c r="S258" s="85"/>
      <c r="Y258" s="122"/>
      <c r="AA258" s="104"/>
      <c r="AB258" s="104"/>
      <c r="AC258" s="104"/>
    </row>
    <row r="259" customFormat="false" ht="15" hidden="false" customHeight="false" outlineLevel="0" collapsed="false">
      <c r="F259" s="99" t="n">
        <f aca="false">H259/G259</f>
        <v>0.000754974010445283</v>
      </c>
      <c r="G259" s="52" t="n">
        <f aca="false">G258*(1+$O$1)</f>
        <v>2843250.24214758</v>
      </c>
      <c r="H259" s="15" t="n">
        <f aca="false">I259/G259</f>
        <v>2146.58003801368</v>
      </c>
      <c r="I259" s="0" t="n">
        <f aca="false">I258</f>
        <v>6103264212.87154</v>
      </c>
      <c r="J259" s="85"/>
      <c r="K259" s="85"/>
      <c r="L259" s="85"/>
      <c r="M259" s="85"/>
      <c r="N259" s="85"/>
      <c r="O259" s="85"/>
      <c r="P259" s="85"/>
      <c r="Q259" s="85"/>
      <c r="R259" s="85"/>
      <c r="S259" s="85"/>
      <c r="Y259" s="122"/>
      <c r="AA259" s="104"/>
      <c r="AB259" s="104"/>
      <c r="AC259" s="104"/>
    </row>
    <row r="260" customFormat="false" ht="15" hidden="false" customHeight="false" outlineLevel="0" collapsed="false">
      <c r="F260" s="99" t="n">
        <f aca="false">H260/G260</f>
        <v>0.00071859513189319</v>
      </c>
      <c r="G260" s="52" t="n">
        <f aca="false">G259*(1+$O$1)</f>
        <v>2914331.49820127</v>
      </c>
      <c r="H260" s="15" t="n">
        <f aca="false">I260/G260</f>
        <v>2094.22442733042</v>
      </c>
      <c r="I260" s="0" t="n">
        <f aca="false">I259</f>
        <v>6103264212.87154</v>
      </c>
      <c r="J260" s="85"/>
      <c r="K260" s="85"/>
      <c r="L260" s="85"/>
      <c r="M260" s="85"/>
      <c r="N260" s="85"/>
      <c r="O260" s="85"/>
      <c r="P260" s="85"/>
      <c r="Q260" s="85"/>
      <c r="R260" s="85"/>
      <c r="S260" s="85"/>
      <c r="Y260" s="122"/>
      <c r="AA260" s="104"/>
      <c r="AB260" s="104"/>
      <c r="AC260" s="104"/>
    </row>
    <row r="261" customFormat="false" ht="15" hidden="false" customHeight="false" outlineLevel="0" collapsed="false">
      <c r="F261" s="99" t="n">
        <f aca="false">H261/G261</f>
        <v>0.000683969191569961</v>
      </c>
      <c r="G261" s="52" t="n">
        <f aca="false">G260*(1+$O$1)</f>
        <v>2987189.7856563</v>
      </c>
      <c r="H261" s="15" t="n">
        <f aca="false">I261/G261</f>
        <v>2043.14578276138</v>
      </c>
      <c r="I261" s="0" t="n">
        <f aca="false">I260</f>
        <v>6103264212.87154</v>
      </c>
      <c r="J261" s="85"/>
      <c r="K261" s="85"/>
      <c r="L261" s="85"/>
      <c r="M261" s="85"/>
      <c r="N261" s="85"/>
      <c r="O261" s="85"/>
      <c r="P261" s="85"/>
      <c r="Q261" s="85"/>
      <c r="R261" s="85"/>
      <c r="S261" s="85"/>
      <c r="Y261" s="122"/>
      <c r="AA261" s="104"/>
      <c r="AB261" s="104"/>
      <c r="AC261" s="104"/>
    </row>
    <row r="262" customFormat="false" ht="15" hidden="false" customHeight="false" outlineLevel="0" collapsed="false">
      <c r="F262" s="99" t="n">
        <f aca="false">H262/G262</f>
        <v>0.000651011723088601</v>
      </c>
      <c r="G262" s="52" t="n">
        <f aca="false">G261*(1+$O$1)</f>
        <v>3061869.5302977</v>
      </c>
      <c r="H262" s="15" t="n">
        <f aca="false">I262/G262</f>
        <v>1993.31295879159</v>
      </c>
      <c r="I262" s="0" t="n">
        <f aca="false">I261</f>
        <v>6103264212.87154</v>
      </c>
      <c r="J262" s="85"/>
      <c r="K262" s="85"/>
      <c r="L262" s="85"/>
      <c r="M262" s="85"/>
      <c r="N262" s="85"/>
      <c r="O262" s="85"/>
      <c r="P262" s="85"/>
      <c r="Q262" s="85"/>
      <c r="R262" s="85"/>
      <c r="S262" s="85"/>
      <c r="Y262" s="122"/>
      <c r="AA262" s="104"/>
      <c r="AB262" s="104"/>
      <c r="AC262" s="104"/>
    </row>
    <row r="263" customFormat="false" ht="15" hidden="false" customHeight="false" outlineLevel="0" collapsed="false">
      <c r="F263" s="99" t="n">
        <f aca="false">H263/G263</f>
        <v>0.000619642330125974</v>
      </c>
      <c r="G263" s="52" t="n">
        <f aca="false">G262*(1+$O$1)</f>
        <v>3138416.26855515</v>
      </c>
      <c r="H263" s="15" t="n">
        <f aca="false">I263/G263</f>
        <v>1944.69556955277</v>
      </c>
      <c r="I263" s="0" t="n">
        <f aca="false">I262</f>
        <v>6103264212.87154</v>
      </c>
      <c r="J263" s="85"/>
      <c r="K263" s="85"/>
      <c r="L263" s="85"/>
      <c r="M263" s="85"/>
      <c r="N263" s="85"/>
      <c r="O263" s="85"/>
      <c r="P263" s="85"/>
      <c r="Q263" s="85"/>
      <c r="R263" s="85"/>
      <c r="S263" s="85"/>
      <c r="Y263" s="122"/>
      <c r="AA263" s="104"/>
      <c r="AB263" s="104"/>
      <c r="AC263" s="104"/>
    </row>
    <row r="264" customFormat="false" ht="15" hidden="false" customHeight="false" outlineLevel="0" collapsed="false">
      <c r="F264" s="99" t="n">
        <f aca="false">H264/G264</f>
        <v>0.000589784490304318</v>
      </c>
      <c r="G264" s="52" t="n">
        <f aca="false">G263*(1+$O$1)</f>
        <v>3216876.67526902</v>
      </c>
      <c r="H264" s="15" t="n">
        <f aca="false">I264/G264</f>
        <v>1897.26397029539</v>
      </c>
      <c r="I264" s="0" t="n">
        <f aca="false">I263</f>
        <v>6103264212.87154</v>
      </c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Y264" s="122"/>
      <c r="AA264" s="104"/>
      <c r="AB264" s="104"/>
      <c r="AC264" s="104"/>
    </row>
    <row r="265" customFormat="false" ht="15" hidden="false" customHeight="false" outlineLevel="0" collapsed="false">
      <c r="F265" s="99" t="n">
        <f aca="false">H265/G265</f>
        <v>0.000561365368522849</v>
      </c>
      <c r="G265" s="52" t="n">
        <f aca="false">G264*(1+$O$1)</f>
        <v>3297298.59215075</v>
      </c>
      <c r="H265" s="15" t="n">
        <f aca="false">I265/G265</f>
        <v>1850.98923931258</v>
      </c>
      <c r="I265" s="0" t="n">
        <f aca="false">I264</f>
        <v>6103264212.87154</v>
      </c>
      <c r="J265" s="85"/>
      <c r="K265" s="85"/>
      <c r="L265" s="85"/>
      <c r="M265" s="85"/>
      <c r="N265" s="85"/>
      <c r="O265" s="85"/>
      <c r="P265" s="85"/>
      <c r="Q265" s="85"/>
      <c r="R265" s="85"/>
      <c r="S265" s="85"/>
      <c r="Y265" s="122"/>
      <c r="AA265" s="104"/>
      <c r="AB265" s="104"/>
      <c r="AC265" s="104"/>
    </row>
    <row r="266" customFormat="false" ht="15" hidden="false" customHeight="false" outlineLevel="0" collapsed="false">
      <c r="F266" s="99" t="n">
        <f aca="false">H266/G266</f>
        <v>0.000534315639284092</v>
      </c>
      <c r="G266" s="52" t="n">
        <f aca="false">G265*(1+$O$1)</f>
        <v>3379731.05695452</v>
      </c>
      <c r="H266" s="15" t="n">
        <f aca="false">I266/G266</f>
        <v>1805.84316030495</v>
      </c>
      <c r="I266" s="0" t="n">
        <f aca="false">I265</f>
        <v>6103264212.87154</v>
      </c>
      <c r="J266" s="85"/>
      <c r="K266" s="85"/>
      <c r="L266" s="85"/>
      <c r="M266" s="85"/>
      <c r="N266" s="85"/>
      <c r="O266" s="85"/>
      <c r="P266" s="85"/>
      <c r="Q266" s="85"/>
      <c r="R266" s="85"/>
      <c r="S266" s="85"/>
      <c r="Y266" s="122"/>
      <c r="AA266" s="104"/>
      <c r="AB266" s="104"/>
      <c r="AC266" s="104"/>
    </row>
    <row r="267" customFormat="false" ht="15" hidden="false" customHeight="false" outlineLevel="0" collapsed="false">
      <c r="F267" s="99" t="n">
        <f aca="false">H267/G267</f>
        <v>0.000508569317581527</v>
      </c>
      <c r="G267" s="52" t="n">
        <f aca="false">G266*(1+$O$1)</f>
        <v>3464224.33337838</v>
      </c>
      <c r="H267" s="15" t="n">
        <f aca="false">I267/G267</f>
        <v>1761.79820517556</v>
      </c>
      <c r="I267" s="0" t="n">
        <f aca="false">I266</f>
        <v>6103264212.87154</v>
      </c>
      <c r="J267" s="85"/>
      <c r="K267" s="85"/>
      <c r="L267" s="85"/>
      <c r="M267" s="85"/>
      <c r="N267" s="85"/>
      <c r="O267" s="85"/>
      <c r="P267" s="85"/>
      <c r="Q267" s="85"/>
      <c r="R267" s="85"/>
      <c r="S267" s="85"/>
      <c r="Y267" s="122"/>
      <c r="AA267" s="104"/>
      <c r="AB267" s="104"/>
      <c r="AC267" s="104"/>
    </row>
    <row r="268" customFormat="false" ht="15" hidden="false" customHeight="false" outlineLevel="0" collapsed="false">
      <c r="F268" s="99" t="n">
        <f aca="false">H268/G268</f>
        <v>0.000484063597936016</v>
      </c>
      <c r="G268" s="52" t="n">
        <f aca="false">G267*(1+$O$1)</f>
        <v>3550829.94171284</v>
      </c>
      <c r="H268" s="15" t="n">
        <f aca="false">I268/G268</f>
        <v>1718.82751724445</v>
      </c>
      <c r="I268" s="0" t="n">
        <f aca="false">I267</f>
        <v>6103264212.87154</v>
      </c>
      <c r="J268" s="85"/>
      <c r="K268" s="85"/>
      <c r="L268" s="85"/>
      <c r="M268" s="85"/>
      <c r="N268" s="85"/>
      <c r="O268" s="85"/>
      <c r="P268" s="85"/>
      <c r="Q268" s="85"/>
      <c r="R268" s="85"/>
      <c r="S268" s="85"/>
      <c r="Y268" s="122"/>
      <c r="AA268" s="104"/>
      <c r="AB268" s="104"/>
      <c r="AC268" s="104"/>
    </row>
    <row r="269" customFormat="false" ht="15" hidden="false" customHeight="false" outlineLevel="0" collapsed="false">
      <c r="F269" s="99" t="n">
        <f aca="false">H269/G269</f>
        <v>0.000460738701188356</v>
      </c>
      <c r="G269" s="52" t="n">
        <f aca="false">G268*(1+$O$1)</f>
        <v>3639600.69025566</v>
      </c>
      <c r="H269" s="15" t="n">
        <f aca="false">I269/G269</f>
        <v>1676.90489487264</v>
      </c>
      <c r="I269" s="0" t="n">
        <f aca="false">I268</f>
        <v>6103264212.87154</v>
      </c>
      <c r="J269" s="85"/>
      <c r="K269" s="85"/>
      <c r="L269" s="85"/>
      <c r="M269" s="85"/>
      <c r="N269" s="85"/>
      <c r="O269" s="85"/>
      <c r="P269" s="85"/>
      <c r="Q269" s="85"/>
      <c r="R269" s="85"/>
      <c r="S269" s="85"/>
      <c r="Y269" s="122"/>
      <c r="AA269" s="104"/>
      <c r="AB269" s="104"/>
      <c r="AC269" s="104"/>
    </row>
    <row r="270" customFormat="false" ht="15" hidden="false" customHeight="false" outlineLevel="0" collapsed="false">
      <c r="F270" s="99" t="n">
        <f aca="false">H270/G270</f>
        <v>0.000438537728674223</v>
      </c>
      <c r="G270" s="52" t="n">
        <f aca="false">G269*(1+$O$1)</f>
        <v>3730590.70751205</v>
      </c>
      <c r="H270" s="15" t="n">
        <f aca="false">I270/G270</f>
        <v>1636.0047754855</v>
      </c>
      <c r="I270" s="0" t="n">
        <f aca="false">I269</f>
        <v>6103264212.87154</v>
      </c>
      <c r="J270" s="85"/>
      <c r="K270" s="85"/>
      <c r="L270" s="85"/>
      <c r="M270" s="85"/>
      <c r="N270" s="85"/>
      <c r="O270" s="85"/>
      <c r="P270" s="85"/>
      <c r="Q270" s="85"/>
      <c r="R270" s="85"/>
      <c r="S270" s="85"/>
      <c r="Y270" s="122"/>
    </row>
    <row r="271" customFormat="false" ht="15" hidden="false" customHeight="false" outlineLevel="0" collapsed="false">
      <c r="F271" s="99" t="n">
        <f aca="false">H271/G271</f>
        <v>0.000417406523425793</v>
      </c>
      <c r="G271" s="52" t="n">
        <f aca="false">G270*(1+$O$1)</f>
        <v>3823855.47519985</v>
      </c>
      <c r="H271" s="15" t="n">
        <f aca="false">I271/G271</f>
        <v>1596.10221998585</v>
      </c>
      <c r="I271" s="0" t="n">
        <f aca="false">I270</f>
        <v>6103264212.87154</v>
      </c>
      <c r="J271" s="85"/>
      <c r="K271" s="85"/>
      <c r="L271" s="85"/>
      <c r="M271" s="85"/>
      <c r="N271" s="85"/>
      <c r="O271" s="85"/>
      <c r="P271" s="85"/>
      <c r="Q271" s="85"/>
      <c r="R271" s="85"/>
      <c r="S271" s="85"/>
      <c r="Y271" s="122"/>
    </row>
    <row r="272" customFormat="false" ht="15" hidden="false" customHeight="false" outlineLevel="0" collapsed="false">
      <c r="F272" s="99" t="n">
        <f aca="false">H272/G272</f>
        <v>0.000397293538061433</v>
      </c>
      <c r="G272" s="52" t="n">
        <f aca="false">G271*(1+$O$1)</f>
        <v>3919451.86207985</v>
      </c>
      <c r="H272" s="15" t="n">
        <f aca="false">I272/G272</f>
        <v>1557.17289754717</v>
      </c>
      <c r="I272" s="0" t="n">
        <f aca="false">I271</f>
        <v>6103264212.87154</v>
      </c>
      <c r="J272" s="85"/>
      <c r="K272" s="85"/>
      <c r="L272" s="85"/>
      <c r="M272" s="85"/>
      <c r="N272" s="85"/>
      <c r="O272" s="85"/>
      <c r="P272" s="85"/>
      <c r="Q272" s="85"/>
      <c r="R272" s="85"/>
      <c r="S272" s="85"/>
      <c r="Y272" s="122"/>
    </row>
    <row r="273" customFormat="false" ht="15" hidden="false" customHeight="false" outlineLevel="0" collapsed="false">
      <c r="F273" s="99" t="n">
        <f aca="false">H273/G273</f>
        <v>0.000378149709041221</v>
      </c>
      <c r="G273" s="52" t="n">
        <f aca="false">G272*(1+$O$1)</f>
        <v>4017438.15863184</v>
      </c>
      <c r="H273" s="15" t="n">
        <f aca="false">I273/G273</f>
        <v>1519.19307077773</v>
      </c>
      <c r="I273" s="0" t="n">
        <f aca="false">I272</f>
        <v>6103264212.87154</v>
      </c>
      <c r="J273" s="85"/>
      <c r="K273" s="85"/>
      <c r="L273" s="85"/>
      <c r="M273" s="85"/>
      <c r="N273" s="85"/>
      <c r="O273" s="85"/>
      <c r="P273" s="85"/>
      <c r="Q273" s="85"/>
      <c r="R273" s="85"/>
      <c r="S273" s="85"/>
      <c r="Y273" s="122"/>
    </row>
    <row r="274" customFormat="false" ht="15" hidden="false" customHeight="false" outlineLevel="0" collapsed="false">
      <c r="F274" s="99" t="n">
        <f aca="false">H274/G274</f>
        <v>0.000359928336981531</v>
      </c>
      <c r="G274" s="52" t="n">
        <f aca="false">G273*(1+$O$1)</f>
        <v>4117874.11259764</v>
      </c>
      <c r="H274" s="15" t="n">
        <f aca="false">I274/G274</f>
        <v>1482.13958124657</v>
      </c>
      <c r="I274" s="0" t="n">
        <f aca="false">I273</f>
        <v>6103264212.87154</v>
      </c>
      <c r="J274" s="85"/>
      <c r="K274" s="85"/>
      <c r="L274" s="85"/>
      <c r="M274" s="85"/>
      <c r="N274" s="85"/>
      <c r="O274" s="85"/>
      <c r="P274" s="85"/>
      <c r="Q274" s="85"/>
      <c r="R274" s="85"/>
      <c r="S274" s="85"/>
      <c r="Y274" s="122"/>
    </row>
    <row r="275" customFormat="false" ht="15" hidden="false" customHeight="false" outlineLevel="0" collapsed="false">
      <c r="F275" s="99" t="n">
        <f aca="false">H275/G275</f>
        <v>0.000342584972736734</v>
      </c>
      <c r="G275" s="52" t="n">
        <f aca="false">G274*(1+$O$1)</f>
        <v>4220820.96541258</v>
      </c>
      <c r="H275" s="15" t="n">
        <f aca="false">I275/G275</f>
        <v>1445.9898353625</v>
      </c>
      <c r="I275" s="0" t="n">
        <f aca="false">I274</f>
        <v>6103264212.87154</v>
      </c>
      <c r="J275" s="85"/>
      <c r="K275" s="85"/>
      <c r="L275" s="85"/>
      <c r="M275" s="85"/>
      <c r="N275" s="85"/>
      <c r="O275" s="85"/>
      <c r="P275" s="85"/>
      <c r="Q275" s="85"/>
      <c r="R275" s="85"/>
      <c r="S275" s="85"/>
      <c r="Y275" s="122"/>
    </row>
    <row r="276" customFormat="false" ht="15" hidden="false" customHeight="false" outlineLevel="0" collapsed="false">
      <c r="F276" s="99" t="n">
        <f aca="false">H276/G276</f>
        <v>0.000326077308970122</v>
      </c>
      <c r="G276" s="52" t="n">
        <f aca="false">G275*(1+$O$1)</f>
        <v>4326341.48954789</v>
      </c>
      <c r="H276" s="15" t="n">
        <f aca="false">I276/G276</f>
        <v>1410.72179059756</v>
      </c>
      <c r="I276" s="0" t="n">
        <f aca="false">I275</f>
        <v>6103264212.87154</v>
      </c>
      <c r="J276" s="85"/>
      <c r="K276" s="85"/>
      <c r="L276" s="85"/>
      <c r="M276" s="85"/>
      <c r="N276" s="85"/>
      <c r="O276" s="85"/>
      <c r="P276" s="85"/>
      <c r="Q276" s="85"/>
      <c r="R276" s="85"/>
      <c r="S276" s="85"/>
    </row>
    <row r="277" customFormat="false" ht="15" hidden="false" customHeight="false" outlineLevel="0" collapsed="false">
      <c r="F277" s="99" t="n">
        <f aca="false">H277/G277</f>
        <v>0.000310365076949551</v>
      </c>
      <c r="G277" s="52" t="n">
        <f aca="false">G276*(1+$O$1)</f>
        <v>4434500.02678659</v>
      </c>
      <c r="H277" s="15" t="n">
        <f aca="false">I277/G277</f>
        <v>1376.31394204641</v>
      </c>
      <c r="I277" s="0" t="n">
        <f aca="false">I276</f>
        <v>6103264212.87154</v>
      </c>
      <c r="J277" s="85"/>
      <c r="K277" s="85"/>
      <c r="L277" s="85"/>
      <c r="M277" s="85"/>
      <c r="N277" s="85"/>
      <c r="O277" s="85"/>
      <c r="P277" s="85"/>
      <c r="Q277" s="85"/>
      <c r="R277" s="85"/>
      <c r="S277" s="85"/>
    </row>
    <row r="278" customFormat="false" ht="15" hidden="false" customHeight="false" outlineLevel="0" collapsed="false">
      <c r="F278" s="99" t="n">
        <f aca="false">H278/G278</f>
        <v>0.000295409948316051</v>
      </c>
      <c r="G278" s="52" t="n">
        <f aca="false">G277*(1+$O$1)</f>
        <v>4545362.52745626</v>
      </c>
      <c r="H278" s="15" t="n">
        <f aca="false">I278/G278</f>
        <v>1342.74530931357</v>
      </c>
      <c r="I278" s="0" t="n">
        <f aca="false">I277</f>
        <v>6103264212.87154</v>
      </c>
      <c r="J278" s="85"/>
      <c r="K278" s="85"/>
      <c r="L278" s="85"/>
      <c r="M278" s="85"/>
      <c r="N278" s="85"/>
      <c r="O278" s="85"/>
      <c r="P278" s="85"/>
      <c r="Q278" s="85"/>
      <c r="R278" s="85"/>
      <c r="S278" s="85"/>
    </row>
    <row r="279" customFormat="false" ht="15" hidden="false" customHeight="false" outlineLevel="0" collapsed="false">
      <c r="F279" s="99" t="n">
        <f aca="false">H279/G279</f>
        <v>0.000281175441585771</v>
      </c>
      <c r="G279" s="52" t="n">
        <f aca="false">G278*(1+$O$1)</f>
        <v>4658996.59064266</v>
      </c>
      <c r="H279" s="15" t="n">
        <f aca="false">I279/G279</f>
        <v>1309.99542372055</v>
      </c>
      <c r="I279" s="0" t="n">
        <f aca="false">I278</f>
        <v>6103264212.87154</v>
      </c>
      <c r="J279" s="85"/>
      <c r="K279" s="85"/>
      <c r="L279" s="85"/>
      <c r="M279" s="85"/>
      <c r="N279" s="85"/>
      <c r="O279" s="85"/>
      <c r="P279" s="85"/>
      <c r="Q279" s="85"/>
      <c r="R279" s="85"/>
      <c r="S279" s="85"/>
    </row>
    <row r="280" customFormat="false" ht="15" hidden="false" customHeight="false" outlineLevel="0" collapsed="false">
      <c r="F280" s="99" t="n">
        <f aca="false">H280/G280</f>
        <v>0.000267626833157188</v>
      </c>
      <c r="G280" s="52" t="n">
        <f aca="false">G279*(1+$O$1)</f>
        <v>4775471.50540873</v>
      </c>
      <c r="H280" s="15" t="n">
        <f aca="false">I280/G280</f>
        <v>1278.04431582493</v>
      </c>
      <c r="I280" s="0" t="n">
        <f aca="false">I279</f>
        <v>6103264212.87154</v>
      </c>
      <c r="J280" s="85"/>
      <c r="K280" s="85"/>
      <c r="L280" s="85"/>
      <c r="M280" s="85"/>
      <c r="N280" s="85"/>
      <c r="O280" s="85"/>
      <c r="P280" s="85"/>
      <c r="Q280" s="85"/>
      <c r="R280" s="85"/>
      <c r="S280" s="85"/>
    </row>
    <row r="281" customFormat="false" ht="15" hidden="false" customHeight="false" outlineLevel="0" collapsed="false">
      <c r="F281" s="99" t="n">
        <f aca="false">H281/G281</f>
        <v>0.000254731072606485</v>
      </c>
      <c r="G281" s="52" t="n">
        <f aca="false">G280*(1+$O$1)</f>
        <v>4894858.29304395</v>
      </c>
      <c r="H281" s="15" t="n">
        <f aca="false">I281/G281</f>
        <v>1246.87250324383</v>
      </c>
      <c r="I281" s="0" t="n">
        <f aca="false">I280</f>
        <v>6103264212.87154</v>
      </c>
      <c r="J281" s="85"/>
      <c r="K281" s="85"/>
      <c r="L281" s="85"/>
      <c r="M281" s="85"/>
      <c r="N281" s="85"/>
      <c r="O281" s="85"/>
      <c r="P281" s="85"/>
      <c r="Q281" s="85"/>
      <c r="R281" s="85"/>
      <c r="S281" s="85"/>
    </row>
    <row r="282" customFormat="false" ht="15" hidden="false" customHeight="false" outlineLevel="0" collapsed="false">
      <c r="F282" s="99" t="n">
        <f aca="false">H282/G282</f>
        <v>0.000242456702064471</v>
      </c>
      <c r="G282" s="52" t="n">
        <f aca="false">G281*(1+$O$1)</f>
        <v>5017229.75037004</v>
      </c>
      <c r="H282" s="15" t="n">
        <f aca="false">I282/G282</f>
        <v>1216.46097877447</v>
      </c>
      <c r="I282" s="0" t="n">
        <f aca="false">I281</f>
        <v>6103264212.87154</v>
      </c>
      <c r="J282" s="85"/>
      <c r="K282" s="85"/>
      <c r="L282" s="85"/>
      <c r="M282" s="85"/>
      <c r="N282" s="85"/>
      <c r="O282" s="85"/>
      <c r="P282" s="85"/>
      <c r="Q282" s="85"/>
      <c r="R282" s="85"/>
      <c r="S282" s="85"/>
    </row>
    <row r="283" customFormat="false" ht="15" hidden="false" customHeight="false" outlineLevel="0" collapsed="false">
      <c r="F283" s="99" t="n">
        <f aca="false">H283/G283</f>
        <v>0.000230773779478378</v>
      </c>
      <c r="G283" s="52" t="n">
        <f aca="false">G282*(1+$O$1)</f>
        <v>5142660.49412929</v>
      </c>
      <c r="H283" s="15" t="n">
        <f aca="false">I283/G283</f>
        <v>1186.79119880436</v>
      </c>
      <c r="I283" s="0" t="n">
        <f aca="false">I282</f>
        <v>6103264212.87154</v>
      </c>
      <c r="J283" s="85"/>
      <c r="K283" s="85"/>
      <c r="L283" s="85"/>
      <c r="M283" s="85"/>
      <c r="N283" s="85"/>
      <c r="O283" s="85"/>
      <c r="P283" s="85"/>
      <c r="Q283" s="85"/>
      <c r="R283" s="85"/>
      <c r="S283" s="85"/>
    </row>
    <row r="284" customFormat="false" ht="15" hidden="false" customHeight="false" outlineLevel="0" collapsed="false">
      <c r="F284" s="99" t="n">
        <f aca="false">H284/G284</f>
        <v>0.00021965380557133</v>
      </c>
      <c r="G284" s="52" t="n">
        <f aca="false">G283*(1+$O$1)</f>
        <v>5271227.00648253</v>
      </c>
      <c r="H284" s="15" t="n">
        <f aca="false">I284/G284</f>
        <v>1157.84507200426</v>
      </c>
      <c r="I284" s="0" t="n">
        <f aca="false">I283</f>
        <v>6103264212.87154</v>
      </c>
      <c r="J284" s="85"/>
      <c r="K284" s="85"/>
      <c r="L284" s="85"/>
      <c r="M284" s="85"/>
      <c r="N284" s="85"/>
      <c r="O284" s="85"/>
      <c r="P284" s="85"/>
      <c r="Q284" s="85"/>
      <c r="R284" s="85"/>
      <c r="S284" s="85"/>
    </row>
    <row r="285" customFormat="false" ht="15" hidden="false" customHeight="false" outlineLevel="0" collapsed="false">
      <c r="F285" s="99" t="n">
        <f aca="false">H285/G285</f>
        <v>0.000209069654321313</v>
      </c>
      <c r="G285" s="52" t="n">
        <f aca="false">G284*(1+$O$1)</f>
        <v>5403007.68164459</v>
      </c>
      <c r="H285" s="15" t="n">
        <f aca="false">I285/G285</f>
        <v>1129.60494829684</v>
      </c>
      <c r="I285" s="0" t="n">
        <f aca="false">I284</f>
        <v>6103264212.87154</v>
      </c>
      <c r="J285" s="85"/>
      <c r="K285" s="85"/>
      <c r="L285" s="85"/>
      <c r="M285" s="85"/>
      <c r="N285" s="85"/>
      <c r="O285" s="85"/>
      <c r="P285" s="85"/>
      <c r="Q285" s="85"/>
      <c r="R285" s="85"/>
      <c r="S285" s="85"/>
    </row>
    <row r="286" customFormat="false" ht="15" hidden="false" customHeight="false" outlineLevel="0" collapsed="false">
      <c r="F286" s="99" t="n">
        <f aca="false">H286/G286</f>
        <v>0.000198995506790066</v>
      </c>
      <c r="G286" s="52" t="n">
        <f aca="false">G285*(1+$O$1)</f>
        <v>5538082.8736857</v>
      </c>
      <c r="H286" s="15" t="n">
        <f aca="false">I286/G286</f>
        <v>1102.05360809447</v>
      </c>
      <c r="I286" s="0" t="n">
        <f aca="false">I285</f>
        <v>6103264212.87154</v>
      </c>
      <c r="J286" s="85"/>
      <c r="K286" s="85"/>
      <c r="L286" s="85"/>
      <c r="M286" s="85"/>
      <c r="N286" s="85"/>
      <c r="O286" s="85"/>
      <c r="P286" s="85"/>
      <c r="Q286" s="85"/>
      <c r="R286" s="85"/>
      <c r="S286" s="85"/>
    </row>
    <row r="287" customFormat="false" ht="15" hidden="false" customHeight="false" outlineLevel="0" collapsed="false">
      <c r="F287" s="99" t="n">
        <f aca="false">H287/G287</f>
        <v>0.000189406788140456</v>
      </c>
      <c r="G287" s="52" t="n">
        <f aca="false">G286*(1+$O$1)</f>
        <v>5676534.94552784</v>
      </c>
      <c r="H287" s="15" t="n">
        <f aca="false">I287/G287</f>
        <v>1075.17425179949</v>
      </c>
      <c r="I287" s="0" t="n">
        <f aca="false">I286</f>
        <v>6103264212.87154</v>
      </c>
      <c r="J287" s="85"/>
      <c r="K287" s="85"/>
      <c r="L287" s="85"/>
      <c r="M287" s="85"/>
      <c r="N287" s="85"/>
      <c r="O287" s="85"/>
      <c r="P287" s="85"/>
      <c r="Q287" s="85"/>
      <c r="R287" s="85"/>
      <c r="S287" s="85"/>
    </row>
    <row r="288" customFormat="false" ht="15" hidden="false" customHeight="false" outlineLevel="0" collapsed="false">
      <c r="F288" s="99" t="n">
        <f aca="false">H288/G288</f>
        <v>0.000180280107688715</v>
      </c>
      <c r="G288" s="52" t="n">
        <f aca="false">G287*(1+$O$1)</f>
        <v>5818448.31916604</v>
      </c>
      <c r="H288" s="15" t="n">
        <f aca="false">I288/G288</f>
        <v>1048.95048956047</v>
      </c>
      <c r="I288" s="0" t="n">
        <f aca="false">I287</f>
        <v>6103264212.87154</v>
      </c>
      <c r="J288" s="85"/>
      <c r="K288" s="85"/>
      <c r="L288" s="85"/>
      <c r="M288" s="85"/>
      <c r="N288" s="85"/>
      <c r="O288" s="85"/>
      <c r="P288" s="85"/>
      <c r="Q288" s="85"/>
      <c r="R288" s="85"/>
      <c r="S288" s="85"/>
    </row>
    <row r="289" customFormat="false" ht="15" hidden="false" customHeight="false" outlineLevel="0" collapsed="false">
      <c r="F289" s="99" t="n">
        <f aca="false">H289/G289</f>
        <v>0.000171593201845297</v>
      </c>
      <c r="G289" s="52" t="n">
        <f aca="false">G288*(1+$O$1)</f>
        <v>5963909.52714519</v>
      </c>
      <c r="H289" s="15" t="n">
        <f aca="false">I289/G289</f>
        <v>1023.36633127851</v>
      </c>
      <c r="I289" s="0" t="n">
        <f aca="false">I288</f>
        <v>6103264212.87154</v>
      </c>
      <c r="J289" s="85"/>
      <c r="K289" s="85"/>
      <c r="L289" s="85"/>
      <c r="M289" s="85"/>
      <c r="N289" s="85"/>
      <c r="O289" s="85"/>
      <c r="P289" s="85"/>
      <c r="Q289" s="85"/>
      <c r="R289" s="85"/>
      <c r="S289" s="85"/>
    </row>
    <row r="290" customFormat="false" ht="15" hidden="false" customHeight="false" outlineLevel="0" collapsed="false">
      <c r="F290" s="99" t="n">
        <f aca="false">H290/G290</f>
        <v>0.00016332487980516</v>
      </c>
      <c r="G290" s="52" t="n">
        <f aca="false">G289*(1+$O$1)</f>
        <v>6113007.26532382</v>
      </c>
      <c r="H290" s="15" t="n">
        <f aca="false">I290/G290</f>
        <v>998.406176857085</v>
      </c>
      <c r="I290" s="0" t="n">
        <f aca="false">I289</f>
        <v>6103264212.87154</v>
      </c>
      <c r="J290" s="85"/>
      <c r="K290" s="85"/>
      <c r="L290" s="85"/>
      <c r="M290" s="85"/>
      <c r="N290" s="85"/>
      <c r="O290" s="85"/>
      <c r="P290" s="85"/>
      <c r="Q290" s="85"/>
      <c r="R290" s="85"/>
      <c r="S290" s="85"/>
    </row>
    <row r="291" customFormat="false" ht="15" hidden="false" customHeight="false" outlineLevel="0" collapsed="false">
      <c r="F291" s="99" t="n">
        <f aca="false">H291/G291</f>
        <v>0.000155454971855001</v>
      </c>
      <c r="G291" s="52" t="n">
        <f aca="false">G290*(1+$O$1)</f>
        <v>6265832.44695692</v>
      </c>
      <c r="H291" s="15" t="n">
        <f aca="false">I291/G291</f>
        <v>974.054806689839</v>
      </c>
      <c r="I291" s="0" t="n">
        <f aca="false">I290</f>
        <v>6103264212.87154</v>
      </c>
      <c r="J291" s="85"/>
      <c r="K291" s="85"/>
      <c r="L291" s="85"/>
      <c r="M291" s="85"/>
      <c r="N291" s="85"/>
      <c r="O291" s="85"/>
      <c r="P291" s="85"/>
      <c r="Q291" s="85"/>
      <c r="R291" s="85"/>
      <c r="S291" s="85"/>
    </row>
    <row r="292" customFormat="false" ht="15" hidden="false" customHeight="false" outlineLevel="0" collapsed="false">
      <c r="F292" s="99" t="n">
        <f aca="false">H292/G292</f>
        <v>0.000147964280171328</v>
      </c>
      <c r="G292" s="52" t="n">
        <f aca="false">G291*(1+$O$1)</f>
        <v>6422478.25813084</v>
      </c>
      <c r="H292" s="15" t="n">
        <f aca="false">I292/G292</f>
        <v>950.297372380331</v>
      </c>
      <c r="I292" s="0" t="n">
        <f aca="false">I291</f>
        <v>6103264212.87154</v>
      </c>
      <c r="J292" s="85"/>
      <c r="K292" s="85"/>
      <c r="L292" s="85"/>
      <c r="M292" s="85"/>
      <c r="N292" s="85"/>
      <c r="O292" s="85"/>
      <c r="P292" s="85"/>
      <c r="Q292" s="85"/>
      <c r="R292" s="85"/>
      <c r="S292" s="85"/>
    </row>
    <row r="293" customFormat="false" ht="15" hidden="false" customHeight="false" outlineLevel="0" collapsed="false">
      <c r="F293" s="99" t="n">
        <f aca="false">H293/G293</f>
        <v>0.000140834531989366</v>
      </c>
      <c r="G293" s="52" t="n">
        <f aca="false">G292*(1+$O$1)</f>
        <v>6583040.21458411</v>
      </c>
      <c r="H293" s="15" t="n">
        <f aca="false">I293/G293</f>
        <v>927.119387688128</v>
      </c>
      <c r="I293" s="0" t="n">
        <f aca="false">I292</f>
        <v>6103264212.87154</v>
      </c>
      <c r="J293" s="85"/>
      <c r="K293" s="85"/>
      <c r="L293" s="85"/>
      <c r="M293" s="85"/>
      <c r="N293" s="85"/>
      <c r="O293" s="85"/>
      <c r="P293" s="85"/>
      <c r="Q293" s="85"/>
      <c r="R293" s="85"/>
      <c r="S293" s="85"/>
    </row>
    <row r="294" customFormat="false" ht="15" hidden="false" customHeight="false" outlineLevel="0" collapsed="false">
      <c r="F294" s="99" t="n">
        <f aca="false">H294/G294</f>
        <v>0.000134048335028546</v>
      </c>
      <c r="G294" s="52" t="n">
        <f aca="false">G293*(1+$O$1)</f>
        <v>6747616.21994871</v>
      </c>
      <c r="H294" s="15" t="n">
        <f aca="false">I294/G294</f>
        <v>904.506719695735</v>
      </c>
      <c r="I294" s="0" t="n">
        <f aca="false">I293</f>
        <v>6103264212.87154</v>
      </c>
      <c r="J294" s="85"/>
      <c r="K294" s="85"/>
      <c r="L294" s="85"/>
      <c r="M294" s="85"/>
      <c r="N294" s="85"/>
      <c r="O294" s="85"/>
      <c r="P294" s="85"/>
      <c r="Q294" s="85"/>
      <c r="R294" s="85"/>
      <c r="S294" s="85"/>
    </row>
    <row r="295" customFormat="false" ht="15" hidden="false" customHeight="false" outlineLevel="0" collapsed="false">
      <c r="F295" s="99" t="n">
        <f aca="false">H295/G295</f>
        <v>0.000127589135065838</v>
      </c>
      <c r="G295" s="52" t="n">
        <f aca="false">G294*(1+$O$1)</f>
        <v>6916306.62544743</v>
      </c>
      <c r="H295" s="15" t="n">
        <f aca="false">I295/G295</f>
        <v>882.445580190961</v>
      </c>
      <c r="I295" s="0" t="n">
        <f aca="false">I294</f>
        <v>6103264212.87154</v>
      </c>
      <c r="J295" s="85"/>
      <c r="K295" s="85"/>
      <c r="L295" s="85"/>
      <c r="M295" s="85"/>
      <c r="N295" s="85"/>
      <c r="O295" s="85"/>
      <c r="P295" s="85"/>
      <c r="Q295" s="85"/>
      <c r="R295" s="85"/>
      <c r="S295" s="85"/>
    </row>
    <row r="296" customFormat="false" ht="15" hidden="false" customHeight="false" outlineLevel="0" collapsed="false">
      <c r="F296" s="99" t="n">
        <f aca="false">H296/G296</f>
        <v>0.000121441175553445</v>
      </c>
      <c r="G296" s="52" t="n">
        <f aca="false">G295*(1+$O$1)</f>
        <v>7089214.29108361</v>
      </c>
      <c r="H296" s="15" t="n">
        <f aca="false">I296/G296</f>
        <v>860.922517259474</v>
      </c>
      <c r="I296" s="0" t="n">
        <f aca="false">I295</f>
        <v>6103264212.87154</v>
      </c>
      <c r="J296" s="85"/>
      <c r="K296" s="85"/>
      <c r="L296" s="85"/>
      <c r="M296" s="85"/>
      <c r="N296" s="85"/>
      <c r="O296" s="85"/>
      <c r="P296" s="85"/>
      <c r="Q296" s="85"/>
      <c r="R296" s="85"/>
      <c r="S296" s="85"/>
    </row>
    <row r="297" customFormat="false" ht="15" hidden="false" customHeight="false" outlineLevel="0" collapsed="false">
      <c r="F297" s="99" t="n">
        <f aca="false">H297/G297</f>
        <v>0.000115589459182339</v>
      </c>
      <c r="G297" s="52" t="n">
        <f aca="false">G296*(1+$O$1)</f>
        <v>7266444.6483607</v>
      </c>
      <c r="H297" s="15" t="n">
        <f aca="false">I297/G297</f>
        <v>839.924407082414</v>
      </c>
      <c r="I297" s="0" t="n">
        <f aca="false">I296</f>
        <v>6103264212.87154</v>
      </c>
      <c r="J297" s="85"/>
      <c r="K297" s="85"/>
      <c r="L297" s="85"/>
      <c r="M297" s="85"/>
      <c r="N297" s="85"/>
      <c r="O297" s="85"/>
      <c r="P297" s="85"/>
      <c r="Q297" s="85"/>
      <c r="R297" s="85"/>
      <c r="S297" s="85"/>
    </row>
    <row r="298" customFormat="false" ht="15" hidden="false" customHeight="false" outlineLevel="0" collapsed="false">
      <c r="F298" s="99" t="n">
        <f aca="false">H298/G298</f>
        <v>0.000110019711297883</v>
      </c>
      <c r="G298" s="52" t="n">
        <f aca="false">G297*(1+$O$1)</f>
        <v>7448105.76456972</v>
      </c>
      <c r="H298" s="15" t="n">
        <f aca="false">I298/G298</f>
        <v>819.438445934062</v>
      </c>
      <c r="I298" s="0" t="n">
        <f aca="false">I297</f>
        <v>6103264212.87154</v>
      </c>
      <c r="J298" s="85"/>
      <c r="K298" s="85"/>
      <c r="L298" s="85"/>
      <c r="M298" s="85"/>
      <c r="N298" s="85"/>
      <c r="O298" s="85"/>
      <c r="P298" s="85"/>
      <c r="Q298" s="85"/>
      <c r="R298" s="85"/>
      <c r="S298" s="85"/>
    </row>
    <row r="299" customFormat="false" ht="15" hidden="false" customHeight="false" outlineLevel="0" collapsed="false">
      <c r="F299" s="99" t="n">
        <f aca="false">H299/G299</f>
        <v>0.000104718345078295</v>
      </c>
      <c r="G299" s="52" t="n">
        <f aca="false">G298*(1+$O$1)</f>
        <v>7634308.40868396</v>
      </c>
      <c r="H299" s="15" t="n">
        <f aca="false">I299/G299</f>
        <v>799.452142374695</v>
      </c>
      <c r="I299" s="0" t="n">
        <f aca="false">I298</f>
        <v>6103264212.87154</v>
      </c>
      <c r="J299" s="85"/>
      <c r="K299" s="85"/>
      <c r="L299" s="85"/>
      <c r="M299" s="85"/>
      <c r="N299" s="85"/>
      <c r="O299" s="85"/>
      <c r="P299" s="85"/>
      <c r="Q299" s="85"/>
      <c r="R299" s="85"/>
      <c r="S299" s="85"/>
    </row>
    <row r="300" customFormat="false" ht="15" hidden="false" customHeight="false" outlineLevel="0" collapsed="false">
      <c r="F300" s="99" t="n">
        <f aca="false">H300/G300</f>
        <v>9.96724283910005E-005</v>
      </c>
      <c r="G300" s="52" t="n">
        <f aca="false">G299*(1+$O$1)</f>
        <v>7825166.11890106</v>
      </c>
      <c r="H300" s="15" t="n">
        <f aca="false">I300/G300</f>
        <v>779.953309633849</v>
      </c>
      <c r="I300" s="0" t="n">
        <f aca="false">I299</f>
        <v>6103264212.87154</v>
      </c>
      <c r="J300" s="85"/>
      <c r="K300" s="85"/>
      <c r="L300" s="85"/>
      <c r="M300" s="85"/>
      <c r="N300" s="85"/>
      <c r="O300" s="85"/>
      <c r="P300" s="85"/>
      <c r="Q300" s="85"/>
      <c r="R300" s="85"/>
      <c r="S300" s="85"/>
    </row>
    <row r="301" customFormat="false" ht="15" hidden="false" customHeight="false" outlineLevel="0" collapsed="false">
      <c r="F301" s="99" t="n">
        <f aca="false">H301/G301</f>
        <v>9.48696522460445E-005</v>
      </c>
      <c r="G301" s="52" t="n">
        <f aca="false">G300*(1+$O$1)</f>
        <v>8020795.27187359</v>
      </c>
      <c r="H301" s="15" t="n">
        <f aca="false">I301/G301</f>
        <v>760.930058179365</v>
      </c>
      <c r="I301" s="0" t="n">
        <f aca="false">I300</f>
        <v>6103264212.87154</v>
      </c>
      <c r="J301" s="85"/>
      <c r="K301" s="85"/>
      <c r="L301" s="85"/>
      <c r="M301" s="85"/>
      <c r="N301" s="85"/>
      <c r="O301" s="85"/>
      <c r="P301" s="85"/>
      <c r="Q301" s="85"/>
      <c r="R301" s="85"/>
      <c r="S301" s="85"/>
    </row>
    <row r="302" customFormat="false" ht="15" hidden="false" customHeight="false" outlineLevel="0" collapsed="false">
      <c r="F302" s="99" t="n">
        <f aca="false">H302/G302</f>
        <v>9.02983007695843E-005</v>
      </c>
      <c r="G302" s="52" t="n">
        <f aca="false">G301*(1+$O$1)</f>
        <v>8221315.15367042</v>
      </c>
      <c r="H302" s="15" t="n">
        <f aca="false">I302/G302</f>
        <v>742.370788467673</v>
      </c>
      <c r="I302" s="0" t="n">
        <f aca="false">I301</f>
        <v>6103264212.87154</v>
      </c>
      <c r="J302" s="85"/>
      <c r="K302" s="85"/>
      <c r="L302" s="85"/>
      <c r="M302" s="85"/>
      <c r="N302" s="85"/>
      <c r="O302" s="85"/>
      <c r="P302" s="85"/>
      <c r="Q302" s="85"/>
      <c r="R302" s="85"/>
      <c r="S302" s="85"/>
    </row>
    <row r="303" customFormat="false" ht="15" hidden="false" customHeight="false" outlineLevel="0" collapsed="false">
      <c r="F303" s="99" t="n">
        <f aca="false">H303/G303</f>
        <v>8.59472226242325E-005</v>
      </c>
      <c r="G303" s="52" t="n">
        <f aca="false">G302*(1+$O$1)</f>
        <v>8426848.03251218</v>
      </c>
      <c r="H303" s="15" t="n">
        <f aca="false">I303/G303</f>
        <v>724.264183870901</v>
      </c>
      <c r="I303" s="0" t="n">
        <f aca="false">I302</f>
        <v>6103264212.87154</v>
      </c>
      <c r="J303" s="85"/>
      <c r="K303" s="85"/>
      <c r="L303" s="85"/>
      <c r="M303" s="85"/>
      <c r="N303" s="85"/>
      <c r="O303" s="85"/>
      <c r="P303" s="85"/>
      <c r="Q303" s="85"/>
      <c r="R303" s="85"/>
      <c r="S303" s="85"/>
    </row>
    <row r="304" customFormat="false" ht="15" hidden="false" customHeight="false" outlineLevel="0" collapsed="false">
      <c r="F304" s="99" t="n">
        <f aca="false">H304/G304</f>
        <v>8.18058038065271E-005</v>
      </c>
      <c r="G304" s="52" t="n">
        <f aca="false">G303*(1+$O$1)</f>
        <v>8637519.23332499</v>
      </c>
      <c r="H304" s="15" t="n">
        <f aca="false">I304/G304</f>
        <v>706.599203776488</v>
      </c>
      <c r="I304" s="0" t="n">
        <f aca="false">I303</f>
        <v>6103264212.87154</v>
      </c>
      <c r="J304" s="85"/>
      <c r="K304" s="85"/>
      <c r="L304" s="85"/>
      <c r="M304" s="85"/>
      <c r="N304" s="85"/>
      <c r="O304" s="85"/>
      <c r="P304" s="85"/>
      <c r="Q304" s="85"/>
      <c r="R304" s="85"/>
      <c r="S304" s="85"/>
    </row>
    <row r="305" customFormat="false" ht="15" hidden="false" customHeight="false" outlineLevel="0" collapsed="false">
      <c r="F305" s="99" t="n">
        <f aca="false">H305/G305</f>
        <v>7.78639417551716E-005</v>
      </c>
      <c r="G305" s="52" t="n">
        <f aca="false">G304*(1+$O$1)</f>
        <v>8853457.21415811</v>
      </c>
      <c r="H305" s="15" t="n">
        <f aca="false">I305/G305</f>
        <v>689.365076855111</v>
      </c>
      <c r="I305" s="0" t="n">
        <f aca="false">I304</f>
        <v>6103264212.87154</v>
      </c>
      <c r="J305" s="85"/>
      <c r="K305" s="85"/>
      <c r="L305" s="85"/>
      <c r="M305" s="85"/>
      <c r="N305" s="85"/>
      <c r="O305" s="85"/>
      <c r="P305" s="85"/>
      <c r="Q305" s="85"/>
      <c r="R305" s="85"/>
      <c r="S305" s="85"/>
    </row>
    <row r="306" customFormat="false" ht="15" hidden="false" customHeight="false" outlineLevel="0" collapsed="false">
      <c r="F306" s="99" t="n">
        <f aca="false">H306/G306</f>
        <v>7.41120207068855E-005</v>
      </c>
      <c r="G306" s="52" t="n">
        <f aca="false">G305*(1+$O$1)</f>
        <v>9074793.64451207</v>
      </c>
      <c r="H306" s="15" t="n">
        <f aca="false">I306/G306</f>
        <v>672.551294492791</v>
      </c>
      <c r="I306" s="0" t="n">
        <f aca="false">I305</f>
        <v>6103264212.87154</v>
      </c>
      <c r="J306" s="85"/>
      <c r="K306" s="85"/>
      <c r="L306" s="85"/>
      <c r="M306" s="85"/>
      <c r="N306" s="85"/>
      <c r="O306" s="85"/>
      <c r="P306" s="85"/>
      <c r="Q306" s="85"/>
      <c r="R306" s="85"/>
      <c r="S306" s="85"/>
    </row>
    <row r="307" customFormat="false" ht="15" hidden="false" customHeight="false" outlineLevel="0" collapsed="false">
      <c r="F307" s="99" t="n">
        <f aca="false">H307/G307</f>
        <v>7.05408882397483E-005</v>
      </c>
      <c r="G307" s="52" t="n">
        <f aca="false">G306*(1+$O$1)</f>
        <v>9301663.48562486</v>
      </c>
      <c r="H307" s="15" t="n">
        <f aca="false">I307/G307</f>
        <v>656.147604383211</v>
      </c>
      <c r="I307" s="0" t="n">
        <f aca="false">I306</f>
        <v>6103264212.87154</v>
      </c>
      <c r="J307" s="85"/>
      <c r="K307" s="85"/>
      <c r="L307" s="85"/>
      <c r="M307" s="85"/>
      <c r="N307" s="85"/>
      <c r="O307" s="85"/>
      <c r="P307" s="85"/>
      <c r="Q307" s="85"/>
      <c r="R307" s="85"/>
      <c r="S307" s="85"/>
    </row>
    <row r="308" customFormat="false" ht="15" hidden="false" customHeight="false" outlineLevel="0" collapsed="false">
      <c r="F308" s="99" t="n">
        <f aca="false">H308/G308</f>
        <v>6.71418329468157E-005</v>
      </c>
      <c r="G308" s="52" t="n">
        <f aca="false">G307*(1+$O$1)</f>
        <v>9534205.07276549</v>
      </c>
      <c r="H308" s="15" t="n">
        <f aca="false">I308/G308</f>
        <v>640.144004276303</v>
      </c>
      <c r="I308" s="0" t="n">
        <f aca="false">I307</f>
        <v>6103264212.87154</v>
      </c>
      <c r="J308" s="85"/>
      <c r="K308" s="85"/>
      <c r="L308" s="85"/>
      <c r="M308" s="85"/>
      <c r="N308" s="85"/>
      <c r="O308" s="85"/>
      <c r="P308" s="85"/>
      <c r="Q308" s="85"/>
      <c r="R308" s="85"/>
      <c r="S308" s="85"/>
    </row>
    <row r="309" customFormat="false" ht="15" hidden="false" customHeight="false" outlineLevel="0" collapsed="false">
      <c r="F309" s="99" t="n">
        <f aca="false">H309/G309</f>
        <v>6.39065631855474E-005</v>
      </c>
      <c r="G309" s="52" t="n">
        <f aca="false">G308*(1+$O$1)</f>
        <v>9772560.19958462</v>
      </c>
      <c r="H309" s="15" t="n">
        <f aca="false">I309/G309</f>
        <v>624.53073587932</v>
      </c>
      <c r="I309" s="0" t="n">
        <f aca="false">I308</f>
        <v>6103264212.87154</v>
      </c>
      <c r="J309" s="85"/>
      <c r="K309" s="85"/>
      <c r="L309" s="85"/>
      <c r="M309" s="85"/>
      <c r="N309" s="85"/>
      <c r="O309" s="85"/>
      <c r="P309" s="85"/>
      <c r="Q309" s="85"/>
      <c r="R309" s="85"/>
      <c r="S309" s="85"/>
    </row>
    <row r="310" customFormat="false" ht="15" hidden="false" customHeight="false" outlineLevel="0" collapsed="false">
      <c r="F310" s="99" t="n">
        <f aca="false">H310/G310</f>
        <v>6.08271868512051E-005</v>
      </c>
      <c r="G310" s="52" t="n">
        <f aca="false">G309*(1+$O$1)</f>
        <v>10016874.2045742</v>
      </c>
      <c r="H310" s="15" t="n">
        <f aca="false">I310/G310</f>
        <v>609.298278906654</v>
      </c>
      <c r="I310" s="0" t="n">
        <f aca="false">I309</f>
        <v>6103264212.87154</v>
      </c>
      <c r="J310" s="85"/>
      <c r="K310" s="85"/>
      <c r="L310" s="85"/>
      <c r="M310" s="85"/>
      <c r="N310" s="85"/>
      <c r="O310" s="85"/>
      <c r="P310" s="85"/>
      <c r="Q310" s="85"/>
      <c r="R310" s="85"/>
      <c r="S310" s="85"/>
    </row>
    <row r="311" customFormat="false" ht="15" hidden="false" customHeight="false" outlineLevel="0" collapsed="false">
      <c r="F311" s="99" t="n">
        <f aca="false">H311/G311</f>
        <v>5.78961921248829E-005</v>
      </c>
      <c r="G311" s="52" t="n">
        <f aca="false">G310*(1+$O$1)</f>
        <v>10267296.0596886</v>
      </c>
      <c r="H311" s="15" t="n">
        <f aca="false">I311/G311</f>
        <v>594.437345274784</v>
      </c>
      <c r="I311" s="0" t="n">
        <f aca="false">I310</f>
        <v>6103264212.87154</v>
      </c>
      <c r="J311" s="85"/>
      <c r="K311" s="85"/>
      <c r="L311" s="85"/>
      <c r="M311" s="85"/>
      <c r="N311" s="85"/>
      <c r="O311" s="85"/>
      <c r="P311" s="85"/>
      <c r="Q311" s="85"/>
      <c r="R311" s="85"/>
      <c r="S311" s="85"/>
    </row>
    <row r="312" customFormat="false" ht="15" hidden="false" customHeight="false" outlineLevel="0" collapsed="false">
      <c r="F312" s="99" t="n">
        <f aca="false">H312/G312</f>
        <v>5.51064291492045E-005</v>
      </c>
      <c r="G312" s="52" t="n">
        <f aca="false">G311*(1+$O$1)</f>
        <v>10523978.4611808</v>
      </c>
      <c r="H312" s="15" t="n">
        <f aca="false">I312/G312</f>
        <v>579.938873438814</v>
      </c>
      <c r="I312" s="0" t="n">
        <f aca="false">I311</f>
        <v>6103264212.87154</v>
      </c>
      <c r="J312" s="85"/>
      <c r="K312" s="85"/>
      <c r="L312" s="85"/>
      <c r="M312" s="85"/>
      <c r="N312" s="85"/>
      <c r="O312" s="85"/>
      <c r="P312" s="85"/>
      <c r="Q312" s="85"/>
      <c r="R312" s="85"/>
      <c r="S312" s="85"/>
    </row>
    <row r="313" customFormat="false" ht="15" hidden="false" customHeight="false" outlineLevel="0" collapsed="false">
      <c r="F313" s="99" t="n">
        <f aca="false">H313/G313</f>
        <v>5.24510925869882E-005</v>
      </c>
      <c r="G313" s="52" t="n">
        <f aca="false">G312*(1+$O$1)</f>
        <v>10787077.9227103</v>
      </c>
      <c r="H313" s="15" t="n">
        <f aca="false">I313/G313</f>
        <v>565.794022867136</v>
      </c>
      <c r="I313" s="0" t="n">
        <f aca="false">I312</f>
        <v>6103264212.87154</v>
      </c>
      <c r="J313" s="85"/>
      <c r="K313" s="85"/>
      <c r="L313" s="85"/>
      <c r="M313" s="85"/>
      <c r="N313" s="85"/>
      <c r="O313" s="85"/>
      <c r="P313" s="85"/>
      <c r="Q313" s="85"/>
      <c r="R313" s="85"/>
      <c r="S313" s="85"/>
    </row>
    <row r="314" customFormat="false" ht="15" hidden="false" customHeight="false" outlineLevel="0" collapsed="false">
      <c r="F314" s="99" t="n">
        <f aca="false">H314/G314</f>
        <v>4.99237050203338E-005</v>
      </c>
      <c r="G314" s="52" t="n">
        <f aca="false">G313*(1+$O$1)</f>
        <v>11056754.8707781</v>
      </c>
      <c r="H314" s="15" t="n">
        <f aca="false">I314/G314</f>
        <v>551.994168650864</v>
      </c>
      <c r="I314" s="0" t="n">
        <f aca="false">I313</f>
        <v>6103264212.87154</v>
      </c>
      <c r="J314" s="85"/>
      <c r="K314" s="85"/>
      <c r="L314" s="85"/>
      <c r="M314" s="85"/>
      <c r="N314" s="85"/>
      <c r="O314" s="85"/>
      <c r="P314" s="85"/>
      <c r="Q314" s="85"/>
      <c r="R314" s="85"/>
      <c r="S314" s="85"/>
    </row>
    <row r="315" customFormat="false" ht="15" hidden="false" customHeight="false" outlineLevel="0" collapsed="false">
      <c r="F315" s="99" t="n">
        <f aca="false">H315/G315</f>
        <v>4.75181011496336E-005</v>
      </c>
      <c r="G315" s="52" t="n">
        <f aca="false">G314*(1+$O$1)</f>
        <v>11333173.7425475</v>
      </c>
      <c r="H315" s="15" t="n">
        <f aca="false">I315/G315</f>
        <v>538.530896244746</v>
      </c>
      <c r="I315" s="0" t="n">
        <f aca="false">I314</f>
        <v>6103264212.87154</v>
      </c>
      <c r="J315" s="85"/>
      <c r="K315" s="85"/>
      <c r="L315" s="85"/>
      <c r="M315" s="85"/>
      <c r="N315" s="85"/>
      <c r="O315" s="85"/>
      <c r="P315" s="85"/>
      <c r="Q315" s="85"/>
      <c r="R315" s="85"/>
      <c r="S315" s="85"/>
    </row>
    <row r="316" customFormat="false" ht="15" hidden="false" customHeight="false" outlineLevel="0" collapsed="false">
      <c r="F316" s="99" t="n">
        <f aca="false">H316/G316</f>
        <v>4.52284127539642E-005</v>
      </c>
      <c r="G316" s="52" t="n">
        <f aca="false">G315*(1+$O$1)</f>
        <v>11616503.0861112</v>
      </c>
      <c r="H316" s="15" t="n">
        <f aca="false">I316/G316</f>
        <v>525.395996336337</v>
      </c>
      <c r="I316" s="0" t="n">
        <f aca="false">I315</f>
        <v>6103264212.87154</v>
      </c>
      <c r="J316" s="85"/>
      <c r="K316" s="85"/>
      <c r="L316" s="85"/>
      <c r="M316" s="85"/>
      <c r="N316" s="85"/>
      <c r="O316" s="85"/>
      <c r="P316" s="85"/>
      <c r="Q316" s="85"/>
      <c r="R316" s="85"/>
      <c r="S316" s="85"/>
    </row>
    <row r="317" customFormat="false" ht="15" hidden="false" customHeight="false" outlineLevel="0" collapsed="false">
      <c r="F317" s="99" t="n">
        <f aca="false">H317/G317</f>
        <v>4.30490543761706E-005</v>
      </c>
      <c r="G317" s="52" t="n">
        <f aca="false">G316*(1+$O$1)</f>
        <v>11906915.663264</v>
      </c>
      <c r="H317" s="15" t="n">
        <f aca="false">I317/G317</f>
        <v>512.581459840329</v>
      </c>
      <c r="I317" s="0" t="n">
        <f aca="false">I316</f>
        <v>6103264212.87154</v>
      </c>
      <c r="J317" s="85"/>
      <c r="K317" s="85"/>
      <c r="L317" s="85"/>
      <c r="M317" s="85"/>
      <c r="N317" s="85"/>
      <c r="O317" s="85"/>
      <c r="P317" s="85"/>
      <c r="Q317" s="85"/>
      <c r="R317" s="85"/>
      <c r="S317" s="85"/>
    </row>
    <row r="318" customFormat="false" ht="15" hidden="false" customHeight="false" outlineLevel="0" collapsed="false">
      <c r="F318" s="99" t="n">
        <f aca="false">H318/G318</f>
        <v>4.09747096977234E-005</v>
      </c>
      <c r="G318" s="52" t="n">
        <f aca="false">G317*(1+$O$1)</f>
        <v>12204588.5548456</v>
      </c>
      <c r="H318" s="15" t="n">
        <f aca="false">I318/G318</f>
        <v>500.079473014955</v>
      </c>
      <c r="I318" s="0" t="n">
        <f aca="false">I317</f>
        <v>6103264212.87154</v>
      </c>
      <c r="J318" s="85"/>
      <c r="K318" s="85"/>
      <c r="L318" s="85"/>
      <c r="M318" s="85"/>
      <c r="N318" s="85"/>
      <c r="O318" s="85"/>
      <c r="P318" s="85"/>
      <c r="Q318" s="85"/>
      <c r="R318" s="85"/>
      <c r="S318" s="85"/>
    </row>
    <row r="319" customFormat="false" ht="15" hidden="false" customHeight="false" outlineLevel="0" collapsed="false">
      <c r="F319" s="99" t="n">
        <f aca="false">H319/G319</f>
        <v>3.90003185701115E-005</v>
      </c>
      <c r="G319" s="52" t="n">
        <f aca="false">G318*(1+$O$1)</f>
        <v>12509703.2687167</v>
      </c>
      <c r="H319" s="15" t="n">
        <f aca="false">I319/G319</f>
        <v>487.882412697517</v>
      </c>
      <c r="I319" s="0" t="n">
        <f aca="false">I318</f>
        <v>6103264212.87154</v>
      </c>
      <c r="J319" s="85"/>
      <c r="K319" s="85"/>
      <c r="L319" s="85"/>
      <c r="M319" s="85"/>
      <c r="N319" s="85"/>
      <c r="O319" s="85"/>
      <c r="P319" s="85"/>
      <c r="Q319" s="85"/>
      <c r="R319" s="85"/>
      <c r="S319" s="85"/>
    </row>
    <row r="320" customFormat="false" ht="15" hidden="false" customHeight="false" outlineLevel="0" collapsed="false">
      <c r="F320" s="99" t="n">
        <f aca="false">H320/G320</f>
        <v>3.71210646711352E-005</v>
      </c>
      <c r="G320" s="52" t="n">
        <f aca="false">G319*(1+$O$1)</f>
        <v>12822445.8504347</v>
      </c>
      <c r="H320" s="15" t="n">
        <f aca="false">I320/G320</f>
        <v>475.982841656115</v>
      </c>
      <c r="I320" s="0" t="n">
        <f aca="false">I319</f>
        <v>6103264212.87154</v>
      </c>
      <c r="J320" s="85"/>
      <c r="K320" s="85"/>
      <c r="L320" s="85"/>
      <c r="M320" s="85"/>
      <c r="N320" s="85"/>
      <c r="O320" s="85"/>
      <c r="P320" s="85"/>
      <c r="Q320" s="85"/>
      <c r="R320" s="85"/>
      <c r="S320" s="85"/>
    </row>
    <row r="321" customFormat="false" ht="15" hidden="false" customHeight="false" outlineLevel="0" collapsed="false">
      <c r="F321" s="99" t="n">
        <f aca="false">H321/G321</f>
        <v>3.53323637559883E-005</v>
      </c>
      <c r="G321" s="52" t="n">
        <f aca="false">G320*(1+$O$1)</f>
        <v>13143006.9966955</v>
      </c>
      <c r="H321" s="15" t="n">
        <f aca="false">I321/G321</f>
        <v>464.373504054746</v>
      </c>
      <c r="I321" s="0" t="n">
        <f aca="false">I320</f>
        <v>6103264212.87154</v>
      </c>
      <c r="J321" s="85"/>
      <c r="K321" s="85"/>
      <c r="L321" s="85"/>
      <c r="M321" s="85"/>
      <c r="N321" s="85"/>
      <c r="O321" s="85"/>
      <c r="P321" s="85"/>
      <c r="Q321" s="85"/>
      <c r="R321" s="85"/>
      <c r="S321" s="85"/>
    </row>
    <row r="322" customFormat="false" ht="15" hidden="false" customHeight="false" outlineLevel="0" collapsed="false">
      <c r="F322" s="99" t="n">
        <f aca="false">H322/G322</f>
        <v>3.36298524744684E-005</v>
      </c>
      <c r="G322" s="52" t="n">
        <f aca="false">G321*(1+$O$1)</f>
        <v>13471582.1716129</v>
      </c>
      <c r="H322" s="15" t="n">
        <f aca="false">I322/G322</f>
        <v>453.047321029021</v>
      </c>
      <c r="I322" s="0" t="n">
        <f aca="false">I321</f>
        <v>6103264212.87154</v>
      </c>
      <c r="J322" s="85"/>
      <c r="K322" s="85"/>
      <c r="L322" s="85"/>
      <c r="M322" s="85"/>
      <c r="N322" s="85"/>
      <c r="O322" s="85"/>
      <c r="P322" s="85"/>
      <c r="Q322" s="85"/>
      <c r="R322" s="85"/>
      <c r="S322" s="85"/>
    </row>
    <row r="323" customFormat="false" ht="15" hidden="false" customHeight="false" outlineLevel="0" collapsed="false">
      <c r="F323" s="99" t="n">
        <f aca="false">H323/G323</f>
        <v>3.20093777270371E-005</v>
      </c>
      <c r="G323" s="52" t="n">
        <f aca="false">G322*(1+$O$1)</f>
        <v>13808371.7259032</v>
      </c>
      <c r="H323" s="15" t="n">
        <f aca="false">I323/G323</f>
        <v>441.997386369776</v>
      </c>
      <c r="I323" s="0" t="n">
        <f aca="false">I322</f>
        <v>6103264212.87154</v>
      </c>
      <c r="J323" s="85"/>
      <c r="K323" s="85"/>
      <c r="L323" s="85"/>
      <c r="M323" s="85"/>
      <c r="N323" s="85"/>
      <c r="O323" s="85"/>
      <c r="P323" s="85"/>
      <c r="Q323" s="85"/>
      <c r="R323" s="85"/>
      <c r="S323" s="85"/>
    </row>
    <row r="324" customFormat="false" ht="15" hidden="false" customHeight="false" outlineLevel="0" collapsed="false">
      <c r="F324" s="99" t="n">
        <f aca="false">H324/G324</f>
        <v>3.04669865337653E-005</v>
      </c>
      <c r="G324" s="52" t="n">
        <f aca="false">G323*(1+$O$1)</f>
        <v>14153581.0190508</v>
      </c>
      <c r="H324" s="15" t="n">
        <f aca="false">I324/G324</f>
        <v>431.216962311977</v>
      </c>
      <c r="I324" s="0" t="n">
        <f aca="false">I323</f>
        <v>6103264212.87154</v>
      </c>
      <c r="J324" s="85"/>
      <c r="K324" s="85"/>
      <c r="L324" s="85"/>
      <c r="M324" s="85"/>
      <c r="N324" s="85"/>
      <c r="O324" s="85"/>
      <c r="P324" s="85"/>
      <c r="Q324" s="85"/>
      <c r="R324" s="85"/>
      <c r="S324" s="85"/>
    </row>
    <row r="325" customFormat="false" ht="15" hidden="false" customHeight="false" outlineLevel="0" collapsed="false">
      <c r="F325" s="99" t="n">
        <f aca="false">H325/G325</f>
        <v>2.89989163914482E-005</v>
      </c>
      <c r="G325" s="52" t="n">
        <f aca="false">G324*(1+$O$1)</f>
        <v>14507420.5445271</v>
      </c>
      <c r="H325" s="15" t="n">
        <f aca="false">I325/G325</f>
        <v>420.699475426319</v>
      </c>
      <c r="I325" s="0" t="n">
        <f aca="false">I324</f>
        <v>6103264212.87154</v>
      </c>
      <c r="J325" s="85"/>
      <c r="K325" s="85"/>
      <c r="L325" s="85"/>
      <c r="M325" s="85"/>
      <c r="N325" s="85"/>
      <c r="O325" s="85"/>
      <c r="P325" s="85"/>
      <c r="Q325" s="85"/>
      <c r="R325" s="85"/>
      <c r="S325" s="85"/>
    </row>
    <row r="326" customFormat="false" ht="15" hidden="false" customHeight="false" outlineLevel="0" collapsed="false">
      <c r="F326" s="99" t="n">
        <f aca="false">H326/G326</f>
        <v>2.76015860953701E-005</v>
      </c>
      <c r="G326" s="52" t="n">
        <f aca="false">G325*(1+$O$1)</f>
        <v>14870106.0581402</v>
      </c>
      <c r="H326" s="15" t="n">
        <f aca="false">I326/G326</f>
        <v>410.438512611043</v>
      </c>
      <c r="I326" s="0" t="n">
        <f aca="false">I325</f>
        <v>6103264212.87154</v>
      </c>
      <c r="J326" s="85"/>
      <c r="K326" s="85"/>
      <c r="L326" s="85"/>
      <c r="M326" s="85"/>
      <c r="N326" s="85"/>
      <c r="O326" s="85"/>
      <c r="P326" s="85"/>
      <c r="Q326" s="85"/>
      <c r="R326" s="85"/>
      <c r="S326" s="85"/>
    </row>
    <row r="327" customFormat="false" ht="15" hidden="false" customHeight="false" outlineLevel="0" collapsed="false">
      <c r="F327" s="99" t="n">
        <f aca="false">H327/G327</f>
        <v>2.62715870033267E-005</v>
      </c>
      <c r="G327" s="52" t="n">
        <f aca="false">G326*(1+$O$1)</f>
        <v>15241858.7095938</v>
      </c>
      <c r="H327" s="15" t="n">
        <f aca="false">I327/G327</f>
        <v>400.427817181505</v>
      </c>
      <c r="I327" s="0" t="n">
        <f aca="false">I326</f>
        <v>6103264212.87154</v>
      </c>
      <c r="J327" s="85"/>
      <c r="K327" s="85"/>
      <c r="L327" s="85"/>
      <c r="M327" s="85"/>
      <c r="N327" s="85"/>
      <c r="O327" s="85"/>
      <c r="P327" s="85"/>
      <c r="Q327" s="85"/>
      <c r="R327" s="85"/>
      <c r="S327" s="85"/>
    </row>
    <row r="328" customFormat="false" ht="15" hidden="false" customHeight="false" outlineLevel="0" collapsed="false">
      <c r="F328" s="99" t="n">
        <f aca="false">H328/G328</f>
        <v>2.50056747205965E-005</v>
      </c>
      <c r="G328" s="52" t="n">
        <f aca="false">G327*(1+$O$1)</f>
        <v>15622905.1773336</v>
      </c>
      <c r="H328" s="15" t="n">
        <f aca="false">I328/G328</f>
        <v>390.661285055127</v>
      </c>
      <c r="I328" s="0" t="n">
        <f aca="false">I327</f>
        <v>6103264212.87154</v>
      </c>
      <c r="J328" s="85"/>
      <c r="K328" s="85"/>
      <c r="L328" s="85"/>
      <c r="M328" s="85"/>
      <c r="N328" s="85"/>
      <c r="O328" s="85"/>
      <c r="P328" s="85"/>
      <c r="Q328" s="85"/>
      <c r="R328" s="85"/>
      <c r="S328" s="85"/>
    </row>
    <row r="329" customFormat="false" ht="15" hidden="false" customHeight="false" outlineLevel="0" collapsed="false">
      <c r="F329" s="99" t="n">
        <f aca="false">H329/G329</f>
        <v>2.38007611855767E-005</v>
      </c>
      <c r="G329" s="52" t="n">
        <f aca="false">G328*(1+$O$1)</f>
        <v>16013477.8067669</v>
      </c>
      <c r="H329" s="15" t="n">
        <f aca="false">I329/G329</f>
        <v>381.132961029392</v>
      </c>
      <c r="I329" s="0" t="n">
        <f aca="false">I328</f>
        <v>6103264212.87154</v>
      </c>
      <c r="J329" s="85"/>
      <c r="K329" s="85"/>
      <c r="L329" s="85"/>
      <c r="M329" s="85"/>
      <c r="N329" s="85"/>
      <c r="O329" s="85"/>
      <c r="P329" s="85"/>
      <c r="Q329" s="85"/>
      <c r="R329" s="85"/>
      <c r="S329" s="85"/>
    </row>
    <row r="330" customFormat="false" ht="15" hidden="false" customHeight="false" outlineLevel="0" collapsed="false">
      <c r="F330" s="99" t="n">
        <f aca="false">H330/G330</f>
        <v>2.26539071367773E-005</v>
      </c>
      <c r="G330" s="52" t="n">
        <f aca="false">G329*(1+$O$1)</f>
        <v>16413814.7519361</v>
      </c>
      <c r="H330" s="15" t="n">
        <f aca="false">I330/G330</f>
        <v>371.837035150627</v>
      </c>
      <c r="I330" s="0" t="n">
        <f aca="false">I329</f>
        <v>6103264212.87154</v>
      </c>
      <c r="J330" s="85"/>
      <c r="K330" s="85"/>
      <c r="L330" s="85"/>
      <c r="M330" s="85"/>
      <c r="N330" s="85"/>
      <c r="O330" s="85"/>
      <c r="P330" s="85"/>
      <c r="Q330" s="85"/>
      <c r="R330" s="85"/>
      <c r="S330" s="85"/>
    </row>
    <row r="331" customFormat="false" ht="15" hidden="false" customHeight="false" outlineLevel="0" collapsed="false">
      <c r="F331" s="99" t="n">
        <f aca="false">H331/G331</f>
        <v>2.15623149427982E-005</v>
      </c>
      <c r="G331" s="52" t="n">
        <f aca="false">G330*(1+$O$1)</f>
        <v>16824160.1207345</v>
      </c>
      <c r="H331" s="15" t="n">
        <f aca="false">I331/G331</f>
        <v>362.767839171343</v>
      </c>
      <c r="I331" s="0" t="n">
        <f aca="false">I330</f>
        <v>6103264212.87154</v>
      </c>
      <c r="J331" s="85"/>
      <c r="K331" s="85"/>
      <c r="L331" s="85"/>
      <c r="M331" s="85"/>
      <c r="N331" s="85"/>
      <c r="O331" s="85"/>
      <c r="P331" s="85"/>
      <c r="Q331" s="85"/>
      <c r="R331" s="85"/>
      <c r="S331" s="85"/>
    </row>
    <row r="332" customFormat="false" ht="15" hidden="false" customHeight="false" outlineLevel="0" collapsed="false">
      <c r="F332" s="99" t="n">
        <f aca="false">H332/G332</f>
        <v>2.05233217777972E-005</v>
      </c>
      <c r="G332" s="52" t="n">
        <f aca="false">G331*(1+$O$1)</f>
        <v>17244764.1237529</v>
      </c>
      <c r="H332" s="15" t="n">
        <f aca="false">I332/G332</f>
        <v>353.919843093993</v>
      </c>
      <c r="I332" s="0" t="n">
        <f aca="false">I331</f>
        <v>6103264212.87154</v>
      </c>
      <c r="J332" s="85"/>
      <c r="K332" s="85"/>
      <c r="L332" s="85"/>
      <c r="M332" s="85"/>
      <c r="N332" s="85"/>
      <c r="O332" s="85"/>
      <c r="P332" s="85"/>
      <c r="Q332" s="85"/>
      <c r="R332" s="85"/>
      <c r="S332" s="85"/>
    </row>
    <row r="333" customFormat="false" ht="15" hidden="false" customHeight="false" outlineLevel="0" collapsed="false">
      <c r="F333" s="99" t="n">
        <f aca="false">H333/G333</f>
        <v>1.95343931258034E-005</v>
      </c>
      <c r="G333" s="52" t="n">
        <f aca="false">G332*(1+$O$1)</f>
        <v>17675883.2268467</v>
      </c>
      <c r="H333" s="15" t="n">
        <f aca="false">I333/G333</f>
        <v>345.287651799018</v>
      </c>
      <c r="I333" s="0" t="n">
        <f aca="false">I332</f>
        <v>6103264212.87154</v>
      </c>
      <c r="J333" s="85"/>
      <c r="K333" s="85"/>
      <c r="L333" s="85"/>
      <c r="M333" s="85"/>
      <c r="N333" s="85"/>
      <c r="O333" s="85"/>
      <c r="P333" s="85"/>
      <c r="Q333" s="85"/>
      <c r="R333" s="85"/>
      <c r="S333" s="85"/>
    </row>
    <row r="334" customFormat="false" ht="15" hidden="false" customHeight="false" outlineLevel="0" collapsed="false">
      <c r="F334" s="99" t="n">
        <f aca="false">H334/G334</f>
        <v>1.85931165980282E-005</v>
      </c>
      <c r="G334" s="52" t="n">
        <f aca="false">G333*(1+$O$1)</f>
        <v>18117780.3075179</v>
      </c>
      <c r="H334" s="15" t="n">
        <f aca="false">I334/G334</f>
        <v>336.866001755139</v>
      </c>
      <c r="I334" s="0" t="n">
        <f aca="false">I333</f>
        <v>6103264212.87154</v>
      </c>
      <c r="J334" s="85"/>
      <c r="K334" s="85"/>
      <c r="L334" s="85"/>
      <c r="M334" s="85"/>
      <c r="N334" s="85"/>
      <c r="O334" s="85"/>
      <c r="P334" s="85"/>
      <c r="Q334" s="85"/>
      <c r="R334" s="85"/>
      <c r="S334" s="85"/>
    </row>
    <row r="335" customFormat="false" ht="15" hidden="false" customHeight="false" outlineLevel="0" collapsed="false">
      <c r="F335" s="99" t="n">
        <f aca="false">H335/G335</f>
        <v>1.76971960480935E-005</v>
      </c>
      <c r="G335" s="52" t="n">
        <f aca="false">G334*(1+$O$1)</f>
        <v>18570724.8152058</v>
      </c>
      <c r="H335" s="15" t="n">
        <f aca="false">I335/G335</f>
        <v>328.649757809892</v>
      </c>
      <c r="I335" s="0" t="n">
        <f aca="false">I334</f>
        <v>6103264212.87154</v>
      </c>
      <c r="J335" s="85"/>
      <c r="K335" s="85"/>
      <c r="L335" s="85"/>
      <c r="M335" s="85"/>
      <c r="N335" s="85"/>
      <c r="O335" s="85"/>
      <c r="P335" s="85"/>
      <c r="Q335" s="85"/>
      <c r="R335" s="85"/>
      <c r="S335" s="85"/>
    </row>
    <row r="336" customFormat="false" ht="15" hidden="false" customHeight="false" outlineLevel="0" collapsed="false">
      <c r="F336" s="99" t="n">
        <f aca="false">H336/G336</f>
        <v>1.68444459708207E-005</v>
      </c>
      <c r="G336" s="52" t="n">
        <f aca="false">G335*(1+$O$1)</f>
        <v>19034992.9355859</v>
      </c>
      <c r="H336" s="15" t="n">
        <f aca="false">I336/G336</f>
        <v>320.633910058431</v>
      </c>
      <c r="I336" s="0" t="n">
        <f aca="false">I335</f>
        <v>6103264212.87154</v>
      </c>
      <c r="J336" s="85"/>
      <c r="K336" s="85"/>
      <c r="L336" s="85"/>
      <c r="M336" s="85"/>
      <c r="N336" s="85"/>
      <c r="O336" s="85"/>
      <c r="P336" s="85"/>
      <c r="Q336" s="85"/>
      <c r="R336" s="85"/>
      <c r="S336" s="85"/>
    </row>
    <row r="337" customFormat="false" ht="15" hidden="false" customHeight="false" outlineLevel="0" collapsed="false">
      <c r="F337" s="99" t="n">
        <f aca="false">H337/G337</f>
        <v>1.6032786170918E-005</v>
      </c>
      <c r="G337" s="52" t="n">
        <f aca="false">G336*(1+$O$1)</f>
        <v>19510867.7589756</v>
      </c>
      <c r="H337" s="15" t="n">
        <f aca="false">I337/G337</f>
        <v>312.813570788714</v>
      </c>
      <c r="I337" s="0" t="n">
        <f aca="false">I336</f>
        <v>6103264212.87154</v>
      </c>
      <c r="J337" s="85"/>
      <c r="K337" s="85"/>
      <c r="L337" s="85"/>
      <c r="M337" s="85"/>
      <c r="N337" s="85"/>
      <c r="O337" s="85"/>
      <c r="P337" s="85"/>
      <c r="Q337" s="85"/>
      <c r="R337" s="85"/>
      <c r="S337" s="85"/>
    </row>
    <row r="338" customFormat="false" ht="15" hidden="false" customHeight="false" outlineLevel="0" collapsed="false">
      <c r="F338" s="99" t="n">
        <f aca="false">H338/G338</f>
        <v>1.52602366885597E-005</v>
      </c>
      <c r="G338" s="52" t="n">
        <f aca="false">G337*(1+$O$1)</f>
        <v>19998639.45295</v>
      </c>
      <c r="H338" s="15" t="n">
        <f aca="false">I338/G338</f>
        <v>305.183971501184</v>
      </c>
      <c r="I338" s="0" t="n">
        <f aca="false">I337</f>
        <v>6103264212.87154</v>
      </c>
      <c r="J338" s="85"/>
      <c r="K338" s="85"/>
      <c r="L338" s="85"/>
      <c r="M338" s="85"/>
      <c r="N338" s="85"/>
      <c r="O338" s="85"/>
      <c r="P338" s="85"/>
      <c r="Q338" s="85"/>
      <c r="R338" s="85"/>
      <c r="S338" s="85"/>
    </row>
    <row r="339" customFormat="false" ht="15" hidden="false" customHeight="false" outlineLevel="0" collapsed="false">
      <c r="F339" s="99" t="n">
        <f aca="false">H339/G339</f>
        <v>1.45249129694798E-005</v>
      </c>
      <c r="G339" s="52" t="n">
        <f aca="false">G338*(1+$O$1)</f>
        <v>20498605.4392737</v>
      </c>
      <c r="H339" s="15" t="n">
        <f aca="false">I339/G339</f>
        <v>297.740460001155</v>
      </c>
      <c r="I339" s="0" t="n">
        <f aca="false">I338</f>
        <v>6103264212.87154</v>
      </c>
      <c r="J339" s="85"/>
      <c r="K339" s="85"/>
      <c r="L339" s="85"/>
      <c r="M339" s="85"/>
      <c r="N339" s="85"/>
      <c r="O339" s="85"/>
      <c r="P339" s="85"/>
      <c r="Q339" s="85"/>
      <c r="R339" s="85"/>
      <c r="S339" s="85"/>
    </row>
    <row r="340" customFormat="false" ht="15" hidden="false" customHeight="false" outlineLevel="0" collapsed="false">
      <c r="F340" s="99" t="n">
        <f aca="false">H340/G340</f>
        <v>1.38250212677975E-005</v>
      </c>
      <c r="G340" s="52" t="n">
        <f aca="false">G339*(1+$O$1)</f>
        <v>21011070.5752556</v>
      </c>
      <c r="H340" s="15" t="n">
        <f aca="false">I340/G340</f>
        <v>290.478497562103</v>
      </c>
      <c r="I340" s="0" t="n">
        <f aca="false">I339</f>
        <v>6103264212.87154</v>
      </c>
      <c r="J340" s="85"/>
      <c r="K340" s="85"/>
      <c r="L340" s="85"/>
      <c r="M340" s="85"/>
      <c r="N340" s="85"/>
      <c r="O340" s="85"/>
      <c r="P340" s="85"/>
      <c r="Q340" s="85"/>
      <c r="R340" s="85"/>
      <c r="S340" s="85"/>
    </row>
    <row r="341" customFormat="false" ht="15" hidden="false" customHeight="false" outlineLevel="0" collapsed="false">
      <c r="F341" s="99" t="n">
        <f aca="false">H341/G341</f>
        <v>1.31588542703605E-005</v>
      </c>
      <c r="G341" s="52" t="n">
        <f aca="false">G340*(1+$O$1)</f>
        <v>21536347.339637</v>
      </c>
      <c r="H341" s="15" t="n">
        <f aca="false">I341/G341</f>
        <v>283.393656158149</v>
      </c>
      <c r="I341" s="0" t="n">
        <f aca="false">I340</f>
        <v>6103264212.87154</v>
      </c>
      <c r="J341" s="85"/>
      <c r="K341" s="85"/>
      <c r="L341" s="85"/>
      <c r="M341" s="85"/>
      <c r="N341" s="85"/>
      <c r="O341" s="85"/>
      <c r="P341" s="85"/>
      <c r="Q341" s="85"/>
      <c r="R341" s="85"/>
      <c r="S341" s="85"/>
    </row>
    <row r="342" customFormat="false" ht="15" hidden="false" customHeight="false" outlineLevel="0" collapsed="false">
      <c r="F342" s="99" t="n">
        <f aca="false">H342/G342</f>
        <v>1.25247869319315E-005</v>
      </c>
      <c r="G342" s="52" t="n">
        <f aca="false">G341*(1+$O$1)</f>
        <v>22074756.0231279</v>
      </c>
      <c r="H342" s="15" t="n">
        <f aca="false">I342/G342</f>
        <v>276.481615764048</v>
      </c>
      <c r="I342" s="0" t="n">
        <f aca="false">I341</f>
        <v>6103264212.87154</v>
      </c>
      <c r="J342" s="85"/>
      <c r="K342" s="85"/>
      <c r="L342" s="85"/>
      <c r="M342" s="85"/>
      <c r="N342" s="85"/>
      <c r="O342" s="85"/>
      <c r="P342" s="85"/>
      <c r="Q342" s="85"/>
      <c r="R342" s="85"/>
      <c r="S342" s="85"/>
    </row>
    <row r="343" customFormat="false" ht="15" hidden="false" customHeight="false" outlineLevel="0" collapsed="false">
      <c r="F343" s="99" t="n">
        <f aca="false">H343/G343</f>
        <v>1.19212725110591E-005</v>
      </c>
      <c r="G343" s="52" t="n">
        <f aca="false">G342*(1+$O$1)</f>
        <v>22626624.9237061</v>
      </c>
      <c r="H343" s="15" t="n">
        <f aca="false">I343/G343</f>
        <v>269.738161721022</v>
      </c>
      <c r="I343" s="0" t="n">
        <f aca="false">I342</f>
        <v>6103264212.87154</v>
      </c>
      <c r="J343" s="85"/>
      <c r="K343" s="85"/>
      <c r="L343" s="85"/>
      <c r="M343" s="85"/>
      <c r="N343" s="85"/>
      <c r="O343" s="85"/>
      <c r="P343" s="85"/>
      <c r="Q343" s="85"/>
      <c r="R343" s="85"/>
      <c r="S343" s="85"/>
    </row>
    <row r="344" customFormat="false" ht="15" hidden="false" customHeight="false" outlineLevel="0" collapsed="false">
      <c r="F344" s="99" t="n">
        <f aca="false">H344/G344</f>
        <v>1.13468387969629E-005</v>
      </c>
      <c r="G344" s="52" t="n">
        <f aca="false">G343*(1+$O$1)</f>
        <v>23192290.5467987</v>
      </c>
      <c r="H344" s="15" t="n">
        <f aca="false">I344/G344</f>
        <v>263.159182166851</v>
      </c>
      <c r="I344" s="0" t="n">
        <f aca="false">I343</f>
        <v>6103264212.87154</v>
      </c>
      <c r="J344" s="85"/>
      <c r="K344" s="85"/>
      <c r="L344" s="85"/>
      <c r="M344" s="85"/>
      <c r="N344" s="85"/>
      <c r="O344" s="85"/>
      <c r="P344" s="85"/>
      <c r="Q344" s="85"/>
      <c r="R344" s="85"/>
      <c r="S344" s="85"/>
    </row>
    <row r="345" customFormat="false" ht="15" hidden="false" customHeight="false" outlineLevel="0" collapsed="false">
      <c r="F345" s="99" t="n">
        <f aca="false">H345/G345</f>
        <v>1.08000845182276E-005</v>
      </c>
      <c r="G345" s="52" t="n">
        <f aca="false">G344*(1+$O$1)</f>
        <v>23772097.8104687</v>
      </c>
      <c r="H345" s="15" t="n">
        <f aca="false">I345/G345</f>
        <v>256.740665528635</v>
      </c>
      <c r="I345" s="0" t="n">
        <f aca="false">I344</f>
        <v>6103264212.87154</v>
      </c>
      <c r="J345" s="85"/>
      <c r="K345" s="85"/>
      <c r="L345" s="85"/>
      <c r="M345" s="85"/>
      <c r="N345" s="85"/>
      <c r="O345" s="85"/>
      <c r="P345" s="85"/>
      <c r="Q345" s="85"/>
      <c r="R345" s="85"/>
      <c r="S345" s="85"/>
    </row>
    <row r="346" customFormat="false" ht="15" hidden="false" customHeight="false" outlineLevel="0" collapsed="false">
      <c r="F346" s="99" t="n">
        <f aca="false">H346/G346</f>
        <v>1.02796759245474E-005</v>
      </c>
      <c r="G346" s="52" t="n">
        <f aca="false">G345*(1+$O$1)</f>
        <v>24366400.2557304</v>
      </c>
      <c r="H346" s="15" t="n">
        <f aca="false">I346/G346</f>
        <v>250.478698076717</v>
      </c>
      <c r="I346" s="0" t="n">
        <f aca="false">I345</f>
        <v>6103264212.87154</v>
      </c>
      <c r="J346" s="85"/>
      <c r="K346" s="85"/>
      <c r="L346" s="85"/>
      <c r="M346" s="85"/>
      <c r="N346" s="85"/>
      <c r="O346" s="85"/>
      <c r="P346" s="85"/>
      <c r="Q346" s="85"/>
      <c r="R346" s="85"/>
      <c r="S346" s="85"/>
    </row>
    <row r="347" customFormat="false" ht="15" hidden="false" customHeight="false" outlineLevel="0" collapsed="false">
      <c r="F347" s="99" t="n">
        <f aca="false">H347/G347</f>
        <v>9.78434353318015E-006</v>
      </c>
      <c r="G347" s="52" t="n">
        <f aca="false">G346*(1+$O$1)</f>
        <v>24975560.2621237</v>
      </c>
      <c r="H347" s="15" t="n">
        <f aca="false">I347/G347</f>
        <v>244.369461538261</v>
      </c>
      <c r="I347" s="0" t="n">
        <f aca="false">I346</f>
        <v>6103264212.87154</v>
      </c>
      <c r="J347" s="85"/>
      <c r="K347" s="85"/>
      <c r="L347" s="85"/>
      <c r="M347" s="85"/>
      <c r="N347" s="85"/>
      <c r="O347" s="85"/>
      <c r="P347" s="85"/>
      <c r="Q347" s="85"/>
      <c r="R347" s="85"/>
      <c r="S347" s="85"/>
    </row>
    <row r="348" customFormat="false" ht="15" hidden="false" customHeight="false" outlineLevel="0" collapsed="false">
      <c r="F348" s="99" t="n">
        <f aca="false">H348/G348</f>
        <v>9.31287903217623E-006</v>
      </c>
      <c r="G348" s="52" t="n">
        <f aca="false">G347*(1+$O$1)</f>
        <v>25599949.2686768</v>
      </c>
      <c r="H348" s="15" t="n">
        <f aca="false">I348/G348</f>
        <v>238.409230769035</v>
      </c>
      <c r="I348" s="0" t="n">
        <f aca="false">I347</f>
        <v>6103264212.87154</v>
      </c>
      <c r="J348" s="85"/>
      <c r="K348" s="85"/>
      <c r="L348" s="85"/>
      <c r="M348" s="85"/>
      <c r="N348" s="85"/>
      <c r="O348" s="85"/>
      <c r="P348" s="85"/>
      <c r="Q348" s="85"/>
      <c r="R348" s="85"/>
      <c r="S348" s="85"/>
    </row>
    <row r="349" customFormat="false" ht="15" hidden="false" customHeight="false" outlineLevel="0" collapsed="false">
      <c r="F349" s="99" t="n">
        <f aca="false">H349/G349</f>
        <v>8.86413233282687E-006</v>
      </c>
      <c r="G349" s="52" t="n">
        <f aca="false">G348*(1+$O$1)</f>
        <v>26239948.0003937</v>
      </c>
      <c r="H349" s="15" t="n">
        <f aca="false">I349/G349</f>
        <v>232.594371481985</v>
      </c>
      <c r="I349" s="0" t="n">
        <f aca="false">I348</f>
        <v>6103264212.87154</v>
      </c>
      <c r="J349" s="85"/>
      <c r="K349" s="85"/>
      <c r="L349" s="85"/>
      <c r="M349" s="85"/>
      <c r="N349" s="85"/>
      <c r="O349" s="85"/>
      <c r="P349" s="85"/>
      <c r="Q349" s="85"/>
      <c r="R349" s="85"/>
      <c r="S349" s="85"/>
    </row>
    <row r="350" customFormat="false" ht="15" hidden="false" customHeight="false" outlineLevel="0" collapsed="false">
      <c r="F350" s="99" t="n">
        <f aca="false">H350/G350</f>
        <v>8.43700876414217E-006</v>
      </c>
      <c r="G350" s="52" t="n">
        <f aca="false">G349*(1+$O$1)</f>
        <v>26895946.7004035</v>
      </c>
      <c r="H350" s="15" t="n">
        <f aca="false">I350/G350</f>
        <v>226.921338031205</v>
      </c>
      <c r="I350" s="0" t="n">
        <f aca="false">I349</f>
        <v>6103264212.87154</v>
      </c>
      <c r="J350" s="85"/>
      <c r="K350" s="85"/>
      <c r="L350" s="85"/>
      <c r="M350" s="85"/>
      <c r="N350" s="85"/>
      <c r="O350" s="85"/>
      <c r="P350" s="85"/>
      <c r="Q350" s="85"/>
      <c r="R350" s="85"/>
      <c r="S350" s="85"/>
    </row>
    <row r="351" customFormat="false" ht="15" hidden="false" customHeight="false" outlineLevel="0" collapsed="false">
      <c r="F351" s="99" t="n">
        <f aca="false">H351/G351</f>
        <v>8.03046640251486E-006</v>
      </c>
      <c r="G351" s="52" t="n">
        <f aca="false">G350*(1+$O$1)</f>
        <v>27568345.3679136</v>
      </c>
      <c r="H351" s="15" t="n">
        <f aca="false">I351/G351</f>
        <v>221.386671249956</v>
      </c>
      <c r="I351" s="0" t="n">
        <f aca="false">I350</f>
        <v>6103264212.87154</v>
      </c>
      <c r="J351" s="85"/>
      <c r="K351" s="85"/>
      <c r="L351" s="85"/>
      <c r="M351" s="85"/>
      <c r="N351" s="85"/>
      <c r="O351" s="85"/>
      <c r="P351" s="85"/>
      <c r="Q351" s="85"/>
      <c r="R351" s="85"/>
      <c r="S351" s="85"/>
    </row>
    <row r="352" customFormat="false" ht="15" hidden="false" customHeight="false" outlineLevel="0" collapsed="false">
      <c r="F352" s="99" t="n">
        <f aca="false">H352/G352</f>
        <v>7.64351353005579E-006</v>
      </c>
      <c r="G352" s="52" t="n">
        <f aca="false">G351*(1+$O$1)</f>
        <v>28257554.0021114</v>
      </c>
      <c r="H352" s="15" t="n">
        <f aca="false">I352/G352</f>
        <v>215.986996341421</v>
      </c>
      <c r="I352" s="0" t="n">
        <f aca="false">I351</f>
        <v>6103264212.87154</v>
      </c>
      <c r="J352" s="85"/>
      <c r="K352" s="85"/>
      <c r="L352" s="85"/>
      <c r="M352" s="85"/>
      <c r="N352" s="85"/>
      <c r="O352" s="85"/>
      <c r="P352" s="85"/>
      <c r="Q352" s="85"/>
      <c r="R352" s="85"/>
      <c r="S352" s="85"/>
    </row>
    <row r="353" customFormat="false" ht="15" hidden="false" customHeight="false" outlineLevel="0" collapsed="false">
      <c r="F353" s="99" t="n">
        <f aca="false">H353/G353</f>
        <v>7.27520621540111E-006</v>
      </c>
      <c r="G353" s="52" t="n">
        <f aca="false">G352*(1+$O$1)</f>
        <v>28963992.8521642</v>
      </c>
      <c r="H353" s="15" t="n">
        <f aca="false">I353/G353</f>
        <v>210.719020820898</v>
      </c>
      <c r="I353" s="0" t="n">
        <f aca="false">I352</f>
        <v>6103264212.87154</v>
      </c>
      <c r="J353" s="85"/>
      <c r="K353" s="85"/>
      <c r="L353" s="85"/>
      <c r="M353" s="85"/>
      <c r="N353" s="85"/>
      <c r="O353" s="85"/>
      <c r="P353" s="85"/>
      <c r="Q353" s="85"/>
      <c r="R353" s="85"/>
      <c r="S353" s="85"/>
    </row>
    <row r="354" customFormat="false" ht="15" hidden="false" customHeight="false" outlineLevel="0" collapsed="false">
      <c r="F354" s="99" t="n">
        <f aca="false">H354/G354</f>
        <v>6.92464601108969E-006</v>
      </c>
      <c r="G354" s="52" t="n">
        <f aca="false">G353*(1+$O$1)</f>
        <v>29688092.6734683</v>
      </c>
      <c r="H354" s="15" t="n">
        <f aca="false">I354/G354</f>
        <v>205.579532508193</v>
      </c>
      <c r="I354" s="0" t="n">
        <f aca="false">I353</f>
        <v>6103264212.87154</v>
      </c>
      <c r="J354" s="85"/>
      <c r="K354" s="85"/>
      <c r="L354" s="85"/>
      <c r="M354" s="85"/>
      <c r="N354" s="85"/>
      <c r="O354" s="85"/>
      <c r="P354" s="85"/>
      <c r="Q354" s="85"/>
      <c r="R354" s="85"/>
      <c r="S354" s="85"/>
    </row>
    <row r="355" customFormat="false" ht="15" hidden="false" customHeight="false" outlineLevel="0" collapsed="false">
      <c r="F355" s="99" t="n">
        <f aca="false">H355/G355</f>
        <v>6.59097776189382E-006</v>
      </c>
      <c r="G355" s="52" t="n">
        <f aca="false">G354*(1+$O$1)</f>
        <v>30430294.990305</v>
      </c>
      <c r="H355" s="15" t="n">
        <f aca="false">I355/G355</f>
        <v>200.565397568969</v>
      </c>
      <c r="I355" s="0" t="n">
        <f aca="false">I354</f>
        <v>6103264212.87154</v>
      </c>
      <c r="J355" s="85"/>
      <c r="K355" s="85"/>
      <c r="L355" s="85"/>
      <c r="M355" s="85"/>
      <c r="N355" s="85"/>
      <c r="O355" s="85"/>
      <c r="P355" s="85"/>
      <c r="Q355" s="85"/>
      <c r="R355" s="85"/>
      <c r="S355" s="85"/>
    </row>
    <row r="356" customFormat="false" ht="15" hidden="false" customHeight="false" outlineLevel="0" collapsed="false">
      <c r="F356" s="99" t="n">
        <f aca="false">H356/G356</f>
        <v>6.27338751875676E-006</v>
      </c>
      <c r="G356" s="52" t="n">
        <f aca="false">G355*(1+$O$1)</f>
        <v>31191052.3650626</v>
      </c>
      <c r="H356" s="15" t="n">
        <f aca="false">I356/G356</f>
        <v>195.673558603873</v>
      </c>
      <c r="I356" s="0" t="n">
        <f aca="false">I355</f>
        <v>6103264212.87154</v>
      </c>
      <c r="J356" s="85"/>
      <c r="K356" s="85"/>
      <c r="L356" s="85"/>
      <c r="M356" s="85"/>
      <c r="N356" s="85"/>
      <c r="O356" s="85"/>
      <c r="P356" s="85"/>
      <c r="Q356" s="85"/>
      <c r="R356" s="85"/>
      <c r="S356" s="85"/>
    </row>
    <row r="357" customFormat="false" ht="15" hidden="false" customHeight="false" outlineLevel="0" collapsed="false">
      <c r="F357" s="99" t="n">
        <f aca="false">H357/G357</f>
        <v>5.97110055324855E-006</v>
      </c>
      <c r="G357" s="52" t="n">
        <f aca="false">G356*(1+$O$1)</f>
        <v>31970828.6741892</v>
      </c>
      <c r="H357" s="15" t="n">
        <f aca="false">I357/G357</f>
        <v>190.901032784266</v>
      </c>
      <c r="I357" s="0" t="n">
        <f aca="false">I356</f>
        <v>6103264212.87154</v>
      </c>
      <c r="J357" s="85"/>
      <c r="K357" s="85"/>
      <c r="L357" s="85"/>
      <c r="M357" s="85"/>
      <c r="N357" s="85"/>
      <c r="O357" s="85"/>
      <c r="P357" s="85"/>
      <c r="Q357" s="85"/>
      <c r="R357" s="85"/>
      <c r="S357" s="85"/>
    </row>
    <row r="358" customFormat="false" ht="15" hidden="false" customHeight="false" outlineLevel="0" collapsed="false">
      <c r="F358" s="99" t="n">
        <f aca="false">H358/G358</f>
        <v>5.68337946769642E-006</v>
      </c>
      <c r="G358" s="52" t="n">
        <f aca="false">G357*(1+$O$1)</f>
        <v>32770099.3910439</v>
      </c>
      <c r="H358" s="15" t="n">
        <f aca="false">I358/G358</f>
        <v>186.24491003343</v>
      </c>
      <c r="I358" s="0" t="n">
        <f aca="false">I357</f>
        <v>6103264212.87154</v>
      </c>
      <c r="J358" s="85"/>
      <c r="K358" s="85"/>
      <c r="L358" s="85"/>
      <c r="M358" s="85"/>
      <c r="N358" s="85"/>
      <c r="O358" s="85"/>
      <c r="P358" s="85"/>
      <c r="Q358" s="85"/>
      <c r="R358" s="85"/>
      <c r="S358" s="85"/>
    </row>
    <row r="359" customFormat="false" ht="15" hidden="false" customHeight="false" outlineLevel="0" collapsed="false">
      <c r="F359" s="99" t="n">
        <f aca="false">H359/G359</f>
        <v>5.4095223963797E-006</v>
      </c>
      <c r="G359" s="52" t="n">
        <f aca="false">G358*(1+$O$1)</f>
        <v>33589351.87582</v>
      </c>
      <c r="H359" s="15" t="n">
        <f aca="false">I359/G359</f>
        <v>181.702351252127</v>
      </c>
      <c r="I359" s="0" t="n">
        <f aca="false">I358</f>
        <v>6103264212.87154</v>
      </c>
      <c r="J359" s="85"/>
      <c r="K359" s="85"/>
      <c r="L359" s="85"/>
      <c r="M359" s="85"/>
      <c r="N359" s="85"/>
      <c r="O359" s="85"/>
      <c r="P359" s="85"/>
      <c r="Q359" s="85"/>
      <c r="R359" s="85"/>
      <c r="S359" s="85"/>
    </row>
    <row r="360" customFormat="false" ht="15" hidden="false" customHeight="false" outlineLevel="0" collapsed="false">
      <c r="F360" s="99" t="n">
        <f aca="false">H360/G360</f>
        <v>5.14886129340126E-006</v>
      </c>
      <c r="G360" s="52" t="n">
        <f aca="false">G359*(1+$O$1)</f>
        <v>34429085.6727155</v>
      </c>
      <c r="H360" s="15" t="n">
        <f aca="false">I360/G360</f>
        <v>177.270586587441</v>
      </c>
      <c r="I360" s="0" t="n">
        <f aca="false">I359</f>
        <v>6103264212.87154</v>
      </c>
      <c r="J360" s="85"/>
      <c r="K360" s="85"/>
      <c r="L360" s="85"/>
      <c r="M360" s="85"/>
      <c r="N360" s="85"/>
      <c r="O360" s="85"/>
      <c r="P360" s="85"/>
      <c r="Q360" s="85"/>
      <c r="R360" s="85"/>
      <c r="S360" s="85"/>
    </row>
    <row r="361" customFormat="false" ht="15" hidden="false" customHeight="false" outlineLevel="0" collapsed="false">
      <c r="F361" s="99" t="n">
        <f aca="false">H361/G361</f>
        <v>4.90076030305891E-006</v>
      </c>
      <c r="G361" s="52" t="n">
        <f aca="false">G360*(1+$O$1)</f>
        <v>35289812.8145334</v>
      </c>
      <c r="H361" s="15" t="n">
        <f aca="false">I361/G361</f>
        <v>172.946913743845</v>
      </c>
      <c r="I361" s="0" t="n">
        <f aca="false">I360</f>
        <v>6103264212.87154</v>
      </c>
      <c r="J361" s="85"/>
      <c r="K361" s="85"/>
      <c r="L361" s="85"/>
      <c r="M361" s="85"/>
      <c r="N361" s="85"/>
      <c r="O361" s="85"/>
      <c r="P361" s="85"/>
      <c r="Q361" s="85"/>
      <c r="R361" s="85"/>
      <c r="S361" s="85"/>
    </row>
    <row r="362" customFormat="false" ht="15" hidden="false" customHeight="false" outlineLevel="0" collapsed="false">
      <c r="F362" s="99" t="n">
        <f aca="false">H362/G362</f>
        <v>4.66461420874138E-006</v>
      </c>
      <c r="G362" s="52" t="n">
        <f aca="false">G361*(1+$O$1)</f>
        <v>36172058.1348967</v>
      </c>
      <c r="H362" s="15" t="n">
        <f aca="false">I362/G362</f>
        <v>168.728696335458</v>
      </c>
      <c r="I362" s="0" t="n">
        <f aca="false">I361</f>
        <v>6103264212.87154</v>
      </c>
      <c r="J362" s="85"/>
      <c r="K362" s="85"/>
      <c r="L362" s="85"/>
      <c r="M362" s="85"/>
      <c r="N362" s="85"/>
      <c r="O362" s="85"/>
      <c r="P362" s="85"/>
      <c r="Q362" s="85"/>
      <c r="R362" s="85"/>
      <c r="S362" s="85"/>
    </row>
    <row r="363" customFormat="false" ht="15" hidden="false" customHeight="false" outlineLevel="0" collapsed="false">
      <c r="F363" s="99" t="n">
        <f aca="false">H363/G363</f>
        <v>4.43984695656526E-006</v>
      </c>
      <c r="G363" s="52" t="n">
        <f aca="false">G362*(1+$O$1)</f>
        <v>37076359.5882692</v>
      </c>
      <c r="H363" s="15" t="n">
        <f aca="false">I363/G363</f>
        <v>164.613362278496</v>
      </c>
      <c r="I363" s="0" t="n">
        <f aca="false">I362</f>
        <v>6103264212.87154</v>
      </c>
      <c r="J363" s="85"/>
      <c r="K363" s="85"/>
      <c r="L363" s="85"/>
      <c r="M363" s="85"/>
      <c r="N363" s="85"/>
      <c r="O363" s="85"/>
      <c r="P363" s="85"/>
      <c r="Q363" s="85"/>
      <c r="R363" s="85"/>
      <c r="S363" s="85"/>
    </row>
    <row r="364" customFormat="false" ht="15" hidden="false" customHeight="false" outlineLevel="0" collapsed="false">
      <c r="F364" s="99" t="n">
        <f aca="false">H364/G364</f>
        <v>4.22591025015135E-006</v>
      </c>
      <c r="G364" s="52" t="n">
        <f aca="false">G363*(1+$O$1)</f>
        <v>38003268.5779759</v>
      </c>
      <c r="H364" s="15" t="n">
        <f aca="false">I364/G364</f>
        <v>160.598402222923</v>
      </c>
      <c r="I364" s="0" t="n">
        <f aca="false">I363</f>
        <v>6103264212.87154</v>
      </c>
      <c r="J364" s="85"/>
      <c r="K364" s="85"/>
      <c r="L364" s="85"/>
      <c r="M364" s="85"/>
      <c r="N364" s="85"/>
      <c r="O364" s="85"/>
      <c r="P364" s="85"/>
      <c r="Q364" s="85"/>
      <c r="R364" s="85"/>
      <c r="S364" s="85"/>
    </row>
    <row r="365" customFormat="false" ht="15" hidden="false" customHeight="false" outlineLevel="0" collapsed="false">
      <c r="F365" s="99" t="n">
        <f aca="false">H365/G365</f>
        <v>4.02228221311253E-006</v>
      </c>
      <c r="G365" s="52" t="n">
        <f aca="false">G364*(1+$O$1)</f>
        <v>38953350.2924253</v>
      </c>
      <c r="H365" s="15" t="n">
        <f aca="false">I365/G365</f>
        <v>156.681368022364</v>
      </c>
      <c r="I365" s="0" t="n">
        <f aca="false">I364</f>
        <v>6103264212.87154</v>
      </c>
      <c r="J365" s="85"/>
      <c r="K365" s="85"/>
      <c r="L365" s="85"/>
      <c r="M365" s="85"/>
      <c r="N365" s="85"/>
      <c r="O365" s="85"/>
      <c r="P365" s="85"/>
      <c r="Q365" s="85"/>
      <c r="R365" s="85"/>
      <c r="S365" s="85"/>
    </row>
    <row r="366" customFormat="false" ht="15" hidden="false" customHeight="false" outlineLevel="0" collapsed="false">
      <c r="F366" s="99" t="n">
        <f aca="false">H366/G366</f>
        <v>3.82846611599051E-006</v>
      </c>
      <c r="G366" s="52" t="n">
        <f aca="false">G365*(1+$O$1)</f>
        <v>39927184.0497359</v>
      </c>
      <c r="H366" s="15" t="n">
        <f aca="false">I366/G366</f>
        <v>152.859871241331</v>
      </c>
      <c r="I366" s="0" t="n">
        <f aca="false">I365</f>
        <v>6103264212.87154</v>
      </c>
      <c r="J366" s="85"/>
      <c r="K366" s="85"/>
      <c r="L366" s="85"/>
      <c r="M366" s="85"/>
      <c r="N366" s="85"/>
      <c r="O366" s="85"/>
      <c r="P366" s="85"/>
      <c r="Q366" s="85"/>
      <c r="R366" s="85"/>
      <c r="S366" s="85"/>
    </row>
    <row r="367" customFormat="false" ht="15" hidden="false" customHeight="false" outlineLevel="0" collapsed="false">
      <c r="F367" s="99" t="n">
        <f aca="false">H367/G367</f>
        <v>3.64398916453588E-006</v>
      </c>
      <c r="G367" s="52" t="n">
        <f aca="false">G366*(1+$O$1)</f>
        <v>40925363.6509793</v>
      </c>
      <c r="H367" s="15" t="n">
        <f aca="false">I367/G367</f>
        <v>149.131581698859</v>
      </c>
      <c r="I367" s="0" t="n">
        <f aca="false">I366</f>
        <v>6103264212.87154</v>
      </c>
      <c r="J367" s="85"/>
      <c r="K367" s="85"/>
      <c r="L367" s="85"/>
      <c r="M367" s="85"/>
      <c r="N367" s="85"/>
      <c r="O367" s="85"/>
      <c r="P367" s="85"/>
      <c r="Q367" s="85"/>
      <c r="R367" s="85"/>
      <c r="S367" s="85"/>
    </row>
    <row r="368" customFormat="false" ht="15" hidden="false" customHeight="false" outlineLevel="0" collapsed="false">
      <c r="F368" s="99" t="n">
        <f aca="false">H368/G368</f>
        <v>3.46840134637562E-006</v>
      </c>
      <c r="G368" s="52" t="n">
        <f aca="false">G367*(1+$O$1)</f>
        <v>41948497.7422538</v>
      </c>
      <c r="H368" s="15" t="n">
        <f aca="false">I368/G368</f>
        <v>145.494226047668</v>
      </c>
      <c r="I368" s="0" t="n">
        <f aca="false">I367</f>
        <v>6103264212.87154</v>
      </c>
      <c r="J368" s="85"/>
      <c r="K368" s="85"/>
      <c r="L368" s="85"/>
      <c r="M368" s="85"/>
      <c r="N368" s="85"/>
      <c r="O368" s="85"/>
      <c r="P368" s="85"/>
      <c r="Q368" s="85"/>
      <c r="R368" s="85"/>
      <c r="S368" s="85"/>
    </row>
    <row r="369" customFormat="false" ht="15" hidden="false" customHeight="false" outlineLevel="0" collapsed="false">
      <c r="F369" s="99" t="n">
        <f aca="false">H369/G369</f>
        <v>3.3012743332546E-006</v>
      </c>
      <c r="G369" s="52" t="n">
        <f aca="false">G368*(1+$O$1)</f>
        <v>42997210.1858101</v>
      </c>
      <c r="H369" s="15" t="n">
        <f aca="false">I369/G369</f>
        <v>141.945586387968</v>
      </c>
      <c r="I369" s="0" t="n">
        <f aca="false">I368</f>
        <v>6103264212.87154</v>
      </c>
      <c r="J369" s="85"/>
      <c r="K369" s="85"/>
      <c r="L369" s="85"/>
      <c r="M369" s="85"/>
      <c r="N369" s="85"/>
      <c r="O369" s="85"/>
      <c r="P369" s="85"/>
      <c r="Q369" s="85"/>
      <c r="R369" s="85"/>
      <c r="S369" s="85"/>
    </row>
    <row r="370" customFormat="false" ht="15" hidden="false" customHeight="false" outlineLevel="0" collapsed="false">
      <c r="F370" s="99" t="n">
        <f aca="false">H370/G370</f>
        <v>3.14220043617333E-006</v>
      </c>
      <c r="G370" s="52" t="n">
        <f aca="false">G369*(1+$O$1)</f>
        <v>44072140.4404554</v>
      </c>
      <c r="H370" s="15" t="n">
        <f aca="false">I370/G370</f>
        <v>138.483498915091</v>
      </c>
      <c r="I370" s="0" t="n">
        <f aca="false">I369</f>
        <v>6103264212.87154</v>
      </c>
      <c r="J370" s="85"/>
      <c r="K370" s="85"/>
      <c r="L370" s="85"/>
      <c r="M370" s="85"/>
      <c r="N370" s="85"/>
      <c r="O370" s="85"/>
      <c r="P370" s="85"/>
      <c r="Q370" s="85"/>
      <c r="R370" s="85"/>
      <c r="S370" s="85"/>
    </row>
    <row r="371" customFormat="false" ht="15" hidden="false" customHeight="false" outlineLevel="0" collapsed="false">
      <c r="F371" s="99" t="n">
        <f aca="false">H371/G371</f>
        <v>2.99079161087289E-006</v>
      </c>
      <c r="G371" s="52" t="n">
        <f aca="false">G370*(1+$O$1)</f>
        <v>45173943.9514668</v>
      </c>
      <c r="H371" s="15" t="n">
        <f aca="false">I371/G371</f>
        <v>135.105852600089</v>
      </c>
      <c r="I371" s="0" t="n">
        <f aca="false">I370</f>
        <v>6103264212.87154</v>
      </c>
      <c r="J371" s="85"/>
      <c r="K371" s="85"/>
      <c r="L371" s="85"/>
      <c r="M371" s="85"/>
      <c r="N371" s="85"/>
      <c r="O371" s="85"/>
      <c r="P371" s="85"/>
      <c r="Q371" s="85"/>
      <c r="R371" s="85"/>
      <c r="S371" s="85"/>
    </row>
    <row r="372" customFormat="false" ht="15" hidden="false" customHeight="false" outlineLevel="0" collapsed="false">
      <c r="F372" s="99" t="n">
        <f aca="false">H372/G372</f>
        <v>2.8466785112413E-006</v>
      </c>
      <c r="G372" s="52" t="n">
        <f aca="false">G371*(1+$O$1)</f>
        <v>46303292.5502534</v>
      </c>
      <c r="H372" s="15" t="n">
        <f aca="false">I372/G372</f>
        <v>131.810587902526</v>
      </c>
      <c r="I372" s="0" t="n">
        <f aca="false">I371</f>
        <v>6103264212.87154</v>
      </c>
      <c r="J372" s="85"/>
      <c r="K372" s="85"/>
      <c r="L372" s="85"/>
      <c r="M372" s="85"/>
      <c r="N372" s="85"/>
      <c r="O372" s="85"/>
      <c r="P372" s="85"/>
      <c r="Q372" s="85"/>
      <c r="R372" s="85"/>
      <c r="S372" s="85"/>
    </row>
    <row r="373" customFormat="false" ht="15" hidden="false" customHeight="false" outlineLevel="0" collapsed="false">
      <c r="F373" s="99" t="n">
        <f aca="false">H373/G373</f>
        <v>2.70950958833199E-006</v>
      </c>
      <c r="G373" s="52" t="n">
        <f aca="false">G372*(1+$O$1)</f>
        <v>47460874.8640098</v>
      </c>
      <c r="H373" s="15" t="n">
        <f aca="false">I373/G373</f>
        <v>128.595695514659</v>
      </c>
      <c r="I373" s="0" t="n">
        <f aca="false">I372</f>
        <v>6103264212.87154</v>
      </c>
      <c r="J373" s="85"/>
      <c r="K373" s="85"/>
      <c r="L373" s="85"/>
      <c r="M373" s="85"/>
      <c r="N373" s="85"/>
      <c r="O373" s="85"/>
      <c r="P373" s="85"/>
      <c r="Q373" s="85"/>
      <c r="R373" s="85"/>
      <c r="S373" s="85"/>
    </row>
    <row r="374" customFormat="false" ht="15" hidden="false" customHeight="false" outlineLevel="0" collapsed="false">
      <c r="F374" s="99" t="n">
        <f aca="false">H374/G374</f>
        <v>2.57895023279666E-006</v>
      </c>
      <c r="G374" s="52" t="n">
        <f aca="false">G373*(1+$O$1)</f>
        <v>48647396.73561</v>
      </c>
      <c r="H374" s="15" t="n">
        <f aca="false">I374/G374</f>
        <v>125.459215136253</v>
      </c>
      <c r="I374" s="0" t="n">
        <f aca="false">I373</f>
        <v>6103264212.87154</v>
      </c>
      <c r="J374" s="85"/>
      <c r="K374" s="85"/>
      <c r="L374" s="85"/>
      <c r="M374" s="85"/>
      <c r="N374" s="85"/>
      <c r="O374" s="85"/>
      <c r="P374" s="85"/>
      <c r="Q374" s="85"/>
      <c r="R374" s="85"/>
      <c r="S374" s="85"/>
    </row>
    <row r="375" customFormat="false" ht="15" hidden="false" customHeight="false" outlineLevel="0" collapsed="false">
      <c r="F375" s="99" t="n">
        <f aca="false">H375/G375</f>
        <v>2.45468195864049E-006</v>
      </c>
      <c r="G375" s="52" t="n">
        <f aca="false">G374*(1+$O$1)</f>
        <v>49863581.6540002</v>
      </c>
      <c r="H375" s="15" t="n">
        <f aca="false">I375/G375</f>
        <v>122.399234279271</v>
      </c>
      <c r="I375" s="0" t="n">
        <f aca="false">I374</f>
        <v>6103264212.87154</v>
      </c>
      <c r="J375" s="85"/>
      <c r="K375" s="85"/>
      <c r="L375" s="85"/>
      <c r="M375" s="85"/>
      <c r="N375" s="85"/>
      <c r="O375" s="85"/>
      <c r="P375" s="85"/>
      <c r="Q375" s="85"/>
      <c r="R375" s="85"/>
      <c r="S375" s="85"/>
    </row>
    <row r="376" customFormat="false" ht="15" hidden="false" customHeight="false" outlineLevel="0" collapsed="false">
      <c r="F376" s="99" t="n">
        <f aca="false">H376/G376</f>
        <v>2.33640162630861E-006</v>
      </c>
      <c r="G376" s="52" t="n">
        <f aca="false">G375*(1+$O$1)</f>
        <v>51110171.1953502</v>
      </c>
      <c r="H376" s="15" t="n">
        <f aca="false">I376/G376</f>
        <v>119.413887101728</v>
      </c>
      <c r="I376" s="0" t="n">
        <f aca="false">I375</f>
        <v>6103264212.87154</v>
      </c>
      <c r="J376" s="85"/>
      <c r="K376" s="85"/>
      <c r="L376" s="85"/>
      <c r="M376" s="85"/>
      <c r="N376" s="85"/>
      <c r="O376" s="85"/>
      <c r="P376" s="85"/>
      <c r="Q376" s="85"/>
      <c r="R376" s="85"/>
      <c r="S376" s="85"/>
    </row>
    <row r="377" customFormat="false" ht="15" hidden="false" customHeight="false" outlineLevel="0" collapsed="false">
      <c r="F377" s="99" t="n">
        <f aca="false">H377/G377</f>
        <v>2.22382070320868E-006</v>
      </c>
      <c r="G377" s="52" t="n">
        <f aca="false">G376*(1+$O$1)</f>
        <v>52387925.475234</v>
      </c>
      <c r="H377" s="15" t="n">
        <f aca="false">I377/G377</f>
        <v>116.501353269979</v>
      </c>
      <c r="I377" s="0" t="n">
        <f aca="false">I376</f>
        <v>6103264212.87154</v>
      </c>
      <c r="J377" s="85"/>
      <c r="K377" s="85"/>
      <c r="L377" s="85"/>
      <c r="M377" s="85"/>
      <c r="N377" s="85"/>
      <c r="O377" s="85"/>
      <c r="P377" s="85"/>
      <c r="Q377" s="85"/>
      <c r="R377" s="85"/>
      <c r="S377" s="85"/>
    </row>
    <row r="378" customFormat="false" ht="15" hidden="false" customHeight="false" outlineLevel="0" collapsed="false">
      <c r="F378" s="99" t="n">
        <f aca="false">H378/G378</f>
        <v>2.11666455986549E-006</v>
      </c>
      <c r="G378" s="52" t="n">
        <f aca="false">G377*(1+$O$1)</f>
        <v>53697623.6121148</v>
      </c>
      <c r="H378" s="15" t="n">
        <f aca="false">I378/G378</f>
        <v>113.65985684876</v>
      </c>
      <c r="I378" s="0" t="n">
        <f aca="false">I377</f>
        <v>6103264212.87154</v>
      </c>
      <c r="J378" s="85"/>
      <c r="K378" s="85"/>
      <c r="L378" s="85"/>
      <c r="M378" s="85"/>
      <c r="N378" s="85"/>
      <c r="O378" s="85"/>
      <c r="P378" s="85"/>
      <c r="Q378" s="85"/>
      <c r="R378" s="85"/>
      <c r="S378" s="85"/>
    </row>
    <row r="379" customFormat="false" ht="15" hidden="false" customHeight="false" outlineLevel="0" collapsed="false">
      <c r="F379" s="99" t="n">
        <f aca="false">H379/G379</f>
        <v>2.01467179999094E-006</v>
      </c>
      <c r="G379" s="52" t="n">
        <f aca="false">G378*(1+$O$1)</f>
        <v>55040064.2024177</v>
      </c>
      <c r="H379" s="15" t="n">
        <f aca="false">I379/G379</f>
        <v>110.887665218302</v>
      </c>
      <c r="I379" s="0" t="n">
        <f aca="false">I378</f>
        <v>6103264212.87154</v>
      </c>
      <c r="J379" s="85"/>
      <c r="K379" s="85"/>
      <c r="L379" s="85"/>
      <c r="M379" s="85"/>
      <c r="N379" s="85"/>
      <c r="O379" s="85"/>
      <c r="P379" s="85"/>
      <c r="Q379" s="85"/>
      <c r="R379" s="85"/>
      <c r="S379" s="85"/>
    </row>
    <row r="380" customFormat="false" ht="15" hidden="false" customHeight="false" outlineLevel="0" collapsed="false">
      <c r="F380" s="99" t="n">
        <f aca="false">H380/G380</f>
        <v>1.91759362283493E-006</v>
      </c>
      <c r="G380" s="52" t="n">
        <f aca="false">G379*(1+$O$1)</f>
        <v>56416065.8074781</v>
      </c>
      <c r="H380" s="15" t="n">
        <f aca="false">I380/G380</f>
        <v>108.183088017856</v>
      </c>
      <c r="I380" s="0" t="n">
        <f aca="false">I379</f>
        <v>6103264212.87154</v>
      </c>
      <c r="J380" s="85"/>
      <c r="K380" s="85"/>
      <c r="L380" s="85"/>
      <c r="M380" s="85"/>
      <c r="N380" s="85"/>
      <c r="O380" s="85"/>
      <c r="P380" s="85"/>
      <c r="Q380" s="85"/>
      <c r="R380" s="85"/>
      <c r="S380" s="85"/>
    </row>
    <row r="381" customFormat="false" ht="15" hidden="false" customHeight="false" outlineLevel="0" collapsed="false">
      <c r="F381" s="99" t="n">
        <f aca="false">H381/G381</f>
        <v>1.82519321626168E-006</v>
      </c>
      <c r="G381" s="52" t="n">
        <f aca="false">G380*(1+$O$1)</f>
        <v>57826467.4526651</v>
      </c>
      <c r="H381" s="15" t="n">
        <f aca="false">I381/G381</f>
        <v>105.544476114981</v>
      </c>
      <c r="I381" s="0" t="n">
        <f aca="false">I380</f>
        <v>6103264212.87154</v>
      </c>
      <c r="J381" s="85"/>
      <c r="K381" s="85"/>
      <c r="L381" s="85"/>
      <c r="M381" s="85"/>
      <c r="N381" s="85"/>
      <c r="O381" s="85"/>
      <c r="P381" s="85"/>
      <c r="Q381" s="85"/>
      <c r="R381" s="85"/>
      <c r="S381" s="85"/>
    </row>
    <row r="382" customFormat="false" ht="15" hidden="false" customHeight="false" outlineLevel="0" collapsed="false">
      <c r="F382" s="99" t="n">
        <f aca="false">H382/G382</f>
        <v>1.7372451790712E-006</v>
      </c>
      <c r="G382" s="52" t="n">
        <f aca="false">G381*(1+$O$1)</f>
        <v>59272129.1389817</v>
      </c>
      <c r="H382" s="15" t="n">
        <f aca="false">I382/G382</f>
        <v>102.970220599982</v>
      </c>
      <c r="I382" s="0" t="n">
        <f aca="false">I381</f>
        <v>6103264212.87154</v>
      </c>
      <c r="J382" s="85"/>
      <c r="K382" s="85"/>
      <c r="L382" s="85"/>
      <c r="M382" s="85"/>
      <c r="N382" s="85"/>
      <c r="O382" s="85"/>
      <c r="P382" s="85"/>
      <c r="Q382" s="85"/>
      <c r="R382" s="85"/>
      <c r="S382" s="85"/>
    </row>
    <row r="383" customFormat="false" ht="15" hidden="false" customHeight="false" outlineLevel="0" collapsed="false">
      <c r="F383" s="99" t="n">
        <f aca="false">H383/G383</f>
        <v>1.65353497115641E-006</v>
      </c>
      <c r="G383" s="52" t="n">
        <f aca="false">G382*(1+$O$1)</f>
        <v>60753932.3674562</v>
      </c>
      <c r="H383" s="15" t="n">
        <f aca="false">I383/G383</f>
        <v>100.45875180486</v>
      </c>
      <c r="I383" s="0" t="n">
        <f aca="false">I382</f>
        <v>6103264212.87154</v>
      </c>
      <c r="J383" s="85"/>
      <c r="K383" s="85"/>
      <c r="L383" s="85"/>
      <c r="M383" s="85"/>
      <c r="N383" s="85"/>
      <c r="O383" s="85"/>
      <c r="P383" s="85"/>
      <c r="Q383" s="85"/>
      <c r="R383" s="85"/>
      <c r="S383" s="85"/>
    </row>
    <row r="384" customFormat="false" ht="15" hidden="false" customHeight="false" outlineLevel="0" collapsed="false">
      <c r="F384" s="99" t="n">
        <f aca="false">H384/G384</f>
        <v>1.57385839015482E-006</v>
      </c>
      <c r="G384" s="52" t="n">
        <f aca="false">G383*(1+$O$1)</f>
        <v>62272780.6766426</v>
      </c>
      <c r="H384" s="15" t="n">
        <f aca="false">I384/G384</f>
        <v>98.008538346205</v>
      </c>
      <c r="I384" s="0" t="n">
        <f aca="false">I383</f>
        <v>6103264212.87154</v>
      </c>
      <c r="J384" s="85"/>
      <c r="K384" s="85"/>
      <c r="L384" s="85"/>
      <c r="M384" s="85"/>
      <c r="N384" s="85"/>
      <c r="O384" s="85"/>
      <c r="P384" s="85"/>
      <c r="Q384" s="85"/>
      <c r="R384" s="85"/>
      <c r="S384" s="85"/>
    </row>
    <row r="385" customFormat="false" ht="15" hidden="false" customHeight="false" outlineLevel="0" collapsed="false">
      <c r="F385" s="99" t="n">
        <f aca="false">H385/G385</f>
        <v>1.49802107331809E-006</v>
      </c>
      <c r="G385" s="52" t="n">
        <f aca="false">G384*(1+$O$1)</f>
        <v>63829600.1935587</v>
      </c>
      <c r="H385" s="15" t="n">
        <f aca="false">I385/G385</f>
        <v>95.6180861914195</v>
      </c>
      <c r="I385" s="0" t="n">
        <f aca="false">I384</f>
        <v>6103264212.87154</v>
      </c>
      <c r="J385" s="85"/>
      <c r="K385" s="85"/>
      <c r="L385" s="85"/>
      <c r="M385" s="85"/>
      <c r="N385" s="85"/>
      <c r="O385" s="85"/>
      <c r="P385" s="85"/>
      <c r="Q385" s="85"/>
      <c r="R385" s="85"/>
      <c r="S385" s="85"/>
    </row>
    <row r="386" customFormat="false" ht="15" hidden="false" customHeight="false" outlineLevel="0" collapsed="false">
      <c r="F386" s="99" t="n">
        <f aca="false">H386/G386</f>
        <v>1.42583802338426E-006</v>
      </c>
      <c r="G386" s="52" t="n">
        <f aca="false">G385*(1+$O$1)</f>
        <v>65425340.1983976</v>
      </c>
      <c r="H386" s="15" t="n">
        <f aca="false">I386/G386</f>
        <v>93.2859377477264</v>
      </c>
      <c r="I386" s="0" t="n">
        <f aca="false">I385</f>
        <v>6103264212.87154</v>
      </c>
      <c r="J386" s="85"/>
      <c r="K386" s="85"/>
      <c r="L386" s="85"/>
      <c r="M386" s="85"/>
      <c r="N386" s="85"/>
      <c r="O386" s="85"/>
      <c r="P386" s="85"/>
      <c r="Q386" s="85"/>
      <c r="R386" s="85"/>
      <c r="S386" s="85"/>
    </row>
    <row r="387" customFormat="false" ht="15" hidden="false" customHeight="false" outlineLevel="0" collapsed="false">
      <c r="F387" s="99" t="n">
        <f aca="false">H387/G387</f>
        <v>1.35713315729615E-006</v>
      </c>
      <c r="G387" s="52" t="n">
        <f aca="false">G386*(1+$O$1)</f>
        <v>67060973.7033576</v>
      </c>
      <c r="H387" s="15" t="n">
        <f aca="false">I387/G387</f>
        <v>91.0106709733916</v>
      </c>
      <c r="I387" s="0" t="n">
        <f aca="false">I386</f>
        <v>6103264212.87154</v>
      </c>
      <c r="J387" s="85"/>
      <c r="K387" s="85"/>
      <c r="L387" s="85"/>
      <c r="M387" s="85"/>
      <c r="N387" s="85"/>
      <c r="O387" s="85"/>
      <c r="P387" s="85"/>
      <c r="Q387" s="85"/>
      <c r="R387" s="85"/>
      <c r="S387" s="85"/>
    </row>
    <row r="388" customFormat="false" ht="15" hidden="false" customHeight="false" outlineLevel="0" collapsed="false">
      <c r="F388" s="99" t="n">
        <f aca="false">H388/G388</f>
        <v>1.29173887666498E-006</v>
      </c>
      <c r="G388" s="52" t="n">
        <f aca="false">G387*(1+$O$1)</f>
        <v>68737498.0459415</v>
      </c>
      <c r="H388" s="15" t="n">
        <f aca="false">I388/G388</f>
        <v>88.7908985106259</v>
      </c>
      <c r="I388" s="0" t="n">
        <f aca="false">I387</f>
        <v>6103264212.87154</v>
      </c>
      <c r="J388" s="85"/>
      <c r="K388" s="85"/>
      <c r="L388" s="85"/>
      <c r="M388" s="85"/>
      <c r="N388" s="85"/>
      <c r="O388" s="85"/>
      <c r="P388" s="85"/>
      <c r="Q388" s="85"/>
      <c r="R388" s="85"/>
      <c r="S388" s="85"/>
    </row>
    <row r="389" customFormat="false" ht="15" hidden="false" customHeight="false" outlineLevel="0" collapsed="false">
      <c r="F389" s="99" t="n">
        <f aca="false">H389/G389</f>
        <v>1.22949565893157E-006</v>
      </c>
      <c r="G389" s="52" t="n">
        <f aca="false">G388*(1+$O$1)</f>
        <v>70455935.49709</v>
      </c>
      <c r="H389" s="15" t="n">
        <f aca="false">I389/G389</f>
        <v>86.6252668396351</v>
      </c>
      <c r="I389" s="0" t="n">
        <f aca="false">I388</f>
        <v>6103264212.87154</v>
      </c>
      <c r="J389" s="85"/>
      <c r="K389" s="85"/>
      <c r="L389" s="85"/>
      <c r="M389" s="85"/>
      <c r="N389" s="85"/>
      <c r="O389" s="85"/>
      <c r="P389" s="85"/>
      <c r="Q389" s="85"/>
      <c r="R389" s="85"/>
      <c r="S389" s="85"/>
    </row>
    <row r="390" customFormat="false" ht="15" hidden="false" customHeight="false" outlineLevel="0" collapsed="false">
      <c r="F390" s="99" t="n">
        <f aca="false">H390/G390</f>
        <v>1.17025166822755E-006</v>
      </c>
      <c r="G390" s="52" t="n">
        <f aca="false">G389*(1+$O$1)</f>
        <v>72217333.8845173</v>
      </c>
      <c r="H390" s="15" t="n">
        <f aca="false">I390/G390</f>
        <v>84.5124554533025</v>
      </c>
      <c r="I390" s="0" t="n">
        <f aca="false">I389</f>
        <v>6103264212.87154</v>
      </c>
      <c r="J390" s="85"/>
      <c r="K390" s="85"/>
      <c r="L390" s="85"/>
      <c r="M390" s="85"/>
      <c r="N390" s="85"/>
      <c r="O390" s="85"/>
      <c r="P390" s="85"/>
      <c r="Q390" s="85"/>
      <c r="R390" s="85"/>
      <c r="S390" s="85"/>
    </row>
    <row r="391" customFormat="false" ht="15" hidden="false" customHeight="false" outlineLevel="0" collapsed="false">
      <c r="F391" s="99" t="n">
        <f aca="false">H391/G391</f>
        <v>1.11386238498756E-006</v>
      </c>
      <c r="G391" s="52" t="n">
        <f aca="false">G390*(1+$O$1)</f>
        <v>74022767.2316302</v>
      </c>
      <c r="H391" s="15" t="n">
        <f aca="false">I391/G391</f>
        <v>82.4511760520025</v>
      </c>
      <c r="I391" s="0" t="n">
        <f aca="false">I390</f>
        <v>6103264212.87154</v>
      </c>
      <c r="J391" s="85"/>
      <c r="K391" s="85"/>
      <c r="L391" s="85"/>
      <c r="M391" s="85"/>
      <c r="N391" s="85"/>
      <c r="O391" s="85"/>
      <c r="P391" s="85"/>
      <c r="Q391" s="85"/>
      <c r="R391" s="85"/>
      <c r="S391" s="85"/>
    </row>
    <row r="392" customFormat="false" ht="15" hidden="false" customHeight="false" outlineLevel="0" collapsed="false">
      <c r="F392" s="99" t="n">
        <f aca="false">H392/G392</f>
        <v>1.06019025340874E-006</v>
      </c>
      <c r="G392" s="52" t="n">
        <f aca="false">G391*(1+$O$1)</f>
        <v>75873336.412421</v>
      </c>
      <c r="H392" s="15" t="n">
        <f aca="false">I392/G392</f>
        <v>80.4401717580512</v>
      </c>
      <c r="I392" s="0" t="n">
        <f aca="false">I391</f>
        <v>6103264212.87154</v>
      </c>
      <c r="J392" s="85"/>
      <c r="K392" s="85"/>
      <c r="L392" s="85"/>
      <c r="M392" s="85"/>
      <c r="N392" s="85"/>
      <c r="O392" s="85"/>
      <c r="P392" s="85"/>
      <c r="Q392" s="85"/>
      <c r="R392" s="85"/>
      <c r="S392" s="85"/>
    </row>
    <row r="393" customFormat="false" ht="15" hidden="false" customHeight="false" outlineLevel="0" collapsed="false">
      <c r="F393" s="99" t="n">
        <f aca="false">H393/G393</f>
        <v>1.00910434589767E-006</v>
      </c>
      <c r="G393" s="52" t="n">
        <f aca="false">G392*(1+$O$1)</f>
        <v>77770169.8227315</v>
      </c>
      <c r="H393" s="15" t="n">
        <f aca="false">I393/G393</f>
        <v>78.4782163493182</v>
      </c>
      <c r="I393" s="0" t="n">
        <f aca="false">I392</f>
        <v>6103264212.87154</v>
      </c>
      <c r="J393" s="85"/>
      <c r="K393" s="85"/>
      <c r="L393" s="85"/>
      <c r="M393" s="85"/>
      <c r="N393" s="85"/>
      <c r="O393" s="85"/>
      <c r="P393" s="85"/>
      <c r="Q393" s="85"/>
      <c r="R393" s="85"/>
      <c r="S393" s="85"/>
    </row>
    <row r="394" customFormat="false" ht="15" hidden="false" customHeight="false" outlineLevel="0" collapsed="false">
      <c r="F394" s="99" t="n">
        <f aca="false">H394/G394</f>
        <v>9.60480043686064E-007</v>
      </c>
      <c r="G394" s="52" t="n">
        <f aca="false">G393*(1+$O$1)</f>
        <v>79714424.0682998</v>
      </c>
      <c r="H394" s="15" t="n">
        <f aca="false">I394/G394</f>
        <v>76.56411351153</v>
      </c>
      <c r="I394" s="0" t="n">
        <f aca="false">I393</f>
        <v>6103264212.87154</v>
      </c>
      <c r="J394" s="85"/>
      <c r="K394" s="85"/>
      <c r="L394" s="85"/>
      <c r="M394" s="85"/>
      <c r="N394" s="85"/>
      <c r="O394" s="85"/>
      <c r="P394" s="85"/>
      <c r="Q394" s="85"/>
      <c r="R394" s="85"/>
      <c r="S394" s="85"/>
    </row>
    <row r="395" customFormat="false" ht="15" hidden="false" customHeight="false" outlineLevel="0" collapsed="false">
      <c r="F395" s="99" t="n">
        <f aca="false">H395/G395</f>
        <v>9.1419873283623E-007</v>
      </c>
      <c r="G395" s="52" t="n">
        <f aca="false">G394*(1+$O$1)</f>
        <v>81707284.6700073</v>
      </c>
      <c r="H395" s="15" t="n">
        <f aca="false">I395/G395</f>
        <v>74.6966961088098</v>
      </c>
      <c r="I395" s="0" t="n">
        <f aca="false">I394</f>
        <v>6103264212.87154</v>
      </c>
      <c r="J395" s="85"/>
      <c r="K395" s="85"/>
      <c r="L395" s="85"/>
      <c r="M395" s="85"/>
      <c r="N395" s="85"/>
      <c r="O395" s="85"/>
      <c r="P395" s="85"/>
      <c r="Q395" s="85"/>
      <c r="R395" s="85"/>
      <c r="S395" s="85"/>
    </row>
    <row r="396" customFormat="false" ht="15" hidden="false" customHeight="false" outlineLevel="0" collapsed="false">
      <c r="F396" s="99" t="n">
        <f aca="false">H396/G396</f>
        <v>8.70147514894687E-007</v>
      </c>
      <c r="G396" s="52" t="n">
        <f aca="false">G395*(1+$O$1)</f>
        <v>83749966.7867574</v>
      </c>
      <c r="H396" s="15" t="n">
        <f aca="false">I396/G396</f>
        <v>72.8748254720095</v>
      </c>
      <c r="I396" s="0" t="n">
        <f aca="false">I395</f>
        <v>6103264212.87154</v>
      </c>
      <c r="J396" s="85"/>
      <c r="K396" s="85"/>
      <c r="L396" s="85"/>
      <c r="M396" s="85"/>
      <c r="N396" s="85"/>
      <c r="O396" s="85"/>
      <c r="P396" s="85"/>
      <c r="Q396" s="85"/>
      <c r="R396" s="85"/>
      <c r="S396" s="85"/>
    </row>
    <row r="397" customFormat="false" ht="15" hidden="false" customHeight="false" outlineLevel="0" collapsed="false">
      <c r="F397" s="99" t="n">
        <f aca="false">H397/G397</f>
        <v>8.28218931488102E-007</v>
      </c>
      <c r="G397" s="52" t="n">
        <f aca="false">G396*(1+$O$1)</f>
        <v>85843715.9564264</v>
      </c>
      <c r="H397" s="15" t="n">
        <f aca="false">I397/G397</f>
        <v>71.0973907043995</v>
      </c>
      <c r="I397" s="0" t="n">
        <f aca="false">I396</f>
        <v>6103264212.87154</v>
      </c>
      <c r="J397" s="85"/>
      <c r="K397" s="85"/>
      <c r="L397" s="85"/>
      <c r="M397" s="85"/>
      <c r="N397" s="85"/>
      <c r="O397" s="85"/>
      <c r="P397" s="85"/>
      <c r="Q397" s="85"/>
      <c r="R397" s="85"/>
      <c r="S397" s="85"/>
    </row>
    <row r="398" customFormat="false" ht="15" hidden="false" customHeight="false" outlineLevel="0" collapsed="false">
      <c r="F398" s="99" t="n">
        <f aca="false">H398/G398</f>
        <v>7.88310702189746E-007</v>
      </c>
      <c r="G398" s="52" t="n">
        <f aca="false">G397*(1+$O$1)</f>
        <v>87989808.855337</v>
      </c>
      <c r="H398" s="15" t="n">
        <f aca="false">I398/G398</f>
        <v>69.3633080042922</v>
      </c>
      <c r="I398" s="0" t="n">
        <f aca="false">I397</f>
        <v>6103264212.87154</v>
      </c>
      <c r="J398" s="85"/>
      <c r="K398" s="85"/>
      <c r="L398" s="85"/>
      <c r="M398" s="85"/>
      <c r="N398" s="85"/>
      <c r="O398" s="85"/>
      <c r="P398" s="85"/>
      <c r="Q398" s="85"/>
      <c r="R398" s="85"/>
      <c r="S398" s="85"/>
    </row>
    <row r="399" customFormat="false" ht="15" hidden="false" customHeight="false" outlineLevel="0" collapsed="false">
      <c r="F399" s="99" t="n">
        <f aca="false">H399/G399</f>
        <v>7.5032547501701E-007</v>
      </c>
      <c r="G399" s="52" t="n">
        <f aca="false">G398*(1+$O$1)</f>
        <v>90189554.0767204</v>
      </c>
      <c r="H399" s="15" t="n">
        <f aca="false">I399/G399</f>
        <v>67.6715200041875</v>
      </c>
      <c r="I399" s="0" t="n">
        <f aca="false">I398</f>
        <v>6103264212.87154</v>
      </c>
      <c r="J399" s="85"/>
      <c r="K399" s="85"/>
      <c r="L399" s="85"/>
      <c r="M399" s="85"/>
      <c r="N399" s="85"/>
      <c r="O399" s="85"/>
      <c r="P399" s="85"/>
      <c r="Q399" s="85"/>
      <c r="R399" s="85"/>
      <c r="S399" s="85"/>
    </row>
    <row r="400" customFormat="false" ht="15" hidden="false" customHeight="false" outlineLevel="0" collapsed="false">
      <c r="F400" s="99" t="n">
        <f aca="false">H400/G400</f>
        <v>7.14170588951348E-007</v>
      </c>
      <c r="G400" s="52" t="n">
        <f aca="false">G399*(1+$O$1)</f>
        <v>92444292.9286384</v>
      </c>
      <c r="H400" s="15" t="n">
        <f aca="false">I400/G400</f>
        <v>66.0209951260366</v>
      </c>
      <c r="I400" s="0" t="n">
        <f aca="false">I399</f>
        <v>6103264212.87154</v>
      </c>
      <c r="J400" s="85"/>
      <c r="K400" s="85"/>
      <c r="L400" s="85"/>
      <c r="M400" s="85"/>
      <c r="N400" s="85"/>
      <c r="O400" s="85"/>
      <c r="P400" s="85"/>
      <c r="Q400" s="85"/>
      <c r="R400" s="85"/>
      <c r="S400" s="85"/>
    </row>
    <row r="401" customFormat="false" ht="15" hidden="false" customHeight="false" outlineLevel="0" collapsed="false">
      <c r="F401" s="99" t="n">
        <f aca="false">H401/G401</f>
        <v>6.79757847901343E-007</v>
      </c>
      <c r="G401" s="52" t="n">
        <f aca="false">G400*(1+$O$1)</f>
        <v>94755400.2518544</v>
      </c>
      <c r="H401" s="15" t="n">
        <f aca="false">I401/G401</f>
        <v>64.4107269522309</v>
      </c>
      <c r="I401" s="0" t="n">
        <f aca="false">I400</f>
        <v>6103264212.87154</v>
      </c>
      <c r="J401" s="85"/>
      <c r="K401" s="85"/>
      <c r="L401" s="85"/>
      <c r="M401" s="85"/>
      <c r="N401" s="85"/>
      <c r="O401" s="85"/>
      <c r="P401" s="85"/>
      <c r="Q401" s="85"/>
      <c r="R401" s="85"/>
      <c r="S401" s="85"/>
    </row>
    <row r="402" customFormat="false" ht="15" hidden="false" customHeight="false" outlineLevel="0" collapsed="false">
      <c r="F402" s="99" t="n">
        <f aca="false">H402/G402</f>
        <v>6.47003305557495E-007</v>
      </c>
      <c r="G402" s="52" t="n">
        <f aca="false">G401*(1+$O$1)</f>
        <v>97124285.2581507</v>
      </c>
      <c r="H402" s="15" t="n">
        <f aca="false">I402/G402</f>
        <v>62.8397336119326</v>
      </c>
      <c r="I402" s="0" t="n">
        <f aca="false">I401</f>
        <v>6103264212.87154</v>
      </c>
      <c r="J402" s="85"/>
      <c r="K402" s="85"/>
      <c r="L402" s="85"/>
      <c r="M402" s="85"/>
      <c r="N402" s="85"/>
      <c r="O402" s="85"/>
      <c r="P402" s="85"/>
      <c r="Q402" s="85"/>
      <c r="R402" s="85"/>
      <c r="S402" s="85"/>
    </row>
    <row r="403" customFormat="false" ht="15" hidden="false" customHeight="false" outlineLevel="0" collapsed="false">
      <c r="F403" s="99" t="n">
        <f aca="false">H403/G403</f>
        <v>6.15827060613915E-007</v>
      </c>
      <c r="G403" s="52" t="n">
        <f aca="false">G402*(1+$O$1)</f>
        <v>99552392.3896045</v>
      </c>
      <c r="H403" s="15" t="n">
        <f aca="false">I403/G403</f>
        <v>61.3070571823732</v>
      </c>
      <c r="I403" s="0" t="n">
        <f aca="false">I402</f>
        <v>6103264212.87154</v>
      </c>
      <c r="J403" s="85"/>
      <c r="K403" s="85"/>
      <c r="L403" s="85"/>
      <c r="M403" s="85"/>
      <c r="N403" s="85"/>
      <c r="O403" s="85"/>
      <c r="P403" s="85"/>
      <c r="Q403" s="85"/>
      <c r="R403" s="85"/>
      <c r="S403" s="85"/>
    </row>
    <row r="404" customFormat="false" ht="15" hidden="false" customHeight="false" outlineLevel="0" collapsed="false">
      <c r="F404" s="99" t="n">
        <f aca="false">H404/G404</f>
        <v>5.86153061857386E-007</v>
      </c>
      <c r="G404" s="52" t="n">
        <f aca="false">G403*(1+$O$1)</f>
        <v>102041202.199345</v>
      </c>
      <c r="H404" s="15" t="n">
        <f aca="false">I404/G404</f>
        <v>59.8117631047544</v>
      </c>
      <c r="I404" s="0" t="n">
        <f aca="false">I403</f>
        <v>6103264212.87154</v>
      </c>
      <c r="J404" s="85"/>
      <c r="K404" s="85"/>
      <c r="L404" s="85"/>
      <c r="M404" s="85"/>
      <c r="N404" s="85"/>
      <c r="O404" s="85"/>
      <c r="P404" s="85"/>
      <c r="Q404" s="85"/>
      <c r="R404" s="85"/>
      <c r="S404" s="85"/>
    </row>
    <row r="405" customFormat="false" ht="15" hidden="false" customHeight="false" outlineLevel="0" collapsed="false">
      <c r="F405" s="99" t="n">
        <f aca="false">H405/G405</f>
        <v>5.57908922648315E-007</v>
      </c>
      <c r="G405" s="52" t="n">
        <f aca="false">G404*(1+$O$1)</f>
        <v>104592232.254328</v>
      </c>
      <c r="H405" s="15" t="n">
        <f aca="false">I405/G405</f>
        <v>58.3529396143945</v>
      </c>
      <c r="I405" s="0" t="n">
        <f aca="false">I404</f>
        <v>6103264212.87154</v>
      </c>
      <c r="J405" s="85"/>
      <c r="K405" s="85"/>
      <c r="L405" s="85"/>
      <c r="M405" s="85"/>
      <c r="N405" s="85"/>
      <c r="O405" s="85"/>
      <c r="P405" s="85"/>
      <c r="Q405" s="85"/>
      <c r="R405" s="85"/>
      <c r="S405" s="85"/>
    </row>
    <row r="406" customFormat="false" ht="15" hidden="false" customHeight="false" outlineLevel="0" collapsed="false">
      <c r="F406" s="99" t="n">
        <f aca="false">H406/G406</f>
        <v>5.31025744341049E-007</v>
      </c>
      <c r="G406" s="52" t="n">
        <f aca="false">G405*(1+$O$1)</f>
        <v>107207038.060686</v>
      </c>
      <c r="H406" s="15" t="n">
        <f aca="false">I406/G406</f>
        <v>56.9296971847752</v>
      </c>
      <c r="I406" s="0" t="n">
        <f aca="false">I405</f>
        <v>6103264212.87154</v>
      </c>
      <c r="J406" s="85"/>
      <c r="K406" s="85"/>
      <c r="L406" s="85"/>
      <c r="M406" s="85"/>
      <c r="N406" s="85"/>
      <c r="O406" s="85"/>
      <c r="P406" s="85"/>
      <c r="Q406" s="85"/>
      <c r="R406" s="85"/>
      <c r="S406" s="85"/>
    </row>
    <row r="407" customFormat="false" ht="15" hidden="false" customHeight="false" outlineLevel="0" collapsed="false">
      <c r="F407" s="99" t="n">
        <f aca="false">H407/G407</f>
        <v>5.05437948212778E-007</v>
      </c>
      <c r="G407" s="52" t="n">
        <f aca="false">G406*(1+$O$1)</f>
        <v>109887214.012204</v>
      </c>
      <c r="H407" s="15" t="n">
        <f aca="false">I407/G407</f>
        <v>55.5411679851465</v>
      </c>
      <c r="I407" s="0" t="n">
        <f aca="false">I406</f>
        <v>6103264212.87154</v>
      </c>
      <c r="J407" s="85"/>
      <c r="K407" s="85"/>
      <c r="L407" s="85"/>
      <c r="M407" s="85"/>
      <c r="N407" s="85"/>
      <c r="O407" s="85"/>
      <c r="P407" s="85"/>
      <c r="Q407" s="85"/>
      <c r="R407" s="85"/>
      <c r="S407" s="85"/>
    </row>
    <row r="408" customFormat="false" ht="15" hidden="false" customHeight="false" outlineLevel="0" collapsed="false">
      <c r="F408" s="99" t="n">
        <f aca="false">H408/G408</f>
        <v>4.81083115491043E-007</v>
      </c>
      <c r="G408" s="52" t="n">
        <f aca="false">G407*(1+$O$1)</f>
        <v>112634394.362509</v>
      </c>
      <c r="H408" s="15" t="n">
        <f aca="false">I408/G408</f>
        <v>54.1865053513625</v>
      </c>
      <c r="I408" s="0" t="n">
        <f aca="false">I407</f>
        <v>6103264212.87154</v>
      </c>
      <c r="J408" s="85"/>
      <c r="K408" s="85"/>
      <c r="L408" s="85"/>
      <c r="M408" s="85"/>
      <c r="N408" s="85"/>
      <c r="O408" s="85"/>
      <c r="P408" s="85"/>
      <c r="Q408" s="85"/>
      <c r="R408" s="85"/>
      <c r="S408" s="85"/>
    </row>
    <row r="409" customFormat="false" ht="15" hidden="false" customHeight="false" outlineLevel="0" collapsed="false">
      <c r="F409" s="99" t="n">
        <f aca="false">H409/G409</f>
        <v>4.57901835089631E-007</v>
      </c>
      <c r="G409" s="52" t="n">
        <f aca="false">G408*(1+$O$1)</f>
        <v>115450254.221571</v>
      </c>
      <c r="H409" s="15" t="n">
        <f aca="false">I409/G409</f>
        <v>52.8648832696219</v>
      </c>
      <c r="I409" s="0" t="n">
        <f aca="false">I408</f>
        <v>6103264212.87154</v>
      </c>
      <c r="J409" s="85"/>
      <c r="K409" s="85"/>
      <c r="L409" s="85"/>
      <c r="M409" s="85"/>
      <c r="N409" s="85"/>
      <c r="O409" s="85"/>
      <c r="P409" s="85"/>
      <c r="Q409" s="85"/>
      <c r="R409" s="85"/>
      <c r="S409" s="85"/>
    </row>
    <row r="410" customFormat="false" ht="15" hidden="false" customHeight="false" outlineLevel="0" collapsed="false">
      <c r="F410" s="99" t="n">
        <f aca="false">H410/G410</f>
        <v>4.35837558681386E-007</v>
      </c>
      <c r="G410" s="52" t="n">
        <f aca="false">G409*(1+$O$1)</f>
        <v>118336510.577111</v>
      </c>
      <c r="H410" s="15" t="n">
        <f aca="false">I410/G410</f>
        <v>51.5754958728019</v>
      </c>
      <c r="I410" s="0" t="n">
        <f aca="false">I409</f>
        <v>6103264212.87154</v>
      </c>
      <c r="J410" s="85"/>
      <c r="K410" s="85"/>
      <c r="L410" s="85"/>
      <c r="M410" s="85"/>
      <c r="N410" s="85"/>
      <c r="O410" s="85"/>
      <c r="P410" s="85"/>
      <c r="Q410" s="85"/>
      <c r="R410" s="85"/>
      <c r="S410" s="85"/>
    </row>
    <row r="411" customFormat="false" ht="15" hidden="false" customHeight="false" outlineLevel="0" collapsed="false">
      <c r="F411" s="99" t="n">
        <f aca="false">H411/G411</f>
        <v>4.14836462754442E-007</v>
      </c>
      <c r="G411" s="52" t="n">
        <f aca="false">G410*(1+$O$1)</f>
        <v>121294923.341538</v>
      </c>
      <c r="H411" s="15" t="n">
        <f aca="false">I411/G411</f>
        <v>50.317556949075</v>
      </c>
      <c r="I411" s="0" t="n">
        <f aca="false">I410</f>
        <v>6103264212.87154</v>
      </c>
      <c r="J411" s="85"/>
      <c r="K411" s="85"/>
      <c r="L411" s="85"/>
      <c r="M411" s="85"/>
      <c r="N411" s="85"/>
      <c r="O411" s="85"/>
      <c r="P411" s="85"/>
      <c r="Q411" s="85"/>
      <c r="R411" s="85"/>
      <c r="S411" s="85"/>
    </row>
    <row r="412" customFormat="false" ht="15" hidden="false" customHeight="false" outlineLevel="0" collapsed="false">
      <c r="F412" s="99" t="n">
        <f aca="false">H412/G412</f>
        <v>3.94847317315353E-007</v>
      </c>
      <c r="G412" s="52" t="n">
        <f aca="false">G411*(1+$O$1)</f>
        <v>124327296.425077</v>
      </c>
      <c r="H412" s="15" t="n">
        <f aca="false">I412/G412</f>
        <v>49.0902994625122</v>
      </c>
      <c r="I412" s="0" t="n">
        <f aca="false">I411</f>
        <v>6103264212.87154</v>
      </c>
      <c r="J412" s="85"/>
      <c r="K412" s="85"/>
      <c r="L412" s="85"/>
      <c r="M412" s="85"/>
      <c r="N412" s="85"/>
      <c r="O412" s="85"/>
      <c r="P412" s="85"/>
      <c r="Q412" s="85"/>
      <c r="R412" s="85"/>
      <c r="S412" s="85"/>
    </row>
    <row r="413" customFormat="false" ht="15" hidden="false" customHeight="false" outlineLevel="0" collapsed="false">
      <c r="F413" s="99" t="n">
        <f aca="false">H413/G413</f>
        <v>3.75821360918837E-007</v>
      </c>
      <c r="G413" s="52" t="n">
        <f aca="false">G412*(1+$O$1)</f>
        <v>127435478.835704</v>
      </c>
      <c r="H413" s="15" t="n">
        <f aca="false">I413/G413</f>
        <v>47.8929750853778</v>
      </c>
      <c r="I413" s="0" t="n">
        <f aca="false">I412</f>
        <v>6103264212.87154</v>
      </c>
      <c r="J413" s="85"/>
      <c r="K413" s="85"/>
      <c r="L413" s="85"/>
      <c r="M413" s="85"/>
      <c r="N413" s="85"/>
      <c r="O413" s="85"/>
      <c r="P413" s="85"/>
      <c r="Q413" s="85"/>
      <c r="R413" s="85"/>
      <c r="S413" s="85"/>
    </row>
    <row r="414" customFormat="false" ht="15" hidden="false" customHeight="false" outlineLevel="0" collapsed="false">
      <c r="F414" s="99" t="n">
        <f aca="false">H414/G414</f>
        <v>3.57712181719297E-007</v>
      </c>
      <c r="G414" s="52" t="n">
        <f aca="false">G413*(1+$O$1)</f>
        <v>130621365.806596</v>
      </c>
      <c r="H414" s="15" t="n">
        <f aca="false">I414/G414</f>
        <v>46.724853741832</v>
      </c>
      <c r="I414" s="0" t="n">
        <f aca="false">I413</f>
        <v>6103264212.87154</v>
      </c>
      <c r="J414" s="85"/>
      <c r="K414" s="85"/>
      <c r="L414" s="85"/>
      <c r="M414" s="85"/>
      <c r="N414" s="85"/>
      <c r="O414" s="85"/>
      <c r="P414" s="85"/>
      <c r="Q414" s="85"/>
      <c r="R414" s="85"/>
      <c r="S414" s="85"/>
    </row>
    <row r="415" customFormat="false" ht="15" hidden="false" customHeight="false" outlineLevel="0" collapsed="false">
      <c r="F415" s="99" t="n">
        <f aca="false">H415/G415</f>
        <v>3.40475604253942E-007</v>
      </c>
      <c r="G415" s="52" t="n">
        <f aca="false">G414*(1+$O$1)</f>
        <v>133886899.951761</v>
      </c>
      <c r="H415" s="15" t="n">
        <f aca="false">I415/G415</f>
        <v>45.5852231627629</v>
      </c>
      <c r="I415" s="0" t="n">
        <f aca="false">I414</f>
        <v>6103264212.87154</v>
      </c>
      <c r="J415" s="85"/>
      <c r="K415" s="85"/>
      <c r="L415" s="85"/>
      <c r="M415" s="85"/>
      <c r="N415" s="85"/>
      <c r="O415" s="85"/>
      <c r="P415" s="85"/>
      <c r="Q415" s="85"/>
      <c r="R415" s="85"/>
      <c r="S415" s="85"/>
    </row>
    <row r="416" customFormat="false" ht="15" hidden="false" customHeight="false" outlineLevel="0" collapsed="false">
      <c r="F416" s="99" t="n">
        <f aca="false">H416/G416</f>
        <v>3.24069581681325E-007</v>
      </c>
      <c r="G416" s="52" t="n">
        <f aca="false">G415*(1+$O$1)</f>
        <v>137234072.450555</v>
      </c>
      <c r="H416" s="15" t="n">
        <f aca="false">I416/G416</f>
        <v>44.473388451476</v>
      </c>
      <c r="I416" s="0" t="n">
        <f aca="false">I415</f>
        <v>6103264212.87154</v>
      </c>
      <c r="J416" s="85"/>
      <c r="K416" s="85"/>
      <c r="L416" s="85"/>
      <c r="M416" s="85"/>
      <c r="N416" s="85"/>
      <c r="O416" s="85"/>
      <c r="P416" s="85"/>
      <c r="Q416" s="85"/>
      <c r="R416" s="85"/>
      <c r="S416" s="85"/>
    </row>
    <row r="417" customFormat="false" ht="15" hidden="false" customHeight="false" outlineLevel="0" collapsed="false">
      <c r="F417" s="99" t="n">
        <f aca="false">H417/G417</f>
        <v>3.08454093212445E-007</v>
      </c>
      <c r="G417" s="52" t="n">
        <f aca="false">G416*(1+$O$1)</f>
        <v>140664924.261819</v>
      </c>
      <c r="H417" s="15" t="n">
        <f aca="false">I417/G417</f>
        <v>43.3886716599766</v>
      </c>
      <c r="I417" s="0" t="n">
        <f aca="false">I416</f>
        <v>6103264212.87154</v>
      </c>
      <c r="J417" s="85"/>
      <c r="K417" s="85"/>
      <c r="L417" s="85"/>
      <c r="M417" s="85"/>
      <c r="N417" s="85"/>
      <c r="O417" s="85"/>
      <c r="P417" s="85"/>
      <c r="Q417" s="85"/>
      <c r="R417" s="85"/>
      <c r="S417" s="85"/>
    </row>
    <row r="418" customFormat="false" ht="15" hidden="false" customHeight="false" outlineLevel="0" collapsed="false">
      <c r="F418" s="99" t="n">
        <f aca="false">H418/G418</f>
        <v>2.93591046484183E-007</v>
      </c>
      <c r="G418" s="52" t="n">
        <f aca="false">G417*(1+$O$1)</f>
        <v>144181547.368364</v>
      </c>
      <c r="H418" s="15" t="n">
        <f aca="false">I418/G418</f>
        <v>42.3304113755869</v>
      </c>
      <c r="I418" s="0" t="n">
        <f aca="false">I417</f>
        <v>6103264212.87154</v>
      </c>
      <c r="J418" s="85"/>
      <c r="K418" s="85"/>
      <c r="L418" s="85"/>
      <c r="M418" s="85"/>
      <c r="N418" s="85"/>
      <c r="O418" s="85"/>
      <c r="P418" s="85"/>
      <c r="Q418" s="85"/>
      <c r="R418" s="85"/>
      <c r="S418" s="85"/>
    </row>
    <row r="419" customFormat="false" ht="15" hidden="false" customHeight="false" outlineLevel="0" collapsed="false">
      <c r="F419" s="99" t="n">
        <f aca="false">H419/G419</f>
        <v>2.79444184636938E-007</v>
      </c>
      <c r="G419" s="52" t="n">
        <f aca="false">G418*(1+$O$1)</f>
        <v>147786086.052574</v>
      </c>
      <c r="H419" s="15" t="n">
        <f aca="false">I419/G419</f>
        <v>41.2979623176458</v>
      </c>
      <c r="I419" s="0" t="n">
        <f aca="false">I418</f>
        <v>6103264212.87154</v>
      </c>
      <c r="J419" s="85"/>
      <c r="K419" s="85"/>
      <c r="L419" s="85"/>
      <c r="M419" s="85"/>
      <c r="N419" s="85"/>
      <c r="O419" s="85"/>
      <c r="P419" s="85"/>
      <c r="Q419" s="85"/>
      <c r="R419" s="85"/>
      <c r="S419" s="85"/>
    </row>
    <row r="420" customFormat="false" ht="15" hidden="false" customHeight="false" outlineLevel="0" collapsed="false">
      <c r="F420" s="99" t="n">
        <f aca="false">H420/G420</f>
        <v>2.65978997869781E-007</v>
      </c>
      <c r="G420" s="52" t="n">
        <f aca="false">G419*(1+$O$1)</f>
        <v>151480738.203888</v>
      </c>
      <c r="H420" s="15" t="n">
        <f aca="false">I420/G420</f>
        <v>40.2906949440447</v>
      </c>
      <c r="I420" s="0" t="n">
        <f aca="false">I419</f>
        <v>6103264212.87154</v>
      </c>
      <c r="J420" s="85"/>
      <c r="K420" s="85"/>
      <c r="L420" s="85"/>
      <c r="M420" s="85"/>
      <c r="N420" s="85"/>
      <c r="O420" s="85"/>
      <c r="P420" s="85"/>
      <c r="Q420" s="85"/>
      <c r="R420" s="85"/>
      <c r="S420" s="85"/>
    </row>
    <row r="421" customFormat="false" ht="15" hidden="false" customHeight="false" outlineLevel="0" collapsed="false">
      <c r="F421" s="99" t="n">
        <f aca="false">H421/G421</f>
        <v>2.53162639257376E-007</v>
      </c>
      <c r="G421" s="52" t="n">
        <f aca="false">G420*(1+$O$1)</f>
        <v>155267756.658985</v>
      </c>
      <c r="H421" s="15" t="n">
        <f aca="false">I421/G421</f>
        <v>39.3079950673607</v>
      </c>
      <c r="I421" s="0" t="n">
        <f aca="false">I420</f>
        <v>6103264212.87154</v>
      </c>
      <c r="J421" s="85"/>
      <c r="K421" s="85"/>
      <c r="L421" s="85"/>
      <c r="M421" s="85"/>
      <c r="N421" s="85"/>
      <c r="O421" s="85"/>
      <c r="P421" s="85"/>
      <c r="Q421" s="85"/>
      <c r="R421" s="85"/>
      <c r="S421" s="85"/>
    </row>
    <row r="422" customFormat="false" ht="15" hidden="false" customHeight="false" outlineLevel="0" collapsed="false">
      <c r="F422" s="99" t="n">
        <f aca="false">H422/G422</f>
        <v>2.4096384462332E-007</v>
      </c>
      <c r="G422" s="52" t="n">
        <f aca="false">G421*(1+$O$1)</f>
        <v>159149450.57546</v>
      </c>
      <c r="H422" s="15" t="n">
        <f aca="false">I422/G422</f>
        <v>38.3492634803519</v>
      </c>
      <c r="I422" s="0" t="n">
        <f aca="false">I421</f>
        <v>6103264212.87154</v>
      </c>
      <c r="J422" s="85"/>
      <c r="K422" s="85"/>
      <c r="L422" s="85"/>
      <c r="M422" s="85"/>
      <c r="N422" s="85"/>
      <c r="O422" s="85"/>
      <c r="P422" s="85"/>
      <c r="Q422" s="85"/>
      <c r="R422" s="85"/>
      <c r="S422" s="85"/>
    </row>
    <row r="423" customFormat="false" ht="15" hidden="false" customHeight="false" outlineLevel="0" collapsed="false">
      <c r="F423" s="99" t="n">
        <f aca="false">H423/G423</f>
        <v>2.29352856274428E-007</v>
      </c>
      <c r="G423" s="52" t="n">
        <f aca="false">G422*(1+$O$1)</f>
        <v>163128186.839846</v>
      </c>
      <c r="H423" s="15" t="n">
        <f aca="false">I423/G423</f>
        <v>37.4139155905872</v>
      </c>
      <c r="I423" s="0" t="n">
        <f aca="false">I422</f>
        <v>6103264212.87154</v>
      </c>
      <c r="J423" s="85"/>
      <c r="K423" s="85"/>
      <c r="L423" s="85"/>
      <c r="M423" s="85"/>
      <c r="N423" s="85"/>
      <c r="O423" s="85"/>
      <c r="P423" s="85"/>
      <c r="Q423" s="85"/>
      <c r="R423" s="85"/>
      <c r="S423" s="85"/>
    </row>
    <row r="424" customFormat="false" ht="15" hidden="false" customHeight="false" outlineLevel="0" collapsed="false">
      <c r="F424" s="99" t="n">
        <f aca="false">H424/G424</f>
        <v>2.18301350409925E-007</v>
      </c>
      <c r="G424" s="52" t="n">
        <f aca="false">G423*(1+$O$1)</f>
        <v>167206391.510842</v>
      </c>
      <c r="H424" s="15" t="n">
        <f aca="false">I424/G424</f>
        <v>36.5013810639875</v>
      </c>
      <c r="I424" s="0" t="n">
        <f aca="false">I423</f>
        <v>6103264212.87154</v>
      </c>
      <c r="J424" s="85"/>
      <c r="K424" s="85"/>
      <c r="L424" s="85"/>
      <c r="M424" s="85"/>
      <c r="N424" s="85"/>
      <c r="O424" s="85"/>
      <c r="P424" s="85"/>
      <c r="Q424" s="85"/>
      <c r="R424" s="85"/>
      <c r="S424" s="85"/>
    </row>
    <row r="425" customFormat="false" ht="15" hidden="false" customHeight="false" outlineLevel="0" collapsed="false">
      <c r="F425" s="99" t="n">
        <f aca="false">H425/G425</f>
        <v>2.07782368028483E-007</v>
      </c>
      <c r="G425" s="52" t="n">
        <f aca="false">G424*(1+$O$1)</f>
        <v>171386551.298613</v>
      </c>
      <c r="H425" s="15" t="n">
        <f aca="false">I425/G425</f>
        <v>35.611103477061</v>
      </c>
      <c r="I425" s="0" t="n">
        <f aca="false">I424</f>
        <v>6103264212.87154</v>
      </c>
      <c r="J425" s="85"/>
      <c r="K425" s="85"/>
      <c r="L425" s="85"/>
      <c r="M425" s="85"/>
      <c r="N425" s="85"/>
      <c r="O425" s="85"/>
      <c r="P425" s="85"/>
      <c r="Q425" s="85"/>
      <c r="R425" s="85"/>
      <c r="S425" s="85"/>
    </row>
    <row r="426" customFormat="false" ht="15" hidden="false" customHeight="false" outlineLevel="0" collapsed="false">
      <c r="F426" s="99" t="n">
        <f aca="false">H426/G426</f>
        <v>1.97770249164529E-007</v>
      </c>
      <c r="G426" s="52" t="n">
        <f aca="false">G425*(1+$O$1)</f>
        <v>175671215.081079</v>
      </c>
      <c r="H426" s="15" t="n">
        <f aca="false">I426/G426</f>
        <v>34.7425399776205</v>
      </c>
      <c r="I426" s="0" t="n">
        <f aca="false">I425</f>
        <v>6103264212.87154</v>
      </c>
      <c r="J426" s="85"/>
      <c r="K426" s="85"/>
      <c r="L426" s="85"/>
      <c r="M426" s="85"/>
      <c r="N426" s="85"/>
      <c r="O426" s="85"/>
      <c r="P426" s="85"/>
      <c r="Q426" s="85"/>
      <c r="R426" s="85"/>
      <c r="S426" s="85"/>
    </row>
    <row r="427" customFormat="false" ht="15" hidden="false" customHeight="false" outlineLevel="0" collapsed="false">
      <c r="F427" s="99" t="n">
        <f aca="false">H427/G427</f>
        <v>1.88240570293424E-007</v>
      </c>
      <c r="G427" s="52" t="n">
        <f aca="false">G426*(1+$O$1)</f>
        <v>180062995.458106</v>
      </c>
      <c r="H427" s="15" t="n">
        <f aca="false">I427/G427</f>
        <v>33.8951609537761</v>
      </c>
      <c r="I427" s="0" t="n">
        <f aca="false">I426</f>
        <v>6103264212.87154</v>
      </c>
      <c r="J427" s="85"/>
      <c r="K427" s="85"/>
      <c r="L427" s="85"/>
      <c r="M427" s="85"/>
      <c r="N427" s="85"/>
      <c r="O427" s="85"/>
      <c r="P427" s="85"/>
      <c r="Q427" s="85"/>
      <c r="R427" s="85"/>
      <c r="S427" s="85"/>
    </row>
    <row r="428" customFormat="false" ht="15" hidden="false" customHeight="false" outlineLevel="0" collapsed="false">
      <c r="F428" s="99" t="n">
        <f aca="false">H428/G428</f>
        <v>1.79170084752813E-007</v>
      </c>
      <c r="G428" s="52" t="n">
        <f aca="false">G427*(1+$O$1)</f>
        <v>184564570.344558</v>
      </c>
      <c r="H428" s="15" t="n">
        <f aca="false">I428/G428</f>
        <v>33.0684497110011</v>
      </c>
      <c r="I428" s="0" t="n">
        <f aca="false">I427</f>
        <v>6103264212.87154</v>
      </c>
      <c r="J428" s="85"/>
      <c r="K428" s="85"/>
      <c r="L428" s="85"/>
      <c r="M428" s="85"/>
      <c r="N428" s="85"/>
      <c r="O428" s="85"/>
      <c r="P428" s="85"/>
      <c r="Q428" s="85"/>
      <c r="R428" s="85"/>
      <c r="S428" s="85"/>
    </row>
    <row r="429" customFormat="false" ht="15" hidden="false" customHeight="false" outlineLevel="0" collapsed="false">
      <c r="F429" s="99" t="n">
        <f aca="false">H429/G429</f>
        <v>1.70536666034802E-007</v>
      </c>
      <c r="G429" s="52" t="n">
        <f aca="false">G428*(1+$O$1)</f>
        <v>189178684.603172</v>
      </c>
      <c r="H429" s="15" t="n">
        <f aca="false">I429/G429</f>
        <v>32.2619021570742</v>
      </c>
      <c r="I429" s="0" t="n">
        <f aca="false">I428</f>
        <v>6103264212.87154</v>
      </c>
      <c r="J429" s="85"/>
      <c r="K429" s="85"/>
      <c r="L429" s="85"/>
      <c r="M429" s="85"/>
      <c r="N429" s="85"/>
      <c r="O429" s="85"/>
      <c r="P429" s="85"/>
      <c r="Q429" s="85"/>
      <c r="R429" s="85"/>
      <c r="S429" s="85"/>
    </row>
    <row r="430" customFormat="false" ht="15" hidden="false" customHeight="false" outlineLevel="0" collapsed="false">
      <c r="F430" s="99" t="n">
        <f aca="false">H430/G430</f>
        <v>1.62319253810638E-007</v>
      </c>
      <c r="G430" s="52" t="n">
        <f aca="false">G429*(1+$O$1)</f>
        <v>193908151.718251</v>
      </c>
      <c r="H430" s="15" t="n">
        <f aca="false">I430/G430</f>
        <v>31.4750264947066</v>
      </c>
      <c r="I430" s="0" t="n">
        <f aca="false">I429</f>
        <v>6103264212.87154</v>
      </c>
      <c r="J430" s="85"/>
      <c r="K430" s="85"/>
      <c r="L430" s="85"/>
      <c r="M430" s="85"/>
      <c r="N430" s="85"/>
      <c r="O430" s="85"/>
      <c r="P430" s="85"/>
      <c r="Q430" s="85"/>
      <c r="R430" s="85"/>
      <c r="S430" s="85"/>
    </row>
    <row r="431" customFormat="false" ht="15" hidden="false" customHeight="false" outlineLevel="0" collapsed="false">
      <c r="F431" s="99" t="n">
        <f aca="false">H431/G431</f>
        <v>1.54497802556229E-007</v>
      </c>
      <c r="G431" s="52" t="n">
        <f aca="false">G430*(1+$O$1)</f>
        <v>198755855.511208</v>
      </c>
      <c r="H431" s="15" t="n">
        <f aca="false">I431/G431</f>
        <v>30.7073429216649</v>
      </c>
      <c r="I431" s="0" t="n">
        <f aca="false">I430</f>
        <v>6103264212.87154</v>
      </c>
      <c r="J431" s="85"/>
      <c r="K431" s="85"/>
      <c r="L431" s="85"/>
      <c r="M431" s="85"/>
      <c r="N431" s="85"/>
      <c r="O431" s="85"/>
      <c r="P431" s="85"/>
      <c r="Q431" s="85"/>
      <c r="R431" s="85"/>
      <c r="S431" s="85"/>
    </row>
    <row r="432" customFormat="false" ht="15" hidden="false" customHeight="false" outlineLevel="0" collapsed="false">
      <c r="F432" s="99" t="n">
        <f aca="false">H432/G432</f>
        <v>1.47053232653163E-007</v>
      </c>
      <c r="G432" s="52" t="n">
        <f aca="false">G431*(1+$O$1)</f>
        <v>203724751.898988</v>
      </c>
      <c r="H432" s="15" t="n">
        <f aca="false">I432/G432</f>
        <v>29.9583833382097</v>
      </c>
      <c r="I432" s="0" t="n">
        <f aca="false">I431</f>
        <v>6103264212.87154</v>
      </c>
      <c r="J432" s="85"/>
      <c r="K432" s="85"/>
      <c r="L432" s="85"/>
      <c r="M432" s="85"/>
      <c r="N432" s="85"/>
      <c r="O432" s="85"/>
      <c r="P432" s="85"/>
      <c r="Q432" s="85"/>
      <c r="R432" s="85"/>
      <c r="S432" s="85"/>
    </row>
    <row r="433" customFormat="false" ht="15" hidden="false" customHeight="false" outlineLevel="0" collapsed="false">
      <c r="F433" s="99" t="n">
        <f aca="false">H433/G433</f>
        <v>1.39967383845961E-007</v>
      </c>
      <c r="G433" s="52" t="n">
        <f aca="false">G432*(1+$O$1)</f>
        <v>208817870.696463</v>
      </c>
      <c r="H433" s="15" t="n">
        <f aca="false">I433/G433</f>
        <v>29.227691061668</v>
      </c>
      <c r="I433" s="0" t="n">
        <f aca="false">I432</f>
        <v>6103264212.87154</v>
      </c>
      <c r="J433" s="85"/>
      <c r="K433" s="85"/>
      <c r="L433" s="85"/>
      <c r="M433" s="85"/>
      <c r="N433" s="85"/>
      <c r="O433" s="85"/>
      <c r="P433" s="85"/>
      <c r="Q433" s="85"/>
      <c r="R433" s="85"/>
      <c r="S433" s="85"/>
    </row>
    <row r="434" customFormat="false" ht="15" hidden="false" customHeight="false" outlineLevel="0" collapsed="false">
      <c r="F434" s="99" t="n">
        <f aca="false">H434/G434</f>
        <v>1.33222970942021E-007</v>
      </c>
      <c r="G434" s="52" t="n">
        <f aca="false">G433*(1+$O$1)</f>
        <v>214038317.463874</v>
      </c>
      <c r="H434" s="15" t="n">
        <f aca="false">I434/G434</f>
        <v>28.5148205479688</v>
      </c>
      <c r="I434" s="0" t="n">
        <f aca="false">I433</f>
        <v>6103264212.87154</v>
      </c>
      <c r="J434" s="85"/>
      <c r="K434" s="85"/>
      <c r="L434" s="85"/>
      <c r="M434" s="85"/>
      <c r="N434" s="85"/>
      <c r="O434" s="85"/>
      <c r="P434" s="85"/>
      <c r="Q434" s="85"/>
      <c r="R434" s="85"/>
      <c r="S434" s="85"/>
    </row>
    <row r="435" customFormat="false" ht="15" hidden="false" customHeight="false" outlineLevel="0" collapsed="false">
      <c r="F435" s="99" t="n">
        <f aca="false">H435/G435</f>
        <v>1.26803541646183E-007</v>
      </c>
      <c r="G435" s="52" t="n">
        <f aca="false">G434*(1+$O$1)</f>
        <v>219389275.400471</v>
      </c>
      <c r="H435" s="15" t="n">
        <f aca="false">I435/G435</f>
        <v>27.8193371199695</v>
      </c>
      <c r="I435" s="0" t="n">
        <f aca="false">I434</f>
        <v>6103264212.87154</v>
      </c>
      <c r="J435" s="85"/>
      <c r="K435" s="85"/>
      <c r="L435" s="85"/>
      <c r="M435" s="85"/>
      <c r="N435" s="85"/>
      <c r="O435" s="85"/>
      <c r="P435" s="85"/>
      <c r="Q435" s="85"/>
      <c r="R435" s="85"/>
      <c r="S435" s="85"/>
    </row>
    <row r="436" customFormat="false" ht="15" hidden="false" customHeight="false" outlineLevel="0" collapsed="false">
      <c r="F436" s="99" t="n">
        <f aca="false">H436/G436</f>
        <v>1.20693436427063E-007</v>
      </c>
      <c r="G436" s="52" t="n">
        <f aca="false">G435*(1+$O$1)</f>
        <v>224874007.285483</v>
      </c>
      <c r="H436" s="15" t="n">
        <f aca="false">I436/G436</f>
        <v>27.1408167024093</v>
      </c>
      <c r="I436" s="0" t="n">
        <f aca="false">I435</f>
        <v>6103264212.87154</v>
      </c>
      <c r="J436" s="85"/>
      <c r="K436" s="85"/>
      <c r="L436" s="85"/>
      <c r="M436" s="85"/>
      <c r="N436" s="85"/>
      <c r="O436" s="85"/>
      <c r="P436" s="85"/>
      <c r="Q436" s="85"/>
      <c r="R436" s="85"/>
      <c r="S436" s="85"/>
    </row>
    <row r="437" customFormat="false" ht="15" hidden="false" customHeight="false" outlineLevel="0" collapsed="false">
      <c r="F437" s="99" t="n">
        <f aca="false">H437/G437</f>
        <v>1.14877750317252E-007</v>
      </c>
      <c r="G437" s="52" t="n">
        <f aca="false">G436*(1+$O$1)</f>
        <v>230495857.46762</v>
      </c>
      <c r="H437" s="15" t="n">
        <f aca="false">I437/G437</f>
        <v>26.4788455633262</v>
      </c>
      <c r="I437" s="0" t="n">
        <f aca="false">I436</f>
        <v>6103264212.87154</v>
      </c>
      <c r="J437" s="85"/>
      <c r="K437" s="85"/>
      <c r="L437" s="85"/>
      <c r="M437" s="85"/>
      <c r="N437" s="85"/>
      <c r="O437" s="85"/>
      <c r="P437" s="85"/>
      <c r="Q437" s="85"/>
      <c r="R437" s="85"/>
      <c r="S437" s="85"/>
    </row>
    <row r="438" customFormat="false" ht="15" hidden="false" customHeight="false" outlineLevel="0" collapsed="false">
      <c r="F438" s="99" t="n">
        <f aca="false">H438/G438</f>
        <v>1.09342296554196E-007</v>
      </c>
      <c r="G438" s="52" t="n">
        <f aca="false">G437*(1+$O$1)</f>
        <v>236258253.90431</v>
      </c>
      <c r="H438" s="15" t="n">
        <f aca="false">I438/G438</f>
        <v>25.8330200617816</v>
      </c>
      <c r="I438" s="0" t="n">
        <f aca="false">I437</f>
        <v>6103264212.87154</v>
      </c>
      <c r="J438" s="85"/>
      <c r="K438" s="85"/>
      <c r="L438" s="85"/>
      <c r="M438" s="85"/>
      <c r="N438" s="85"/>
      <c r="O438" s="85"/>
      <c r="P438" s="85"/>
      <c r="Q438" s="85"/>
      <c r="R438" s="85"/>
      <c r="S438" s="85"/>
    </row>
    <row r="439" customFormat="false" ht="15" hidden="false" customHeight="false" outlineLevel="0" collapsed="false">
      <c r="F439" s="99" t="n">
        <f aca="false">H439/G439</f>
        <v>1.0407357197306E-007</v>
      </c>
      <c r="G439" s="52" t="n">
        <f aca="false">G438*(1+$O$1)</f>
        <v>242164710.251918</v>
      </c>
      <c r="H439" s="15" t="n">
        <f aca="false">I439/G439</f>
        <v>25.2029464017382</v>
      </c>
      <c r="I439" s="0" t="n">
        <f aca="false">I438</f>
        <v>6103264212.87154</v>
      </c>
      <c r="J439" s="85"/>
      <c r="K439" s="85"/>
      <c r="L439" s="85"/>
      <c r="M439" s="85"/>
      <c r="N439" s="85"/>
      <c r="O439" s="85"/>
      <c r="P439" s="85"/>
      <c r="Q439" s="85"/>
      <c r="R439" s="85"/>
      <c r="S439" s="85"/>
    </row>
    <row r="440" customFormat="false" ht="15" hidden="false" customHeight="false" outlineLevel="0" collapsed="false">
      <c r="F440" s="99" t="n">
        <f aca="false">H440/G440</f>
        <v>9.90587240671599E-008</v>
      </c>
      <c r="G440" s="52" t="n">
        <f aca="false">G439*(1+$O$1)</f>
        <v>248218828.008216</v>
      </c>
      <c r="H440" s="15" t="n">
        <f aca="false">I440/G440</f>
        <v>24.5882403919397</v>
      </c>
      <c r="I440" s="0" t="n">
        <f aca="false">I439</f>
        <v>6103264212.87154</v>
      </c>
      <c r="J440" s="85"/>
      <c r="K440" s="85"/>
      <c r="L440" s="85"/>
      <c r="M440" s="85"/>
      <c r="N440" s="85"/>
      <c r="O440" s="85"/>
      <c r="P440" s="85"/>
      <c r="Q440" s="85"/>
      <c r="R440" s="85"/>
      <c r="S440" s="85"/>
    </row>
    <row r="441" customFormat="false" ht="15" hidden="false" customHeight="false" outlineLevel="0" collapsed="false">
      <c r="F441" s="99" t="n">
        <f aca="false">H441/G441</f>
        <v>9.42855196356073E-008</v>
      </c>
      <c r="G441" s="52" t="n">
        <f aca="false">G440*(1+$O$1)</f>
        <v>254424298.708421</v>
      </c>
      <c r="H441" s="15" t="n">
        <f aca="false">I441/G441</f>
        <v>23.9885272116485</v>
      </c>
      <c r="I441" s="0" t="n">
        <f aca="false">I440</f>
        <v>6103264212.87154</v>
      </c>
      <c r="J441" s="85"/>
      <c r="K441" s="85"/>
      <c r="L441" s="85"/>
      <c r="M441" s="85"/>
      <c r="N441" s="85"/>
      <c r="O441" s="85"/>
      <c r="P441" s="85"/>
      <c r="Q441" s="85"/>
      <c r="R441" s="85"/>
      <c r="S441" s="85"/>
    </row>
    <row r="442" customFormat="false" ht="15" hidden="false" customHeight="false" outlineLevel="0" collapsed="false">
      <c r="F442" s="99" t="n">
        <f aca="false">H442/G442</f>
        <v>8.97423149416846E-008</v>
      </c>
      <c r="G442" s="52" t="n">
        <f aca="false">G441*(1+$O$1)</f>
        <v>260784906.176132</v>
      </c>
      <c r="H442" s="15" t="n">
        <f aca="false">I442/G442</f>
        <v>23.4034411820961</v>
      </c>
      <c r="I442" s="0" t="n">
        <f aca="false">I441</f>
        <v>6103264212.87154</v>
      </c>
      <c r="J442" s="85"/>
      <c r="K442" s="85"/>
      <c r="L442" s="85"/>
      <c r="M442" s="85"/>
      <c r="N442" s="85"/>
      <c r="O442" s="85"/>
      <c r="P442" s="85"/>
      <c r="Q442" s="85"/>
      <c r="R442" s="85"/>
      <c r="S442" s="85"/>
    </row>
    <row r="443" customFormat="false" ht="15" hidden="false" customHeight="false" outlineLevel="0" collapsed="false">
      <c r="F443" s="99" t="n">
        <f aca="false">H443/G443</f>
        <v>8.54180273091584E-008</v>
      </c>
      <c r="G443" s="52" t="n">
        <f aca="false">G442*(1+$O$1)</f>
        <v>267304528.830535</v>
      </c>
      <c r="H443" s="15" t="n">
        <f aca="false">I443/G443</f>
        <v>22.8326255435084</v>
      </c>
      <c r="I443" s="0" t="n">
        <f aca="false">I442</f>
        <v>6103264212.87154</v>
      </c>
      <c r="J443" s="85"/>
      <c r="K443" s="85"/>
      <c r="L443" s="85"/>
      <c r="M443" s="85"/>
      <c r="N443" s="85"/>
      <c r="O443" s="85"/>
      <c r="P443" s="85"/>
      <c r="Q443" s="85"/>
      <c r="R443" s="85"/>
      <c r="S443" s="85"/>
    </row>
    <row r="444" customFormat="false" ht="15" hidden="false" customHeight="false" outlineLevel="0" collapsed="false">
      <c r="F444" s="99" t="n">
        <f aca="false">H444/G444</f>
        <v>8.13021080872418E-008</v>
      </c>
      <c r="G444" s="52" t="n">
        <f aca="false">G443*(1+$O$1)</f>
        <v>273987142.051298</v>
      </c>
      <c r="H444" s="15" t="n">
        <f aca="false">I444/G444</f>
        <v>22.2757322375691</v>
      </c>
      <c r="I444" s="0" t="n">
        <f aca="false">I443</f>
        <v>6103264212.87154</v>
      </c>
      <c r="J444" s="85"/>
      <c r="K444" s="85"/>
      <c r="L444" s="85"/>
      <c r="M444" s="85"/>
      <c r="N444" s="85"/>
      <c r="O444" s="85"/>
      <c r="P444" s="85"/>
      <c r="Q444" s="85"/>
      <c r="R444" s="85"/>
      <c r="S444" s="85"/>
    </row>
    <row r="445" customFormat="false" ht="15" hidden="false" customHeight="false" outlineLevel="0" collapsed="false">
      <c r="F445" s="99" t="n">
        <f aca="false">H445/G445</f>
        <v>7.73845169182552E-008</v>
      </c>
      <c r="G445" s="52" t="n">
        <f aca="false">G444*(1+$O$1)</f>
        <v>280836820.602581</v>
      </c>
      <c r="H445" s="15" t="n">
        <f aca="false">I445/G445</f>
        <v>21.7324216951894</v>
      </c>
      <c r="I445" s="0" t="n">
        <f aca="false">I444</f>
        <v>6103264212.87154</v>
      </c>
      <c r="J445" s="85"/>
      <c r="K445" s="85"/>
      <c r="L445" s="85"/>
      <c r="M445" s="85"/>
      <c r="N445" s="85"/>
      <c r="O445" s="85"/>
      <c r="P445" s="85"/>
      <c r="Q445" s="85"/>
      <c r="R445" s="85"/>
      <c r="S445" s="85"/>
    </row>
    <row r="446" customFormat="false" ht="15" hidden="false" customHeight="false" outlineLevel="0" collapsed="false">
      <c r="F446" s="99" t="n">
        <f aca="false">H446/G446</f>
        <v>7.36556972452162E-008</v>
      </c>
      <c r="G446" s="52" t="n">
        <f aca="false">G445*(1+$O$1)</f>
        <v>287857741.117645</v>
      </c>
      <c r="H446" s="15" t="n">
        <f aca="false">I446/G446</f>
        <v>21.2023626294531</v>
      </c>
      <c r="I446" s="0" t="n">
        <f aca="false">I445</f>
        <v>6103264212.87154</v>
      </c>
      <c r="J446" s="85"/>
      <c r="K446" s="85"/>
      <c r="L446" s="85"/>
      <c r="M446" s="85"/>
      <c r="N446" s="85"/>
      <c r="O446" s="85"/>
      <c r="P446" s="85"/>
      <c r="Q446" s="85"/>
      <c r="R446" s="85"/>
      <c r="S446" s="85"/>
    </row>
    <row r="447" customFormat="false" ht="15" hidden="false" customHeight="false" outlineLevel="0" collapsed="false">
      <c r="F447" s="99" t="n">
        <f aca="false">H447/G447</f>
        <v>7.01065529996109E-008</v>
      </c>
      <c r="G447" s="52" t="n">
        <f aca="false">G446*(1+$O$1)</f>
        <v>295054184.645586</v>
      </c>
      <c r="H447" s="15" t="n">
        <f aca="false">I447/G447</f>
        <v>20.6852318336128</v>
      </c>
      <c r="I447" s="0" t="n">
        <f aca="false">I446</f>
        <v>6103264212.87154</v>
      </c>
      <c r="J447" s="85"/>
      <c r="K447" s="85"/>
      <c r="L447" s="85"/>
      <c r="M447" s="85"/>
      <c r="N447" s="85"/>
      <c r="O447" s="85"/>
      <c r="P447" s="85"/>
      <c r="Q447" s="85"/>
      <c r="R447" s="85"/>
      <c r="S447" s="85"/>
    </row>
    <row r="448" customFormat="false" ht="15" hidden="false" customHeight="false" outlineLevel="0" collapsed="false">
      <c r="F448" s="99" t="n">
        <f aca="false">H448/G448</f>
        <v>6.67284264124791E-008</v>
      </c>
      <c r="G448" s="52" t="n">
        <f aca="false">G447*(1+$O$1)</f>
        <v>302430539.261726</v>
      </c>
      <c r="H448" s="15" t="n">
        <f aca="false">I448/G448</f>
        <v>20.1807139840125</v>
      </c>
      <c r="I448" s="0" t="n">
        <f aca="false">I447</f>
        <v>6103264212.87154</v>
      </c>
      <c r="J448" s="85"/>
      <c r="K448" s="85"/>
      <c r="L448" s="85"/>
      <c r="M448" s="85"/>
      <c r="N448" s="85"/>
      <c r="O448" s="85"/>
      <c r="P448" s="85"/>
      <c r="Q448" s="85"/>
      <c r="R448" s="85"/>
      <c r="S448" s="85"/>
    </row>
    <row r="449" customFormat="false" ht="15" hidden="false" customHeight="false" outlineLevel="0" collapsed="false">
      <c r="F449" s="99" t="n">
        <f aca="false">H449/G449</f>
        <v>6.35130768946857E-008</v>
      </c>
      <c r="G449" s="52" t="n">
        <f aca="false">G448*(1+$O$1)</f>
        <v>309991302.743269</v>
      </c>
      <c r="H449" s="15" t="n">
        <f aca="false">I449/G449</f>
        <v>19.688501447817</v>
      </c>
      <c r="I449" s="0" t="n">
        <f aca="false">I448</f>
        <v>6103264212.87154</v>
      </c>
      <c r="J449" s="85"/>
      <c r="K449" s="85"/>
      <c r="L449" s="85"/>
      <c r="M449" s="85"/>
      <c r="N449" s="85"/>
      <c r="O449" s="85"/>
      <c r="P449" s="85"/>
      <c r="Q449" s="85"/>
      <c r="R449" s="85"/>
      <c r="S449" s="85"/>
    </row>
    <row r="450" customFormat="false" ht="15" hidden="false" customHeight="false" outlineLevel="0" collapsed="false">
      <c r="F450" s="99" t="n">
        <f aca="false">H450/G450</f>
        <v>6.04526609348585E-008</v>
      </c>
      <c r="G450" s="52" t="n">
        <f aca="false">G449*(1+$O$1)</f>
        <v>317741085.311851</v>
      </c>
      <c r="H450" s="15" t="n">
        <f aca="false">I450/G450</f>
        <v>19.2082940954313</v>
      </c>
      <c r="I450" s="0" t="n">
        <f aca="false">I449</f>
        <v>6103264212.87154</v>
      </c>
      <c r="J450" s="85"/>
      <c r="K450" s="85"/>
      <c r="L450" s="85"/>
      <c r="M450" s="85"/>
      <c r="N450" s="85"/>
      <c r="O450" s="85"/>
      <c r="P450" s="85"/>
      <c r="Q450" s="85"/>
      <c r="R450" s="85"/>
      <c r="S450" s="85"/>
    </row>
    <row r="451" customFormat="false" ht="15" hidden="false" customHeight="false" outlineLevel="0" collapsed="false">
      <c r="F451" s="99" t="n">
        <f aca="false">H451/G451</f>
        <v>5.75397129659569E-008</v>
      </c>
      <c r="G451" s="52" t="n">
        <f aca="false">G450*(1+$O$1)</f>
        <v>325684612.444647</v>
      </c>
      <c r="H451" s="15" t="n">
        <f aca="false">I451/G451</f>
        <v>18.7397991174939</v>
      </c>
      <c r="I451" s="0" t="n">
        <f aca="false">I450</f>
        <v>6103264212.87154</v>
      </c>
      <c r="J451" s="85"/>
      <c r="K451" s="85"/>
      <c r="L451" s="85"/>
      <c r="M451" s="85"/>
      <c r="N451" s="85"/>
      <c r="O451" s="85"/>
      <c r="P451" s="85"/>
      <c r="Q451" s="85"/>
      <c r="R451" s="85"/>
      <c r="S451" s="85"/>
    </row>
    <row r="452" customFormat="false" ht="15" hidden="false" customHeight="false" outlineLevel="0" collapsed="false">
      <c r="F452" s="99" t="n">
        <f aca="false">H452/G452</f>
        <v>5.4767127153796E-008</v>
      </c>
      <c r="G452" s="52" t="n">
        <f aca="false">G451*(1+$O$1)</f>
        <v>333826727.755763</v>
      </c>
      <c r="H452" s="15" t="n">
        <f aca="false">I452/G452</f>
        <v>18.2827308463355</v>
      </c>
      <c r="I452" s="0" t="n">
        <f aca="false">I451</f>
        <v>6103264212.87154</v>
      </c>
      <c r="J452" s="85"/>
      <c r="K452" s="85"/>
      <c r="L452" s="85"/>
      <c r="M452" s="85"/>
      <c r="N452" s="85"/>
      <c r="O452" s="85"/>
      <c r="P452" s="85"/>
      <c r="Q452" s="85"/>
      <c r="R452" s="85"/>
      <c r="S452" s="85"/>
    </row>
    <row r="453" customFormat="false" ht="15" hidden="false" customHeight="false" outlineLevel="0" collapsed="false">
      <c r="F453" s="99" t="n">
        <f aca="false">H453/G453</f>
        <v>5.21281400631015E-008</v>
      </c>
      <c r="G453" s="52" t="n">
        <f aca="false">G452*(1+$O$1)</f>
        <v>342172395.949657</v>
      </c>
      <c r="H453" s="15" t="n">
        <f aca="false">I453/G453</f>
        <v>17.8368105817908</v>
      </c>
      <c r="I453" s="0" t="n">
        <f aca="false">I452</f>
        <v>6103264212.87154</v>
      </c>
      <c r="J453" s="85"/>
      <c r="K453" s="85"/>
      <c r="L453" s="85"/>
      <c r="M453" s="85"/>
      <c r="N453" s="85"/>
      <c r="O453" s="85"/>
      <c r="P453" s="85"/>
      <c r="Q453" s="85"/>
      <c r="R453" s="85"/>
      <c r="S453" s="85"/>
    </row>
    <row r="454" customFormat="false" ht="15" hidden="false" customHeight="false" outlineLevel="0" collapsed="false">
      <c r="F454" s="99" t="n">
        <f aca="false">H454/G454</f>
        <v>4.96163141588117E-008</v>
      </c>
      <c r="G454" s="52" t="n">
        <f aca="false">G453*(1+$O$1)</f>
        <v>350726705.848399</v>
      </c>
      <c r="H454" s="15" t="n">
        <f aca="false">I454/G454</f>
        <v>17.4017664212593</v>
      </c>
      <c r="I454" s="0" t="n">
        <f aca="false">I453</f>
        <v>6103264212.87154</v>
      </c>
      <c r="J454" s="85"/>
      <c r="K454" s="85"/>
      <c r="L454" s="85"/>
      <c r="M454" s="85"/>
      <c r="N454" s="85"/>
      <c r="O454" s="85"/>
      <c r="P454" s="85"/>
      <c r="Q454" s="85"/>
      <c r="R454" s="85"/>
      <c r="S454" s="85"/>
    </row>
    <row r="455" customFormat="false" ht="15" hidden="false" customHeight="false" outlineLevel="0" collapsed="false">
      <c r="F455" s="99" t="n">
        <f aca="false">H455/G455</f>
        <v>4.72255221023787E-008</v>
      </c>
      <c r="G455" s="52" t="n">
        <f aca="false">G454*(1+$O$1)</f>
        <v>359494873.494609</v>
      </c>
      <c r="H455" s="15" t="n">
        <f aca="false">I455/G455</f>
        <v>16.9773330939115</v>
      </c>
      <c r="I455" s="0" t="n">
        <f aca="false">I454</f>
        <v>6103264212.87154</v>
      </c>
      <c r="J455" s="85"/>
      <c r="K455" s="85"/>
      <c r="L455" s="85"/>
      <c r="M455" s="85"/>
      <c r="N455" s="85"/>
      <c r="O455" s="85"/>
      <c r="P455" s="85"/>
      <c r="Q455" s="85"/>
      <c r="R455" s="85"/>
      <c r="S455" s="85"/>
    </row>
    <row r="456" customFormat="false" ht="15" hidden="false" customHeight="false" outlineLevel="0" collapsed="false">
      <c r="F456" s="99" t="n">
        <f aca="false">H456/G456</f>
        <v>4.49499318047626E-008</v>
      </c>
      <c r="G456" s="52" t="n">
        <f aca="false">G455*(1+$O$1)</f>
        <v>368482245.331974</v>
      </c>
      <c r="H456" s="15" t="n">
        <f aca="false">I456/G456</f>
        <v>16.563251798938</v>
      </c>
      <c r="I456" s="0" t="n">
        <f aca="false">I455</f>
        <v>6103264212.87154</v>
      </c>
      <c r="J456" s="85"/>
      <c r="K456" s="85"/>
      <c r="L456" s="85"/>
      <c r="M456" s="85"/>
      <c r="N456" s="85"/>
      <c r="O456" s="85"/>
      <c r="P456" s="85"/>
      <c r="Q456" s="85"/>
      <c r="R456" s="85"/>
      <c r="S456" s="85"/>
    </row>
    <row r="457" customFormat="false" ht="15" hidden="false" customHeight="false" outlineLevel="0" collapsed="false">
      <c r="F457" s="99" t="n">
        <f aca="false">H457/G457</f>
        <v>4.27839921996551E-008</v>
      </c>
      <c r="G457" s="52" t="n">
        <f aca="false">G456*(1+$O$1)</f>
        <v>377694301.465273</v>
      </c>
      <c r="H457" s="15" t="n">
        <f aca="false">I457/G457</f>
        <v>16.1592700477444</v>
      </c>
      <c r="I457" s="0" t="n">
        <f aca="false">I456</f>
        <v>6103264212.87154</v>
      </c>
      <c r="J457" s="85"/>
      <c r="K457" s="85"/>
      <c r="L457" s="85"/>
      <c r="M457" s="85"/>
      <c r="N457" s="85"/>
      <c r="O457" s="85"/>
      <c r="P457" s="85"/>
      <c r="Q457" s="85"/>
      <c r="R457" s="85"/>
      <c r="S457" s="85"/>
    </row>
    <row r="458" customFormat="false" ht="15" hidden="false" customHeight="false" outlineLevel="0" collapsed="false">
      <c r="F458" s="99" t="n">
        <f aca="false">H458/G458</f>
        <v>4.07224197022297E-008</v>
      </c>
      <c r="G458" s="52" t="n">
        <f aca="false">G457*(1+$O$1)</f>
        <v>387136659.001905</v>
      </c>
      <c r="H458" s="15" t="n">
        <f aca="false">I458/G458</f>
        <v>15.7651415099946</v>
      </c>
      <c r="I458" s="0" t="n">
        <f aca="false">I457</f>
        <v>6103264212.87154</v>
      </c>
      <c r="J458" s="85"/>
      <c r="K458" s="85"/>
      <c r="L458" s="85"/>
      <c r="M458" s="85"/>
      <c r="N458" s="85"/>
      <c r="O458" s="85"/>
      <c r="P458" s="85"/>
      <c r="Q458" s="85"/>
      <c r="R458" s="85"/>
      <c r="S458" s="85"/>
    </row>
    <row r="459" customFormat="false" ht="15" hidden="false" customHeight="false" outlineLevel="0" collapsed="false">
      <c r="F459" s="99" t="n">
        <f aca="false">H459/G459</f>
        <v>3.87601853203852E-008</v>
      </c>
      <c r="G459" s="52" t="n">
        <f aca="false">G458*(1+$O$1)</f>
        <v>396815075.476952</v>
      </c>
      <c r="H459" s="15" t="n">
        <f aca="false">I459/G459</f>
        <v>15.3806258634093</v>
      </c>
      <c r="I459" s="0" t="n">
        <f aca="false">I458</f>
        <v>6103264212.87154</v>
      </c>
      <c r="J459" s="85"/>
      <c r="K459" s="85"/>
      <c r="L459" s="85"/>
      <c r="M459" s="85"/>
      <c r="N459" s="85"/>
      <c r="O459" s="85"/>
      <c r="P459" s="85"/>
      <c r="Q459" s="85"/>
      <c r="R459" s="85"/>
      <c r="S459" s="85"/>
    </row>
    <row r="460" customFormat="false" ht="15" hidden="false" customHeight="false" outlineLevel="0" collapsed="false">
      <c r="F460" s="99" t="n">
        <f aca="false">H460/G460</f>
        <v>3.68925023870413E-008</v>
      </c>
      <c r="G460" s="52" t="n">
        <f aca="false">G459*(1+$O$1)</f>
        <v>406735452.363876</v>
      </c>
      <c r="H460" s="15" t="n">
        <f aca="false">I460/G460</f>
        <v>15.0054886472286</v>
      </c>
      <c r="I460" s="0" t="n">
        <f aca="false">I459</f>
        <v>6103264212.87154</v>
      </c>
      <c r="J460" s="85"/>
      <c r="K460" s="85"/>
      <c r="L460" s="85"/>
      <c r="M460" s="85"/>
      <c r="N460" s="85"/>
      <c r="O460" s="85"/>
      <c r="P460" s="85"/>
      <c r="Q460" s="85"/>
      <c r="R460" s="85"/>
      <c r="S460" s="85"/>
    </row>
    <row r="461" customFormat="false" ht="15" hidden="false" customHeight="false" outlineLevel="0" collapsed="false">
      <c r="F461" s="99" t="n">
        <f aca="false">H461/G461</f>
        <v>3.5114814883561E-008</v>
      </c>
      <c r="G461" s="52" t="n">
        <f aca="false">G460*(1+$O$1)</f>
        <v>416903838.672973</v>
      </c>
      <c r="H461" s="15" t="n">
        <f aca="false">I461/G461</f>
        <v>14.6395011192474</v>
      </c>
      <c r="I461" s="0" t="n">
        <f aca="false">I460</f>
        <v>6103264212.87154</v>
      </c>
      <c r="J461" s="85"/>
      <c r="K461" s="85"/>
      <c r="L461" s="85"/>
      <c r="M461" s="85"/>
      <c r="N461" s="85"/>
      <c r="O461" s="85"/>
      <c r="P461" s="85"/>
      <c r="Q461" s="85"/>
      <c r="R461" s="85"/>
      <c r="S461" s="85"/>
    </row>
    <row r="462" customFormat="false" ht="15" hidden="false" customHeight="false" outlineLevel="0" collapsed="false">
      <c r="F462" s="99" t="n">
        <f aca="false">H462/G462</f>
        <v>3.34227863258165E-008</v>
      </c>
      <c r="G462" s="52" t="n">
        <f aca="false">G461*(1+$O$1)</f>
        <v>427326434.639797</v>
      </c>
      <c r="H462" s="15" t="n">
        <f aca="false">I462/G462</f>
        <v>14.282440116339</v>
      </c>
      <c r="I462" s="0" t="n">
        <f aca="false">I461</f>
        <v>6103264212.87154</v>
      </c>
      <c r="J462" s="85"/>
      <c r="K462" s="85"/>
      <c r="L462" s="85"/>
      <c r="M462" s="85"/>
      <c r="N462" s="85"/>
      <c r="O462" s="85"/>
      <c r="P462" s="85"/>
      <c r="Q462" s="85"/>
      <c r="R462" s="85"/>
      <c r="S462" s="85"/>
    </row>
    <row r="463" customFormat="false" ht="15" hidden="false" customHeight="false" outlineLevel="0" collapsed="false">
      <c r="F463" s="99" t="n">
        <f aca="false">H463/G463</f>
        <v>3.18122891857861E-008</v>
      </c>
      <c r="G463" s="52" t="n">
        <f aca="false">G462*(1+$O$1)</f>
        <v>438009595.505792</v>
      </c>
      <c r="H463" s="15" t="n">
        <f aca="false">I463/G463</f>
        <v>13.9340879183795</v>
      </c>
      <c r="I463" s="0" t="n">
        <f aca="false">I462</f>
        <v>6103264212.87154</v>
      </c>
      <c r="J463" s="85"/>
      <c r="K463" s="85"/>
      <c r="L463" s="85"/>
      <c r="M463" s="85"/>
      <c r="N463" s="85"/>
      <c r="O463" s="85"/>
      <c r="P463" s="85"/>
      <c r="Q463" s="85"/>
      <c r="R463" s="85"/>
      <c r="S463" s="85"/>
    </row>
    <row r="464" customFormat="false" ht="15" hidden="false" customHeight="false" outlineLevel="0" collapsed="false">
      <c r="F464" s="99" t="n">
        <f aca="false">H464/G464</f>
        <v>3.02793948228779E-008</v>
      </c>
      <c r="G464" s="52" t="n">
        <f aca="false">G463*(1+$O$1)</f>
        <v>448959835.393437</v>
      </c>
      <c r="H464" s="15" t="n">
        <f aca="false">I464/G464</f>
        <v>13.5942321154922</v>
      </c>
      <c r="I464" s="0" t="n">
        <f aca="false">I463</f>
        <v>6103264212.87154</v>
      </c>
      <c r="J464" s="85"/>
      <c r="K464" s="85"/>
      <c r="L464" s="85"/>
      <c r="M464" s="85"/>
      <c r="N464" s="85"/>
      <c r="O464" s="85"/>
      <c r="P464" s="85"/>
      <c r="Q464" s="85"/>
      <c r="R464" s="85"/>
      <c r="S464" s="85"/>
    </row>
    <row r="465" customFormat="false" ht="15" hidden="false" customHeight="false" outlineLevel="0" collapsed="false">
      <c r="F465" s="99" t="n">
        <f aca="false">H465/G465</f>
        <v>2.88203639004192E-008</v>
      </c>
      <c r="G465" s="52" t="n">
        <f aca="false">G464*(1+$O$1)</f>
        <v>460183831.278273</v>
      </c>
      <c r="H465" s="15" t="n">
        <f aca="false">I465/G465</f>
        <v>13.2626654785289</v>
      </c>
      <c r="I465" s="0" t="n">
        <f aca="false">I464</f>
        <v>6103264212.87154</v>
      </c>
      <c r="J465" s="85"/>
      <c r="K465" s="85"/>
      <c r="L465" s="85"/>
      <c r="M465" s="85"/>
      <c r="N465" s="85"/>
      <c r="O465" s="85"/>
      <c r="P465" s="85"/>
      <c r="Q465" s="85"/>
      <c r="R465" s="85"/>
      <c r="S465" s="85"/>
    </row>
    <row r="466" customFormat="false" ht="15" hidden="false" customHeight="false" outlineLevel="0" collapsed="false">
      <c r="F466" s="99" t="n">
        <f aca="false">H466/G466</f>
        <v>2.74316372639326E-008</v>
      </c>
      <c r="G466" s="52" t="n">
        <f aca="false">G465*(1+$O$1)</f>
        <v>471688427.06023</v>
      </c>
      <c r="H466" s="15" t="n">
        <f aca="false">I466/G466</f>
        <v>12.9391858327112</v>
      </c>
      <c r="I466" s="0" t="n">
        <f aca="false">I465</f>
        <v>6103264212.87154</v>
      </c>
      <c r="J466" s="85"/>
      <c r="K466" s="85"/>
      <c r="L466" s="85"/>
      <c r="M466" s="85"/>
      <c r="N466" s="85"/>
      <c r="O466" s="85"/>
      <c r="P466" s="85"/>
      <c r="Q466" s="85"/>
      <c r="R466" s="85"/>
      <c r="S466" s="85"/>
    </row>
    <row r="467" customFormat="false" ht="15" hidden="false" customHeight="false" outlineLevel="0" collapsed="false">
      <c r="F467" s="99" t="n">
        <f aca="false">H467/G467</f>
        <v>2.61098272589484E-008</v>
      </c>
      <c r="G467" s="52" t="n">
        <f aca="false">G466*(1+$O$1)</f>
        <v>483480637.736735</v>
      </c>
      <c r="H467" s="15" t="n">
        <f aca="false">I467/G467</f>
        <v>12.6235959343524</v>
      </c>
      <c r="I467" s="0" t="n">
        <f aca="false">I466</f>
        <v>6103264212.87154</v>
      </c>
      <c r="J467" s="85"/>
      <c r="K467" s="85"/>
      <c r="L467" s="85"/>
      <c r="M467" s="85"/>
      <c r="N467" s="85"/>
      <c r="O467" s="85"/>
      <c r="P467" s="85"/>
      <c r="Q467" s="85"/>
      <c r="R467" s="85"/>
      <c r="S467" s="85"/>
    </row>
    <row r="468" customFormat="false" ht="15" hidden="false" customHeight="false" outlineLevel="0" collapsed="false">
      <c r="F468" s="99" t="n">
        <f aca="false">H468/G468</f>
        <v>2.48517094671728E-008</v>
      </c>
      <c r="G468" s="52" t="n">
        <f aca="false">G467*(1+$O$1)</f>
        <v>495567653.680154</v>
      </c>
      <c r="H468" s="15" t="n">
        <f aca="false">I468/G468</f>
        <v>12.3157033505877</v>
      </c>
      <c r="I468" s="0" t="n">
        <f aca="false">I467</f>
        <v>6103264212.87154</v>
      </c>
      <c r="J468" s="85"/>
      <c r="K468" s="85"/>
      <c r="L468" s="85"/>
      <c r="M468" s="85"/>
      <c r="N468" s="85"/>
      <c r="O468" s="85"/>
      <c r="P468" s="85"/>
      <c r="Q468" s="85"/>
      <c r="R468" s="85"/>
      <c r="S468" s="85"/>
    </row>
    <row r="469" customFormat="false" ht="15" hidden="false" customHeight="false" outlineLevel="0" collapsed="false">
      <c r="F469" s="99" t="n">
        <f aca="false">H469/G469</f>
        <v>2.36542148408545E-008</v>
      </c>
      <c r="G469" s="52" t="n">
        <f aca="false">G468*(1+$O$1)</f>
        <v>507956845.022158</v>
      </c>
      <c r="H469" s="15" t="n">
        <f aca="false">I469/G469</f>
        <v>12.0153203420368</v>
      </c>
      <c r="I469" s="0" t="n">
        <f aca="false">I468</f>
        <v>6103264212.87154</v>
      </c>
      <c r="J469" s="85"/>
      <c r="K469" s="85"/>
      <c r="L469" s="85"/>
      <c r="M469" s="85"/>
      <c r="N469" s="85"/>
      <c r="O469" s="85"/>
      <c r="P469" s="85"/>
      <c r="Q469" s="85"/>
      <c r="R469" s="85"/>
      <c r="S469" s="85"/>
    </row>
    <row r="470" customFormat="false" ht="15" hidden="false" customHeight="false" outlineLevel="0" collapsed="false">
      <c r="F470" s="99" t="n">
        <f aca="false">H470/G470</f>
        <v>2.25144222161613E-008</v>
      </c>
      <c r="G470" s="52" t="n">
        <f aca="false">G469*(1+$O$1)</f>
        <v>520655766.147712</v>
      </c>
      <c r="H470" s="15" t="n">
        <f aca="false">I470/G470</f>
        <v>11.7222637483285</v>
      </c>
      <c r="I470" s="0" t="n">
        <f aca="false">I469</f>
        <v>6103264212.87154</v>
      </c>
      <c r="J470" s="85"/>
      <c r="K470" s="85"/>
      <c r="L470" s="85"/>
      <c r="M470" s="85"/>
      <c r="N470" s="85"/>
      <c r="O470" s="85"/>
      <c r="P470" s="85"/>
      <c r="Q470" s="85"/>
      <c r="R470" s="85"/>
      <c r="S470" s="85"/>
    </row>
    <row r="471" customFormat="false" ht="15" hidden="false" customHeight="false" outlineLevel="0" collapsed="false">
      <c r="F471" s="99" t="n">
        <f aca="false">H471/G471</f>
        <v>2.14295511873041E-008</v>
      </c>
      <c r="G471" s="52" t="n">
        <f aca="false">G470*(1+$O$1)</f>
        <v>533672160.301404</v>
      </c>
      <c r="H471" s="15" t="n">
        <f aca="false">I471/G471</f>
        <v>11.4363548764181</v>
      </c>
      <c r="I471" s="0" t="n">
        <f aca="false">I470</f>
        <v>6103264212.87154</v>
      </c>
      <c r="J471" s="85"/>
      <c r="K471" s="85"/>
      <c r="L471" s="85"/>
      <c r="M471" s="85"/>
      <c r="N471" s="85"/>
      <c r="O471" s="85"/>
      <c r="P471" s="85"/>
      <c r="Q471" s="85"/>
      <c r="R471" s="85"/>
      <c r="S471" s="85"/>
    </row>
    <row r="472" customFormat="false" ht="15" hidden="false" customHeight="false" outlineLevel="0" collapsed="false">
      <c r="F472" s="99" t="n">
        <f aca="false">H472/G472</f>
        <v>2.03969553240253E-008</v>
      </c>
      <c r="G472" s="52" t="n">
        <f aca="false">G471*(1+$O$1)</f>
        <v>547013964.308939</v>
      </c>
      <c r="H472" s="15" t="n">
        <f aca="false">I472/G472</f>
        <v>11.1574193916274</v>
      </c>
      <c r="I472" s="0" t="n">
        <f aca="false">I471</f>
        <v>6103264212.87154</v>
      </c>
      <c r="J472" s="85"/>
      <c r="K472" s="85"/>
      <c r="L472" s="85"/>
      <c r="M472" s="85"/>
      <c r="N472" s="85"/>
      <c r="O472" s="85"/>
      <c r="P472" s="85"/>
      <c r="Q472" s="85"/>
      <c r="R472" s="85"/>
      <c r="S472" s="85"/>
    </row>
    <row r="473" customFormat="false" ht="15" hidden="false" customHeight="false" outlineLevel="0" collapsed="false">
      <c r="F473" s="99" t="n">
        <f aca="false">H473/G473</f>
        <v>1.94141157159075E-008</v>
      </c>
      <c r="G473" s="52" t="n">
        <f aca="false">G472*(1+$O$1)</f>
        <v>560689313.416663</v>
      </c>
      <c r="H473" s="15" t="n">
        <f aca="false">I473/G473</f>
        <v>10.8852872113438</v>
      </c>
      <c r="I473" s="0" t="n">
        <f aca="false">I472</f>
        <v>6103264212.87154</v>
      </c>
      <c r="J473" s="85"/>
      <c r="K473" s="85"/>
      <c r="L473" s="85"/>
      <c r="M473" s="85"/>
      <c r="N473" s="85"/>
      <c r="O473" s="85"/>
      <c r="P473" s="85"/>
      <c r="Q473" s="85"/>
      <c r="R473" s="85"/>
      <c r="S473" s="85"/>
    </row>
    <row r="474" customFormat="false" ht="15" hidden="false" customHeight="false" outlineLevel="0" collapsed="false">
      <c r="F474" s="99" t="n">
        <f aca="false">H474/G474</f>
        <v>1.84786348277525E-008</v>
      </c>
      <c r="G474" s="52" t="n">
        <f aca="false">G473*(1+$O$1)</f>
        <v>574706546.252079</v>
      </c>
      <c r="H474" s="15" t="n">
        <f aca="false">I474/G474</f>
        <v>10.619792401311</v>
      </c>
      <c r="I474" s="0" t="n">
        <f aca="false">I473</f>
        <v>6103264212.87154</v>
      </c>
      <c r="J474" s="85"/>
      <c r="K474" s="85"/>
      <c r="L474" s="85"/>
      <c r="M474" s="85"/>
      <c r="N474" s="85"/>
      <c r="O474" s="85"/>
      <c r="P474" s="85"/>
      <c r="Q474" s="85"/>
      <c r="R474" s="85"/>
      <c r="S474" s="85"/>
    </row>
    <row r="475" customFormat="false" ht="15" hidden="false" customHeight="false" outlineLevel="0" collapsed="false">
      <c r="F475" s="99" t="n">
        <f aca="false">H475/G475</f>
        <v>1.75882306510434E-008</v>
      </c>
      <c r="G475" s="52" t="n">
        <f aca="false">G474*(1+$O$1)</f>
        <v>589074209.908381</v>
      </c>
      <c r="H475" s="15" t="n">
        <f aca="false">I475/G475</f>
        <v>10.3607730744498</v>
      </c>
      <c r="I475" s="0" t="n">
        <f aca="false">I474</f>
        <v>6103264212.87154</v>
      </c>
      <c r="J475" s="85"/>
      <c r="K475" s="85"/>
      <c r="L475" s="85"/>
      <c r="M475" s="85"/>
      <c r="N475" s="85"/>
      <c r="O475" s="85"/>
      <c r="P475" s="85"/>
      <c r="Q475" s="85"/>
      <c r="R475" s="85"/>
      <c r="S475" s="85"/>
    </row>
    <row r="476" customFormat="false" ht="15" hidden="false" customHeight="false" outlineLevel="0" collapsed="false">
      <c r="F476" s="99" t="n">
        <f aca="false">H476/G476</f>
        <v>1.67407311372216E-008</v>
      </c>
      <c r="G476" s="52" t="n">
        <f aca="false">G475*(1+$O$1)</f>
        <v>603801065.156091</v>
      </c>
      <c r="H476" s="15" t="n">
        <f aca="false">I476/G476</f>
        <v>10.1080712921461</v>
      </c>
      <c r="I476" s="0" t="n">
        <f aca="false">I475</f>
        <v>6103264212.87154</v>
      </c>
      <c r="J476" s="85"/>
      <c r="K476" s="85"/>
      <c r="L476" s="85"/>
      <c r="M476" s="85"/>
      <c r="N476" s="85"/>
      <c r="O476" s="85"/>
      <c r="P476" s="85"/>
      <c r="Q476" s="85"/>
      <c r="R476" s="85"/>
      <c r="S476" s="85"/>
    </row>
    <row r="477" customFormat="false" ht="15" hidden="false" customHeight="false" outlineLevel="0" collapsed="false">
      <c r="F477" s="99" t="n">
        <f aca="false">H477/G477</f>
        <v>1.59340688991996E-008</v>
      </c>
      <c r="G477" s="52" t="n">
        <f aca="false">G476*(1+$O$1)</f>
        <v>618896091.784993</v>
      </c>
      <c r="H477" s="15" t="n">
        <f aca="false">I477/G477</f>
        <v>9.86153296794745</v>
      </c>
      <c r="I477" s="0" t="n">
        <f aca="false">I476</f>
        <v>6103264212.87154</v>
      </c>
      <c r="J477" s="85"/>
      <c r="K477" s="85"/>
      <c r="L477" s="85"/>
      <c r="M477" s="85"/>
      <c r="N477" s="85"/>
      <c r="O477" s="85"/>
      <c r="P477" s="85"/>
      <c r="Q477" s="85"/>
      <c r="R477" s="85"/>
      <c r="S477" s="85"/>
    </row>
    <row r="478" customFormat="false" ht="15" hidden="false" customHeight="false" outlineLevel="0" collapsed="false">
      <c r="F478" s="99" t="n">
        <f aca="false">H478/G478</f>
        <v>1.51662761681852E-008</v>
      </c>
      <c r="G478" s="52" t="n">
        <f aca="false">G477*(1+$O$1)</f>
        <v>634368494.079618</v>
      </c>
      <c r="H478" s="15" t="n">
        <f aca="false">I478/G478</f>
        <v>9.62100777360727</v>
      </c>
      <c r="I478" s="0" t="n">
        <f aca="false">I477</f>
        <v>6103264212.87154</v>
      </c>
      <c r="J478" s="85"/>
      <c r="K478" s="85"/>
      <c r="L478" s="85"/>
      <c r="M478" s="85"/>
      <c r="N478" s="85"/>
      <c r="O478" s="85"/>
      <c r="P478" s="85"/>
      <c r="Q478" s="85"/>
      <c r="R478" s="85"/>
      <c r="S478" s="85"/>
    </row>
    <row r="479" customFormat="false" ht="15" hidden="false" customHeight="false" outlineLevel="0" collapsed="false">
      <c r="F479" s="99" t="n">
        <f aca="false">H479/G479</f>
        <v>1.44354799935136E-008</v>
      </c>
      <c r="G479" s="52" t="n">
        <f aca="false">G478*(1+$O$1)</f>
        <v>650227706.431608</v>
      </c>
      <c r="H479" s="15" t="n">
        <f aca="false">I479/G479</f>
        <v>9.38634904742173</v>
      </c>
      <c r="I479" s="0" t="n">
        <f aca="false">I478</f>
        <v>6103264212.87154</v>
      </c>
      <c r="J479" s="85"/>
      <c r="K479" s="85"/>
      <c r="L479" s="85"/>
      <c r="M479" s="85"/>
      <c r="N479" s="85"/>
      <c r="O479" s="85"/>
      <c r="P479" s="85"/>
      <c r="Q479" s="85"/>
      <c r="R479" s="85"/>
      <c r="S479" s="85"/>
    </row>
    <row r="480" customFormat="false" ht="15" hidden="false" customHeight="false" outlineLevel="0" collapsed="false">
      <c r="F480" s="99" t="n">
        <f aca="false">H480/G480</f>
        <v>1.37398976737786E-008</v>
      </c>
      <c r="G480" s="52" t="n">
        <f aca="false">G479*(1+$O$1)</f>
        <v>666483399.092398</v>
      </c>
      <c r="H480" s="15" t="n">
        <f aca="false">I480/G480</f>
        <v>9.15741370480169</v>
      </c>
      <c r="I480" s="0" t="n">
        <f aca="false">I479</f>
        <v>6103264212.87154</v>
      </c>
      <c r="J480" s="85"/>
      <c r="K480" s="85"/>
      <c r="L480" s="85"/>
      <c r="M480" s="85"/>
      <c r="N480" s="85"/>
      <c r="O480" s="85"/>
      <c r="P480" s="85"/>
      <c r="Q480" s="85"/>
      <c r="R480" s="85"/>
      <c r="S480" s="85"/>
    </row>
    <row r="481" customFormat="false" ht="15" hidden="false" customHeight="false" outlineLevel="0" collapsed="false">
      <c r="F481" s="99" t="n">
        <f aca="false">H481/G481</f>
        <v>1.30778324081176E-008</v>
      </c>
      <c r="G481" s="52" t="n">
        <f aca="false">G480*(1+$O$1)</f>
        <v>683145484.069708</v>
      </c>
      <c r="H481" s="15" t="n">
        <f aca="false">I481/G481</f>
        <v>8.93406215102604</v>
      </c>
      <c r="I481" s="0" t="n">
        <f aca="false">I480</f>
        <v>6103264212.87154</v>
      </c>
      <c r="J481" s="85"/>
      <c r="K481" s="85"/>
      <c r="L481" s="85"/>
      <c r="M481" s="85"/>
      <c r="N481" s="85"/>
      <c r="O481" s="85"/>
      <c r="P481" s="85"/>
      <c r="Q481" s="85"/>
      <c r="R481" s="85"/>
      <c r="S481" s="85"/>
    </row>
    <row r="482" customFormat="false" ht="15" hidden="false" customHeight="false" outlineLevel="0" collapsed="false">
      <c r="F482" s="99" t="n">
        <f aca="false">H482/G482</f>
        <v>1.24476691570424E-008</v>
      </c>
      <c r="G482" s="52" t="n">
        <f aca="false">G481*(1+$O$1)</f>
        <v>700224121.171451</v>
      </c>
      <c r="H482" s="15" t="n">
        <f aca="false">I482/G482</f>
        <v>8.71615819612296</v>
      </c>
      <c r="I482" s="0" t="n">
        <f aca="false">I481</f>
        <v>6103264212.87154</v>
      </c>
      <c r="J482" s="85"/>
      <c r="K482" s="85"/>
      <c r="L482" s="85"/>
      <c r="M482" s="85"/>
      <c r="N482" s="85"/>
      <c r="O482" s="85"/>
      <c r="P482" s="85"/>
      <c r="Q482" s="85"/>
      <c r="R482" s="85"/>
      <c r="S482" s="85"/>
    </row>
    <row r="483" customFormat="false" ht="15" hidden="false" customHeight="false" outlineLevel="0" collapsed="false">
      <c r="F483" s="99" t="n">
        <f aca="false">H483/G483</f>
        <v>1.18478707027173E-008</v>
      </c>
      <c r="G483" s="52" t="n">
        <f aca="false">G482*(1+$O$1)</f>
        <v>717729724.200737</v>
      </c>
      <c r="H483" s="15" t="n">
        <f aca="false">I483/G483</f>
        <v>8.50356897182728</v>
      </c>
      <c r="I483" s="0" t="n">
        <f aca="false">I482</f>
        <v>6103264212.87154</v>
      </c>
      <c r="J483" s="85"/>
      <c r="K483" s="85"/>
      <c r="L483" s="85"/>
      <c r="M483" s="85"/>
      <c r="N483" s="85"/>
      <c r="O483" s="85"/>
      <c r="P483" s="85"/>
      <c r="Q483" s="85"/>
      <c r="R483" s="85"/>
      <c r="S483" s="85"/>
    </row>
    <row r="484" customFormat="false" ht="15" hidden="false" customHeight="false" outlineLevel="0" collapsed="false">
      <c r="F484" s="99" t="n">
        <f aca="false">H484/G484</f>
        <v>1.12769738990766E-008</v>
      </c>
      <c r="G484" s="52" t="n">
        <f aca="false">G483*(1+$O$1)</f>
        <v>735672967.305756</v>
      </c>
      <c r="H484" s="15" t="n">
        <f aca="false">I484/G484</f>
        <v>8.2961648505632</v>
      </c>
      <c r="I484" s="0" t="n">
        <f aca="false">I483</f>
        <v>6103264212.87154</v>
      </c>
      <c r="J484" s="85"/>
      <c r="K484" s="85"/>
      <c r="L484" s="85"/>
      <c r="M484" s="85"/>
      <c r="N484" s="85"/>
      <c r="O484" s="85"/>
      <c r="P484" s="85"/>
      <c r="Q484" s="85"/>
      <c r="R484" s="85"/>
      <c r="S484" s="85"/>
    </row>
    <row r="485" customFormat="false" ht="15" hidden="false" customHeight="false" outlineLevel="0" collapsed="false">
      <c r="F485" s="99" t="n">
        <f aca="false">H485/G485</f>
        <v>1.07335861026309E-008</v>
      </c>
      <c r="G485" s="52" t="n">
        <f aca="false">G484*(1+$O$1)</f>
        <v>754064791.488399</v>
      </c>
      <c r="H485" s="15" t="n">
        <f aca="false">I485/G485</f>
        <v>8.09381936640312</v>
      </c>
      <c r="I485" s="0" t="n">
        <f aca="false">I484</f>
        <v>6103264212.87154</v>
      </c>
      <c r="J485" s="85"/>
      <c r="K485" s="85"/>
      <c r="L485" s="85"/>
      <c r="M485" s="85"/>
      <c r="N485" s="85"/>
      <c r="O485" s="85"/>
      <c r="P485" s="85"/>
      <c r="Q485" s="85"/>
      <c r="R485" s="85"/>
      <c r="S485" s="85"/>
    </row>
    <row r="486" customFormat="false" ht="15" hidden="false" customHeight="false" outlineLevel="0" collapsed="false">
      <c r="F486" s="99" t="n">
        <f aca="false">H486/G486</f>
        <v>1.02163817752584E-008</v>
      </c>
      <c r="G486" s="52" t="n">
        <f aca="false">G485*(1+$O$1)</f>
        <v>772916411.275609</v>
      </c>
      <c r="H486" s="15" t="n">
        <f aca="false">I486/G486</f>
        <v>7.89640913795427</v>
      </c>
      <c r="I486" s="0" t="n">
        <f aca="false">I485</f>
        <v>6103264212.87154</v>
      </c>
      <c r="J486" s="85"/>
      <c r="K486" s="85"/>
      <c r="L486" s="85"/>
      <c r="M486" s="85"/>
      <c r="N486" s="85"/>
      <c r="O486" s="85"/>
      <c r="P486" s="85"/>
      <c r="Q486" s="85"/>
      <c r="R486" s="85"/>
      <c r="S486" s="85"/>
    </row>
    <row r="487" customFormat="false" ht="15" hidden="false" customHeight="false" outlineLevel="0" collapsed="false">
      <c r="F487" s="99" t="n">
        <f aca="false">H487/G487</f>
        <v>9.72409925069212E-009</v>
      </c>
      <c r="G487" s="52" t="n">
        <f aca="false">G486*(1+$O$1)</f>
        <v>792239321.557499</v>
      </c>
      <c r="H487" s="15" t="n">
        <f aca="false">I487/G487</f>
        <v>7.70381379312612</v>
      </c>
      <c r="I487" s="0" t="n">
        <f aca="false">I486</f>
        <v>6103264212.87154</v>
      </c>
      <c r="J487" s="85"/>
      <c r="K487" s="85"/>
      <c r="L487" s="85"/>
      <c r="M487" s="85"/>
      <c r="N487" s="85"/>
      <c r="O487" s="85"/>
      <c r="P487" s="85"/>
      <c r="Q487" s="85"/>
      <c r="R487" s="85"/>
      <c r="S487" s="85"/>
    </row>
    <row r="488" customFormat="false" ht="15" hidden="false" customHeight="false" outlineLevel="0" collapsed="false">
      <c r="F488" s="99" t="n">
        <f aca="false">H488/G488</f>
        <v>9.25553765681582E-009</v>
      </c>
      <c r="G488" s="52" t="n">
        <f aca="false">G487*(1+$O$1)</f>
        <v>812045304.596437</v>
      </c>
      <c r="H488" s="15" t="n">
        <f aca="false">I488/G488</f>
        <v>7.5159158957328</v>
      </c>
      <c r="I488" s="0" t="n">
        <f aca="false">I487</f>
        <v>6103264212.87154</v>
      </c>
      <c r="J488" s="85"/>
      <c r="K488" s="85"/>
      <c r="L488" s="85"/>
      <c r="M488" s="85"/>
      <c r="N488" s="85"/>
      <c r="O488" s="85"/>
      <c r="P488" s="85"/>
      <c r="Q488" s="85"/>
      <c r="R488" s="85"/>
      <c r="S488" s="85"/>
    </row>
    <row r="489" customFormat="false" ht="15" hidden="false" customHeight="false" outlineLevel="0" collapsed="false">
      <c r="F489" s="99" t="n">
        <f aca="false">H489/G489</f>
        <v>8.80955398626134E-009</v>
      </c>
      <c r="G489" s="52" t="n">
        <f aca="false">G488*(1+$O$1)</f>
        <v>832346437.211348</v>
      </c>
      <c r="H489" s="15" t="n">
        <f aca="false">I489/G489</f>
        <v>7.33260087388566</v>
      </c>
      <c r="I489" s="0" t="n">
        <f aca="false">I488</f>
        <v>6103264212.87154</v>
      </c>
      <c r="J489" s="85"/>
      <c r="K489" s="85"/>
      <c r="L489" s="85"/>
      <c r="M489" s="85"/>
      <c r="N489" s="85"/>
      <c r="O489" s="85"/>
      <c r="P489" s="85"/>
      <c r="Q489" s="85"/>
      <c r="R489" s="85"/>
      <c r="S489" s="85"/>
    </row>
    <row r="490" customFormat="false" ht="15" hidden="false" customHeight="false" outlineLevel="0" collapsed="false">
      <c r="F490" s="99" t="n">
        <f aca="false">H490/G490</f>
        <v>8.38506030816071E-009</v>
      </c>
      <c r="G490" s="52" t="n">
        <f aca="false">G489*(1+$O$1)</f>
        <v>853155098.141631</v>
      </c>
      <c r="H490" s="15" t="n">
        <f aca="false">I490/G490</f>
        <v>7.15375695013235</v>
      </c>
      <c r="I490" s="0" t="n">
        <f aca="false">I489</f>
        <v>6103264212.87154</v>
      </c>
      <c r="J490" s="85"/>
      <c r="K490" s="85"/>
      <c r="L490" s="85"/>
      <c r="M490" s="85"/>
      <c r="N490" s="85"/>
      <c r="O490" s="85"/>
      <c r="P490" s="85"/>
      <c r="Q490" s="85"/>
      <c r="R490" s="85"/>
      <c r="S490" s="85"/>
    </row>
    <row r="491" customFormat="false" ht="15" hidden="false" customHeight="false" outlineLevel="0" collapsed="false">
      <c r="F491" s="99" t="n">
        <f aca="false">H491/G491</f>
        <v>7.98102111425172E-009</v>
      </c>
      <c r="G491" s="52" t="n">
        <f aca="false">G490*(1+$O$1)</f>
        <v>874483975.595172</v>
      </c>
      <c r="H491" s="15" t="n">
        <f aca="false">I491/G491</f>
        <v>6.97927507329985</v>
      </c>
      <c r="I491" s="0" t="n">
        <f aca="false">I490</f>
        <v>6103264212.87154</v>
      </c>
      <c r="J491" s="85"/>
      <c r="K491" s="85"/>
      <c r="L491" s="85"/>
      <c r="M491" s="85"/>
      <c r="N491" s="85"/>
      <c r="O491" s="85"/>
      <c r="P491" s="85"/>
      <c r="Q491" s="85"/>
      <c r="R491" s="85"/>
      <c r="S491" s="85"/>
    </row>
    <row r="492" customFormat="false" ht="15" hidden="false" customHeight="false" outlineLevel="0" collapsed="false">
      <c r="F492" s="99" t="n">
        <f aca="false">H492/G492</f>
        <v>7.59645079286303E-009</v>
      </c>
      <c r="G492" s="52" t="n">
        <f aca="false">G491*(1+$O$1)</f>
        <v>896346074.985051</v>
      </c>
      <c r="H492" s="15" t="n">
        <f aca="false">I492/G492</f>
        <v>6.80904885199986</v>
      </c>
      <c r="I492" s="0" t="n">
        <f aca="false">I491</f>
        <v>6103264212.87154</v>
      </c>
      <c r="J492" s="85"/>
      <c r="K492" s="85"/>
      <c r="L492" s="85"/>
      <c r="M492" s="85"/>
      <c r="N492" s="85"/>
      <c r="O492" s="85"/>
      <c r="P492" s="85"/>
      <c r="Q492" s="85"/>
      <c r="R492" s="85"/>
      <c r="S492" s="85"/>
    </row>
    <row r="493" customFormat="false" ht="15" hidden="false" customHeight="false" outlineLevel="0" collapsed="false">
      <c r="F493" s="99" t="n">
        <f aca="false">H493/G493</f>
        <v>7.23041122461681E-009</v>
      </c>
      <c r="G493" s="52" t="n">
        <f aca="false">G492*(1+$O$1)</f>
        <v>918754726.859677</v>
      </c>
      <c r="H493" s="15" t="n">
        <f aca="false">I493/G493</f>
        <v>6.64297448975596</v>
      </c>
      <c r="I493" s="0" t="n">
        <f aca="false">I492</f>
        <v>6103264212.87154</v>
      </c>
      <c r="J493" s="85"/>
      <c r="K493" s="85"/>
      <c r="L493" s="85"/>
      <c r="M493" s="85"/>
      <c r="N493" s="85"/>
      <c r="O493" s="85"/>
      <c r="P493" s="85"/>
      <c r="Q493" s="85"/>
      <c r="R493" s="85"/>
      <c r="S493" s="85"/>
    </row>
    <row r="494" customFormat="false" ht="15" hidden="false" customHeight="false" outlineLevel="0" collapsed="false">
      <c r="F494" s="99" t="n">
        <f aca="false">H494/G494</f>
        <v>6.88200949398387E-009</v>
      </c>
      <c r="G494" s="52" t="n">
        <f aca="false">G493*(1+$O$1)</f>
        <v>941723595.031169</v>
      </c>
      <c r="H494" s="15" t="n">
        <f aca="false">I494/G494</f>
        <v>6.48095072171313</v>
      </c>
      <c r="I494" s="0" t="n">
        <f aca="false">I493</f>
        <v>6103264212.87154</v>
      </c>
      <c r="J494" s="85"/>
      <c r="K494" s="85"/>
      <c r="L494" s="85"/>
      <c r="M494" s="85"/>
      <c r="N494" s="85"/>
      <c r="O494" s="85"/>
      <c r="P494" s="85"/>
      <c r="Q494" s="85"/>
      <c r="R494" s="85"/>
      <c r="S494" s="85"/>
    </row>
    <row r="495" customFormat="false" ht="15" hidden="false" customHeight="false" outlineLevel="0" collapsed="false">
      <c r="F495" s="99" t="n">
        <f aca="false">H495/G495</f>
        <v>6.55039571110898E-009</v>
      </c>
      <c r="G495" s="52" t="n">
        <f aca="false">G494*(1+$O$1)</f>
        <v>965266684.906949</v>
      </c>
      <c r="H495" s="15" t="n">
        <f aca="false">I495/G495</f>
        <v>6.32287875289086</v>
      </c>
      <c r="I495" s="0" t="n">
        <f aca="false">I494</f>
        <v>6103264212.87154</v>
      </c>
      <c r="J495" s="85"/>
      <c r="K495" s="85"/>
      <c r="L495" s="85"/>
      <c r="M495" s="85"/>
      <c r="N495" s="85"/>
      <c r="O495" s="85"/>
      <c r="P495" s="85"/>
      <c r="Q495" s="85"/>
      <c r="R495" s="85"/>
      <c r="S495" s="85"/>
    </row>
    <row r="496" customFormat="false" ht="15" hidden="false" customHeight="false" outlineLevel="0" collapsed="false">
      <c r="F496" s="99" t="n">
        <f aca="false">H496/G496</f>
        <v>6.23476093859273E-009</v>
      </c>
      <c r="G496" s="52" t="n">
        <f aca="false">G495*(1+$O$1)</f>
        <v>989398352.029622</v>
      </c>
      <c r="H496" s="15" t="n">
        <f aca="false">I496/G496</f>
        <v>6.1686621979423</v>
      </c>
      <c r="I496" s="0" t="n">
        <f aca="false">I495</f>
        <v>6103264212.87154</v>
      </c>
      <c r="J496" s="85"/>
      <c r="K496" s="85"/>
      <c r="L496" s="85"/>
      <c r="M496" s="85"/>
      <c r="N496" s="85"/>
      <c r="O496" s="85"/>
      <c r="P496" s="85"/>
      <c r="Q496" s="85"/>
      <c r="R496" s="85"/>
      <c r="S496" s="85"/>
    </row>
    <row r="497" customFormat="false" ht="15" hidden="false" customHeight="false" outlineLevel="0" collapsed="false">
      <c r="F497" s="99" t="n">
        <f aca="false">H497/G497</f>
        <v>5.93433521817273E-009</v>
      </c>
      <c r="G497" s="52" t="n">
        <f aca="false">G496*(1+$O$1)</f>
        <v>1014133310.83036</v>
      </c>
      <c r="H497" s="15" t="n">
        <f aca="false">I497/G497</f>
        <v>6.01820702238274</v>
      </c>
      <c r="I497" s="0" t="n">
        <f aca="false">I496</f>
        <v>6103264212.87154</v>
      </c>
      <c r="J497" s="85"/>
      <c r="K497" s="85"/>
      <c r="L497" s="85"/>
      <c r="M497" s="85"/>
      <c r="N497" s="85"/>
      <c r="O497" s="85"/>
      <c r="P497" s="85"/>
      <c r="Q497" s="85"/>
      <c r="R497" s="85"/>
      <c r="S497" s="85"/>
    </row>
    <row r="498" customFormat="false" ht="15" hidden="false" customHeight="false" outlineLevel="0" collapsed="false">
      <c r="F498" s="99" t="n">
        <f aca="false">H498/G498</f>
        <v>5.64838569249041E-009</v>
      </c>
      <c r="G498" s="52" t="n">
        <f aca="false">G497*(1+$O$1)</f>
        <v>1039486643.60112</v>
      </c>
      <c r="H498" s="15" t="n">
        <f aca="false">I498/G498</f>
        <v>5.87142148525145</v>
      </c>
      <c r="I498" s="0" t="n">
        <f aca="false">I497</f>
        <v>6103264212.87154</v>
      </c>
      <c r="J498" s="85"/>
      <c r="K498" s="85"/>
      <c r="L498" s="85"/>
      <c r="M498" s="85"/>
      <c r="N498" s="85"/>
      <c r="O498" s="85"/>
      <c r="P498" s="85"/>
      <c r="Q498" s="85"/>
      <c r="R498" s="85"/>
      <c r="S498" s="85"/>
    </row>
    <row r="499" customFormat="false" ht="15" hidden="false" customHeight="false" outlineLevel="0" collapsed="false">
      <c r="F499" s="99" t="n">
        <f aca="false">H499/G499</f>
        <v>5.37621481736148E-009</v>
      </c>
      <c r="G499" s="52" t="n">
        <f aca="false">G498*(1+$O$1)</f>
        <v>1065473809.69115</v>
      </c>
      <c r="H499" s="15" t="n">
        <f aca="false">I499/G499</f>
        <v>5.72821608317215</v>
      </c>
      <c r="I499" s="0" t="n">
        <f aca="false">I498</f>
        <v>6103264212.87154</v>
      </c>
      <c r="J499" s="85"/>
      <c r="K499" s="85"/>
      <c r="L499" s="85"/>
      <c r="M499" s="85"/>
      <c r="N499" s="85"/>
      <c r="O499" s="85"/>
      <c r="P499" s="85"/>
      <c r="Q499" s="85"/>
      <c r="R499" s="85"/>
      <c r="S499" s="85"/>
    </row>
    <row r="500" customFormat="false" ht="15" hidden="false" customHeight="false" outlineLevel="0" collapsed="false">
      <c r="F500" s="99" t="n">
        <f aca="false">H500/G500</f>
        <v>5.1171586601894E-009</v>
      </c>
      <c r="G500" s="52" t="n">
        <f aca="false">G499*(1+$O$1)</f>
        <v>1092110654.93343</v>
      </c>
      <c r="H500" s="15" t="n">
        <f aca="false">I500/G500</f>
        <v>5.5885034957777</v>
      </c>
      <c r="I500" s="0" t="n">
        <f aca="false">I499</f>
        <v>6103264212.87154</v>
      </c>
      <c r="J500" s="85"/>
      <c r="K500" s="85"/>
      <c r="L500" s="85"/>
      <c r="M500" s="85"/>
      <c r="N500" s="85"/>
      <c r="O500" s="85"/>
      <c r="P500" s="85"/>
      <c r="Q500" s="85"/>
      <c r="R500" s="85"/>
      <c r="S500" s="85"/>
    </row>
    <row r="501" customFormat="false" ht="15" hidden="false" customHeight="false" outlineLevel="0" collapsed="false">
      <c r="F501" s="99" t="n">
        <f aca="false">H501/G501</f>
        <v>4.87058528037063E-009</v>
      </c>
      <c r="G501" s="52" t="n">
        <f aca="false">G500*(1+$O$1)</f>
        <v>1119413421.30676</v>
      </c>
      <c r="H501" s="15" t="n">
        <f aca="false">I501/G501</f>
        <v>5.45219853246605</v>
      </c>
      <c r="I501" s="0" t="n">
        <f aca="false">I500</f>
        <v>6103264212.87154</v>
      </c>
      <c r="J501" s="85"/>
      <c r="K501" s="85"/>
      <c r="L501" s="85"/>
      <c r="M501" s="85"/>
      <c r="N501" s="85"/>
      <c r="O501" s="85"/>
      <c r="P501" s="85"/>
      <c r="Q501" s="85"/>
      <c r="R501" s="85"/>
      <c r="S501" s="85"/>
    </row>
    <row r="502" customFormat="false" ht="15" hidden="false" customHeight="false" outlineLevel="0" collapsed="false">
      <c r="F502" s="99" t="n">
        <f aca="false">H502/G502</f>
        <v>4.63589318774123E-009</v>
      </c>
      <c r="G502" s="52" t="n">
        <f aca="false">G501*(1+$O$1)</f>
        <v>1147398756.83943</v>
      </c>
      <c r="H502" s="15" t="n">
        <f aca="false">I502/G502</f>
        <v>5.31921808045469</v>
      </c>
      <c r="I502" s="0" t="n">
        <f aca="false">I501</f>
        <v>6103264212.87154</v>
      </c>
      <c r="J502" s="85"/>
      <c r="K502" s="85"/>
      <c r="L502" s="85"/>
      <c r="M502" s="85"/>
      <c r="N502" s="85"/>
      <c r="O502" s="85"/>
      <c r="P502" s="85"/>
      <c r="Q502" s="85"/>
      <c r="R502" s="85"/>
      <c r="S502" s="85"/>
    </row>
    <row r="503" customFormat="false" ht="15" hidden="false" customHeight="false" outlineLevel="0" collapsed="false">
      <c r="F503" s="99" t="n">
        <f aca="false">H503/G503</f>
        <v>4.41250987530397E-009</v>
      </c>
      <c r="G503" s="52" t="n">
        <f aca="false">G502*(1+$O$1)</f>
        <v>1176083725.76042</v>
      </c>
      <c r="H503" s="15" t="n">
        <f aca="false">I503/G503</f>
        <v>5.18948105410213</v>
      </c>
      <c r="I503" s="0" t="n">
        <f aca="false">I502</f>
        <v>6103264212.87154</v>
      </c>
      <c r="J503" s="85"/>
      <c r="K503" s="85"/>
      <c r="L503" s="85"/>
      <c r="M503" s="85"/>
      <c r="N503" s="85"/>
      <c r="O503" s="85"/>
      <c r="P503" s="85"/>
      <c r="Q503" s="85"/>
      <c r="R503" s="85"/>
      <c r="S503" s="85"/>
    </row>
    <row r="504" customFormat="false" ht="15" hidden="false" customHeight="false" outlineLevel="0" collapsed="false">
      <c r="F504" s="99" t="n">
        <f aca="false">H504/G504</f>
        <v>4.19989042265696E-009</v>
      </c>
      <c r="G504" s="52" t="n">
        <f aca="false">G503*(1+$O$1)</f>
        <v>1205485818.90443</v>
      </c>
      <c r="H504" s="15" t="n">
        <f aca="false">I504/G504</f>
        <v>5.0629083454655</v>
      </c>
      <c r="I504" s="0" t="n">
        <f aca="false">I503</f>
        <v>6103264212.87154</v>
      </c>
      <c r="J504" s="85"/>
      <c r="K504" s="85"/>
      <c r="L504" s="85"/>
      <c r="M504" s="85"/>
      <c r="N504" s="85"/>
      <c r="O504" s="85"/>
      <c r="P504" s="85"/>
      <c r="Q504" s="85"/>
      <c r="R504" s="85"/>
      <c r="S504" s="85"/>
    </row>
    <row r="505" customFormat="false" ht="15" hidden="false" customHeight="false" outlineLevel="0" collapsed="false">
      <c r="F505" s="99" t="n">
        <f aca="false">H505/G505</f>
        <v>3.99751616671692E-009</v>
      </c>
      <c r="G505" s="52" t="n">
        <f aca="false">G504*(1+$O$1)</f>
        <v>1235622964.37704</v>
      </c>
      <c r="H505" s="15" t="n">
        <f aca="false">I505/G505</f>
        <v>4.9394227760639</v>
      </c>
      <c r="I505" s="0" t="n">
        <f aca="false">I504</f>
        <v>6103264212.87154</v>
      </c>
      <c r="J505" s="85"/>
      <c r="K505" s="85"/>
      <c r="L505" s="85"/>
      <c r="M505" s="85"/>
      <c r="N505" s="85"/>
      <c r="O505" s="85"/>
      <c r="P505" s="85"/>
      <c r="Q505" s="85"/>
      <c r="R505" s="85"/>
      <c r="S505" s="85"/>
    </row>
    <row r="506" customFormat="false" ht="15" hidden="false" customHeight="false" outlineLevel="0" collapsed="false">
      <c r="F506" s="99" t="n">
        <f aca="false">H506/G506</f>
        <v>3.80489343649439E-009</v>
      </c>
      <c r="G506" s="52" t="n">
        <f aca="false">G505*(1+$O$1)</f>
        <v>1266513538.48647</v>
      </c>
      <c r="H506" s="15" t="n">
        <f aca="false">I506/G506</f>
        <v>4.81894904981844</v>
      </c>
      <c r="I506" s="0" t="n">
        <f aca="false">I505</f>
        <v>6103264212.87154</v>
      </c>
      <c r="J506" s="85"/>
      <c r="K506" s="85"/>
      <c r="L506" s="85"/>
      <c r="M506" s="85"/>
      <c r="N506" s="85"/>
      <c r="O506" s="85"/>
      <c r="P506" s="85"/>
      <c r="Q506" s="85"/>
      <c r="R506" s="85"/>
      <c r="S506" s="85"/>
    </row>
    <row r="507" customFormat="false" ht="15" hidden="false" customHeight="false" outlineLevel="0" collapsed="false">
      <c r="F507" s="99" t="n">
        <f aca="false">H507/G507</f>
        <v>3.62155234883464E-009</v>
      </c>
      <c r="G507" s="52" t="n">
        <f aca="false">G506*(1+$O$1)</f>
        <v>1298176376.94863</v>
      </c>
      <c r="H507" s="15" t="n">
        <f aca="false">I507/G507</f>
        <v>4.70141370713994</v>
      </c>
      <c r="I507" s="0" t="n">
        <f aca="false">I506</f>
        <v>6103264212.87154</v>
      </c>
      <c r="J507" s="85"/>
      <c r="K507" s="85"/>
      <c r="L507" s="85"/>
      <c r="M507" s="85"/>
      <c r="N507" s="85"/>
      <c r="O507" s="85"/>
      <c r="P507" s="85"/>
      <c r="Q507" s="85"/>
      <c r="R507" s="85"/>
      <c r="S507" s="85"/>
    </row>
    <row r="508" customFormat="false" ht="15" hidden="false" customHeight="false" outlineLevel="0" collapsed="false">
      <c r="F508" s="99" t="n">
        <f aca="false">H508/G508</f>
        <v>3.44704566218645E-009</v>
      </c>
      <c r="G508" s="52" t="n">
        <f aca="false">G507*(1+$O$1)</f>
        <v>1330630786.37234</v>
      </c>
      <c r="H508" s="15" t="n">
        <f aca="false">I508/G508</f>
        <v>4.58674508013653</v>
      </c>
      <c r="I508" s="0" t="n">
        <f aca="false">I507</f>
        <v>6103264212.87154</v>
      </c>
      <c r="J508" s="85"/>
      <c r="K508" s="85"/>
      <c r="L508" s="85"/>
      <c r="M508" s="85"/>
      <c r="N508" s="85"/>
      <c r="O508" s="85"/>
      <c r="P508" s="85"/>
      <c r="Q508" s="85"/>
      <c r="R508" s="85"/>
      <c r="S508" s="85"/>
    </row>
    <row r="509" customFormat="false" ht="15" hidden="false" customHeight="false" outlineLevel="0" collapsed="false">
      <c r="F509" s="99" t="n">
        <f aca="false">H509/G509</f>
        <v>3.28094768560281E-009</v>
      </c>
      <c r="G509" s="52" t="n">
        <f aca="false">G508*(1+$O$1)</f>
        <v>1363896556.03165</v>
      </c>
      <c r="H509" s="15" t="n">
        <f aca="false">I509/G509</f>
        <v>4.47487324891369</v>
      </c>
      <c r="I509" s="0" t="n">
        <f aca="false">I508</f>
        <v>6103264212.87154</v>
      </c>
      <c r="J509" s="85"/>
      <c r="K509" s="85"/>
      <c r="L509" s="85"/>
      <c r="M509" s="85"/>
      <c r="N509" s="85"/>
      <c r="O509" s="85"/>
      <c r="P509" s="85"/>
      <c r="Q509" s="85"/>
      <c r="R509" s="85"/>
      <c r="S509" s="85"/>
    </row>
    <row r="510" customFormat="false" ht="15" hidden="false" customHeight="false" outlineLevel="0" collapsed="false">
      <c r="F510" s="99" t="n">
        <f aca="false">H510/G510</f>
        <v>3.12285324031201E-009</v>
      </c>
      <c r="G510" s="52" t="n">
        <f aca="false">G509*(1+$O$1)</f>
        <v>1397993969.93244</v>
      </c>
      <c r="H510" s="15" t="n">
        <f aca="false">I510/G510</f>
        <v>4.36572999894018</v>
      </c>
      <c r="I510" s="0" t="n">
        <f aca="false">I509</f>
        <v>6103264212.87154</v>
      </c>
      <c r="J510" s="85"/>
      <c r="K510" s="85"/>
      <c r="L510" s="85"/>
      <c r="M510" s="85"/>
      <c r="N510" s="85"/>
      <c r="O510" s="85"/>
      <c r="P510" s="85"/>
      <c r="Q510" s="85"/>
      <c r="R510" s="85"/>
      <c r="S510" s="85"/>
    </row>
    <row r="511" customFormat="false" ht="15" hidden="false" customHeight="false" outlineLevel="0" collapsed="false">
      <c r="F511" s="99" t="n">
        <f aca="false">H511/G511</f>
        <v>2.97237667132613E-009</v>
      </c>
      <c r="G511" s="52" t="n">
        <f aca="false">G510*(1+$O$1)</f>
        <v>1432943819.18075</v>
      </c>
      <c r="H511" s="15" t="n">
        <f aca="false">I511/G511</f>
        <v>4.25924877945384</v>
      </c>
      <c r="I511" s="0" t="n">
        <f aca="false">I510</f>
        <v>6103264212.87154</v>
      </c>
      <c r="J511" s="85"/>
      <c r="K511" s="85"/>
      <c r="L511" s="85"/>
      <c r="M511" s="85"/>
      <c r="N511" s="85"/>
      <c r="O511" s="85"/>
      <c r="P511" s="85"/>
      <c r="Q511" s="85"/>
      <c r="R511" s="85"/>
      <c r="S511" s="85"/>
    </row>
    <row r="512" customFormat="false" ht="15" hidden="false" customHeight="false" outlineLevel="0" collapsed="false">
      <c r="F512" s="99" t="n">
        <f aca="false">H512/G512</f>
        <v>2.82915090667567E-009</v>
      </c>
      <c r="G512" s="52" t="n">
        <f aca="false">G511*(1+$O$1)</f>
        <v>1468767414.66027</v>
      </c>
      <c r="H512" s="15" t="n">
        <f aca="false">I512/G512</f>
        <v>4.15536466288179</v>
      </c>
      <c r="I512" s="0" t="n">
        <f aca="false">I511</f>
        <v>6103264212.87154</v>
      </c>
      <c r="J512" s="85"/>
      <c r="K512" s="85"/>
      <c r="L512" s="85"/>
      <c r="M512" s="85"/>
      <c r="N512" s="85"/>
      <c r="O512" s="85"/>
      <c r="P512" s="85"/>
      <c r="Q512" s="85"/>
      <c r="R512" s="85"/>
      <c r="S512" s="85"/>
    </row>
    <row r="513" customFormat="false" ht="15" hidden="false" customHeight="false" outlineLevel="0" collapsed="false">
      <c r="F513" s="99" t="n">
        <f aca="false">H513/G513</f>
        <v>2.69282656197566E-009</v>
      </c>
      <c r="G513" s="52" t="n">
        <f aca="false">G512*(1+$O$1)</f>
        <v>1505486600.02678</v>
      </c>
      <c r="H513" s="15" t="n">
        <f aca="false">I513/G513</f>
        <v>4.05401430525053</v>
      </c>
      <c r="I513" s="0" t="n">
        <f aca="false">I512</f>
        <v>6103264212.87154</v>
      </c>
      <c r="J513" s="85"/>
      <c r="K513" s="85"/>
      <c r="L513" s="85"/>
      <c r="M513" s="85"/>
      <c r="N513" s="85"/>
      <c r="O513" s="85"/>
      <c r="P513" s="85"/>
      <c r="Q513" s="85"/>
      <c r="R513" s="85"/>
      <c r="S513" s="85"/>
    </row>
    <row r="514" customFormat="false" ht="15" hidden="false" customHeight="false" outlineLevel="0" collapsed="false">
      <c r="F514" s="99" t="n">
        <f aca="false">H514/G514</f>
        <v>2.56307108813864E-009</v>
      </c>
      <c r="G514" s="52" t="n">
        <f aca="false">G513*(1+$O$1)</f>
        <v>1543123765.02745</v>
      </c>
      <c r="H514" s="15" t="n">
        <f aca="false">I514/G514</f>
        <v>3.95513590756149</v>
      </c>
      <c r="I514" s="0" t="n">
        <f aca="false">I513</f>
        <v>6103264212.87154</v>
      </c>
      <c r="J514" s="85"/>
      <c r="K514" s="85"/>
      <c r="L514" s="85"/>
      <c r="M514" s="85"/>
      <c r="N514" s="85"/>
      <c r="O514" s="85"/>
      <c r="P514" s="85"/>
      <c r="Q514" s="85"/>
      <c r="R514" s="85"/>
      <c r="S514" s="85"/>
    </row>
    <row r="515" customFormat="false" ht="15" hidden="false" customHeight="false" outlineLevel="0" collapsed="false">
      <c r="F515" s="99" t="n">
        <f aca="false">H515/G515</f>
        <v>2.43956796015575E-009</v>
      </c>
      <c r="G515" s="52" t="n">
        <f aca="false">G514*(1+$O$1)</f>
        <v>1581701859.15313</v>
      </c>
      <c r="H515" s="15" t="n">
        <f aca="false">I515/G515</f>
        <v>3.85866917810877</v>
      </c>
      <c r="I515" s="0" t="n">
        <f aca="false">I514</f>
        <v>6103264212.87154</v>
      </c>
      <c r="J515" s="85"/>
      <c r="K515" s="85"/>
      <c r="L515" s="85"/>
      <c r="M515" s="85"/>
      <c r="N515" s="85"/>
      <c r="O515" s="85"/>
      <c r="P515" s="85"/>
      <c r="Q515" s="85"/>
      <c r="R515" s="85"/>
      <c r="S515" s="85"/>
    </row>
    <row r="516" customFormat="false" ht="15" hidden="false" customHeight="false" outlineLevel="0" collapsed="false">
      <c r="F516" s="99" t="n">
        <f aca="false">H516/G516</f>
        <v>2.32201590496681E-009</v>
      </c>
      <c r="G516" s="52" t="n">
        <f aca="false">G515*(1+$O$1)</f>
        <v>1621244405.63196</v>
      </c>
      <c r="H516" s="15" t="n">
        <f aca="false">I516/G516</f>
        <v>3.76455529571588</v>
      </c>
      <c r="I516" s="0" t="n">
        <f aca="false">I515</f>
        <v>6103264212.87154</v>
      </c>
      <c r="J516" s="85"/>
      <c r="K516" s="85"/>
      <c r="L516" s="85"/>
      <c r="M516" s="85"/>
      <c r="N516" s="85"/>
      <c r="O516" s="85"/>
      <c r="P516" s="85"/>
      <c r="Q516" s="85"/>
      <c r="R516" s="85"/>
      <c r="S516" s="85"/>
    </row>
    <row r="517" customFormat="false" ht="15" hidden="false" customHeight="false" outlineLevel="0" collapsed="false">
      <c r="F517" s="99" t="n">
        <f aca="false">H517/G517</f>
        <v>2.21012816653593E-009</v>
      </c>
      <c r="G517" s="52" t="n">
        <f aca="false">G516*(1+$O$1)</f>
        <v>1661775515.77276</v>
      </c>
      <c r="H517" s="15" t="n">
        <f aca="false">I517/G517</f>
        <v>3.67273687386915</v>
      </c>
      <c r="I517" s="0" t="n">
        <f aca="false">I516</f>
        <v>6103264212.87154</v>
      </c>
      <c r="J517" s="85"/>
      <c r="K517" s="85"/>
      <c r="L517" s="85"/>
      <c r="M517" s="85"/>
      <c r="N517" s="85"/>
      <c r="O517" s="85"/>
      <c r="P517" s="85"/>
      <c r="Q517" s="85"/>
      <c r="R517" s="85"/>
      <c r="S517" s="85"/>
    </row>
    <row r="518" customFormat="false" ht="15" hidden="false" customHeight="false" outlineLevel="0" collapsed="false">
      <c r="F518" s="99" t="n">
        <f aca="false">H518/G518</f>
        <v>2.10363180633997E-009</v>
      </c>
      <c r="G518" s="52" t="n">
        <f aca="false">G517*(1+$O$1)</f>
        <v>1703319903.66708</v>
      </c>
      <c r="H518" s="15" t="n">
        <f aca="false">I518/G518</f>
        <v>3.583157925726</v>
      </c>
      <c r="I518" s="0" t="n">
        <f aca="false">I517</f>
        <v>6103264212.87154</v>
      </c>
      <c r="J518" s="85"/>
      <c r="K518" s="85"/>
      <c r="L518" s="85"/>
      <c r="M518" s="85"/>
      <c r="N518" s="85"/>
      <c r="O518" s="85"/>
      <c r="P518" s="85"/>
      <c r="Q518" s="85"/>
      <c r="R518" s="85"/>
      <c r="S518" s="85"/>
    </row>
    <row r="519" customFormat="false" ht="15" hidden="false" customHeight="false" outlineLevel="0" collapsed="false">
      <c r="F519" s="99" t="n">
        <f aca="false">H519/G519</f>
        <v>2.00226703756332E-009</v>
      </c>
      <c r="G519" s="52" t="n">
        <f aca="false">G518*(1+$O$1)</f>
        <v>1745902901.25876</v>
      </c>
      <c r="H519" s="15" t="n">
        <f aca="false">I519/G519</f>
        <v>3.49576382997658</v>
      </c>
      <c r="I519" s="0" t="n">
        <f aca="false">I518</f>
        <v>6103264212.87154</v>
      </c>
      <c r="J519" s="85"/>
      <c r="K519" s="85"/>
      <c r="L519" s="85"/>
      <c r="M519" s="85"/>
      <c r="N519" s="85"/>
      <c r="O519" s="85"/>
      <c r="P519" s="85"/>
      <c r="Q519" s="85"/>
      <c r="R519" s="85"/>
      <c r="S519" s="85"/>
    </row>
    <row r="520" customFormat="false" ht="15" hidden="false" customHeight="false" outlineLevel="0" collapsed="false">
      <c r="F520" s="99" t="n">
        <f aca="false">H520/G520</f>
        <v>1.90578659137497E-009</v>
      </c>
      <c r="G520" s="52" t="n">
        <f aca="false">G519*(1+$O$1)</f>
        <v>1789550473.79023</v>
      </c>
      <c r="H520" s="15" t="n">
        <f aca="false">I520/G520</f>
        <v>3.41050129753813</v>
      </c>
      <c r="I520" s="0" t="n">
        <f aca="false">I519</f>
        <v>6103264212.87154</v>
      </c>
      <c r="J520" s="85"/>
      <c r="K520" s="85"/>
      <c r="L520" s="85"/>
      <c r="M520" s="85"/>
      <c r="N520" s="85"/>
      <c r="O520" s="85"/>
      <c r="P520" s="85"/>
      <c r="Q520" s="85"/>
      <c r="R520" s="85"/>
      <c r="S520" s="85"/>
    </row>
    <row r="521" customFormat="false" ht="15" hidden="false" customHeight="false" outlineLevel="0" collapsed="false">
      <c r="F521" s="99" t="n">
        <f aca="false">H521/G521</f>
        <v>1.81395511374179E-009</v>
      </c>
      <c r="G521" s="52" t="n">
        <f aca="false">G520*(1+$O$1)</f>
        <v>1834289235.63498</v>
      </c>
      <c r="H521" s="15" t="n">
        <f aca="false">I521/G521</f>
        <v>3.32731833906159</v>
      </c>
      <c r="I521" s="0" t="n">
        <f aca="false">I520</f>
        <v>6103264212.87154</v>
      </c>
      <c r="J521" s="85"/>
      <c r="K521" s="85"/>
      <c r="L521" s="85"/>
      <c r="M521" s="85"/>
      <c r="N521" s="85"/>
      <c r="O521" s="85"/>
      <c r="P521" s="85"/>
      <c r="Q521" s="85"/>
      <c r="R521" s="85"/>
      <c r="S521" s="85"/>
    </row>
    <row r="522" customFormat="false" ht="15" hidden="false" customHeight="false" outlineLevel="0" collapsed="false">
      <c r="F522" s="99" t="n">
        <f aca="false">H522/G522</f>
        <v>1.72654859130688E-009</v>
      </c>
      <c r="G522" s="52" t="n">
        <f aca="false">G521*(1+$O$1)</f>
        <v>1880146466.52586</v>
      </c>
      <c r="H522" s="15" t="n">
        <f aca="false">I522/G522</f>
        <v>3.24616423323082</v>
      </c>
      <c r="I522" s="0" t="n">
        <f aca="false">I521</f>
        <v>6103264212.87154</v>
      </c>
      <c r="J522" s="85"/>
      <c r="K522" s="85"/>
      <c r="L522" s="85"/>
      <c r="M522" s="85"/>
      <c r="N522" s="85"/>
      <c r="O522" s="85"/>
      <c r="P522" s="85"/>
      <c r="Q522" s="85"/>
      <c r="R522" s="85"/>
      <c r="S522" s="85"/>
    </row>
    <row r="523" customFormat="false" ht="15" hidden="false" customHeight="false" outlineLevel="0" collapsed="false">
      <c r="F523" s="99" t="n">
        <f aca="false">H523/G523</f>
        <v>1.64335380493219E-009</v>
      </c>
      <c r="G523" s="52" t="n">
        <f aca="false">G522*(1+$O$1)</f>
        <v>1927150128.189</v>
      </c>
      <c r="H523" s="15" t="n">
        <f aca="false">I523/G523</f>
        <v>3.16698949583495</v>
      </c>
      <c r="I523" s="0" t="n">
        <f aca="false">I522</f>
        <v>6103264212.87154</v>
      </c>
      <c r="J523" s="85"/>
      <c r="K523" s="85"/>
      <c r="L523" s="85"/>
      <c r="M523" s="85"/>
      <c r="N523" s="85"/>
      <c r="O523" s="85"/>
      <c r="P523" s="85"/>
      <c r="Q523" s="85"/>
      <c r="R523" s="85"/>
      <c r="S523" s="85"/>
    </row>
    <row r="524" customFormat="false" ht="15" hidden="false" customHeight="false" outlineLevel="0" collapsed="false">
      <c r="F524" s="99" t="n">
        <f aca="false">H524/G524</f>
        <v>1.56416780957258E-009</v>
      </c>
      <c r="G524" s="52" t="n">
        <f aca="false">G523*(1+$O$1)</f>
        <v>1975328881.39373</v>
      </c>
      <c r="H524" s="15" t="n">
        <f aca="false">I524/G524</f>
        <v>3.08974584959507</v>
      </c>
      <c r="I524" s="0" t="n">
        <f aca="false">I523</f>
        <v>6103264212.87154</v>
      </c>
      <c r="J524" s="85"/>
      <c r="K524" s="85"/>
      <c r="L524" s="85"/>
      <c r="M524" s="85"/>
      <c r="N524" s="85"/>
      <c r="O524" s="85"/>
      <c r="P524" s="85"/>
      <c r="Q524" s="85"/>
      <c r="R524" s="85"/>
      <c r="S524" s="85"/>
    </row>
    <row r="525" customFormat="false" ht="15" hidden="false" customHeight="false" outlineLevel="0" collapsed="false">
      <c r="F525" s="99" t="n">
        <f aca="false">H525/G525</f>
        <v>1.48879743921245E-009</v>
      </c>
      <c r="G525" s="52" t="n">
        <f aca="false">G524*(1+$O$1)</f>
        <v>2024712103.42857</v>
      </c>
      <c r="H525" s="15" t="n">
        <f aca="false">I525/G525</f>
        <v>3.0143861947269</v>
      </c>
      <c r="I525" s="0" t="n">
        <f aca="false">I524</f>
        <v>6103264212.87154</v>
      </c>
      <c r="J525" s="85"/>
      <c r="K525" s="85"/>
      <c r="L525" s="85"/>
      <c r="M525" s="85"/>
      <c r="N525" s="85"/>
      <c r="O525" s="85"/>
      <c r="P525" s="85"/>
      <c r="Q525" s="85"/>
      <c r="R525" s="85"/>
      <c r="S525" s="85"/>
    </row>
    <row r="526" customFormat="false" ht="15" hidden="false" customHeight="false" outlineLevel="0" collapsed="false">
      <c r="F526" s="99" t="n">
        <f aca="false">H526/G526</f>
        <v>1.4170588356573E-009</v>
      </c>
      <c r="G526" s="52" t="n">
        <f aca="false">G525*(1+$O$1)</f>
        <v>2075329906.01428</v>
      </c>
      <c r="H526" s="15" t="n">
        <f aca="false">I526/G526</f>
        <v>2.94086458022137</v>
      </c>
      <c r="I526" s="0" t="n">
        <f aca="false">I525</f>
        <v>6103264212.87154</v>
      </c>
      <c r="J526" s="85"/>
      <c r="K526" s="85"/>
      <c r="L526" s="85"/>
      <c r="M526" s="85"/>
      <c r="N526" s="85"/>
      <c r="O526" s="85"/>
      <c r="P526" s="85"/>
      <c r="Q526" s="85"/>
      <c r="R526" s="85"/>
      <c r="S526" s="85"/>
    </row>
    <row r="527" customFormat="false" ht="15" hidden="false" customHeight="false" outlineLevel="0" collapsed="false">
      <c r="F527" s="99" t="n">
        <f aca="false">H527/G527</f>
        <v>1.34877700003074E-009</v>
      </c>
      <c r="G527" s="52" t="n">
        <f aca="false">G526*(1+$O$1)</f>
        <v>2127213153.66464</v>
      </c>
      <c r="H527" s="15" t="n">
        <f aca="false">I527/G527</f>
        <v>2.86913617582572</v>
      </c>
      <c r="I527" s="0" t="n">
        <f aca="false">I526</f>
        <v>6103264212.87154</v>
      </c>
      <c r="J527" s="85"/>
      <c r="K527" s="85"/>
      <c r="L527" s="85"/>
      <c r="M527" s="85"/>
      <c r="N527" s="85"/>
      <c r="O527" s="85"/>
      <c r="P527" s="85"/>
      <c r="Q527" s="85"/>
      <c r="R527" s="85"/>
      <c r="S527" s="85"/>
    </row>
    <row r="528" customFormat="false" ht="15" hidden="false" customHeight="false" outlineLevel="0" collapsed="false">
      <c r="F528" s="99" t="n">
        <f aca="false">H528/G528</f>
        <v>1.28378536588292E-009</v>
      </c>
      <c r="G528" s="52" t="n">
        <f aca="false">G527*(1+$O$1)</f>
        <v>2180393482.50626</v>
      </c>
      <c r="H528" s="15" t="n">
        <f aca="false">I528/G528</f>
        <v>2.79915724470802</v>
      </c>
      <c r="I528" s="0" t="n">
        <f aca="false">I527</f>
        <v>6103264212.87154</v>
      </c>
      <c r="J528" s="85"/>
      <c r="K528" s="85"/>
      <c r="L528" s="85"/>
      <c r="M528" s="85"/>
      <c r="N528" s="85"/>
      <c r="O528" s="85"/>
      <c r="P528" s="85"/>
      <c r="Q528" s="85"/>
      <c r="R528" s="85"/>
      <c r="S528" s="85"/>
    </row>
    <row r="529" customFormat="false" ht="15" hidden="false" customHeight="false" outlineLevel="0" collapsed="false">
      <c r="F529" s="99" t="n">
        <f aca="false">H529/G529</f>
        <v>1.22192539286893E-009</v>
      </c>
      <c r="G529" s="52" t="n">
        <f aca="false">G528*(1+$O$1)</f>
        <v>2234903319.56891</v>
      </c>
      <c r="H529" s="15" t="n">
        <f aca="false">I529/G529</f>
        <v>2.73088511678831</v>
      </c>
      <c r="I529" s="0" t="n">
        <f aca="false">I528</f>
        <v>6103264212.87154</v>
      </c>
      <c r="J529" s="85"/>
      <c r="K529" s="85"/>
      <c r="L529" s="85"/>
      <c r="M529" s="85"/>
      <c r="N529" s="85"/>
      <c r="O529" s="85"/>
      <c r="P529" s="85"/>
      <c r="Q529" s="85"/>
      <c r="R529" s="85"/>
      <c r="S529" s="85"/>
    </row>
    <row r="530" customFormat="false" ht="15" hidden="false" customHeight="false" outlineLevel="0" collapsed="false">
      <c r="F530" s="99" t="n">
        <f aca="false">H530/G530</f>
        <v>1.16304618000612E-009</v>
      </c>
      <c r="G530" s="52" t="n">
        <f aca="false">G529*(1+$O$1)</f>
        <v>2290775902.55813</v>
      </c>
      <c r="H530" s="15" t="n">
        <f aca="false">I530/G530</f>
        <v>2.66427816272031</v>
      </c>
      <c r="I530" s="0" t="n">
        <f aca="false">I529</f>
        <v>6103264212.87154</v>
      </c>
      <c r="J530" s="85"/>
      <c r="K530" s="85"/>
      <c r="L530" s="85"/>
      <c r="M530" s="85"/>
      <c r="N530" s="85"/>
      <c r="O530" s="85"/>
      <c r="P530" s="85"/>
      <c r="Q530" s="85"/>
      <c r="R530" s="85"/>
      <c r="S530" s="85"/>
    </row>
    <row r="531" customFormat="false" ht="15" hidden="false" customHeight="false" outlineLevel="0" collapsed="false">
      <c r="F531" s="99" t="n">
        <f aca="false">H531/G531</f>
        <v>1.1070040975668E-009</v>
      </c>
      <c r="G531" s="52" t="n">
        <f aca="false">G530*(1+$O$1)</f>
        <v>2348045300.12209</v>
      </c>
      <c r="H531" s="15" t="n">
        <f aca="false">I531/G531</f>
        <v>2.59929576850762</v>
      </c>
      <c r="I531" s="0" t="n">
        <f aca="false">I530</f>
        <v>6103264212.87154</v>
      </c>
      <c r="J531" s="85"/>
      <c r="K531" s="85"/>
      <c r="L531" s="85"/>
      <c r="M531" s="85"/>
      <c r="N531" s="85"/>
      <c r="O531" s="85"/>
      <c r="P531" s="85"/>
      <c r="Q531" s="85"/>
      <c r="R531" s="85"/>
      <c r="S531" s="85"/>
    </row>
    <row r="532" customFormat="false" ht="15" hidden="false" customHeight="false" outlineLevel="0" collapsed="false">
      <c r="F532" s="99" t="n">
        <f aca="false">H532/G532</f>
        <v>1.05366243670843E-009</v>
      </c>
      <c r="G532" s="52" t="n">
        <f aca="false">G531*(1+$O$1)</f>
        <v>2406746432.62514</v>
      </c>
      <c r="H532" s="15" t="n">
        <f aca="false">I532/G532</f>
        <v>2.53589831073914</v>
      </c>
      <c r="I532" s="0" t="n">
        <f aca="false">I531</f>
        <v>6103264212.87154</v>
      </c>
      <c r="J532" s="85"/>
      <c r="K532" s="85"/>
      <c r="L532" s="85"/>
      <c r="M532" s="85"/>
      <c r="N532" s="85"/>
      <c r="O532" s="85"/>
      <c r="P532" s="85"/>
      <c r="Q532" s="85"/>
      <c r="R532" s="85"/>
      <c r="S532" s="85"/>
    </row>
    <row r="533" customFormat="false" ht="15" hidden="false" customHeight="false" outlineLevel="0" collapsed="false">
      <c r="F533" s="99" t="n">
        <f aca="false">H533/G533</f>
        <v>1.00289107598661E-009</v>
      </c>
      <c r="G533" s="52" t="n">
        <f aca="false">G532*(1+$O$1)</f>
        <v>2466915093.44077</v>
      </c>
      <c r="H533" s="15" t="n">
        <f aca="false">I533/G533</f>
        <v>2.47404713242843</v>
      </c>
      <c r="I533" s="0" t="n">
        <f aca="false">I532</f>
        <v>6103264212.87154</v>
      </c>
      <c r="J533" s="85"/>
      <c r="K533" s="85"/>
      <c r="L533" s="85"/>
      <c r="M533" s="85"/>
      <c r="N533" s="85"/>
      <c r="O533" s="85"/>
      <c r="P533" s="85"/>
      <c r="Q533" s="85"/>
      <c r="R533" s="85"/>
      <c r="S533" s="85"/>
    </row>
    <row r="534" customFormat="false" ht="15" hidden="false" customHeight="false" outlineLevel="0" collapsed="false">
      <c r="F534" s="99" t="n">
        <f aca="false">H534/G534</f>
        <v>9.54566163937287E-010</v>
      </c>
      <c r="G534" s="52" t="n">
        <f aca="false">G533*(1+$O$1)</f>
        <v>2528587970.77679</v>
      </c>
      <c r="H534" s="15" t="n">
        <f aca="false">I534/G534</f>
        <v>2.41370451944237</v>
      </c>
      <c r="I534" s="0" t="n">
        <f aca="false">I533</f>
        <v>6103264212.87154</v>
      </c>
      <c r="J534" s="85"/>
      <c r="K534" s="85"/>
      <c r="L534" s="85"/>
      <c r="M534" s="85"/>
      <c r="N534" s="85"/>
      <c r="O534" s="85"/>
      <c r="P534" s="85"/>
      <c r="Q534" s="85"/>
      <c r="R534" s="85"/>
      <c r="S534" s="85"/>
    </row>
    <row r="535" customFormat="false" ht="15" hidden="false" customHeight="false" outlineLevel="0" collapsed="false">
      <c r="F535" s="99" t="n">
        <f aca="false">H535/G535</f>
        <v>9.08569816953992E-010</v>
      </c>
      <c r="G535" s="52" t="n">
        <f aca="false">G534*(1+$O$1)</f>
        <v>2591802670.04621</v>
      </c>
      <c r="H535" s="15" t="n">
        <f aca="false">I535/G535</f>
        <v>2.35483367750475</v>
      </c>
      <c r="I535" s="0" t="n">
        <f aca="false">I534</f>
        <v>6103264212.87154</v>
      </c>
      <c r="J535" s="85"/>
      <c r="K535" s="85"/>
      <c r="L535" s="85"/>
      <c r="M535" s="85"/>
      <c r="N535" s="85"/>
      <c r="O535" s="85"/>
      <c r="P535" s="85"/>
      <c r="Q535" s="85"/>
      <c r="R535" s="85"/>
      <c r="S535" s="85"/>
    </row>
    <row r="536" customFormat="false" ht="15" hidden="false" customHeight="false" outlineLevel="0" collapsed="false">
      <c r="F536" s="99" t="n">
        <f aca="false">H536/G536</f>
        <v>8.64789831723014E-010</v>
      </c>
      <c r="G536" s="52" t="n">
        <f aca="false">G535*(1+$O$1)</f>
        <v>2656597736.79736</v>
      </c>
      <c r="H536" s="15" t="n">
        <f aca="false">I536/G536</f>
        <v>2.29739870976073</v>
      </c>
      <c r="I536" s="0" t="n">
        <f aca="false">I535</f>
        <v>6103264212.87154</v>
      </c>
      <c r="J536" s="85"/>
      <c r="K536" s="85"/>
      <c r="L536" s="85"/>
      <c r="M536" s="85"/>
      <c r="N536" s="85"/>
      <c r="O536" s="85"/>
      <c r="P536" s="85"/>
      <c r="Q536" s="85"/>
      <c r="R536" s="85"/>
      <c r="S536" s="85"/>
    </row>
    <row r="537" customFormat="false" ht="15" hidden="false" customHeight="false" outlineLevel="0" collapsed="false">
      <c r="F537" s="99" t="n">
        <f aca="false">H537/G537</f>
        <v>8.23119411515064E-010</v>
      </c>
      <c r="G537" s="52" t="n">
        <f aca="false">G536*(1+$O$1)</f>
        <v>2723012680.2173</v>
      </c>
      <c r="H537" s="15" t="n">
        <f aca="false">I537/G537</f>
        <v>2.24136459488852</v>
      </c>
      <c r="I537" s="0" t="n">
        <f aca="false">I536</f>
        <v>6103264212.87154</v>
      </c>
      <c r="J537" s="85"/>
      <c r="K537" s="85"/>
      <c r="L537" s="85"/>
      <c r="M537" s="85"/>
      <c r="N537" s="85"/>
      <c r="O537" s="85"/>
      <c r="P537" s="85"/>
      <c r="Q537" s="85"/>
      <c r="R537" s="85"/>
      <c r="S537" s="85"/>
    </row>
    <row r="538" customFormat="false" ht="15" hidden="false" customHeight="false" outlineLevel="0" collapsed="false">
      <c r="F538" s="99" t="n">
        <f aca="false">H538/G538</f>
        <v>7.83456905665736E-010</v>
      </c>
      <c r="G538" s="52" t="n">
        <f aca="false">G537*(1+$O$1)</f>
        <v>2791087997.22273</v>
      </c>
      <c r="H538" s="15" t="n">
        <f aca="false">I538/G538</f>
        <v>2.1866971657449</v>
      </c>
      <c r="I538" s="0" t="n">
        <f aca="false">I537</f>
        <v>6103264212.87154</v>
      </c>
      <c r="J538" s="85"/>
      <c r="K538" s="85"/>
      <c r="L538" s="85"/>
      <c r="M538" s="85"/>
      <c r="N538" s="85"/>
      <c r="O538" s="85"/>
      <c r="P538" s="85"/>
      <c r="Q538" s="85"/>
      <c r="R538" s="85"/>
      <c r="S538" s="85"/>
    </row>
    <row r="539" customFormat="false" ht="15" hidden="false" customHeight="false" outlineLevel="0" collapsed="false">
      <c r="F539" s="99" t="n">
        <f aca="false">H539/G539</f>
        <v>7.45705561609268E-010</v>
      </c>
      <c r="G539" s="52" t="n">
        <f aca="false">G538*(1+$O$1)</f>
        <v>2860865197.1533</v>
      </c>
      <c r="H539" s="15" t="n">
        <f aca="false">I539/G539</f>
        <v>2.13336308853161</v>
      </c>
      <c r="I539" s="0" t="n">
        <f aca="false">I538</f>
        <v>6103264212.87154</v>
      </c>
      <c r="J539" s="85"/>
      <c r="K539" s="85"/>
      <c r="L539" s="85"/>
      <c r="M539" s="85"/>
      <c r="N539" s="85"/>
      <c r="O539" s="85"/>
      <c r="P539" s="85"/>
      <c r="Q539" s="85"/>
      <c r="R539" s="85"/>
      <c r="S539" s="85"/>
    </row>
    <row r="540" customFormat="false" ht="15" hidden="false" customHeight="false" outlineLevel="0" collapsed="false">
      <c r="F540" s="99" t="n">
        <f aca="false">H540/G540</f>
        <v>7.09773288860695E-010</v>
      </c>
      <c r="G540" s="52" t="n">
        <f aca="false">G539*(1+$O$1)</f>
        <v>2932386827.08213</v>
      </c>
      <c r="H540" s="15" t="n">
        <f aca="false">I540/G540</f>
        <v>2.08132984246986</v>
      </c>
      <c r="I540" s="0" t="n">
        <f aca="false">I539</f>
        <v>6103264212.87154</v>
      </c>
      <c r="J540" s="85"/>
      <c r="K540" s="85"/>
      <c r="L540" s="85"/>
      <c r="M540" s="85"/>
      <c r="N540" s="85"/>
      <c r="O540" s="85"/>
      <c r="P540" s="85"/>
      <c r="Q540" s="85"/>
      <c r="R540" s="85"/>
      <c r="S540" s="85"/>
    </row>
    <row r="541" customFormat="false" ht="15" hidden="false" customHeight="false" outlineLevel="0" collapsed="false">
      <c r="F541" s="99" t="n">
        <f aca="false">H541/G541</f>
        <v>6.75572434370679E-010</v>
      </c>
      <c r="G541" s="52" t="n">
        <f aca="false">G540*(1+$O$1)</f>
        <v>3005696497.75918</v>
      </c>
      <c r="H541" s="15" t="n">
        <f aca="false">I541/G541</f>
        <v>2.0305656999706</v>
      </c>
      <c r="I541" s="0" t="n">
        <f aca="false">I540</f>
        <v>6103264212.87154</v>
      </c>
      <c r="J541" s="85"/>
      <c r="K541" s="85"/>
      <c r="L541" s="85"/>
      <c r="M541" s="85"/>
      <c r="N541" s="85"/>
      <c r="O541" s="85"/>
      <c r="P541" s="85"/>
      <c r="Q541" s="85"/>
      <c r="R541" s="85"/>
      <c r="S541" s="85"/>
    </row>
    <row r="542" customFormat="false" ht="15" hidden="false" customHeight="false" outlineLevel="0" collapsed="false">
      <c r="F542" s="99" t="n">
        <f aca="false">H542/G542</f>
        <v>6.4301956870499E-010</v>
      </c>
      <c r="G542" s="52" t="n">
        <f aca="false">G541*(1+$O$1)</f>
        <v>3080838910.20316</v>
      </c>
      <c r="H542" s="15" t="n">
        <f aca="false">I542/G542</f>
        <v>1.98103970728839</v>
      </c>
      <c r="I542" s="0" t="n">
        <f aca="false">I541</f>
        <v>6103264212.87154</v>
      </c>
      <c r="J542" s="85"/>
      <c r="K542" s="85"/>
      <c r="L542" s="85"/>
      <c r="M542" s="85"/>
      <c r="N542" s="85"/>
      <c r="O542" s="85"/>
      <c r="P542" s="85"/>
      <c r="Q542" s="85"/>
      <c r="R542" s="85"/>
      <c r="S542" s="85"/>
    </row>
    <row r="543" customFormat="false" ht="15" hidden="false" customHeight="false" outlineLevel="0" collapsed="false">
      <c r="F543" s="99" t="n">
        <f aca="false">H543/G543</f>
        <v>6.12035282527057E-010</v>
      </c>
      <c r="G543" s="52" t="n">
        <f aca="false">G542*(1+$O$1)</f>
        <v>3157859882.95824</v>
      </c>
      <c r="H543" s="15" t="n">
        <f aca="false">I543/G543</f>
        <v>1.93272166564721</v>
      </c>
      <c r="I543" s="0" t="n">
        <f aca="false">I542</f>
        <v>6103264212.87154</v>
      </c>
      <c r="J543" s="85"/>
      <c r="K543" s="85"/>
      <c r="L543" s="85"/>
      <c r="M543" s="85"/>
      <c r="N543" s="85"/>
      <c r="O543" s="85"/>
      <c r="P543" s="85"/>
      <c r="Q543" s="85"/>
      <c r="R543" s="85"/>
      <c r="S543" s="85"/>
    </row>
    <row r="544" customFormat="false" ht="15" hidden="false" customHeight="false" outlineLevel="0" collapsed="false">
      <c r="F544" s="99" t="n">
        <f aca="false">H544/G544</f>
        <v>5.82543992887146E-010</v>
      </c>
      <c r="G544" s="52" t="n">
        <f aca="false">G543*(1+$O$1)</f>
        <v>3236806380.0322</v>
      </c>
      <c r="H544" s="15" t="n">
        <f aca="false">I544/G544</f>
        <v>1.88558211282654</v>
      </c>
      <c r="I544" s="0" t="n">
        <f aca="false">I543</f>
        <v>6103264212.87154</v>
      </c>
      <c r="J544" s="85"/>
      <c r="K544" s="85"/>
      <c r="L544" s="85"/>
      <c r="M544" s="85"/>
      <c r="N544" s="85"/>
      <c r="O544" s="85"/>
      <c r="P544" s="85"/>
      <c r="Q544" s="85"/>
      <c r="R544" s="85"/>
      <c r="S544" s="85"/>
    </row>
    <row r="545" customFormat="false" ht="15" hidden="false" customHeight="false" outlineLevel="0" collapsed="false">
      <c r="F545" s="99" t="n">
        <f aca="false">H545/G545</f>
        <v>5.54473758845588E-010</v>
      </c>
      <c r="G545" s="52" t="n">
        <f aca="false">G544*(1+$O$1)</f>
        <v>3317726539.533</v>
      </c>
      <c r="H545" s="15" t="n">
        <f aca="false">I545/G545</f>
        <v>1.83959230519663</v>
      </c>
      <c r="I545" s="0" t="n">
        <f aca="false">I544</f>
        <v>6103264212.87154</v>
      </c>
      <c r="J545" s="85"/>
      <c r="K545" s="85"/>
      <c r="L545" s="85"/>
      <c r="M545" s="85"/>
      <c r="N545" s="85"/>
      <c r="O545" s="85"/>
      <c r="P545" s="85"/>
      <c r="Q545" s="85"/>
      <c r="R545" s="85"/>
      <c r="S545" s="85"/>
    </row>
    <row r="546" customFormat="false" ht="15" hidden="false" customHeight="false" outlineLevel="0" collapsed="false">
      <c r="F546" s="99" t="n">
        <f aca="false">H546/G546</f>
        <v>5.27756105980334E-010</v>
      </c>
      <c r="G546" s="52" t="n">
        <f aca="false">G545*(1+$O$1)</f>
        <v>3400669703.02132</v>
      </c>
      <c r="H546" s="15" t="n">
        <f aca="false">I546/G546</f>
        <v>1.79472420019183</v>
      </c>
      <c r="I546" s="0" t="n">
        <f aca="false">I545</f>
        <v>6103264212.87154</v>
      </c>
      <c r="J546" s="85"/>
      <c r="K546" s="85"/>
      <c r="L546" s="85"/>
      <c r="M546" s="85"/>
      <c r="N546" s="85"/>
      <c r="O546" s="85"/>
      <c r="P546" s="85"/>
      <c r="Q546" s="85"/>
      <c r="R546" s="85"/>
      <c r="S546" s="85"/>
    </row>
    <row r="547" customFormat="false" ht="15" hidden="false" customHeight="false" outlineLevel="0" collapsed="false">
      <c r="F547" s="99" t="n">
        <f aca="false">H547/G547</f>
        <v>5.02325859350704E-010</v>
      </c>
      <c r="G547" s="52" t="n">
        <f aca="false">G546*(1+$O$1)</f>
        <v>3485686445.59686</v>
      </c>
      <c r="H547" s="15" t="n">
        <f aca="false">I547/G547</f>
        <v>1.75095043921154</v>
      </c>
      <c r="I547" s="0" t="n">
        <f aca="false">I546</f>
        <v>6103264212.87154</v>
      </c>
      <c r="J547" s="85"/>
      <c r="K547" s="85"/>
      <c r="L547" s="85"/>
      <c r="M547" s="85"/>
      <c r="N547" s="85"/>
      <c r="O547" s="85"/>
      <c r="P547" s="85"/>
      <c r="Q547" s="85"/>
      <c r="R547" s="85"/>
      <c r="S547" s="85"/>
    </row>
    <row r="548" customFormat="false" ht="15" hidden="false" customHeight="false" outlineLevel="0" collapsed="false">
      <c r="F548" s="99" t="n">
        <f aca="false">H548/G548</f>
        <v>4.78120984509891E-010</v>
      </c>
      <c r="G548" s="52" t="n">
        <f aca="false">G547*(1+$O$1)</f>
        <v>3572828606.73678</v>
      </c>
      <c r="H548" s="15" t="n">
        <f aca="false">I548/G548</f>
        <v>1.70824433093809</v>
      </c>
      <c r="I548" s="0" t="n">
        <f aca="false">I547</f>
        <v>6103264212.87154</v>
      </c>
      <c r="J548" s="85"/>
      <c r="K548" s="85"/>
      <c r="L548" s="85"/>
      <c r="M548" s="85"/>
      <c r="N548" s="85"/>
      <c r="O548" s="85"/>
      <c r="P548" s="85"/>
      <c r="Q548" s="85"/>
      <c r="R548" s="85"/>
      <c r="S548" s="85"/>
    </row>
    <row r="549" customFormat="false" ht="15" hidden="false" customHeight="false" outlineLevel="0" collapsed="false">
      <c r="F549" s="99" t="n">
        <f aca="false">H549/G549</f>
        <v>4.55082436178362E-010</v>
      </c>
      <c r="G549" s="52" t="n">
        <f aca="false">G548*(1+$O$1)</f>
        <v>3662149321.9052</v>
      </c>
      <c r="H549" s="15" t="n">
        <f aca="false">I549/G549</f>
        <v>1.66657983506155</v>
      </c>
      <c r="I549" s="0" t="n">
        <f aca="false">I548</f>
        <v>6103264212.87154</v>
      </c>
      <c r="J549" s="85"/>
      <c r="K549" s="85"/>
      <c r="L549" s="85"/>
      <c r="M549" s="85"/>
      <c r="N549" s="85"/>
      <c r="O549" s="85"/>
      <c r="P549" s="85"/>
      <c r="Q549" s="85"/>
      <c r="R549" s="85"/>
      <c r="S549" s="85"/>
    </row>
    <row r="550" customFormat="false" ht="15" hidden="false" customHeight="false" outlineLevel="0" collapsed="false">
      <c r="F550" s="99" t="n">
        <f aca="false">H550/G550</f>
        <v>4.3315401420903E-010</v>
      </c>
      <c r="G550" s="52" t="n">
        <f aca="false">G549*(1+$O$1)</f>
        <v>3753703054.95283</v>
      </c>
      <c r="H550" s="15" t="n">
        <f aca="false">I550/G550</f>
        <v>1.62593154640151</v>
      </c>
      <c r="I550" s="0" t="n">
        <f aca="false">I549</f>
        <v>6103264212.87154</v>
      </c>
      <c r="J550" s="85"/>
      <c r="K550" s="85"/>
      <c r="L550" s="85"/>
      <c r="M550" s="85"/>
      <c r="N550" s="85"/>
      <c r="O550" s="85"/>
      <c r="P550" s="85"/>
      <c r="Q550" s="85"/>
      <c r="R550" s="85"/>
      <c r="S550" s="85"/>
    </row>
    <row r="551" customFormat="false" ht="15" hidden="false" customHeight="false" outlineLevel="0" collapsed="false">
      <c r="F551" s="99" t="n">
        <f aca="false">H551/G551</f>
        <v>4.1228222649283E-010</v>
      </c>
      <c r="G551" s="52" t="n">
        <f aca="false">G550*(1+$O$1)</f>
        <v>3847545631.32665</v>
      </c>
      <c r="H551" s="15" t="n">
        <f aca="false">I551/G551</f>
        <v>1.58627467941611</v>
      </c>
      <c r="I551" s="0" t="n">
        <f aca="false">I550</f>
        <v>6103264212.87154</v>
      </c>
      <c r="J551" s="85"/>
      <c r="K551" s="85"/>
      <c r="L551" s="85"/>
      <c r="M551" s="85"/>
      <c r="N551" s="85"/>
      <c r="O551" s="85"/>
      <c r="P551" s="85"/>
      <c r="Q551" s="85"/>
      <c r="R551" s="85"/>
      <c r="S551" s="85"/>
    </row>
    <row r="552" customFormat="false" ht="15" hidden="false" customHeight="false" outlineLevel="0" collapsed="false">
      <c r="F552" s="99" t="n">
        <f aca="false">H552/G552</f>
        <v>3.92416158470273E-010</v>
      </c>
      <c r="G552" s="52" t="n">
        <f aca="false">G551*(1+$O$1)</f>
        <v>3943734272.10981</v>
      </c>
      <c r="H552" s="15" t="n">
        <f aca="false">I552/G552</f>
        <v>1.54758505308889</v>
      </c>
      <c r="I552" s="0" t="n">
        <f aca="false">I551</f>
        <v>6103264212.87154</v>
      </c>
      <c r="J552" s="85"/>
      <c r="K552" s="85"/>
      <c r="L552" s="85"/>
      <c r="M552" s="85"/>
      <c r="N552" s="85"/>
      <c r="O552" s="85"/>
      <c r="P552" s="85"/>
      <c r="Q552" s="85"/>
      <c r="R552" s="85"/>
      <c r="S552" s="85"/>
    </row>
    <row r="553" customFormat="false" ht="15" hidden="false" customHeight="false" outlineLevel="0" collapsed="false">
      <c r="F553" s="99" t="n">
        <f aca="false">H553/G553</f>
        <v>3.73507348930658E-010</v>
      </c>
      <c r="G553" s="52" t="n">
        <f aca="false">G552*(1+$O$1)</f>
        <v>4042327628.91256</v>
      </c>
      <c r="H553" s="15" t="n">
        <f aca="false">I553/G553</f>
        <v>1.50983907618428</v>
      </c>
      <c r="I553" s="0" t="n">
        <f aca="false">I552</f>
        <v>6103264212.87154</v>
      </c>
      <c r="J553" s="85"/>
      <c r="K553" s="85"/>
      <c r="L553" s="85"/>
      <c r="M553" s="85"/>
      <c r="N553" s="85"/>
      <c r="O553" s="85"/>
      <c r="P553" s="85"/>
      <c r="Q553" s="85"/>
      <c r="R553" s="85"/>
      <c r="S553" s="85"/>
    </row>
    <row r="554" customFormat="false" ht="15" hidden="false" customHeight="false" outlineLevel="0" collapsed="false">
      <c r="F554" s="99" t="n">
        <f aca="false">H554/G554</f>
        <v>3.55509671795986E-010</v>
      </c>
      <c r="G554" s="52" t="n">
        <f aca="false">G553*(1+$O$1)</f>
        <v>4143385819.63537</v>
      </c>
      <c r="H554" s="15" t="n">
        <f aca="false">I554/G554</f>
        <v>1.47301373286272</v>
      </c>
      <c r="I554" s="0" t="n">
        <f aca="false">I553</f>
        <v>6103264212.87154</v>
      </c>
      <c r="J554" s="85"/>
      <c r="K554" s="85"/>
      <c r="L554" s="85"/>
      <c r="M554" s="85"/>
      <c r="N554" s="85"/>
      <c r="O554" s="85"/>
      <c r="P554" s="85"/>
      <c r="Q554" s="85"/>
      <c r="R554" s="85"/>
      <c r="S554" s="85"/>
    </row>
    <row r="555" customFormat="false" ht="15" hidden="false" customHeight="false" outlineLevel="0" collapsed="false">
      <c r="F555" s="99" t="n">
        <f aca="false">H555/G555</f>
        <v>3.38379223601177E-010</v>
      </c>
      <c r="G555" s="52" t="n">
        <f aca="false">G554*(1+$O$1)</f>
        <v>4246970465.12626</v>
      </c>
      <c r="H555" s="15" t="n">
        <f aca="false">I555/G555</f>
        <v>1.43708656864655</v>
      </c>
      <c r="I555" s="0" t="n">
        <f aca="false">I554</f>
        <v>6103264212.87154</v>
      </c>
      <c r="J555" s="85"/>
      <c r="K555" s="85"/>
      <c r="L555" s="85"/>
      <c r="M555" s="85"/>
      <c r="N555" s="85"/>
      <c r="O555" s="85"/>
      <c r="P555" s="85"/>
      <c r="Q555" s="85"/>
      <c r="R555" s="85"/>
      <c r="S555" s="85"/>
    </row>
    <row r="556" customFormat="false" ht="15" hidden="false" customHeight="false" outlineLevel="0" collapsed="false">
      <c r="F556" s="99" t="n">
        <f aca="false">H556/G556</f>
        <v>3.22074216396123E-010</v>
      </c>
      <c r="G556" s="52" t="n">
        <f aca="false">G555*(1+$O$1)</f>
        <v>4353144726.75441</v>
      </c>
      <c r="H556" s="15" t="n">
        <f aca="false">I556/G556</f>
        <v>1.40203567672834</v>
      </c>
      <c r="I556" s="0" t="n">
        <f aca="false">I555</f>
        <v>6103264212.87154</v>
      </c>
      <c r="J556" s="85"/>
      <c r="K556" s="85"/>
      <c r="L556" s="85"/>
      <c r="M556" s="85"/>
      <c r="N556" s="85"/>
      <c r="O556" s="85"/>
      <c r="P556" s="85"/>
      <c r="Q556" s="85"/>
      <c r="R556" s="85"/>
      <c r="S556" s="85"/>
    </row>
    <row r="557" customFormat="false" ht="15" hidden="false" customHeight="false" outlineLevel="0" collapsed="false">
      <c r="F557" s="99" t="n">
        <f aca="false">H557/G557</f>
        <v>3.06554875808327E-010</v>
      </c>
      <c r="G557" s="52" t="n">
        <f aca="false">G556*(1+$O$1)</f>
        <v>4461973344.92327</v>
      </c>
      <c r="H557" s="15" t="n">
        <f aca="false">I557/G557</f>
        <v>1.36783968461302</v>
      </c>
      <c r="I557" s="0" t="n">
        <f aca="false">I556</f>
        <v>6103264212.87154</v>
      </c>
      <c r="J557" s="85"/>
      <c r="K557" s="85"/>
      <c r="L557" s="85"/>
      <c r="M557" s="85"/>
      <c r="N557" s="85"/>
      <c r="O557" s="85"/>
      <c r="P557" s="85"/>
      <c r="Q557" s="85"/>
      <c r="R557" s="85"/>
      <c r="S557" s="85"/>
    </row>
    <row r="558" customFormat="false" ht="15" hidden="false" customHeight="false" outlineLevel="0" collapsed="false">
      <c r="F558" s="99" t="n">
        <f aca="false">H558/G558</f>
        <v>2.91783344017444E-010</v>
      </c>
      <c r="G558" s="52" t="n">
        <f aca="false">G557*(1+$O$1)</f>
        <v>4573522678.54635</v>
      </c>
      <c r="H558" s="15" t="n">
        <f aca="false">I558/G558</f>
        <v>1.33447774108587</v>
      </c>
      <c r="I558" s="0" t="n">
        <f aca="false">I557</f>
        <v>6103264212.87154</v>
      </c>
      <c r="J558" s="85"/>
      <c r="K558" s="85"/>
      <c r="L558" s="85"/>
      <c r="M558" s="85"/>
      <c r="N558" s="85"/>
      <c r="O558" s="85"/>
      <c r="P558" s="85"/>
      <c r="Q558" s="85"/>
      <c r="R558" s="85"/>
      <c r="S558" s="85"/>
    </row>
    <row r="559" customFormat="false" ht="15" hidden="false" customHeight="false" outlineLevel="0" collapsed="false">
      <c r="F559" s="99" t="n">
        <f aca="false">H559/G559</f>
        <v>2.77723587405063E-010</v>
      </c>
      <c r="G559" s="52" t="n">
        <f aca="false">G558*(1+$O$1)</f>
        <v>4687860745.51001</v>
      </c>
      <c r="H559" s="15" t="n">
        <f aca="false">I559/G559</f>
        <v>1.30192950349841</v>
      </c>
      <c r="I559" s="0" t="n">
        <f aca="false">I558</f>
        <v>6103264212.87154</v>
      </c>
      <c r="J559" s="85"/>
      <c r="K559" s="85"/>
      <c r="L559" s="85"/>
      <c r="M559" s="85"/>
      <c r="N559" s="85"/>
      <c r="O559" s="85"/>
      <c r="P559" s="85"/>
      <c r="Q559" s="85"/>
      <c r="R559" s="85"/>
      <c r="S559" s="85"/>
    </row>
    <row r="560" customFormat="false" ht="15" hidden="false" customHeight="false" outlineLevel="0" collapsed="false">
      <c r="F560" s="99" t="n">
        <f aca="false">H560/G560</f>
        <v>2.64341308654432E-010</v>
      </c>
      <c r="G560" s="52" t="n">
        <f aca="false">G559*(1+$O$1)</f>
        <v>4805057264.14776</v>
      </c>
      <c r="H560" s="15" t="n">
        <f aca="false">I560/G560</f>
        <v>1.2701751253643</v>
      </c>
      <c r="I560" s="0" t="n">
        <f aca="false">I559</f>
        <v>6103264212.87154</v>
      </c>
      <c r="J560" s="85"/>
      <c r="K560" s="85"/>
      <c r="L560" s="85"/>
      <c r="M560" s="85"/>
      <c r="N560" s="85"/>
      <c r="O560" s="85"/>
      <c r="P560" s="85"/>
      <c r="Q560" s="85"/>
      <c r="R560" s="85"/>
      <c r="S560" s="85"/>
    </row>
    <row r="561" customFormat="false" ht="15" hidden="false" customHeight="false" outlineLevel="0" collapsed="false">
      <c r="F561" s="99" t="n">
        <f aca="false">H561/G561</f>
        <v>2.51603863085718E-010</v>
      </c>
      <c r="G561" s="52" t="n">
        <f aca="false">G560*(1+$O$1)</f>
        <v>4925183695.75145</v>
      </c>
      <c r="H561" s="15" t="n">
        <f aca="false">I561/G561</f>
        <v>1.23919524425786</v>
      </c>
      <c r="I561" s="0" t="n">
        <f aca="false">I560</f>
        <v>6103264212.87154</v>
      </c>
      <c r="J561" s="85"/>
      <c r="K561" s="85"/>
      <c r="L561" s="85"/>
      <c r="M561" s="85"/>
      <c r="N561" s="85"/>
      <c r="O561" s="85"/>
      <c r="P561" s="85"/>
      <c r="Q561" s="85"/>
      <c r="R561" s="85"/>
      <c r="S561" s="85"/>
    </row>
    <row r="562" customFormat="false" ht="15" hidden="false" customHeight="false" outlineLevel="0" collapsed="false">
      <c r="F562" s="99" t="n">
        <f aca="false">H562/G562</f>
        <v>2.39480179022694E-010</v>
      </c>
      <c r="G562" s="52" t="n">
        <f aca="false">G561*(1+$O$1)</f>
        <v>5048313288.14524</v>
      </c>
      <c r="H562" s="15" t="n">
        <f aca="false">I562/G562</f>
        <v>1.20897097000767</v>
      </c>
      <c r="I562" s="0" t="n">
        <f aca="false">I561</f>
        <v>6103264212.87154</v>
      </c>
      <c r="J562" s="85"/>
      <c r="K562" s="85"/>
      <c r="L562" s="85"/>
      <c r="M562" s="85"/>
      <c r="N562" s="85"/>
      <c r="O562" s="85"/>
      <c r="P562" s="85"/>
      <c r="Q562" s="85"/>
      <c r="R562" s="85"/>
      <c r="S562" s="85"/>
    </row>
    <row r="563" customFormat="false" ht="15" hidden="false" customHeight="false" outlineLevel="0" collapsed="false">
      <c r="F563" s="99" t="n">
        <f aca="false">H563/G563</f>
        <v>2.27940681996615E-010</v>
      </c>
      <c r="G563" s="52" t="n">
        <f aca="false">G562*(1+$O$1)</f>
        <v>5174521120.34887</v>
      </c>
      <c r="H563" s="15" t="n">
        <f aca="false">I563/G563</f>
        <v>1.17948387317821</v>
      </c>
      <c r="I563" s="0" t="n">
        <f aca="false">I562</f>
        <v>6103264212.87154</v>
      </c>
      <c r="J563" s="85"/>
      <c r="K563" s="85"/>
      <c r="L563" s="85"/>
      <c r="M563" s="85"/>
      <c r="N563" s="85"/>
      <c r="O563" s="85"/>
      <c r="P563" s="85"/>
      <c r="Q563" s="85"/>
      <c r="R563" s="85"/>
      <c r="S563" s="85"/>
    </row>
    <row r="564" customFormat="false" ht="15" hidden="false" customHeight="false" outlineLevel="0" collapsed="false">
      <c r="F564" s="99" t="n">
        <f aca="false">H564/G564</f>
        <v>2.1695722260237E-010</v>
      </c>
      <c r="G564" s="52" t="n">
        <f aca="false">G563*(1+$O$1)</f>
        <v>5303884148.35759</v>
      </c>
      <c r="H564" s="15" t="n">
        <f aca="false">I564/G564</f>
        <v>1.1507159738324</v>
      </c>
      <c r="I564" s="0" t="n">
        <f aca="false">I563</f>
        <v>6103264212.87154</v>
      </c>
      <c r="J564" s="85"/>
      <c r="K564" s="85"/>
      <c r="L564" s="85"/>
      <c r="M564" s="85"/>
      <c r="N564" s="85"/>
      <c r="O564" s="85"/>
      <c r="P564" s="85"/>
      <c r="Q564" s="85"/>
      <c r="R564" s="85"/>
      <c r="S564" s="85"/>
    </row>
    <row r="565" customFormat="false" ht="15" hidden="false" customHeight="false" outlineLevel="0" collapsed="false">
      <c r="F565" s="99" t="n">
        <f aca="false">H565/G565</f>
        <v>2.06503007830929E-010</v>
      </c>
      <c r="G565" s="52" t="n">
        <f aca="false">G564*(1+$O$1)</f>
        <v>5436481252.06653</v>
      </c>
      <c r="H565" s="15" t="n">
        <f aca="false">I565/G565</f>
        <v>1.1226497305682</v>
      </c>
      <c r="I565" s="0" t="n">
        <f aca="false">I564</f>
        <v>6103264212.87154</v>
      </c>
      <c r="J565" s="85"/>
      <c r="K565" s="85"/>
      <c r="L565" s="85"/>
      <c r="M565" s="85"/>
      <c r="N565" s="85"/>
      <c r="O565" s="85"/>
      <c r="P565" s="85"/>
      <c r="Q565" s="85"/>
      <c r="R565" s="85"/>
      <c r="S565" s="85"/>
    </row>
    <row r="566" customFormat="false" ht="15" hidden="false" customHeight="false" outlineLevel="0" collapsed="false">
      <c r="F566" s="99" t="n">
        <f aca="false">H566/G566</f>
        <v>1.96552535710581E-010</v>
      </c>
      <c r="G566" s="52" t="n">
        <f aca="false">G565*(1+$O$1)</f>
        <v>5572393283.36819</v>
      </c>
      <c r="H566" s="15" t="n">
        <f aca="false">I566/G566</f>
        <v>1.09526802982263</v>
      </c>
      <c r="I566" s="0" t="n">
        <f aca="false">I565</f>
        <v>6103264212.87154</v>
      </c>
      <c r="J566" s="85"/>
      <c r="K566" s="85"/>
      <c r="L566" s="85"/>
      <c r="M566" s="85"/>
      <c r="N566" s="85"/>
      <c r="O566" s="85"/>
      <c r="P566" s="85"/>
      <c r="Q566" s="85"/>
      <c r="R566" s="85"/>
      <c r="S566" s="85"/>
    </row>
    <row r="567" customFormat="false" ht="15" hidden="false" customHeight="false" outlineLevel="0" collapsed="false">
      <c r="F567" s="99" t="n">
        <f aca="false">H567/G567</f>
        <v>1.87081533097519E-010</v>
      </c>
      <c r="G567" s="52" t="n">
        <f aca="false">G566*(1+$O$1)</f>
        <v>5711703115.4524</v>
      </c>
      <c r="H567" s="15" t="n">
        <f aca="false">I567/G567</f>
        <v>1.06855417543671</v>
      </c>
      <c r="I567" s="0" t="n">
        <f aca="false">I566</f>
        <v>6103264212.87154</v>
      </c>
      <c r="J567" s="85"/>
      <c r="K567" s="85"/>
      <c r="L567" s="85"/>
      <c r="M567" s="85"/>
      <c r="N567" s="85"/>
      <c r="O567" s="85"/>
      <c r="P567" s="85"/>
      <c r="Q567" s="85"/>
      <c r="R567" s="85"/>
      <c r="S567" s="85"/>
    </row>
    <row r="568" customFormat="false" ht="15" hidden="false" customHeight="false" outlineLevel="0" collapsed="false">
      <c r="F568" s="99" t="n">
        <f aca="false">H568/G568</f>
        <v>1.78066896464028E-010</v>
      </c>
      <c r="G568" s="52" t="n">
        <f aca="false">G567*(1+$O$1)</f>
        <v>5854495693.33871</v>
      </c>
      <c r="H568" s="15" t="n">
        <f aca="false">I568/G568</f>
        <v>1.04249187847484</v>
      </c>
      <c r="I568" s="0" t="n">
        <f aca="false">I567</f>
        <v>6103264212.87154</v>
      </c>
      <c r="J568" s="85"/>
      <c r="K568" s="85"/>
      <c r="L568" s="85"/>
      <c r="M568" s="85"/>
      <c r="N568" s="85"/>
      <c r="O568" s="85"/>
      <c r="P568" s="85"/>
      <c r="Q568" s="85"/>
      <c r="R568" s="85"/>
      <c r="S568" s="85"/>
    </row>
    <row r="569" customFormat="false" ht="15" hidden="false" customHeight="false" outlineLevel="0" collapsed="false">
      <c r="F569" s="99" t="n">
        <f aca="false">H569/G569</f>
        <v>1.69486635539824E-010</v>
      </c>
      <c r="G569" s="52" t="n">
        <f aca="false">G568*(1+$O$1)</f>
        <v>6000858085.67218</v>
      </c>
      <c r="H569" s="15" t="n">
        <f aca="false">I569/G569</f>
        <v>1.01706524729253</v>
      </c>
      <c r="I569" s="0" t="n">
        <f aca="false">I568</f>
        <v>6103264212.87154</v>
      </c>
      <c r="J569" s="85"/>
      <c r="K569" s="85"/>
      <c r="L569" s="85"/>
      <c r="M569" s="85"/>
      <c r="N569" s="85"/>
      <c r="O569" s="85"/>
      <c r="P569" s="85"/>
      <c r="Q569" s="85"/>
      <c r="R569" s="85"/>
      <c r="S569" s="85"/>
    </row>
    <row r="570" customFormat="false" ht="15" hidden="false" customHeight="false" outlineLevel="0" collapsed="false">
      <c r="F570" s="99" t="n">
        <f aca="false">H570/G570</f>
        <v>1.61319819669077E-010</v>
      </c>
      <c r="G570" s="52" t="n">
        <f aca="false">G569*(1+$O$1)</f>
        <v>6150879537.81398</v>
      </c>
      <c r="H570" s="15" t="n">
        <f aca="false">I570/G570</f>
        <v>0.99225877784637</v>
      </c>
      <c r="I570" s="0" t="n">
        <f aca="false">I569</f>
        <v>6103264212.87154</v>
      </c>
      <c r="J570" s="85"/>
      <c r="K570" s="85"/>
      <c r="L570" s="85"/>
      <c r="M570" s="85"/>
      <c r="N570" s="85"/>
      <c r="O570" s="85"/>
      <c r="P570" s="85"/>
      <c r="Q570" s="85"/>
      <c r="R570" s="85"/>
      <c r="S570" s="85"/>
    </row>
    <row r="571" customFormat="false" ht="15" hidden="false" customHeight="false" outlineLevel="0" collapsed="false">
      <c r="F571" s="99" t="n">
        <f aca="false">H571/G571</f>
        <v>1.53546526752245E-010</v>
      </c>
      <c r="G571" s="52" t="n">
        <f aca="false">G570*(1+$O$1)</f>
        <v>6304651526.25933</v>
      </c>
      <c r="H571" s="15" t="n">
        <f aca="false">I571/G571</f>
        <v>0.968057344240361</v>
      </c>
      <c r="I571" s="0" t="n">
        <f aca="false">I570</f>
        <v>6103264212.87154</v>
      </c>
      <c r="J571" s="85"/>
      <c r="K571" s="85"/>
      <c r="L571" s="85"/>
      <c r="M571" s="85"/>
      <c r="N571" s="85"/>
      <c r="O571" s="85"/>
      <c r="P571" s="85"/>
      <c r="Q571" s="85"/>
      <c r="R571" s="85"/>
      <c r="S571" s="85"/>
    </row>
    <row r="572" customFormat="false" ht="15" hidden="false" customHeight="false" outlineLevel="0" collapsed="false">
      <c r="F572" s="99" t="n">
        <f aca="false">H572/G572</f>
        <v>1.46147794648181E-010</v>
      </c>
      <c r="G572" s="52" t="n">
        <f aca="false">G571*(1+$O$1)</f>
        <v>6462267814.41581</v>
      </c>
      <c r="H572" s="15" t="n">
        <f aca="false">I572/G572</f>
        <v>0.944446189502791</v>
      </c>
      <c r="I572" s="0" t="n">
        <f aca="false">I571</f>
        <v>6103264212.87154</v>
      </c>
      <c r="J572" s="85"/>
      <c r="K572" s="85"/>
      <c r="L572" s="85"/>
      <c r="M572" s="85"/>
      <c r="N572" s="85"/>
      <c r="O572" s="85"/>
      <c r="P572" s="85"/>
      <c r="Q572" s="85"/>
      <c r="R572" s="85"/>
      <c r="S572" s="85"/>
    </row>
    <row r="573" customFormat="false" ht="15" hidden="false" customHeight="false" outlineLevel="0" collapsed="false">
      <c r="F573" s="99" t="n">
        <f aca="false">H573/G573</f>
        <v>1.39105574917959E-010</v>
      </c>
      <c r="G573" s="52" t="n">
        <f aca="false">G572*(1+$O$1)</f>
        <v>6623824509.77621</v>
      </c>
      <c r="H573" s="15" t="n">
        <f aca="false">I573/G573</f>
        <v>0.921410916588089</v>
      </c>
      <c r="I573" s="0" t="n">
        <f aca="false">I572</f>
        <v>6103264212.87154</v>
      </c>
      <c r="J573" s="85"/>
      <c r="K573" s="85"/>
      <c r="L573" s="85"/>
      <c r="M573" s="85"/>
      <c r="N573" s="85"/>
      <c r="O573" s="85"/>
      <c r="P573" s="85"/>
      <c r="Q573" s="85"/>
      <c r="R573" s="85"/>
      <c r="S573" s="85"/>
    </row>
    <row r="574" customFormat="false" ht="15" hidden="false" customHeight="false" outlineLevel="0" collapsed="false">
      <c r="F574" s="99" t="n">
        <f aca="false">H574/G574</f>
        <v>1.32402688797582E-010</v>
      </c>
      <c r="G574" s="52" t="n">
        <f aca="false">G573*(1+$O$1)</f>
        <v>6789420122.52061</v>
      </c>
      <c r="H574" s="15" t="n">
        <f aca="false">I574/G574</f>
        <v>0.898937479598135</v>
      </c>
      <c r="I574" s="0" t="n">
        <f aca="false">I573</f>
        <v>6103264212.87154</v>
      </c>
      <c r="J574" s="85"/>
      <c r="K574" s="85"/>
      <c r="L574" s="85"/>
      <c r="M574" s="85"/>
      <c r="N574" s="85"/>
      <c r="O574" s="85"/>
      <c r="P574" s="85"/>
      <c r="Q574" s="85"/>
      <c r="R574" s="85"/>
      <c r="S574" s="85"/>
    </row>
    <row r="575" customFormat="false" ht="15" hidden="false" customHeight="false" outlineLevel="0" collapsed="false">
      <c r="F575" s="99" t="n">
        <f aca="false">H575/G575</f>
        <v>1.26022785292166E-010</v>
      </c>
      <c r="G575" s="52" t="n">
        <f aca="false">G574*(1+$O$1)</f>
        <v>6959155625.58363</v>
      </c>
      <c r="H575" s="15" t="n">
        <f aca="false">I575/G575</f>
        <v>0.877012175217693</v>
      </c>
      <c r="I575" s="0" t="n">
        <f aca="false">I574</f>
        <v>6103264212.87154</v>
      </c>
      <c r="J575" s="85"/>
      <c r="K575" s="85"/>
      <c r="L575" s="85"/>
      <c r="M575" s="85"/>
      <c r="N575" s="85"/>
      <c r="O575" s="85"/>
      <c r="P575" s="85"/>
      <c r="Q575" s="85"/>
      <c r="R575" s="85"/>
      <c r="S575" s="85"/>
    </row>
    <row r="576" customFormat="false" ht="15" hidden="false" customHeight="false" outlineLevel="0" collapsed="false">
      <c r="F576" s="99" t="n">
        <f aca="false">H576/G576</f>
        <v>1.1995030128939E-010</v>
      </c>
      <c r="G576" s="52" t="n">
        <f aca="false">G575*(1+$O$1)</f>
        <v>7133134516.22322</v>
      </c>
      <c r="H576" s="15" t="n">
        <f aca="false">I576/G576</f>
        <v>0.855621634358725</v>
      </c>
      <c r="I576" s="0" t="n">
        <f aca="false">I575</f>
        <v>6103264212.87154</v>
      </c>
      <c r="J576" s="85"/>
      <c r="K576" s="85"/>
      <c r="L576" s="85"/>
      <c r="M576" s="85"/>
      <c r="N576" s="85"/>
      <c r="O576" s="85"/>
      <c r="P576" s="85"/>
      <c r="Q576" s="85"/>
      <c r="R576" s="85"/>
      <c r="S576" s="85"/>
    </row>
    <row r="577" customFormat="false" ht="15" hidden="false" customHeight="false" outlineLevel="0" collapsed="false">
      <c r="F577" s="99" t="n">
        <f aca="false">H577/G577</f>
        <v>1.14170423594899E-010</v>
      </c>
      <c r="G577" s="52" t="n">
        <f aca="false">G576*(1+$O$1)</f>
        <v>7311462879.12879</v>
      </c>
      <c r="H577" s="15" t="n">
        <f aca="false">I577/G577</f>
        <v>0.834752814008512</v>
      </c>
      <c r="I577" s="0" t="n">
        <f aca="false">I576</f>
        <v>6103264212.87154</v>
      </c>
      <c r="J577" s="85"/>
      <c r="K577" s="85"/>
      <c r="L577" s="85"/>
      <c r="M577" s="85"/>
      <c r="N577" s="85"/>
      <c r="O577" s="85"/>
      <c r="P577" s="85"/>
      <c r="Q577" s="85"/>
      <c r="R577" s="85"/>
      <c r="S577" s="85"/>
    </row>
    <row r="578" customFormat="false" ht="15" hidden="false" customHeight="false" outlineLevel="0" collapsed="false">
      <c r="F578" s="99" t="n">
        <f aca="false">H578/G578</f>
        <v>1.08669052797048E-010</v>
      </c>
      <c r="G578" s="52" t="n">
        <f aca="false">G577*(1+$O$1)</f>
        <v>7494249451.10701</v>
      </c>
      <c r="H578" s="15" t="n">
        <f aca="false">I578/G578</f>
        <v>0.814392989276598</v>
      </c>
      <c r="I578" s="0" t="n">
        <f aca="false">I577</f>
        <v>6103264212.87154</v>
      </c>
      <c r="J578" s="85"/>
      <c r="K578" s="85"/>
      <c r="L578" s="85"/>
      <c r="M578" s="85"/>
      <c r="N578" s="85"/>
      <c r="O578" s="85"/>
      <c r="P578" s="85"/>
      <c r="Q578" s="85"/>
      <c r="R578" s="85"/>
      <c r="S578" s="85"/>
    </row>
    <row r="579" customFormat="false" ht="15" hidden="false" customHeight="false" outlineLevel="0" collapsed="false">
      <c r="F579" s="99" t="n">
        <f aca="false">H579/G579</f>
        <v>1.0343276887286E-010</v>
      </c>
      <c r="G579" s="52" t="n">
        <f aca="false">G578*(1+$O$1)</f>
        <v>7681605687.38469</v>
      </c>
      <c r="H579" s="15" t="n">
        <f aca="false">I579/G579</f>
        <v>0.794529745635705</v>
      </c>
      <c r="I579" s="0" t="n">
        <f aca="false">I578</f>
        <v>6103264212.87154</v>
      </c>
      <c r="J579" s="85"/>
      <c r="K579" s="85"/>
      <c r="L579" s="85"/>
      <c r="M579" s="85"/>
      <c r="N579" s="85"/>
      <c r="O579" s="85"/>
      <c r="P579" s="85"/>
      <c r="Q579" s="85"/>
      <c r="R579" s="85"/>
      <c r="S579" s="85"/>
    </row>
    <row r="580" customFormat="false" ht="15" hidden="false" customHeight="false" outlineLevel="0" collapsed="false">
      <c r="F580" s="99" t="n">
        <f aca="false">H580/G580</f>
        <v>9.84487984512645E-011</v>
      </c>
      <c r="G580" s="52" t="n">
        <f aca="false">G579*(1+$O$1)</f>
        <v>7873645829.5693</v>
      </c>
      <c r="H580" s="15" t="n">
        <f aca="false">I580/G580</f>
        <v>0.775150971351907</v>
      </c>
      <c r="I580" s="0" t="n">
        <f aca="false">I579</f>
        <v>6103264212.87154</v>
      </c>
      <c r="J580" s="85"/>
      <c r="K580" s="85"/>
      <c r="L580" s="85"/>
      <c r="M580" s="85"/>
      <c r="N580" s="85"/>
      <c r="O580" s="85"/>
      <c r="P580" s="85"/>
      <c r="Q580" s="85"/>
      <c r="R580" s="85"/>
      <c r="S580" s="85"/>
    </row>
    <row r="581" customFormat="false" ht="15" hidden="false" customHeight="false" outlineLevel="0" collapsed="false">
      <c r="F581" s="99" t="n">
        <f aca="false">H581/G581</f>
        <v>9.37049836537913E-011</v>
      </c>
      <c r="G581" s="52" t="n">
        <f aca="false">G580*(1+$O$1)</f>
        <v>8070486975.30854</v>
      </c>
      <c r="H581" s="15" t="n">
        <f aca="false">I581/G581</f>
        <v>0.756244850099422</v>
      </c>
      <c r="I581" s="0" t="n">
        <f aca="false">I580</f>
        <v>6103264212.87154</v>
      </c>
      <c r="J581" s="85"/>
      <c r="K581" s="85"/>
      <c r="L581" s="85"/>
      <c r="M581" s="85"/>
      <c r="N581" s="85"/>
      <c r="O581" s="85"/>
      <c r="P581" s="85"/>
      <c r="Q581" s="85"/>
      <c r="R581" s="85"/>
      <c r="S581" s="85"/>
    </row>
    <row r="582" customFormat="false" ht="15" hidden="false" customHeight="false" outlineLevel="0" collapsed="false">
      <c r="F582" s="99" t="n">
        <f aca="false">H582/G582</f>
        <v>8.91897524366842E-011</v>
      </c>
      <c r="G582" s="52" t="n">
        <f aca="false">G581*(1+$O$1)</f>
        <v>8272249149.69125</v>
      </c>
      <c r="H582" s="15" t="n">
        <f aca="false">I582/G582</f>
        <v>0.737799853755534</v>
      </c>
      <c r="I582" s="0" t="n">
        <f aca="false">I581</f>
        <v>6103264212.87154</v>
      </c>
      <c r="J582" s="85"/>
      <c r="K582" s="85"/>
      <c r="L582" s="85"/>
      <c r="M582" s="85"/>
      <c r="N582" s="85"/>
      <c r="O582" s="85"/>
      <c r="P582" s="85"/>
      <c r="Q582" s="85"/>
      <c r="R582" s="85"/>
      <c r="S582" s="85"/>
    </row>
    <row r="583" customFormat="false" ht="15" hidden="false" customHeight="false" outlineLevel="0" collapsed="false">
      <c r="F583" s="99" t="n">
        <f aca="false">H583/G583</f>
        <v>8.48920903621027E-011</v>
      </c>
      <c r="G583" s="52" t="n">
        <f aca="false">G582*(1+$O$1)</f>
        <v>8479055378.43353</v>
      </c>
      <c r="H583" s="15" t="n">
        <f aca="false">I583/G583</f>
        <v>0.719804735371252</v>
      </c>
      <c r="I583" s="0" t="n">
        <f aca="false">I582</f>
        <v>6103264212.87154</v>
      </c>
      <c r="J583" s="85"/>
      <c r="K583" s="85"/>
      <c r="L583" s="85"/>
      <c r="M583" s="85"/>
      <c r="N583" s="85"/>
      <c r="O583" s="85"/>
      <c r="P583" s="85"/>
      <c r="Q583" s="85"/>
      <c r="R583" s="85"/>
      <c r="S583" s="85"/>
    </row>
    <row r="584" customFormat="false" ht="15" hidden="false" customHeight="false" outlineLevel="0" collapsed="false">
      <c r="F584" s="99" t="n">
        <f aca="false">H584/G584</f>
        <v>8.08015137295446E-011</v>
      </c>
      <c r="G584" s="52" t="n">
        <f aca="false">G583*(1+$O$1)</f>
        <v>8691031762.89437</v>
      </c>
      <c r="H584" s="15" t="n">
        <f aca="false">I584/G584</f>
        <v>0.702248522313417</v>
      </c>
      <c r="I584" s="0" t="n">
        <f aca="false">I583</f>
        <v>6103264212.87154</v>
      </c>
      <c r="J584" s="85"/>
      <c r="K584" s="85"/>
      <c r="L584" s="85"/>
      <c r="M584" s="85"/>
      <c r="N584" s="85"/>
      <c r="O584" s="85"/>
      <c r="P584" s="85"/>
      <c r="Q584" s="85"/>
      <c r="R584" s="85"/>
      <c r="S584" s="85"/>
    </row>
    <row r="585" customFormat="false" ht="15" hidden="false" customHeight="false" outlineLevel="0" collapsed="false">
      <c r="F585" s="99" t="n">
        <f aca="false">H585/G585</f>
        <v>7.6908044001946E-011</v>
      </c>
      <c r="G585" s="52" t="n">
        <f aca="false">G584*(1+$O$1)</f>
        <v>8908307556.96673</v>
      </c>
      <c r="H585" s="15" t="n">
        <f aca="false">I585/G585</f>
        <v>0.685120509574065</v>
      </c>
      <c r="I585" s="0" t="n">
        <f aca="false">I584</f>
        <v>6103264212.87154</v>
      </c>
      <c r="J585" s="85"/>
      <c r="K585" s="85"/>
      <c r="L585" s="85"/>
      <c r="M585" s="85"/>
      <c r="N585" s="85"/>
      <c r="O585" s="85"/>
      <c r="P585" s="85"/>
      <c r="Q585" s="85"/>
      <c r="R585" s="85"/>
      <c r="S585" s="85"/>
    </row>
    <row r="586" customFormat="false" ht="15" hidden="false" customHeight="false" outlineLevel="0" collapsed="false">
      <c r="F586" s="99" t="n">
        <f aca="false">H586/G586</f>
        <v>7.32021834640771E-011</v>
      </c>
      <c r="G586" s="52" t="n">
        <f aca="false">G585*(1+$O$1)</f>
        <v>9131015245.89089</v>
      </c>
      <c r="H586" s="15" t="n">
        <f aca="false">I586/G586</f>
        <v>0.668410253242991</v>
      </c>
      <c r="I586" s="0" t="n">
        <f aca="false">I585</f>
        <v>6103264212.87154</v>
      </c>
      <c r="J586" s="85"/>
      <c r="K586" s="85"/>
      <c r="L586" s="85"/>
      <c r="M586" s="85"/>
      <c r="N586" s="85"/>
      <c r="O586" s="85"/>
      <c r="P586" s="85"/>
      <c r="Q586" s="85"/>
      <c r="R586" s="85"/>
      <c r="S586" s="85"/>
    </row>
    <row r="587" customFormat="false" ht="15" hidden="false" customHeight="false" outlineLevel="0" collapsed="false">
      <c r="F587" s="99" t="n">
        <f aca="false">H587/G587</f>
        <v>6.96748920538509E-011</v>
      </c>
      <c r="G587" s="52" t="n">
        <f aca="false">G586*(1+$O$1)</f>
        <v>9359290627.03817</v>
      </c>
      <c r="H587" s="15" t="n">
        <f aca="false">I587/G587</f>
        <v>0.652107564139503</v>
      </c>
      <c r="I587" s="0" t="n">
        <f aca="false">I586</f>
        <v>6103264212.87154</v>
      </c>
      <c r="J587" s="85"/>
      <c r="K587" s="85"/>
      <c r="L587" s="85"/>
      <c r="M587" s="85"/>
      <c r="N587" s="85"/>
      <c r="O587" s="85"/>
      <c r="P587" s="85"/>
      <c r="Q587" s="85"/>
      <c r="R587" s="85"/>
      <c r="S587" s="85"/>
    </row>
    <row r="588" customFormat="false" ht="15" hidden="false" customHeight="false" outlineLevel="0" collapsed="false">
      <c r="F588" s="99" t="n">
        <f aca="false">H588/G588</f>
        <v>6.63175653100307E-011</v>
      </c>
      <c r="G588" s="52" t="n">
        <f aca="false">G587*(1+$O$1)</f>
        <v>9593272892.71412</v>
      </c>
      <c r="H588" s="15" t="n">
        <f aca="false">I588/G588</f>
        <v>0.636202501599515</v>
      </c>
      <c r="I588" s="0" t="n">
        <f aca="false">I587</f>
        <v>6103264212.87154</v>
      </c>
      <c r="J588" s="85"/>
      <c r="K588" s="85"/>
      <c r="L588" s="85"/>
      <c r="M588" s="85"/>
      <c r="N588" s="85"/>
      <c r="O588" s="85"/>
      <c r="P588" s="85"/>
      <c r="Q588" s="85"/>
      <c r="R588" s="85"/>
      <c r="S588" s="85"/>
    </row>
    <row r="589" customFormat="false" ht="15" hidden="false" customHeight="false" outlineLevel="0" collapsed="false">
      <c r="F589" s="99" t="n">
        <f aca="false">H589/G589</f>
        <v>6.31220133825396E-011</v>
      </c>
      <c r="G589" s="52" t="n">
        <f aca="false">G588*(1+$O$1)</f>
        <v>9833104715.03197</v>
      </c>
      <c r="H589" s="15" t="n">
        <f aca="false">I589/G589</f>
        <v>0.620685367414161</v>
      </c>
      <c r="I589" s="0" t="n">
        <f aca="false">I588</f>
        <v>6103264212.87154</v>
      </c>
      <c r="J589" s="85"/>
      <c r="K589" s="85"/>
      <c r="L589" s="85"/>
      <c r="M589" s="85"/>
      <c r="N589" s="85"/>
      <c r="O589" s="85"/>
      <c r="P589" s="85"/>
      <c r="Q589" s="85"/>
      <c r="R589" s="85"/>
      <c r="S589" s="85"/>
    </row>
    <row r="590" customFormat="false" ht="15" hidden="false" customHeight="false" outlineLevel="0" collapsed="false">
      <c r="F590" s="99" t="n">
        <f aca="false">H590/G590</f>
        <v>6.00804410541721E-011</v>
      </c>
      <c r="G590" s="52" t="n">
        <f aca="false">G589*(1+$O$1)</f>
        <v>10078932332.9078</v>
      </c>
      <c r="H590" s="15" t="n">
        <f aca="false">I590/G590</f>
        <v>0.605546699916255</v>
      </c>
      <c r="I590" s="0" t="n">
        <f aca="false">I589</f>
        <v>6103264212.87154</v>
      </c>
      <c r="J590" s="85"/>
      <c r="K590" s="85"/>
      <c r="L590" s="85"/>
      <c r="M590" s="85"/>
      <c r="N590" s="85"/>
      <c r="O590" s="85"/>
      <c r="P590" s="85"/>
      <c r="Q590" s="85"/>
      <c r="R590" s="85"/>
      <c r="S590" s="85"/>
    </row>
    <row r="591" customFormat="false" ht="15" hidden="false" customHeight="false" outlineLevel="0" collapsed="false">
      <c r="F591" s="99" t="n">
        <f aca="false">H591/G591</f>
        <v>5.71854287249705E-011</v>
      </c>
      <c r="G591" s="52" t="n">
        <f aca="false">G590*(1+$O$1)</f>
        <v>10330905641.2305</v>
      </c>
      <c r="H591" s="15" t="n">
        <f aca="false">I591/G591</f>
        <v>0.59077726821098</v>
      </c>
      <c r="I591" s="0" t="n">
        <f aca="false">I590</f>
        <v>6103264212.87154</v>
      </c>
      <c r="J591" s="85"/>
      <c r="K591" s="85"/>
      <c r="L591" s="85"/>
      <c r="M591" s="85"/>
      <c r="N591" s="85"/>
      <c r="O591" s="85"/>
      <c r="P591" s="85"/>
      <c r="Q591" s="85"/>
      <c r="R591" s="85"/>
      <c r="S591" s="85"/>
    </row>
    <row r="592" customFormat="false" ht="15" hidden="false" customHeight="false" outlineLevel="0" collapsed="false">
      <c r="F592" s="99" t="n">
        <f aca="false">H592/G592</f>
        <v>5.4429914312881E-011</v>
      </c>
      <c r="G592" s="52" t="n">
        <f aca="false">G591*(1+$O$1)</f>
        <v>10589178282.2612</v>
      </c>
      <c r="H592" s="15" t="n">
        <f aca="false">I592/G592</f>
        <v>0.576368066547298</v>
      </c>
      <c r="I592" s="0" t="n">
        <f aca="false">I591</f>
        <v>6103264212.87154</v>
      </c>
      <c r="J592" s="85"/>
      <c r="K592" s="85"/>
      <c r="L592" s="85"/>
      <c r="M592" s="85"/>
      <c r="N592" s="85"/>
      <c r="O592" s="85"/>
      <c r="P592" s="85"/>
      <c r="Q592" s="85"/>
      <c r="R592" s="85"/>
      <c r="S592" s="85"/>
    </row>
    <row r="593" customFormat="false" ht="15" hidden="false" customHeight="false" outlineLevel="0" collapsed="false">
      <c r="F593" s="99" t="n">
        <f aca="false">H593/G593</f>
        <v>5.18071760265375E-011</v>
      </c>
      <c r="G593" s="52" t="n">
        <f aca="false">G592*(1+$O$1)</f>
        <v>10853907739.3178</v>
      </c>
      <c r="H593" s="15" t="n">
        <f aca="false">I593/G593</f>
        <v>0.562310308826632</v>
      </c>
      <c r="I593" s="0" t="n">
        <f aca="false">I592</f>
        <v>6103264212.87154</v>
      </c>
      <c r="J593" s="85"/>
      <c r="K593" s="85"/>
      <c r="L593" s="85"/>
      <c r="M593" s="85"/>
      <c r="N593" s="85"/>
      <c r="O593" s="85"/>
      <c r="P593" s="85"/>
      <c r="Q593" s="85"/>
      <c r="R593" s="85"/>
      <c r="S593" s="85"/>
    </row>
    <row r="594" customFormat="false" ht="15" hidden="false" customHeight="false" outlineLevel="0" collapsed="false">
      <c r="F594" s="99" t="n">
        <f aca="false">H594/G594</f>
        <v>4.93108159681499E-011</v>
      </c>
      <c r="G594" s="52" t="n">
        <f aca="false">G593*(1+$O$1)</f>
        <v>11125255432.8007</v>
      </c>
      <c r="H594" s="15" t="n">
        <f aca="false">I594/G594</f>
        <v>0.548595423245495</v>
      </c>
      <c r="I594" s="0" t="n">
        <f aca="false">I593</f>
        <v>6103264212.87154</v>
      </c>
      <c r="J594" s="85"/>
      <c r="K594" s="85"/>
      <c r="L594" s="85"/>
      <c r="M594" s="85"/>
      <c r="N594" s="85"/>
      <c r="O594" s="85"/>
      <c r="P594" s="85"/>
      <c r="Q594" s="85"/>
      <c r="R594" s="85"/>
      <c r="S594" s="85"/>
    </row>
    <row r="595" customFormat="false" ht="15" hidden="false" customHeight="false" outlineLevel="0" collapsed="false">
      <c r="F595" s="99" t="n">
        <f aca="false">H595/G595</f>
        <v>4.69347445264961E-011</v>
      </c>
      <c r="G595" s="52" t="n">
        <f aca="false">G594*(1+$O$1)</f>
        <v>11403386818.6207</v>
      </c>
      <c r="H595" s="15" t="n">
        <f aca="false">I595/G595</f>
        <v>0.535215047068776</v>
      </c>
      <c r="I595" s="0" t="n">
        <f aca="false">I594</f>
        <v>6103264212.87154</v>
      </c>
      <c r="J595" s="85"/>
      <c r="K595" s="85"/>
      <c r="L595" s="85"/>
      <c r="M595" s="85"/>
      <c r="N595" s="85"/>
      <c r="O595" s="85"/>
      <c r="P595" s="85"/>
      <c r="Q595" s="85"/>
      <c r="R595" s="85"/>
      <c r="S595" s="85"/>
    </row>
    <row r="596" customFormat="false" ht="15" hidden="false" customHeight="false" outlineLevel="0" collapsed="false">
      <c r="F596" s="99" t="n">
        <f aca="false">H596/G596</f>
        <v>4.46731655219475E-011</v>
      </c>
      <c r="G596" s="52" t="n">
        <f aca="false">G595*(1+$O$1)</f>
        <v>11688471489.0862</v>
      </c>
      <c r="H596" s="15" t="n">
        <f aca="false">I596/G596</f>
        <v>0.522161021530513</v>
      </c>
      <c r="I596" s="0" t="n">
        <f aca="false">I595</f>
        <v>6103264212.87154</v>
      </c>
      <c r="J596" s="85"/>
      <c r="K596" s="85"/>
      <c r="L596" s="85"/>
      <c r="M596" s="85"/>
      <c r="N596" s="85"/>
      <c r="O596" s="85"/>
      <c r="P596" s="85"/>
      <c r="Q596" s="85"/>
      <c r="R596" s="85"/>
      <c r="S596" s="85"/>
    </row>
    <row r="597" customFormat="false" ht="15" hidden="false" customHeight="false" outlineLevel="0" collapsed="false">
      <c r="F597" s="99" t="n">
        <f aca="false">H597/G597</f>
        <v>4.25205620672909E-011</v>
      </c>
      <c r="G597" s="52" t="n">
        <f aca="false">G596*(1+$O$1)</f>
        <v>11980683276.3134</v>
      </c>
      <c r="H597" s="15" t="n">
        <f aca="false">I597/G597</f>
        <v>0.509425386859037</v>
      </c>
      <c r="I597" s="0" t="n">
        <f aca="false">I596</f>
        <v>6103264212.87154</v>
      </c>
      <c r="J597" s="85"/>
      <c r="K597" s="85"/>
      <c r="L597" s="85"/>
      <c r="M597" s="85"/>
      <c r="N597" s="85"/>
      <c r="O597" s="85"/>
      <c r="P597" s="85"/>
      <c r="Q597" s="85"/>
      <c r="R597" s="85"/>
      <c r="S597" s="85"/>
    </row>
    <row r="598" customFormat="false" ht="15" hidden="false" customHeight="false" outlineLevel="0" collapsed="false">
      <c r="F598" s="99" t="n">
        <f aca="false">H598/G598</f>
        <v>4.04716831098545E-011</v>
      </c>
      <c r="G598" s="52" t="n">
        <f aca="false">G597*(1+$O$1)</f>
        <v>12280200358.2212</v>
      </c>
      <c r="H598" s="15" t="n">
        <f aca="false">I598/G598</f>
        <v>0.497000377423451</v>
      </c>
      <c r="I598" s="0" t="n">
        <f aca="false">I597</f>
        <v>6103264212.87154</v>
      </c>
      <c r="J598" s="85"/>
      <c r="K598" s="85"/>
      <c r="L598" s="85"/>
      <c r="M598" s="85"/>
      <c r="N598" s="85"/>
      <c r="O598" s="85"/>
      <c r="P598" s="85"/>
      <c r="Q598" s="85"/>
      <c r="R598" s="85"/>
      <c r="S598" s="85"/>
    </row>
    <row r="599" customFormat="false" ht="15" hidden="false" customHeight="false" outlineLevel="0" collapsed="false">
      <c r="F599" s="99" t="n">
        <f aca="false">H599/G599</f>
        <v>3.85215306221102E-011</v>
      </c>
      <c r="G599" s="52" t="n">
        <f aca="false">G598*(1+$O$1)</f>
        <v>12587205367.1767</v>
      </c>
      <c r="H599" s="15" t="n">
        <f aca="false">I599/G599</f>
        <v>0.484878416998489</v>
      </c>
      <c r="I599" s="0" t="n">
        <f aca="false">I598</f>
        <v>6103264212.87154</v>
      </c>
      <c r="J599" s="85"/>
      <c r="K599" s="85"/>
      <c r="L599" s="85"/>
      <c r="M599" s="85"/>
      <c r="N599" s="85"/>
      <c r="O599" s="85"/>
      <c r="P599" s="85"/>
      <c r="Q599" s="85"/>
      <c r="R599" s="85"/>
      <c r="S599" s="85"/>
    </row>
    <row r="600" customFormat="false" ht="15" hidden="false" customHeight="false" outlineLevel="0" collapsed="false">
      <c r="F600" s="99" t="n">
        <f aca="false">H600/G600</f>
        <v>3.66653474095041E-011</v>
      </c>
      <c r="G600" s="52" t="n">
        <f aca="false">G599*(1+$O$1)</f>
        <v>12901885501.3562</v>
      </c>
      <c r="H600" s="15" t="n">
        <f aca="false">I600/G600</f>
        <v>0.473052114144867</v>
      </c>
      <c r="I600" s="0" t="n">
        <f aca="false">I599</f>
        <v>6103264212.87154</v>
      </c>
      <c r="J600" s="85"/>
      <c r="K600" s="85"/>
      <c r="L600" s="85"/>
      <c r="M600" s="85"/>
      <c r="N600" s="85"/>
      <c r="O600" s="85"/>
      <c r="P600" s="85"/>
      <c r="Q600" s="85"/>
      <c r="R600" s="85"/>
      <c r="S600" s="85"/>
    </row>
    <row r="601" customFormat="false" ht="15" hidden="false" customHeight="false" outlineLevel="0" collapsed="false">
      <c r="F601" s="99" t="n">
        <f aca="false">H601/G601</f>
        <v>3.48986055057742E-011</v>
      </c>
      <c r="G601" s="52" t="n">
        <f aca="false">G600*(1+$O$1)</f>
        <v>13224432638.8901</v>
      </c>
      <c r="H601" s="15" t="n">
        <f aca="false">I601/G601</f>
        <v>0.461514257702309</v>
      </c>
      <c r="I601" s="0" t="n">
        <f aca="false">I600</f>
        <v>6103264212.87154</v>
      </c>
      <c r="J601" s="85"/>
      <c r="K601" s="85"/>
      <c r="L601" s="85"/>
      <c r="M601" s="85"/>
      <c r="N601" s="85"/>
      <c r="O601" s="85"/>
      <c r="P601" s="85"/>
      <c r="Q601" s="85"/>
      <c r="R601" s="85"/>
      <c r="S601" s="85"/>
    </row>
    <row r="602" customFormat="false" ht="15" hidden="false" customHeight="false" outlineLevel="0" collapsed="false">
      <c r="F602" s="99" t="n">
        <f aca="false">H602/G602</f>
        <v>3.32169951274472E-011</v>
      </c>
      <c r="G602" s="52" t="n">
        <f aca="false">G601*(1+$O$1)</f>
        <v>13555043454.8623</v>
      </c>
      <c r="H602" s="15" t="n">
        <f aca="false">I602/G602</f>
        <v>0.450257812392497</v>
      </c>
      <c r="I602" s="0" t="n">
        <f aca="false">I601</f>
        <v>6103264212.87154</v>
      </c>
      <c r="J602" s="85"/>
      <c r="K602" s="85"/>
      <c r="L602" s="85"/>
      <c r="M602" s="85"/>
      <c r="N602" s="85"/>
      <c r="O602" s="85"/>
      <c r="P602" s="85"/>
      <c r="Q602" s="85"/>
      <c r="R602" s="85"/>
      <c r="S602" s="85"/>
    </row>
    <row r="603" customFormat="false" ht="15" hidden="false" customHeight="false" outlineLevel="0" collapsed="false">
      <c r="F603" s="99" t="n">
        <f aca="false">H603/G603</f>
        <v>3.16164141605685E-011</v>
      </c>
      <c r="G603" s="52" t="n">
        <f aca="false">G602*(1+$O$1)</f>
        <v>13893919541.2339</v>
      </c>
      <c r="H603" s="15" t="n">
        <f aca="false">I603/G603</f>
        <v>0.439275914529265</v>
      </c>
      <c r="I603" s="0" t="n">
        <f aca="false">I602</f>
        <v>6103264212.87154</v>
      </c>
      <c r="J603" s="85"/>
      <c r="K603" s="85"/>
      <c r="L603" s="85"/>
      <c r="M603" s="85"/>
      <c r="N603" s="85"/>
      <c r="O603" s="85"/>
      <c r="P603" s="85"/>
      <c r="Q603" s="85"/>
      <c r="R603" s="85"/>
      <c r="S603" s="85"/>
    </row>
    <row r="604" customFormat="false" ht="15" hidden="false" customHeight="false" outlineLevel="0" collapsed="false">
      <c r="F604" s="99" t="n">
        <f aca="false">H604/G604</f>
        <v>3.00929581540211E-011</v>
      </c>
      <c r="G604" s="52" t="n">
        <f aca="false">G603*(1+$O$1)</f>
        <v>14241267529.7647</v>
      </c>
      <c r="H604" s="15" t="n">
        <f aca="false">I604/G604</f>
        <v>0.42856186783343</v>
      </c>
      <c r="I604" s="0" t="n">
        <f aca="false">I603</f>
        <v>6103264212.87154</v>
      </c>
      <c r="J604" s="85"/>
      <c r="K604" s="85"/>
      <c r="L604" s="85"/>
      <c r="M604" s="85"/>
      <c r="N604" s="85"/>
      <c r="O604" s="85"/>
      <c r="P604" s="85"/>
      <c r="Q604" s="85"/>
      <c r="R604" s="85"/>
      <c r="S604" s="85"/>
    </row>
    <row r="605" customFormat="false" ht="15" hidden="false" customHeight="false" outlineLevel="0" collapsed="false">
      <c r="F605" s="99" t="n">
        <f aca="false">H605/G605</f>
        <v>2.86429107950231E-011</v>
      </c>
      <c r="G605" s="52" t="n">
        <f aca="false">G604*(1+$O$1)</f>
        <v>14597299218.0088</v>
      </c>
      <c r="H605" s="15" t="n">
        <f aca="false">I605/G605</f>
        <v>0.418109139349688</v>
      </c>
      <c r="I605" s="0" t="n">
        <f aca="false">I604</f>
        <v>6103264212.87154</v>
      </c>
      <c r="J605" s="85"/>
      <c r="K605" s="85"/>
      <c r="L605" s="85"/>
      <c r="M605" s="85"/>
      <c r="N605" s="85"/>
      <c r="O605" s="85"/>
      <c r="P605" s="85"/>
      <c r="Q605" s="85"/>
      <c r="R605" s="85"/>
      <c r="S605" s="85"/>
    </row>
    <row r="606" customFormat="false" ht="15" hidden="false" customHeight="false" outlineLevel="0" collapsed="false">
      <c r="F606" s="99" t="n">
        <f aca="false">H606/G606</f>
        <v>2.72627348435675E-011</v>
      </c>
      <c r="G606" s="52" t="n">
        <f aca="false">G605*(1+$O$1)</f>
        <v>14962231698.4591</v>
      </c>
      <c r="H606" s="15" t="n">
        <f aca="false">I606/G606</f>
        <v>0.40791135546311</v>
      </c>
      <c r="I606" s="0" t="n">
        <f aca="false">I605</f>
        <v>6103264212.87154</v>
      </c>
      <c r="J606" s="85"/>
      <c r="K606" s="85"/>
      <c r="L606" s="85"/>
      <c r="M606" s="85"/>
      <c r="N606" s="85"/>
      <c r="O606" s="85"/>
      <c r="P606" s="85"/>
      <c r="Q606" s="85"/>
      <c r="R606" s="85"/>
      <c r="S606" s="85"/>
    </row>
    <row r="607" customFormat="false" ht="15" hidden="false" customHeight="false" outlineLevel="0" collapsed="false">
      <c r="F607" s="99" t="n">
        <f aca="false">H607/G607</f>
        <v>2.5949063503693E-011</v>
      </c>
      <c r="G607" s="52" t="n">
        <f aca="false">G606*(1+$O$1)</f>
        <v>15336287490.9205</v>
      </c>
      <c r="H607" s="15" t="n">
        <f aca="false">I607/G607</f>
        <v>0.39796229801279</v>
      </c>
      <c r="I607" s="0" t="n">
        <f aca="false">I606</f>
        <v>6103264212.87154</v>
      </c>
      <c r="J607" s="85"/>
      <c r="K607" s="85"/>
      <c r="L607" s="85"/>
      <c r="M607" s="85"/>
      <c r="N607" s="85"/>
      <c r="O607" s="85"/>
      <c r="P607" s="85"/>
      <c r="Q607" s="85"/>
      <c r="R607" s="85"/>
      <c r="S607" s="85"/>
    </row>
    <row r="608" customFormat="false" ht="15" hidden="false" customHeight="false" outlineLevel="0" collapsed="false">
      <c r="F608" s="99" t="n">
        <f aca="false">H608/G608</f>
        <v>2.46986922105347E-011</v>
      </c>
      <c r="G608" s="52" t="n">
        <f aca="false">G607*(1+$O$1)</f>
        <v>15719694678.1935</v>
      </c>
      <c r="H608" s="15" t="n">
        <f aca="false">I608/G608</f>
        <v>0.388255900500283</v>
      </c>
      <c r="I608" s="0" t="n">
        <f aca="false">I607</f>
        <v>6103264212.87154</v>
      </c>
      <c r="J608" s="85"/>
      <c r="K608" s="85"/>
      <c r="L608" s="85"/>
      <c r="M608" s="85"/>
      <c r="N608" s="85"/>
      <c r="O608" s="85"/>
      <c r="P608" s="85"/>
      <c r="Q608" s="85"/>
      <c r="R608" s="85"/>
      <c r="S608" s="85"/>
    </row>
    <row r="609" customFormat="false" ht="15" hidden="false" customHeight="false" outlineLevel="0" collapsed="false">
      <c r="F609" s="99" t="n">
        <f aca="false">H609/G609</f>
        <v>2.35085708131205E-011</v>
      </c>
      <c r="G609" s="52" t="n">
        <f aca="false">G608*(1+$O$1)</f>
        <v>16112687045.1484</v>
      </c>
      <c r="H609" s="15" t="n">
        <f aca="false">I609/G609</f>
        <v>0.37878624439052</v>
      </c>
      <c r="I609" s="0" t="n">
        <f aca="false">I608</f>
        <v>6103264212.87154</v>
      </c>
      <c r="J609" s="85"/>
      <c r="K609" s="85"/>
      <c r="L609" s="85"/>
      <c r="M609" s="85"/>
      <c r="N609" s="85"/>
      <c r="O609" s="85"/>
      <c r="P609" s="85"/>
      <c r="Q609" s="85"/>
      <c r="R609" s="85"/>
      <c r="S609" s="85"/>
    </row>
    <row r="610" customFormat="false" ht="15" hidden="false" customHeight="false" outlineLevel="0" collapsed="false">
      <c r="F610" s="99" t="n">
        <f aca="false">H610/G610</f>
        <v>2.23757961338446E-011</v>
      </c>
      <c r="G610" s="52" t="n">
        <f aca="false">G609*(1+$O$1)</f>
        <v>16515504221.2771</v>
      </c>
      <c r="H610" s="15" t="n">
        <f aca="false">I610/G610</f>
        <v>0.369547555502946</v>
      </c>
      <c r="I610" s="0" t="n">
        <f aca="false">I609</f>
        <v>6103264212.87154</v>
      </c>
      <c r="J610" s="85"/>
      <c r="K610" s="85"/>
      <c r="L610" s="85"/>
      <c r="M610" s="85"/>
      <c r="N610" s="85"/>
      <c r="O610" s="85"/>
      <c r="P610" s="85"/>
      <c r="Q610" s="85"/>
      <c r="R610" s="85"/>
      <c r="S610" s="85"/>
    </row>
    <row r="611" customFormat="false" ht="15" hidden="false" customHeight="false" outlineLevel="0" collapsed="false">
      <c r="F611" s="99" t="n">
        <f aca="false">H611/G611</f>
        <v>2.12976048864672E-011</v>
      </c>
      <c r="G611" s="52" t="n">
        <f aca="false">G610*(1+$O$1)</f>
        <v>16928391826.809</v>
      </c>
      <c r="H611" s="15" t="n">
        <f aca="false">I611/G611</f>
        <v>0.36053420049068</v>
      </c>
      <c r="I611" s="0" t="n">
        <f aca="false">I610</f>
        <v>6103264212.87154</v>
      </c>
      <c r="J611" s="85"/>
      <c r="K611" s="85"/>
      <c r="L611" s="85"/>
      <c r="M611" s="85"/>
      <c r="N611" s="85"/>
      <c r="O611" s="85"/>
      <c r="P611" s="85"/>
      <c r="Q611" s="85"/>
      <c r="R611" s="85"/>
      <c r="S611" s="85"/>
    </row>
    <row r="612" customFormat="false" ht="15" hidden="false" customHeight="false" outlineLevel="0" collapsed="false">
      <c r="F612" s="99" t="n">
        <f aca="false">H612/G612</f>
        <v>2.02713669353644E-011</v>
      </c>
      <c r="G612" s="52" t="n">
        <f aca="false">G611*(1+$O$1)</f>
        <v>17351601622.4792</v>
      </c>
      <c r="H612" s="15" t="n">
        <f aca="false">I612/G612</f>
        <v>0.351740683405541</v>
      </c>
      <c r="I612" s="0" t="n">
        <f aca="false">I611</f>
        <v>6103264212.87154</v>
      </c>
      <c r="J612" s="85"/>
      <c r="K612" s="85"/>
      <c r="L612" s="85"/>
      <c r="M612" s="85"/>
      <c r="N612" s="85"/>
      <c r="O612" s="85"/>
      <c r="P612" s="85"/>
      <c r="Q612" s="85"/>
      <c r="R612" s="85"/>
      <c r="S612" s="85"/>
    </row>
    <row r="613" customFormat="false" ht="15" hidden="false" customHeight="false" outlineLevel="0" collapsed="false">
      <c r="F613" s="99" t="n">
        <f aca="false">H613/G613</f>
        <v>1.92945788795854E-011</v>
      </c>
      <c r="G613" s="52" t="n">
        <f aca="false">G612*(1+$O$1)</f>
        <v>17785391663.0412</v>
      </c>
      <c r="H613" s="15" t="n">
        <f aca="false">I613/G613</f>
        <v>0.343161642346869</v>
      </c>
      <c r="I613" s="0" t="n">
        <f aca="false">I612</f>
        <v>6103264212.87154</v>
      </c>
      <c r="J613" s="85"/>
      <c r="K613" s="85"/>
      <c r="L613" s="85"/>
      <c r="M613" s="85"/>
      <c r="N613" s="85"/>
      <c r="O613" s="85"/>
      <c r="P613" s="85"/>
      <c r="Q613" s="85"/>
      <c r="R613" s="85"/>
      <c r="S613" s="85"/>
    </row>
    <row r="614" customFormat="false" ht="15" hidden="false" customHeight="false" outlineLevel="0" collapsed="false">
      <c r="F614" s="99" t="n">
        <f aca="false">H614/G614</f>
        <v>1.83648579460658E-011</v>
      </c>
      <c r="G614" s="52" t="n">
        <f aca="false">G613*(1+$O$1)</f>
        <v>18230026454.6172</v>
      </c>
      <c r="H614" s="15" t="n">
        <f aca="false">I614/G614</f>
        <v>0.334791846192068</v>
      </c>
      <c r="I614" s="0" t="n">
        <f aca="false">I613</f>
        <v>6103264212.87154</v>
      </c>
      <c r="J614" s="85"/>
      <c r="K614" s="85"/>
      <c r="L614" s="85"/>
      <c r="M614" s="85"/>
      <c r="N614" s="85"/>
      <c r="O614" s="85"/>
      <c r="P614" s="85"/>
      <c r="Q614" s="85"/>
      <c r="R614" s="85"/>
      <c r="S614" s="85"/>
    </row>
    <row r="615" customFormat="false" ht="15" hidden="false" customHeight="false" outlineLevel="0" collapsed="false">
      <c r="F615" s="99" t="n">
        <f aca="false">H615/G615</f>
        <v>1.74799361771001E-011</v>
      </c>
      <c r="G615" s="52" t="n">
        <f aca="false">G614*(1+$O$1)</f>
        <v>18685777115.9827</v>
      </c>
      <c r="H615" s="15" t="n">
        <f aca="false">I615/G615</f>
        <v>0.326626191406895</v>
      </c>
      <c r="I615" s="0" t="n">
        <f aca="false">I614</f>
        <v>6103264212.87154</v>
      </c>
      <c r="J615" s="85"/>
      <c r="K615" s="85"/>
      <c r="L615" s="85"/>
      <c r="M615" s="85"/>
      <c r="N615" s="85"/>
      <c r="O615" s="85"/>
      <c r="P615" s="85"/>
      <c r="Q615" s="85"/>
      <c r="R615" s="85"/>
      <c r="S615" s="85"/>
    </row>
    <row r="616" customFormat="false" ht="15" hidden="false" customHeight="false" outlineLevel="0" collapsed="false">
      <c r="F616" s="99" t="n">
        <f aca="false">H616/G616</f>
        <v>1.66376548978942E-011</v>
      </c>
      <c r="G616" s="52" t="n">
        <f aca="false">G615*(1+$O$1)</f>
        <v>19152921543.8822</v>
      </c>
      <c r="H616" s="15" t="n">
        <f aca="false">I616/G616</f>
        <v>0.318659698933556</v>
      </c>
      <c r="I616" s="0" t="n">
        <f aca="false">I615</f>
        <v>6103264212.87154</v>
      </c>
      <c r="J616" s="85"/>
      <c r="K616" s="85"/>
      <c r="L616" s="85"/>
      <c r="M616" s="85"/>
      <c r="N616" s="85"/>
      <c r="O616" s="85"/>
      <c r="P616" s="85"/>
      <c r="Q616" s="85"/>
      <c r="R616" s="85"/>
      <c r="S616" s="85"/>
    </row>
    <row r="617" customFormat="false" ht="15" hidden="false" customHeight="false" outlineLevel="0" collapsed="false">
      <c r="F617" s="99" t="n">
        <f aca="false">H617/G617</f>
        <v>1.58359594507024E-011</v>
      </c>
      <c r="G617" s="52" t="n">
        <f aca="false">G616*(1+$O$1)</f>
        <v>19631744582.4793</v>
      </c>
      <c r="H617" s="15" t="n">
        <f aca="false">I617/G617</f>
        <v>0.310887511154689</v>
      </c>
      <c r="I617" s="0" t="n">
        <f aca="false">I616</f>
        <v>6103264212.87154</v>
      </c>
      <c r="J617" s="85"/>
      <c r="K617" s="85"/>
      <c r="L617" s="85"/>
      <c r="M617" s="85"/>
      <c r="N617" s="85"/>
      <c r="O617" s="85"/>
      <c r="P617" s="85"/>
      <c r="Q617" s="85"/>
      <c r="R617" s="85"/>
      <c r="S617" s="85"/>
    </row>
    <row r="618" customFormat="false" ht="15" hidden="false" customHeight="false" outlineLevel="0" collapsed="false">
      <c r="F618" s="99" t="n">
        <f aca="false">H618/G618</f>
        <v>1.50728941827031E-011</v>
      </c>
      <c r="G618" s="52" t="n">
        <f aca="false">G617*(1+$O$1)</f>
        <v>20122538197.0413</v>
      </c>
      <c r="H618" s="15" t="n">
        <f aca="false">I618/G618</f>
        <v>0.303304888931404</v>
      </c>
      <c r="I618" s="0" t="n">
        <f aca="false">I617</f>
        <v>6103264212.87154</v>
      </c>
      <c r="J618" s="85"/>
      <c r="K618" s="85"/>
      <c r="L618" s="85"/>
      <c r="M618" s="85"/>
      <c r="N618" s="85"/>
      <c r="O618" s="85"/>
      <c r="P618" s="85"/>
      <c r="Q618" s="85"/>
      <c r="R618" s="85"/>
      <c r="S618" s="85"/>
    </row>
    <row r="619" customFormat="false" ht="15" hidden="false" customHeight="false" outlineLevel="0" collapsed="false">
      <c r="F619" s="99" t="n">
        <f aca="false">H619/G619</f>
        <v>1.43465976753866E-011</v>
      </c>
      <c r="G619" s="52" t="n">
        <f aca="false">G618*(1+$O$1)</f>
        <v>20625601651.9673</v>
      </c>
      <c r="H619" s="15" t="n">
        <f aca="false">I619/G619</f>
        <v>0.295907208713565</v>
      </c>
      <c r="I619" s="0" t="n">
        <f aca="false">I618</f>
        <v>6103264212.87154</v>
      </c>
      <c r="J619" s="85"/>
      <c r="K619" s="85"/>
      <c r="L619" s="85"/>
      <c r="M619" s="85"/>
      <c r="N619" s="85"/>
      <c r="O619" s="85"/>
      <c r="P619" s="85"/>
      <c r="Q619" s="85"/>
      <c r="R619" s="85"/>
      <c r="S619" s="85"/>
    </row>
    <row r="620" customFormat="false" ht="15" hidden="false" customHeight="false" outlineLevel="0" collapsed="false">
      <c r="F620" s="99" t="n">
        <f aca="false">H620/G620</f>
        <v>1.36552982038183E-011</v>
      </c>
      <c r="G620" s="52" t="n">
        <f aca="false">G619*(1+$O$1)</f>
        <v>21141241693.2665</v>
      </c>
      <c r="H620" s="15" t="n">
        <f aca="false">I620/G620</f>
        <v>0.288689959720551</v>
      </c>
      <c r="I620" s="0" t="n">
        <f aca="false">I619</f>
        <v>6103264212.87154</v>
      </c>
      <c r="J620" s="85"/>
      <c r="K620" s="85"/>
      <c r="L620" s="85"/>
      <c r="M620" s="85"/>
      <c r="N620" s="85"/>
      <c r="O620" s="85"/>
      <c r="P620" s="85"/>
      <c r="Q620" s="85"/>
      <c r="R620" s="85"/>
      <c r="S620" s="85"/>
    </row>
    <row r="621" customFormat="false" ht="15" hidden="false" customHeight="false" outlineLevel="0" collapsed="false">
      <c r="F621" s="99" t="n">
        <f aca="false">H621/G621</f>
        <v>1.29973094146992E-011</v>
      </c>
      <c r="G621" s="52" t="n">
        <f aca="false">G620*(1+$O$1)</f>
        <v>21669772735.5981</v>
      </c>
      <c r="H621" s="15" t="n">
        <f aca="false">I621/G621</f>
        <v>0.281648741190782</v>
      </c>
      <c r="I621" s="0" t="n">
        <f aca="false">I620</f>
        <v>6103264212.87154</v>
      </c>
      <c r="J621" s="85"/>
      <c r="K621" s="85"/>
      <c r="L621" s="85"/>
      <c r="M621" s="85"/>
      <c r="N621" s="85"/>
      <c r="O621" s="85"/>
      <c r="P621" s="85"/>
      <c r="Q621" s="85"/>
      <c r="R621" s="85"/>
      <c r="S621" s="85"/>
    </row>
    <row r="622" customFormat="false" ht="15" hidden="false" customHeight="false" outlineLevel="0" collapsed="false">
      <c r="F622" s="99" t="n">
        <f aca="false">H622/G622</f>
        <v>1.23710262126822E-011</v>
      </c>
      <c r="G622" s="52" t="n">
        <f aca="false">G621*(1+$O$1)</f>
        <v>22211517053.9881</v>
      </c>
      <c r="H622" s="15" t="n">
        <f aca="false">I622/G622</f>
        <v>0.274779259698324</v>
      </c>
      <c r="I622" s="0" t="n">
        <f aca="false">I621</f>
        <v>6103264212.87154</v>
      </c>
      <c r="J622" s="85"/>
      <c r="K622" s="85"/>
      <c r="L622" s="85"/>
      <c r="M622" s="85"/>
      <c r="N622" s="85"/>
      <c r="O622" s="85"/>
      <c r="P622" s="85"/>
      <c r="Q622" s="85"/>
      <c r="R622" s="85"/>
      <c r="S622" s="85"/>
    </row>
    <row r="623" customFormat="false" ht="15" hidden="false" customHeight="false" outlineLevel="0" collapsed="false">
      <c r="F623" s="99" t="n">
        <f aca="false">H623/G623</f>
        <v>1.17749208449087E-011</v>
      </c>
      <c r="G623" s="52" t="n">
        <f aca="false">G622*(1+$O$1)</f>
        <v>22766804980.3378</v>
      </c>
      <c r="H623" s="15" t="n">
        <f aca="false">I623/G623</f>
        <v>0.26807732653495</v>
      </c>
      <c r="I623" s="0" t="n">
        <f aca="false">I622</f>
        <v>6103264212.87154</v>
      </c>
      <c r="J623" s="85"/>
      <c r="K623" s="85"/>
      <c r="L623" s="85"/>
      <c r="M623" s="85"/>
      <c r="N623" s="85"/>
      <c r="O623" s="85"/>
      <c r="P623" s="85"/>
      <c r="Q623" s="85"/>
      <c r="R623" s="85"/>
      <c r="S623" s="85"/>
    </row>
    <row r="624" customFormat="false" ht="15" hidden="false" customHeight="false" outlineLevel="0" collapsed="false">
      <c r="F624" s="99" t="n">
        <f aca="false">H624/G624</f>
        <v>1.12075391742141E-011</v>
      </c>
      <c r="G624" s="52" t="n">
        <f aca="false">G623*(1+$O$1)</f>
        <v>23335975104.8462</v>
      </c>
      <c r="H624" s="15" t="n">
        <f aca="false">I624/G624</f>
        <v>0.261538855156049</v>
      </c>
      <c r="I624" s="0" t="n">
        <f aca="false">I623</f>
        <v>6103264212.87154</v>
      </c>
      <c r="J624" s="85"/>
      <c r="K624" s="85"/>
      <c r="L624" s="85"/>
      <c r="M624" s="85"/>
      <c r="N624" s="85"/>
      <c r="O624" s="85"/>
      <c r="P624" s="85"/>
      <c r="Q624" s="85"/>
      <c r="R624" s="85"/>
      <c r="S624" s="85"/>
    </row>
    <row r="625" customFormat="false" ht="15" hidden="false" customHeight="false" outlineLevel="0" collapsed="false">
      <c r="F625" s="99" t="n">
        <f aca="false">H625/G625</f>
        <v>1.06674971319111E-011</v>
      </c>
      <c r="G625" s="52" t="n">
        <f aca="false">G624*(1+$O$1)</f>
        <v>23919374482.4674</v>
      </c>
      <c r="H625" s="15" t="n">
        <f aca="false">I625/G625</f>
        <v>0.255159858688828</v>
      </c>
      <c r="I625" s="0" t="n">
        <f aca="false">I624</f>
        <v>6103264212.87154</v>
      </c>
      <c r="J625" s="85"/>
      <c r="K625" s="85"/>
      <c r="L625" s="85"/>
      <c r="M625" s="85"/>
      <c r="N625" s="85"/>
      <c r="O625" s="85"/>
      <c r="P625" s="85"/>
      <c r="Q625" s="85"/>
      <c r="R625" s="85"/>
      <c r="S625" s="85"/>
    </row>
    <row r="626" customFormat="false" ht="15" hidden="false" customHeight="false" outlineLevel="0" collapsed="false">
      <c r="F626" s="99" t="n">
        <f aca="false">H626/G626</f>
        <v>1.01534773414978E-011</v>
      </c>
      <c r="G626" s="52" t="n">
        <f aca="false">G625*(1+$O$1)</f>
        <v>24517358844.5291</v>
      </c>
      <c r="H626" s="15" t="n">
        <f aca="false">I626/G626</f>
        <v>0.248936447501296</v>
      </c>
      <c r="I626" s="0" t="n">
        <f aca="false">I625</f>
        <v>6103264212.87154</v>
      </c>
      <c r="J626" s="85"/>
      <c r="K626" s="85"/>
      <c r="L626" s="85"/>
      <c r="M626" s="85"/>
      <c r="N626" s="85"/>
      <c r="O626" s="85"/>
      <c r="P626" s="85"/>
      <c r="Q626" s="85"/>
      <c r="R626" s="85"/>
      <c r="S626" s="85"/>
    </row>
    <row r="627" customFormat="false" ht="15" hidden="false" customHeight="false" outlineLevel="0" collapsed="false">
      <c r="F627" s="99" t="n">
        <f aca="false">H627/G627</f>
        <v>9.66422590505438E-012</v>
      </c>
      <c r="G627" s="52" t="n">
        <f aca="false">G626*(1+$O$1)</f>
        <v>25130292815.6423</v>
      </c>
      <c r="H627" s="15" t="n">
        <f aca="false">I627/G627</f>
        <v>0.242864826830532</v>
      </c>
      <c r="I627" s="0" t="n">
        <f aca="false">I626</f>
        <v>6103264212.87154</v>
      </c>
      <c r="J627" s="85"/>
      <c r="K627" s="85"/>
      <c r="L627" s="85"/>
      <c r="M627" s="85"/>
      <c r="N627" s="85"/>
      <c r="O627" s="85"/>
      <c r="P627" s="85"/>
      <c r="Q627" s="85"/>
      <c r="R627" s="85"/>
      <c r="S627" s="85"/>
    </row>
    <row r="628" customFormat="false" ht="15" hidden="false" customHeight="false" outlineLevel="0" collapsed="false">
      <c r="F628" s="99" t="n">
        <f aca="false">H628/G628</f>
        <v>9.1985493444896E-012</v>
      </c>
      <c r="G628" s="52" t="n">
        <f aca="false">G627*(1+$O$1)</f>
        <v>25758550136.0334</v>
      </c>
      <c r="H628" s="15" t="n">
        <f aca="false">I628/G628</f>
        <v>0.236941294468812</v>
      </c>
      <c r="I628" s="0" t="n">
        <f aca="false">I627</f>
        <v>6103264212.87154</v>
      </c>
      <c r="J628" s="85"/>
      <c r="K628" s="85"/>
      <c r="L628" s="85"/>
      <c r="M628" s="85"/>
      <c r="N628" s="85"/>
      <c r="O628" s="85"/>
      <c r="P628" s="85"/>
      <c r="Q628" s="85"/>
      <c r="R628" s="85"/>
      <c r="S628" s="85"/>
    </row>
    <row r="629" customFormat="false" ht="15" hidden="false" customHeight="false" outlineLevel="0" collapsed="false">
      <c r="F629" s="99" t="n">
        <f aca="false">H629/G629</f>
        <v>8.75531169017451E-012</v>
      </c>
      <c r="G629" s="52" t="n">
        <f aca="false">G628*(1+$O$1)</f>
        <v>26402513889.4342</v>
      </c>
      <c r="H629" s="15" t="n">
        <f aca="false">I629/G629</f>
        <v>0.231162238506158</v>
      </c>
      <c r="I629" s="0" t="n">
        <f aca="false">I628</f>
        <v>6103264212.87154</v>
      </c>
      <c r="J629" s="85"/>
      <c r="K629" s="85"/>
      <c r="L629" s="85"/>
      <c r="M629" s="85"/>
      <c r="N629" s="85"/>
      <c r="O629" s="85"/>
      <c r="P629" s="85"/>
      <c r="Q629" s="85"/>
      <c r="R629" s="85"/>
      <c r="S629" s="85"/>
    </row>
    <row r="630" customFormat="false" ht="15" hidden="false" customHeight="false" outlineLevel="0" collapsed="false">
      <c r="F630" s="99" t="n">
        <f aca="false">H630/G630</f>
        <v>8.33343170986272E-012</v>
      </c>
      <c r="G630" s="52" t="n">
        <f aca="false">G629*(1+$O$1)</f>
        <v>27062576736.67</v>
      </c>
      <c r="H630" s="15" t="n">
        <f aca="false">I630/G630</f>
        <v>0.225524135127959</v>
      </c>
      <c r="I630" s="0" t="n">
        <f aca="false">I629</f>
        <v>6103264212.87154</v>
      </c>
      <c r="J630" s="85"/>
      <c r="K630" s="85"/>
      <c r="L630" s="85"/>
      <c r="M630" s="85"/>
      <c r="N630" s="85"/>
      <c r="O630" s="85"/>
      <c r="P630" s="85"/>
      <c r="Q630" s="85"/>
      <c r="R630" s="85"/>
      <c r="S630" s="85"/>
    </row>
    <row r="631" customFormat="false" ht="15" hidden="false" customHeight="false" outlineLevel="0" collapsed="false">
      <c r="F631" s="99" t="n">
        <f aca="false">H631/G631</f>
        <v>7.93188027113644E-012</v>
      </c>
      <c r="G631" s="52" t="n">
        <f aca="false">G630*(1+$O$1)</f>
        <v>27739141155.0868</v>
      </c>
      <c r="H631" s="15" t="n">
        <f aca="false">I631/G631</f>
        <v>0.220023546466302</v>
      </c>
      <c r="I631" s="0" t="n">
        <f aca="false">I630</f>
        <v>6103264212.87154</v>
      </c>
      <c r="J631" s="85"/>
      <c r="K631" s="85"/>
      <c r="L631" s="85"/>
      <c r="M631" s="85"/>
      <c r="N631" s="85"/>
      <c r="O631" s="85"/>
      <c r="P631" s="85"/>
      <c r="Q631" s="85"/>
      <c r="R631" s="85"/>
      <c r="S631" s="85"/>
    </row>
    <row r="632" customFormat="false" ht="15" hidden="false" customHeight="false" outlineLevel="0" collapsed="false">
      <c r="F632" s="99" t="n">
        <f aca="false">H632/G632</f>
        <v>7.54967783094485E-012</v>
      </c>
      <c r="G632" s="52" t="n">
        <f aca="false">G631*(1+$O$1)</f>
        <v>28432619683.964</v>
      </c>
      <c r="H632" s="15" t="n">
        <f aca="false">I632/G632</f>
        <v>0.214657118503709</v>
      </c>
      <c r="I632" s="0" t="n">
        <f aca="false">I631</f>
        <v>6103264212.87154</v>
      </c>
      <c r="J632" s="85"/>
      <c r="K632" s="85"/>
      <c r="L632" s="85"/>
      <c r="M632" s="85"/>
      <c r="N632" s="85"/>
      <c r="O632" s="85"/>
      <c r="P632" s="85"/>
      <c r="Q632" s="85"/>
      <c r="R632" s="85"/>
      <c r="S632" s="85"/>
    </row>
    <row r="633" customFormat="false" ht="15" hidden="false" customHeight="false" outlineLevel="0" collapsed="false">
      <c r="F633" s="99" t="n">
        <f aca="false">H633/G633</f>
        <v>7.18589204611051E-012</v>
      </c>
      <c r="G633" s="52" t="n">
        <f aca="false">G632*(1+$O$1)</f>
        <v>29143435176.0631</v>
      </c>
      <c r="H633" s="15" t="n">
        <f aca="false">I633/G633</f>
        <v>0.209421579028009</v>
      </c>
      <c r="I633" s="0" t="n">
        <f aca="false">I632</f>
        <v>6103264212.87154</v>
      </c>
      <c r="J633" s="85"/>
      <c r="K633" s="85"/>
      <c r="L633" s="85"/>
      <c r="M633" s="85"/>
      <c r="N633" s="85"/>
      <c r="O633" s="85"/>
      <c r="P633" s="85"/>
      <c r="Q633" s="85"/>
      <c r="R633" s="85"/>
      <c r="S633" s="85"/>
    </row>
    <row r="634" customFormat="false" ht="15" hidden="false" customHeight="false" outlineLevel="0" collapsed="false">
      <c r="F634" s="99" t="n">
        <f aca="false">H634/G634</f>
        <v>6.83963549897491E-012</v>
      </c>
      <c r="G634" s="52" t="n">
        <f aca="false">G633*(1+$O$1)</f>
        <v>29872021055.4646</v>
      </c>
      <c r="H634" s="15" t="n">
        <f aca="false">I634/G634</f>
        <v>0.204313735637082</v>
      </c>
      <c r="I634" s="0" t="n">
        <f aca="false">I633</f>
        <v>6103264212.87154</v>
      </c>
      <c r="J634" s="85"/>
      <c r="K634" s="85"/>
      <c r="L634" s="85"/>
      <c r="M634" s="85"/>
      <c r="N634" s="85"/>
      <c r="O634" s="85"/>
      <c r="P634" s="85"/>
      <c r="Q634" s="85"/>
      <c r="R634" s="85"/>
      <c r="S634" s="85"/>
    </row>
    <row r="635" customFormat="false" ht="15" hidden="false" customHeight="false" outlineLevel="0" collapsed="false">
      <c r="F635" s="99" t="n">
        <f aca="false">H635/G635</f>
        <v>6.51006353263525E-012</v>
      </c>
      <c r="G635" s="52" t="n">
        <f aca="false">G634*(1+$O$1)</f>
        <v>30618821581.8512</v>
      </c>
      <c r="H635" s="15" t="n">
        <f aca="false">I635/G635</f>
        <v>0.199330473792275</v>
      </c>
      <c r="I635" s="0" t="n">
        <f aca="false">I634</f>
        <v>6103264212.87154</v>
      </c>
      <c r="J635" s="85"/>
      <c r="K635" s="85"/>
      <c r="L635" s="85"/>
      <c r="M635" s="85"/>
      <c r="N635" s="85"/>
      <c r="O635" s="85"/>
      <c r="P635" s="85"/>
      <c r="Q635" s="85"/>
      <c r="R635" s="85"/>
      <c r="S635" s="85"/>
    </row>
    <row r="636" customFormat="false" ht="15" hidden="false" customHeight="false" outlineLevel="0" collapsed="false">
      <c r="F636" s="99" t="n">
        <f aca="false">H636/G636</f>
        <v>6.19637219049161E-012</v>
      </c>
      <c r="G636" s="52" t="n">
        <f aca="false">G635*(1+$O$1)</f>
        <v>31384292121.3975</v>
      </c>
      <c r="H636" s="15" t="n">
        <f aca="false">I636/G636</f>
        <v>0.194468754919293</v>
      </c>
      <c r="I636" s="0" t="n">
        <f aca="false">I635</f>
        <v>6103264212.87154</v>
      </c>
      <c r="J636" s="85"/>
      <c r="K636" s="85"/>
      <c r="L636" s="85"/>
      <c r="M636" s="85"/>
      <c r="N636" s="85"/>
      <c r="O636" s="85"/>
      <c r="P636" s="85"/>
      <c r="Q636" s="85"/>
      <c r="R636" s="85"/>
      <c r="S636" s="85"/>
    </row>
    <row r="637" customFormat="false" ht="15" hidden="false" customHeight="false" outlineLevel="0" collapsed="false">
      <c r="F637" s="99" t="n">
        <f aca="false">H637/G637</f>
        <v>5.89779625507827E-012</v>
      </c>
      <c r="G637" s="52" t="n">
        <f aca="false">G636*(1+$O$1)</f>
        <v>32168899424.4325</v>
      </c>
      <c r="H637" s="15" t="n">
        <f aca="false">I637/G637</f>
        <v>0.189725614555407</v>
      </c>
      <c r="I637" s="0" t="n">
        <f aca="false">I636</f>
        <v>6103264212.87154</v>
      </c>
      <c r="J637" s="85"/>
      <c r="K637" s="85"/>
      <c r="L637" s="85"/>
      <c r="M637" s="85"/>
      <c r="N637" s="85"/>
      <c r="O637" s="85"/>
      <c r="P637" s="85"/>
      <c r="Q637" s="85"/>
      <c r="R637" s="85"/>
      <c r="S637" s="85"/>
    </row>
    <row r="638" customFormat="false" ht="15" hidden="false" customHeight="false" outlineLevel="0" collapsed="false">
      <c r="F638" s="99" t="n">
        <f aca="false">H638/G638</f>
        <v>5.61360738139515E-012</v>
      </c>
      <c r="G638" s="52" t="n">
        <f aca="false">G637*(1+$O$1)</f>
        <v>32973121910.0433</v>
      </c>
      <c r="H638" s="15" t="n">
        <f aca="false">I638/G638</f>
        <v>0.185098160541861</v>
      </c>
      <c r="I638" s="0" t="n">
        <f aca="false">I637</f>
        <v>6103264212.87154</v>
      </c>
      <c r="J638" s="85"/>
      <c r="K638" s="85"/>
      <c r="L638" s="85"/>
      <c r="M638" s="85"/>
      <c r="N638" s="85"/>
      <c r="O638" s="85"/>
      <c r="P638" s="85"/>
      <c r="Q638" s="85"/>
      <c r="R638" s="85"/>
      <c r="S638" s="85"/>
    </row>
    <row r="639" customFormat="false" ht="15" hidden="false" customHeight="false" outlineLevel="0" collapsed="false">
      <c r="F639" s="99" t="n">
        <f aca="false">H639/G639</f>
        <v>5.34311232018574E-012</v>
      </c>
      <c r="G639" s="52" t="n">
        <f aca="false">G638*(1+$O$1)</f>
        <v>33797449957.7943</v>
      </c>
      <c r="H639" s="15" t="n">
        <f aca="false">I639/G639</f>
        <v>0.180583571260352</v>
      </c>
      <c r="I639" s="0" t="n">
        <f aca="false">I638</f>
        <v>6103264212.87154</v>
      </c>
      <c r="J639" s="85"/>
      <c r="K639" s="85"/>
      <c r="L639" s="85"/>
      <c r="M639" s="85"/>
      <c r="N639" s="85"/>
      <c r="O639" s="85"/>
      <c r="P639" s="85"/>
      <c r="Q639" s="85"/>
      <c r="R639" s="85"/>
      <c r="S639" s="85"/>
    </row>
    <row r="640" customFormat="false" ht="15" hidden="false" customHeight="false" outlineLevel="0" collapsed="false">
      <c r="F640" s="99" t="n">
        <f aca="false">H640/G640</f>
        <v>5.0856512268276E-012</v>
      </c>
      <c r="G640" s="52" t="n">
        <f aca="false">G639*(1+$O$1)</f>
        <v>34642386206.7392</v>
      </c>
      <c r="H640" s="15" t="n">
        <f aca="false">I640/G640</f>
        <v>0.176179093912539</v>
      </c>
      <c r="I640" s="0" t="n">
        <f aca="false">I639</f>
        <v>6103264212.87154</v>
      </c>
      <c r="J640" s="85"/>
      <c r="K640" s="85"/>
      <c r="L640" s="85"/>
      <c r="M640" s="85"/>
      <c r="N640" s="85"/>
      <c r="O640" s="85"/>
      <c r="P640" s="85"/>
      <c r="Q640" s="85"/>
      <c r="R640" s="85"/>
      <c r="S640" s="85"/>
    </row>
    <row r="641" customFormat="false" ht="15" hidden="false" customHeight="false" outlineLevel="0" collapsed="false">
      <c r="F641" s="99" t="n">
        <f aca="false">H641/G641</f>
        <v>4.84059605170979E-012</v>
      </c>
      <c r="G641" s="52" t="n">
        <f aca="false">G640*(1+$O$1)</f>
        <v>35508445861.9077</v>
      </c>
      <c r="H641" s="15" t="n">
        <f aca="false">I641/G641</f>
        <v>0.171882042841501</v>
      </c>
      <c r="I641" s="0" t="n">
        <f aca="false">I640</f>
        <v>6103264212.87154</v>
      </c>
      <c r="J641" s="85"/>
      <c r="K641" s="85"/>
      <c r="L641" s="85"/>
      <c r="M641" s="85"/>
      <c r="N641" s="85"/>
      <c r="O641" s="85"/>
      <c r="P641" s="85"/>
      <c r="Q641" s="85"/>
      <c r="R641" s="85"/>
      <c r="S641" s="85"/>
    </row>
    <row r="642" customFormat="false" ht="15" hidden="false" customHeight="false" outlineLevel="0" collapsed="false">
      <c r="F642" s="99" t="n">
        <f aca="false">H642/G642</f>
        <v>4.60734900817113E-012</v>
      </c>
      <c r="G642" s="52" t="n">
        <f aca="false">G641*(1+$O$1)</f>
        <v>36396157008.4554</v>
      </c>
      <c r="H642" s="15" t="n">
        <f aca="false">I642/G642</f>
        <v>0.167689797894147</v>
      </c>
      <c r="I642" s="0" t="n">
        <f aca="false">I641</f>
        <v>6103264212.87154</v>
      </c>
      <c r="J642" s="85"/>
      <c r="K642" s="85"/>
      <c r="L642" s="85"/>
      <c r="M642" s="85"/>
      <c r="N642" s="85"/>
      <c r="O642" s="85"/>
      <c r="P642" s="85"/>
      <c r="Q642" s="85"/>
      <c r="R642" s="85"/>
      <c r="S642" s="85"/>
    </row>
    <row r="643" customFormat="false" ht="15" hidden="false" customHeight="false" outlineLevel="0" collapsed="false">
      <c r="F643" s="99" t="n">
        <f aca="false">H643/G643</f>
        <v>4.38534111426163E-012</v>
      </c>
      <c r="G643" s="52" t="n">
        <f aca="false">G642*(1+$O$1)</f>
        <v>37306060933.6668</v>
      </c>
      <c r="H643" s="15" t="n">
        <f aca="false">I643/G643</f>
        <v>0.163599802823559</v>
      </c>
      <c r="I643" s="0" t="n">
        <f aca="false">I642</f>
        <v>6103264212.87154</v>
      </c>
      <c r="J643" s="85"/>
      <c r="K643" s="85"/>
      <c r="L643" s="85"/>
      <c r="M643" s="85"/>
      <c r="N643" s="85"/>
      <c r="O643" s="85"/>
      <c r="P643" s="85"/>
      <c r="Q643" s="85"/>
      <c r="R643" s="85"/>
      <c r="S643" s="85"/>
    </row>
    <row r="644" customFormat="false" ht="15" hidden="false" customHeight="false" outlineLevel="0" collapsed="false">
      <c r="F644" s="99" t="n">
        <f aca="false">H644/G644</f>
        <v>4.17403080477015E-012</v>
      </c>
      <c r="G644" s="52" t="n">
        <f aca="false">G643*(1+$O$1)</f>
        <v>38238712457.0084</v>
      </c>
      <c r="H644" s="15" t="n">
        <f aca="false">I644/G644</f>
        <v>0.159609563730301</v>
      </c>
      <c r="I644" s="0" t="n">
        <f aca="false">I643</f>
        <v>6103264212.87154</v>
      </c>
      <c r="J644" s="85"/>
      <c r="K644" s="85"/>
      <c r="L644" s="85"/>
      <c r="M644" s="85"/>
      <c r="N644" s="85"/>
      <c r="O644" s="85"/>
      <c r="P644" s="85"/>
      <c r="Q644" s="85"/>
      <c r="R644" s="85"/>
      <c r="S644" s="85"/>
    </row>
    <row r="645" customFormat="false" ht="15" hidden="false" customHeight="false" outlineLevel="0" collapsed="false">
      <c r="F645" s="99" t="n">
        <f aca="false">H645/G645</f>
        <v>3.9729026101322E-012</v>
      </c>
      <c r="G645" s="52" t="n">
        <f aca="false">G644*(1+$O$1)</f>
        <v>39194680268.4336</v>
      </c>
      <c r="H645" s="15" t="n">
        <f aca="false">I645/G645</f>
        <v>0.155716647541757</v>
      </c>
      <c r="I645" s="0" t="n">
        <f aca="false">I644</f>
        <v>6103264212.87154</v>
      </c>
      <c r="J645" s="85"/>
      <c r="K645" s="85"/>
      <c r="L645" s="85"/>
      <c r="M645" s="85"/>
      <c r="N645" s="85"/>
      <c r="O645" s="85"/>
      <c r="P645" s="85"/>
      <c r="Q645" s="85"/>
      <c r="R645" s="85"/>
      <c r="S645" s="85"/>
    </row>
    <row r="646" customFormat="false" ht="15" hidden="false" customHeight="false" outlineLevel="0" collapsed="false">
      <c r="F646" s="99" t="n">
        <f aca="false">H646/G646</f>
        <v>3.78146589899555E-012</v>
      </c>
      <c r="G646" s="52" t="n">
        <f aca="false">G645*(1+$O$1)</f>
        <v>40174547275.1445</v>
      </c>
      <c r="H646" s="15" t="n">
        <f aca="false">I646/G646</f>
        <v>0.151918680528544</v>
      </c>
      <c r="I646" s="0" t="n">
        <f aca="false">I645</f>
        <v>6103264212.87154</v>
      </c>
      <c r="J646" s="85"/>
      <c r="K646" s="85"/>
      <c r="L646" s="85"/>
      <c r="M646" s="85"/>
      <c r="N646" s="85"/>
      <c r="O646" s="85"/>
      <c r="P646" s="85"/>
      <c r="Q646" s="85"/>
      <c r="R646" s="85"/>
      <c r="S646" s="85"/>
    </row>
    <row r="647" customFormat="false" ht="15" hidden="false" customHeight="false" outlineLevel="0" collapsed="false">
      <c r="F647" s="99" t="n">
        <f aca="false">H647/G647</f>
        <v>3.5992536813759E-012</v>
      </c>
      <c r="G647" s="52" t="n">
        <f aca="false">G646*(1+$O$1)</f>
        <v>41178910957.0231</v>
      </c>
      <c r="H647" s="15" t="n">
        <f aca="false">I647/G647</f>
        <v>0.148213346857116</v>
      </c>
      <c r="I647" s="0" t="n">
        <f aca="false">I646</f>
        <v>6103264212.87154</v>
      </c>
      <c r="J647" s="85"/>
      <c r="K647" s="85"/>
      <c r="L647" s="85"/>
      <c r="M647" s="85"/>
      <c r="N647" s="85"/>
      <c r="O647" s="85"/>
      <c r="P647" s="85"/>
      <c r="Q647" s="85"/>
      <c r="R647" s="85"/>
      <c r="S647" s="85"/>
    </row>
    <row r="648" customFormat="false" ht="15" hidden="false" customHeight="false" outlineLevel="0" collapsed="false">
      <c r="F648" s="99" t="n">
        <f aca="false">H648/G648</f>
        <v>3.42582146948331E-012</v>
      </c>
      <c r="G648" s="52" t="n">
        <f aca="false">G647*(1+$O$1)</f>
        <v>42208383730.9487</v>
      </c>
      <c r="H648" s="15" t="n">
        <f aca="false">I648/G648</f>
        <v>0.144598387177674</v>
      </c>
      <c r="I648" s="0" t="n">
        <f aca="false">I647</f>
        <v>6103264212.87154</v>
      </c>
      <c r="J648" s="85"/>
      <c r="K648" s="85"/>
      <c r="L648" s="85"/>
      <c r="M648" s="85"/>
      <c r="N648" s="85"/>
      <c r="O648" s="85"/>
      <c r="P648" s="85"/>
      <c r="Q648" s="85"/>
      <c r="R648" s="85"/>
      <c r="S648" s="85"/>
    </row>
    <row r="649" customFormat="false" ht="15" hidden="false" customHeight="false" outlineLevel="0" collapsed="false">
      <c r="F649" s="99" t="n">
        <f aca="false">H649/G649</f>
        <v>3.26074619344039E-012</v>
      </c>
      <c r="G649" s="52" t="n">
        <f aca="false">G648*(1+$O$1)</f>
        <v>43263593324.2224</v>
      </c>
      <c r="H649" s="15" t="n">
        <f aca="false">I649/G649</f>
        <v>0.141071597246511</v>
      </c>
      <c r="I649" s="0" t="n">
        <f aca="false">I648</f>
        <v>6103264212.87154</v>
      </c>
      <c r="J649" s="85"/>
      <c r="K649" s="85"/>
      <c r="L649" s="85"/>
      <c r="M649" s="85"/>
      <c r="N649" s="85"/>
      <c r="O649" s="85"/>
      <c r="P649" s="85"/>
      <c r="Q649" s="85"/>
      <c r="R649" s="85"/>
      <c r="S649" s="85"/>
    </row>
    <row r="650" customFormat="false" ht="15" hidden="false" customHeight="false" outlineLevel="0" collapsed="false">
      <c r="F650" s="99" t="n">
        <f aca="false">H650/G650</f>
        <v>3.10362516924725E-012</v>
      </c>
      <c r="G650" s="52" t="n">
        <f aca="false">G649*(1+$O$1)</f>
        <v>44345183157.3279</v>
      </c>
      <c r="H650" s="15" t="n">
        <f aca="false">I650/G650</f>
        <v>0.137630826581962</v>
      </c>
      <c r="I650" s="0" t="n">
        <f aca="false">I649</f>
        <v>6103264212.87154</v>
      </c>
      <c r="J650" s="85"/>
      <c r="K650" s="85"/>
      <c r="L650" s="85"/>
      <c r="M650" s="85"/>
      <c r="N650" s="85"/>
      <c r="O650" s="85"/>
      <c r="P650" s="85"/>
      <c r="Q650" s="85"/>
      <c r="R650" s="85"/>
      <c r="S650" s="85"/>
    </row>
    <row r="651" customFormat="false" ht="15" hidden="false" customHeight="false" outlineLevel="0" collapsed="false">
      <c r="F651" s="99" t="n">
        <f aca="false">H651/G651</f>
        <v>2.95407511647567E-012</v>
      </c>
      <c r="G651" s="52" t="n">
        <f aca="false">G650*(1+$O$1)</f>
        <v>45453812736.2611</v>
      </c>
      <c r="H651" s="15" t="n">
        <f aca="false">I651/G651</f>
        <v>0.134273977153134</v>
      </c>
      <c r="I651" s="0" t="n">
        <f aca="false">I650</f>
        <v>6103264212.87154</v>
      </c>
      <c r="J651" s="85"/>
      <c r="K651" s="85"/>
      <c r="L651" s="85"/>
      <c r="M651" s="85"/>
      <c r="N651" s="85"/>
      <c r="O651" s="85"/>
      <c r="P651" s="85"/>
      <c r="Q651" s="85"/>
      <c r="R651" s="85"/>
      <c r="S651" s="85"/>
    </row>
    <row r="652" customFormat="false" ht="15" hidden="false" customHeight="false" outlineLevel="0" collapsed="false">
      <c r="F652" s="99" t="n">
        <f aca="false">H652/G652</f>
        <v>2.81173122329629E-012</v>
      </c>
      <c r="G652" s="52" t="n">
        <f aca="false">G651*(1+$O$1)</f>
        <v>46590158054.6676</v>
      </c>
      <c r="H652" s="15" t="n">
        <f aca="false">I652/G652</f>
        <v>0.130999002100618</v>
      </c>
      <c r="I652" s="0" t="n">
        <f aca="false">I651</f>
        <v>6103264212.87154</v>
      </c>
      <c r="J652" s="85"/>
      <c r="K652" s="85"/>
      <c r="L652" s="85"/>
      <c r="M652" s="85"/>
      <c r="N652" s="85"/>
      <c r="O652" s="85"/>
      <c r="P652" s="85"/>
      <c r="Q652" s="85"/>
      <c r="R652" s="85"/>
      <c r="S652" s="85"/>
    </row>
    <row r="653" customFormat="false" ht="15" hidden="false" customHeight="false" outlineLevel="0" collapsed="false">
      <c r="F653" s="99" t="n">
        <f aca="false">H653/G653</f>
        <v>2.67624625655804E-012</v>
      </c>
      <c r="G653" s="52" t="n">
        <f aca="false">G652*(1+$O$1)</f>
        <v>47754912006.0343</v>
      </c>
      <c r="H653" s="15" t="n">
        <f aca="false">I653/G653</f>
        <v>0.127803904488408</v>
      </c>
      <c r="I653" s="0" t="n">
        <f aca="false">I652</f>
        <v>6103264212.87154</v>
      </c>
      <c r="J653" s="85"/>
      <c r="K653" s="85"/>
      <c r="L653" s="85"/>
      <c r="M653" s="85"/>
      <c r="N653" s="85"/>
      <c r="O653" s="85"/>
      <c r="P653" s="85"/>
      <c r="Q653" s="85"/>
      <c r="R653" s="85"/>
      <c r="S653" s="85"/>
    </row>
    <row r="654" customFormat="false" ht="15" hidden="false" customHeight="false" outlineLevel="0" collapsed="false">
      <c r="F654" s="99" t="n">
        <f aca="false">H654/G654</f>
        <v>2.54728971474888E-012</v>
      </c>
      <c r="G654" s="52" t="n">
        <f aca="false">G653*(1+$O$1)</f>
        <v>48948784806.1852</v>
      </c>
      <c r="H654" s="15" t="n">
        <f aca="false">I654/G654</f>
        <v>0.124686736086252</v>
      </c>
      <c r="I654" s="0" t="n">
        <f aca="false">I653</f>
        <v>6103264212.87154</v>
      </c>
      <c r="J654" s="85"/>
      <c r="K654" s="85"/>
      <c r="L654" s="85"/>
      <c r="M654" s="85"/>
      <c r="N654" s="85"/>
      <c r="O654" s="85"/>
      <c r="P654" s="85"/>
      <c r="Q654" s="85"/>
      <c r="R654" s="85"/>
      <c r="S654" s="85"/>
    </row>
    <row r="655" customFormat="false" ht="15" hidden="false" customHeight="false" outlineLevel="0" collapsed="false">
      <c r="F655" s="99" t="n">
        <f aca="false">H655/G655</f>
        <v>2.42454702177169E-012</v>
      </c>
      <c r="G655" s="52" t="n">
        <f aca="false">G654*(1+$O$1)</f>
        <v>50172504426.3398</v>
      </c>
      <c r="H655" s="15" t="n">
        <f aca="false">I655/G655</f>
        <v>0.121645596181709</v>
      </c>
      <c r="I655" s="0" t="n">
        <f aca="false">I654</f>
        <v>6103264212.87154</v>
      </c>
      <c r="J655" s="85"/>
      <c r="K655" s="85"/>
      <c r="L655" s="85"/>
      <c r="M655" s="85"/>
      <c r="N655" s="85"/>
      <c r="O655" s="85"/>
      <c r="P655" s="85"/>
      <c r="Q655" s="85"/>
      <c r="R655" s="85"/>
      <c r="S655" s="85"/>
    </row>
    <row r="656" customFormat="false" ht="15" hidden="false" customHeight="false" outlineLevel="0" collapsed="false">
      <c r="F656" s="99" t="n">
        <f aca="false">H656/G656</f>
        <v>2.30771875956853E-012</v>
      </c>
      <c r="G656" s="52" t="n">
        <f aca="false">G655*(1+$O$1)</f>
        <v>51426817036.9983</v>
      </c>
      <c r="H656" s="15" t="n">
        <f aca="false">I656/G656</f>
        <v>0.11867863042118</v>
      </c>
      <c r="I656" s="0" t="n">
        <f aca="false">I655</f>
        <v>6103264212.87154</v>
      </c>
      <c r="J656" s="85"/>
      <c r="K656" s="85"/>
      <c r="L656" s="85"/>
      <c r="M656" s="85"/>
      <c r="N656" s="85"/>
      <c r="O656" s="85"/>
      <c r="P656" s="85"/>
      <c r="Q656" s="85"/>
      <c r="R656" s="85"/>
      <c r="S656" s="85"/>
    </row>
    <row r="657" customFormat="false" ht="15" hidden="false" customHeight="false" outlineLevel="0" collapsed="false">
      <c r="F657" s="99" t="n">
        <f aca="false">H657/G657</f>
        <v>2.19651993772139E-012</v>
      </c>
      <c r="G657" s="52" t="n">
        <f aca="false">G656*(1+$O$1)</f>
        <v>52712487462.9233</v>
      </c>
      <c r="H657" s="15" t="n">
        <f aca="false">I657/G657</f>
        <v>0.1157840296792</v>
      </c>
      <c r="I657" s="0" t="n">
        <f aca="false">I656</f>
        <v>6103264212.87154</v>
      </c>
      <c r="J657" s="85"/>
      <c r="K657" s="85"/>
      <c r="L657" s="85"/>
      <c r="M657" s="85"/>
      <c r="N657" s="85"/>
      <c r="O657" s="85"/>
      <c r="P657" s="85"/>
      <c r="Q657" s="85"/>
      <c r="R657" s="85"/>
      <c r="S657" s="85"/>
    </row>
    <row r="658" customFormat="false" ht="15" hidden="false" customHeight="false" outlineLevel="0" collapsed="false">
      <c r="F658" s="99" t="n">
        <f aca="false">H658/G658</f>
        <v>2.0906792982476E-012</v>
      </c>
      <c r="G658" s="52" t="n">
        <f aca="false">G657*(1+$O$1)</f>
        <v>54030299649.4963</v>
      </c>
      <c r="H658" s="15" t="n">
        <f aca="false">I658/G658</f>
        <v>0.112960028955317</v>
      </c>
      <c r="I658" s="0" t="n">
        <f aca="false">I657</f>
        <v>6103264212.87154</v>
      </c>
      <c r="J658" s="85"/>
      <c r="K658" s="85"/>
      <c r="L658" s="85"/>
      <c r="M658" s="85"/>
      <c r="N658" s="85"/>
      <c r="O658" s="85"/>
      <c r="P658" s="85"/>
      <c r="Q658" s="85"/>
      <c r="R658" s="85"/>
      <c r="S658" s="85"/>
    </row>
    <row r="659" customFormat="false" ht="15" hidden="false" customHeight="false" outlineLevel="0" collapsed="false">
      <c r="F659" s="99" t="n">
        <f aca="false">H659/G659</f>
        <v>1.98993865389421E-012</v>
      </c>
      <c r="G659" s="52" t="n">
        <f aca="false">G658*(1+$O$1)</f>
        <v>55381057140.7337</v>
      </c>
      <c r="H659" s="15" t="n">
        <f aca="false">I659/G659</f>
        <v>0.11020490629787</v>
      </c>
      <c r="I659" s="0" t="n">
        <f aca="false">I658</f>
        <v>6103264212.87154</v>
      </c>
      <c r="J659" s="85"/>
      <c r="K659" s="85"/>
      <c r="L659" s="85"/>
      <c r="M659" s="85"/>
      <c r="N659" s="85"/>
      <c r="O659" s="85"/>
      <c r="P659" s="85"/>
      <c r="Q659" s="85"/>
      <c r="R659" s="85"/>
      <c r="S659" s="85"/>
    </row>
    <row r="660" customFormat="false" ht="15" hidden="false" customHeight="false" outlineLevel="0" collapsed="false">
      <c r="F660" s="99" t="n">
        <f aca="false">H660/G660</f>
        <v>1.89405225831692E-012</v>
      </c>
      <c r="G660" s="52" t="n">
        <f aca="false">G659*(1+$O$1)</f>
        <v>56765583569.2521</v>
      </c>
      <c r="H660" s="15" t="n">
        <f aca="false">I660/G660</f>
        <v>0.107516981754019</v>
      </c>
      <c r="I660" s="0" t="n">
        <f aca="false">I659</f>
        <v>6103264212.87154</v>
      </c>
      <c r="J660" s="85"/>
      <c r="K660" s="85"/>
      <c r="L660" s="85"/>
      <c r="M660" s="85"/>
      <c r="N660" s="85"/>
      <c r="O660" s="85"/>
      <c r="P660" s="85"/>
      <c r="Q660" s="85"/>
      <c r="R660" s="85"/>
      <c r="S660" s="85"/>
    </row>
    <row r="661" customFormat="false" ht="15" hidden="false" customHeight="false" outlineLevel="0" collapsed="false">
      <c r="F661" s="99" t="n">
        <f aca="false">H661/G661</f>
        <v>1.80278620660742E-012</v>
      </c>
      <c r="G661" s="52" t="n">
        <f aca="false">G660*(1+$O$1)</f>
        <v>58184723158.4834</v>
      </c>
      <c r="H661" s="15" t="n">
        <f aca="false">I661/G661</f>
        <v>0.104894616345385</v>
      </c>
      <c r="I661" s="0" t="n">
        <f aca="false">I660</f>
        <v>6103264212.87154</v>
      </c>
      <c r="J661" s="85"/>
      <c r="K661" s="85"/>
      <c r="L661" s="85"/>
      <c r="M661" s="85"/>
      <c r="N661" s="85"/>
      <c r="O661" s="85"/>
      <c r="P661" s="85"/>
      <c r="Q661" s="85"/>
      <c r="R661" s="85"/>
      <c r="S661" s="85"/>
    </row>
    <row r="662" customFormat="false" ht="15" hidden="false" customHeight="false" outlineLevel="0" collapsed="false">
      <c r="F662" s="99" t="n">
        <f aca="false">H662/G662</f>
        <v>1.71591786470664E-012</v>
      </c>
      <c r="G662" s="52" t="n">
        <f aca="false">G661*(1+$O$1)</f>
        <v>59639341237.4455</v>
      </c>
      <c r="H662" s="15" t="n">
        <f aca="false">I662/G662</f>
        <v>0.102336211068668</v>
      </c>
      <c r="I662" s="0" t="n">
        <f aca="false">I661</f>
        <v>6103264212.87154</v>
      </c>
      <c r="J662" s="85"/>
      <c r="K662" s="85"/>
      <c r="L662" s="85"/>
      <c r="M662" s="85"/>
      <c r="N662" s="85"/>
      <c r="O662" s="85"/>
      <c r="P662" s="85"/>
      <c r="Q662" s="85"/>
      <c r="R662" s="85"/>
      <c r="S662" s="85"/>
    </row>
    <row r="663" customFormat="false" ht="15" hidden="false" customHeight="false" outlineLevel="0" collapsed="false">
      <c r="F663" s="99" t="n">
        <f aca="false">H663/G663</f>
        <v>1.63323532631209E-012</v>
      </c>
      <c r="G663" s="52" t="n">
        <f aca="false">G662*(1+$O$1)</f>
        <v>61130324768.3816</v>
      </c>
      <c r="H663" s="15" t="n">
        <f aca="false">I663/G663</f>
        <v>0.0998402059206519</v>
      </c>
      <c r="I663" s="0" t="n">
        <f aca="false">I662</f>
        <v>6103264212.87154</v>
      </c>
      <c r="J663" s="85"/>
      <c r="K663" s="85"/>
      <c r="L663" s="85"/>
      <c r="M663" s="85"/>
      <c r="N663" s="85"/>
      <c r="O663" s="85"/>
      <c r="P663" s="85"/>
      <c r="Q663" s="85"/>
      <c r="R663" s="85"/>
      <c r="S663" s="85"/>
    </row>
    <row r="664" customFormat="false" ht="15" hidden="false" customHeight="false" outlineLevel="0" collapsed="false">
      <c r="F664" s="99" t="n">
        <f aca="false">H664/G664</f>
        <v>1.5545368959544E-012</v>
      </c>
      <c r="G664" s="52" t="n">
        <f aca="false">G663*(1+$O$1)</f>
        <v>62658582887.5911</v>
      </c>
      <c r="H664" s="15" t="n">
        <f aca="false">I664/G664</f>
        <v>0.0974050789469774</v>
      </c>
      <c r="I664" s="0" t="n">
        <f aca="false">I663</f>
        <v>6103264212.87154</v>
      </c>
      <c r="J664" s="85"/>
      <c r="K664" s="85"/>
      <c r="L664" s="85"/>
      <c r="M664" s="85"/>
      <c r="N664" s="85"/>
      <c r="O664" s="85"/>
      <c r="P664" s="85"/>
      <c r="Q664" s="85"/>
      <c r="R664" s="85"/>
      <c r="S664" s="85"/>
    </row>
    <row r="665" customFormat="false" ht="15" hidden="false" customHeight="false" outlineLevel="0" collapsed="false">
      <c r="F665" s="99" t="n">
        <f aca="false">H665/G665</f>
        <v>1.47963059698218E-012</v>
      </c>
      <c r="G665" s="52" t="n">
        <f aca="false">G664*(1+$O$1)</f>
        <v>64225047459.7809</v>
      </c>
      <c r="H665" s="15" t="n">
        <f aca="false">I665/G665</f>
        <v>0.0950293453141243</v>
      </c>
      <c r="I665" s="0" t="n">
        <f aca="false">I664</f>
        <v>6103264212.87154</v>
      </c>
      <c r="J665" s="85"/>
      <c r="K665" s="85"/>
      <c r="L665" s="85"/>
      <c r="M665" s="85"/>
      <c r="N665" s="85"/>
      <c r="O665" s="85"/>
      <c r="P665" s="85"/>
      <c r="Q665" s="85"/>
      <c r="R665" s="85"/>
      <c r="S665" s="85"/>
    </row>
    <row r="666" customFormat="false" ht="15" hidden="false" customHeight="false" outlineLevel="0" collapsed="false">
      <c r="F666" s="99" t="n">
        <f aca="false">H666/G666</f>
        <v>1.4083337032549E-012</v>
      </c>
      <c r="G666" s="52" t="n">
        <f aca="false">G665*(1+$O$1)</f>
        <v>65830673646.2754</v>
      </c>
      <c r="H666" s="15" t="n">
        <f aca="false">I666/G666</f>
        <v>0.0927115564040237</v>
      </c>
      <c r="I666" s="0" t="n">
        <f aca="false">I665</f>
        <v>6103264212.87154</v>
      </c>
      <c r="J666" s="85"/>
      <c r="K666" s="85"/>
      <c r="L666" s="85"/>
      <c r="M666" s="85"/>
      <c r="N666" s="85"/>
      <c r="O666" s="85"/>
      <c r="P666" s="85"/>
      <c r="Q666" s="85"/>
      <c r="R666" s="85"/>
      <c r="S666" s="85"/>
    </row>
    <row r="667" customFormat="false" ht="15" hidden="false" customHeight="false" outlineLevel="0" collapsed="false">
      <c r="F667" s="99" t="n">
        <f aca="false">H667/G667</f>
        <v>1.34047229340145E-012</v>
      </c>
      <c r="G667" s="52" t="n">
        <f aca="false">G666*(1+$O$1)</f>
        <v>67476440487.4323</v>
      </c>
      <c r="H667" s="15" t="n">
        <f aca="false">I667/G667</f>
        <v>0.0904502989307549</v>
      </c>
      <c r="I667" s="0" t="n">
        <f aca="false">I666</f>
        <v>6103264212.87154</v>
      </c>
      <c r="J667" s="85"/>
      <c r="K667" s="85"/>
      <c r="L667" s="85"/>
      <c r="M667" s="85"/>
      <c r="N667" s="85"/>
      <c r="O667" s="85"/>
      <c r="P667" s="85"/>
      <c r="Q667" s="85"/>
      <c r="R667" s="85"/>
      <c r="S667" s="85"/>
    </row>
    <row r="668" customFormat="false" ht="15" hidden="false" customHeight="false" outlineLevel="0" collapsed="false">
      <c r="F668" s="99" t="n">
        <f aca="false">H668/G668</f>
        <v>1.275880826557E-012</v>
      </c>
      <c r="G668" s="52" t="n">
        <f aca="false">G667*(1+$O$1)</f>
        <v>69163351499.6181</v>
      </c>
      <c r="H668" s="15" t="n">
        <f aca="false">I668/G668</f>
        <v>0.0882441940787852</v>
      </c>
      <c r="I668" s="0" t="n">
        <f aca="false">I667</f>
        <v>6103264212.87154</v>
      </c>
      <c r="J668" s="85"/>
      <c r="K668" s="85"/>
      <c r="L668" s="85"/>
      <c r="M668" s="85"/>
      <c r="N668" s="85"/>
      <c r="O668" s="85"/>
      <c r="P668" s="85"/>
      <c r="Q668" s="85"/>
      <c r="R668" s="85"/>
      <c r="S668" s="85"/>
    </row>
    <row r="669" customFormat="false" ht="15" hidden="false" customHeight="false" outlineLevel="0" collapsed="false">
      <c r="F669" s="99" t="n">
        <f aca="false">H669/G669</f>
        <v>1.21440173854325E-012</v>
      </c>
      <c r="G669" s="52" t="n">
        <f aca="false">G668*(1+$O$1)</f>
        <v>70892435287.1085</v>
      </c>
      <c r="H669" s="15" t="n">
        <f aca="false">I669/G669</f>
        <v>0.0860918966622295</v>
      </c>
      <c r="I669" s="0" t="n">
        <f aca="false">I668</f>
        <v>6103264212.87154</v>
      </c>
      <c r="J669" s="85"/>
      <c r="K669" s="85"/>
      <c r="L669" s="85"/>
      <c r="M669" s="85"/>
      <c r="N669" s="85"/>
      <c r="O669" s="85"/>
      <c r="P669" s="85"/>
      <c r="Q669" s="85"/>
      <c r="R669" s="85"/>
      <c r="S669" s="85"/>
    </row>
    <row r="670" customFormat="false" ht="15" hidden="false" customHeight="false" outlineLevel="0" collapsed="false">
      <c r="F670" s="99" t="n">
        <f aca="false">H670/G670</f>
        <v>1.15588505750696E-012</v>
      </c>
      <c r="G670" s="52" t="n">
        <f aca="false">G669*(1+$O$1)</f>
        <v>72664746169.2862</v>
      </c>
      <c r="H670" s="15" t="n">
        <f aca="false">I670/G670</f>
        <v>0.0839920943046142</v>
      </c>
      <c r="I670" s="0" t="n">
        <f aca="false">I669</f>
        <v>6103264212.87154</v>
      </c>
      <c r="J670" s="85"/>
      <c r="K670" s="85"/>
      <c r="L670" s="85"/>
      <c r="M670" s="85"/>
      <c r="N670" s="85"/>
      <c r="O670" s="85"/>
      <c r="P670" s="85"/>
      <c r="Q670" s="85"/>
      <c r="R670" s="85"/>
      <c r="S670" s="85"/>
    </row>
    <row r="671" customFormat="false" ht="15" hidden="false" customHeight="false" outlineLevel="0" collapsed="false">
      <c r="F671" s="99" t="n">
        <f aca="false">H671/G671</f>
        <v>1.1001880380792E-012</v>
      </c>
      <c r="G671" s="52" t="n">
        <f aca="false">G670*(1+$O$1)</f>
        <v>74481364823.5184</v>
      </c>
      <c r="H671" s="15" t="n">
        <f aca="false">I671/G671</f>
        <v>0.081943506638648</v>
      </c>
      <c r="I671" s="0" t="n">
        <f aca="false">I670</f>
        <v>6103264212.87154</v>
      </c>
      <c r="J671" s="85"/>
      <c r="K671" s="85"/>
      <c r="L671" s="85"/>
      <c r="M671" s="85"/>
      <c r="N671" s="85"/>
      <c r="O671" s="85"/>
      <c r="P671" s="85"/>
      <c r="Q671" s="85"/>
      <c r="R671" s="85"/>
      <c r="S671" s="85"/>
    </row>
    <row r="672" customFormat="false" ht="15" hidden="false" customHeight="false" outlineLevel="0" collapsed="false">
      <c r="F672" s="99" t="n">
        <f aca="false">H672/G672</f>
        <v>1.04717481316283E-012</v>
      </c>
      <c r="G672" s="52" t="n">
        <f aca="false">G671*(1+$O$1)</f>
        <v>76343398944.1063</v>
      </c>
      <c r="H672" s="15" t="n">
        <f aca="false">I672/G672</f>
        <v>0.0799448845255102</v>
      </c>
      <c r="I672" s="0" t="n">
        <f aca="false">I671</f>
        <v>6103264212.87154</v>
      </c>
      <c r="J672" s="85"/>
      <c r="K672" s="85"/>
      <c r="L672" s="85"/>
      <c r="M672" s="85"/>
      <c r="N672" s="85"/>
      <c r="O672" s="85"/>
      <c r="P672" s="85"/>
      <c r="Q672" s="85"/>
      <c r="R672" s="85"/>
      <c r="S672" s="85"/>
    </row>
    <row r="673" customFormat="false" ht="15" hidden="false" customHeight="false" outlineLevel="0" collapsed="false">
      <c r="F673" s="99" t="n">
        <f aca="false">H673/G673</f>
        <v>9.96716062498831E-013</v>
      </c>
      <c r="G673" s="52" t="n">
        <f aca="false">G672*(1+$O$1)</f>
        <v>78251983917.709</v>
      </c>
      <c r="H673" s="15" t="n">
        <f aca="false">I673/G673</f>
        <v>0.0779950092931807</v>
      </c>
      <c r="I673" s="0" t="n">
        <f aca="false">I672</f>
        <v>6103264212.87154</v>
      </c>
      <c r="J673" s="85"/>
      <c r="K673" s="85"/>
      <c r="L673" s="85"/>
      <c r="M673" s="85"/>
      <c r="N673" s="85"/>
      <c r="O673" s="85"/>
      <c r="P673" s="85"/>
      <c r="Q673" s="85"/>
      <c r="R673" s="85"/>
      <c r="S673" s="85"/>
    </row>
    <row r="674" customFormat="false" ht="15" hidden="false" customHeight="false" outlineLevel="0" collapsed="false">
      <c r="F674" s="99" t="n">
        <f aca="false">H674/G674</f>
        <v>9.48688697202933E-013</v>
      </c>
      <c r="G674" s="52" t="n">
        <f aca="false">G673*(1+$O$1)</f>
        <v>80208283515.6517</v>
      </c>
      <c r="H674" s="15" t="n">
        <f aca="false">I674/G674</f>
        <v>0.0760926919933471</v>
      </c>
      <c r="I674" s="0" t="n">
        <f aca="false">I673</f>
        <v>6103264212.87154</v>
      </c>
      <c r="J674" s="85"/>
      <c r="K674" s="85"/>
      <c r="L674" s="85"/>
      <c r="M674" s="85"/>
      <c r="N674" s="85"/>
      <c r="O674" s="85"/>
      <c r="P674" s="85"/>
      <c r="Q674" s="85"/>
      <c r="R674" s="85"/>
      <c r="S674" s="85"/>
    </row>
    <row r="675" customFormat="false" ht="15" hidden="false" customHeight="false" outlineLevel="0" collapsed="false">
      <c r="F675" s="99" t="n">
        <f aca="false">H675/G675</f>
        <v>9.02975559503089E-013</v>
      </c>
      <c r="G675" s="52" t="n">
        <f aca="false">G674*(1+$O$1)</f>
        <v>82213490603.543</v>
      </c>
      <c r="H675" s="15" t="n">
        <f aca="false">I675/G675</f>
        <v>0.0742367726764362</v>
      </c>
      <c r="I675" s="0" t="n">
        <f aca="false">I674</f>
        <v>6103264212.87154</v>
      </c>
      <c r="J675" s="85"/>
      <c r="K675" s="85"/>
      <c r="L675" s="85"/>
      <c r="M675" s="85"/>
      <c r="N675" s="85"/>
      <c r="O675" s="85"/>
      <c r="P675" s="85"/>
      <c r="Q675" s="85"/>
      <c r="R675" s="85"/>
      <c r="S675" s="85"/>
    </row>
    <row r="676" customFormat="false" ht="15" hidden="false" customHeight="false" outlineLevel="0" collapsed="false">
      <c r="F676" s="99" t="n">
        <f aca="false">H676/G676</f>
        <v>8.59465136945236E-013</v>
      </c>
      <c r="G676" s="52" t="n">
        <f aca="false">G675*(1+$O$1)</f>
        <v>84268827868.6316</v>
      </c>
      <c r="H676" s="15" t="n">
        <f aca="false">I676/G676</f>
        <v>0.072426119684328</v>
      </c>
      <c r="I676" s="0" t="n">
        <f aca="false">I675</f>
        <v>6103264212.87154</v>
      </c>
      <c r="J676" s="85"/>
      <c r="K676" s="85"/>
      <c r="L676" s="85"/>
      <c r="M676" s="85"/>
      <c r="N676" s="85"/>
      <c r="O676" s="85"/>
      <c r="P676" s="85"/>
      <c r="Q676" s="85"/>
      <c r="R676" s="85"/>
      <c r="S676" s="85"/>
    </row>
    <row r="677" customFormat="false" ht="15" hidden="false" customHeight="false" outlineLevel="0" collapsed="false">
      <c r="F677" s="99" t="n">
        <f aca="false">H677/G677</f>
        <v>8.18051290370243E-013</v>
      </c>
      <c r="G677" s="52" t="n">
        <f aca="false">G676*(1+$O$1)</f>
        <v>86375548565.3473</v>
      </c>
      <c r="H677" s="15" t="n">
        <f aca="false">I677/G677</f>
        <v>0.07065962896032</v>
      </c>
      <c r="I677" s="0" t="n">
        <f aca="false">I676</f>
        <v>6103264212.87154</v>
      </c>
      <c r="J677" s="85"/>
      <c r="K677" s="85"/>
      <c r="L677" s="85"/>
      <c r="M677" s="85"/>
      <c r="N677" s="85"/>
      <c r="O677" s="85"/>
      <c r="P677" s="85"/>
      <c r="Q677" s="85"/>
      <c r="R677" s="85"/>
      <c r="S677" s="85"/>
    </row>
    <row r="678" customFormat="false" ht="15" hidden="false" customHeight="false" outlineLevel="0" collapsed="false">
      <c r="F678" s="99" t="n">
        <f aca="false">H678/G678</f>
        <v>7.78632994998447E-013</v>
      </c>
      <c r="G678" s="52" t="n">
        <f aca="false">G677*(1+$O$1)</f>
        <v>88534937279.481</v>
      </c>
      <c r="H678" s="15" t="n">
        <f aca="false">I678/G678</f>
        <v>0.0689362233759219</v>
      </c>
      <c r="I678" s="0" t="n">
        <f aca="false">I677</f>
        <v>6103264212.87154</v>
      </c>
      <c r="J678" s="85"/>
      <c r="K678" s="85"/>
      <c r="L678" s="85"/>
      <c r="M678" s="85"/>
      <c r="N678" s="85"/>
      <c r="O678" s="85"/>
      <c r="P678" s="85"/>
      <c r="Q678" s="85"/>
      <c r="R678" s="85"/>
      <c r="S678" s="85"/>
    </row>
    <row r="679" customFormat="false" ht="15" hidden="false" customHeight="false" outlineLevel="0" collapsed="false">
      <c r="F679" s="99" t="n">
        <f aca="false">H679/G679</f>
        <v>7.41114093990194E-013</v>
      </c>
      <c r="G679" s="52" t="n">
        <f aca="false">G678*(1+$O$1)</f>
        <v>90748310711.468</v>
      </c>
      <c r="H679" s="15" t="n">
        <f aca="false">I679/G679</f>
        <v>0.0672548520740702</v>
      </c>
      <c r="I679" s="0" t="n">
        <f aca="false">I678</f>
        <v>6103264212.87154</v>
      </c>
      <c r="J679" s="85"/>
      <c r="K679" s="85"/>
      <c r="L679" s="85"/>
      <c r="M679" s="85"/>
      <c r="N679" s="85"/>
      <c r="O679" s="85"/>
      <c r="P679" s="85"/>
      <c r="Q679" s="85"/>
      <c r="R679" s="85"/>
      <c r="S679" s="85"/>
    </row>
    <row r="680" customFormat="false" ht="15" hidden="false" customHeight="false" outlineLevel="0" collapsed="false">
      <c r="F680" s="99" t="n">
        <f aca="false">H680/G680</f>
        <v>7.05403063881207E-013</v>
      </c>
      <c r="G680" s="52" t="n">
        <f aca="false">G679*(1+$O$1)</f>
        <v>93017018479.2547</v>
      </c>
      <c r="H680" s="15" t="n">
        <f aca="false">I680/G680</f>
        <v>0.0656144898283612</v>
      </c>
      <c r="I680" s="0" t="n">
        <f aca="false">I679</f>
        <v>6103264212.87154</v>
      </c>
      <c r="J680" s="85"/>
      <c r="K680" s="85"/>
      <c r="L680" s="85"/>
      <c r="M680" s="85"/>
      <c r="N680" s="85"/>
      <c r="O680" s="85"/>
      <c r="P680" s="85"/>
      <c r="Q680" s="85"/>
      <c r="R680" s="85"/>
      <c r="S680" s="85"/>
    </row>
    <row r="681" customFormat="false" ht="15" hidden="false" customHeight="false" outlineLevel="0" collapsed="false">
      <c r="F681" s="99" t="n">
        <f aca="false">H681/G681</f>
        <v>6.71412791320602E-013</v>
      </c>
      <c r="G681" s="52" t="n">
        <f aca="false">G680*(1+$O$1)</f>
        <v>95342443941.2361</v>
      </c>
      <c r="H681" s="15" t="n">
        <f aca="false">I681/G681</f>
        <v>0.0640141364179133</v>
      </c>
      <c r="I681" s="0" t="n">
        <f aca="false">I680</f>
        <v>6103264212.87154</v>
      </c>
      <c r="J681" s="85"/>
      <c r="K681" s="85"/>
      <c r="L681" s="85"/>
      <c r="M681" s="85"/>
      <c r="N681" s="85"/>
      <c r="O681" s="85"/>
      <c r="P681" s="85"/>
      <c r="Q681" s="85"/>
      <c r="R681" s="85"/>
      <c r="S681" s="85"/>
    </row>
    <row r="682" customFormat="false" ht="15" hidden="false" customHeight="false" outlineLevel="0" collapsed="false">
      <c r="F682" s="99" t="n">
        <f aca="false">H682/G682</f>
        <v>6.39060360566903E-013</v>
      </c>
      <c r="G682" s="52" t="n">
        <f aca="false">G681*(1+$O$1)</f>
        <v>97726005039.767</v>
      </c>
      <c r="H682" s="15" t="n">
        <f aca="false">I682/G682</f>
        <v>0.0624528160174764</v>
      </c>
      <c r="I682" s="0" t="n">
        <f aca="false">I681</f>
        <v>6103264212.87154</v>
      </c>
      <c r="J682" s="85"/>
      <c r="K682" s="85"/>
      <c r="L682" s="85"/>
      <c r="M682" s="85"/>
      <c r="N682" s="85"/>
      <c r="O682" s="85"/>
      <c r="P682" s="85"/>
      <c r="Q682" s="85"/>
      <c r="R682" s="85"/>
      <c r="S682" s="85"/>
    </row>
    <row r="683" customFormat="false" ht="15" hidden="false" customHeight="false" outlineLevel="0" collapsed="false">
      <c r="F683" s="99" t="n">
        <f aca="false">H683/G683</f>
        <v>6.08266851223703E-013</v>
      </c>
      <c r="G683" s="52" t="n">
        <f aca="false">G682*(1+$O$1)</f>
        <v>100169155165.761</v>
      </c>
      <c r="H683" s="15" t="n">
        <f aca="false">I683/G683</f>
        <v>0.060929576602416</v>
      </c>
      <c r="I683" s="0" t="n">
        <f aca="false">I682</f>
        <v>6103264212.87154</v>
      </c>
      <c r="J683" s="85"/>
      <c r="K683" s="85"/>
      <c r="L683" s="85"/>
      <c r="M683" s="85"/>
      <c r="N683" s="85"/>
      <c r="O683" s="85"/>
      <c r="P683" s="85"/>
      <c r="Q683" s="85"/>
      <c r="R683" s="85"/>
      <c r="S683" s="85"/>
    </row>
    <row r="684" customFormat="false" ht="15" hidden="false" customHeight="false" outlineLevel="0" collapsed="false">
      <c r="F684" s="99" t="n">
        <f aca="false">H684/G684</f>
        <v>5.7895714572155E-013</v>
      </c>
      <c r="G684" s="52" t="n">
        <f aca="false">G683*(1+$O$1)</f>
        <v>102673384044.905</v>
      </c>
      <c r="H684" s="15" t="n">
        <f aca="false">I684/G684</f>
        <v>0.0594434893682108</v>
      </c>
      <c r="I684" s="0" t="n">
        <f aca="false">I683</f>
        <v>6103264212.87154</v>
      </c>
      <c r="J684" s="85"/>
      <c r="K684" s="85"/>
      <c r="L684" s="85"/>
      <c r="M684" s="85"/>
      <c r="N684" s="85"/>
      <c r="O684" s="85"/>
      <c r="P684" s="85"/>
      <c r="Q684" s="85"/>
      <c r="R684" s="85"/>
      <c r="S684" s="85"/>
    </row>
    <row r="685" customFormat="false" ht="15" hidden="false" customHeight="false" outlineLevel="0" collapsed="false">
      <c r="F685" s="99" t="n">
        <f aca="false">H685/G685</f>
        <v>5.5105974607643E-013</v>
      </c>
      <c r="G685" s="52" t="n">
        <f aca="false">G684*(1+$O$1)</f>
        <v>105240218646.028</v>
      </c>
      <c r="H685" s="15" t="n">
        <f aca="false">I685/G685</f>
        <v>0.0579936481641081</v>
      </c>
      <c r="I685" s="0" t="n">
        <f aca="false">I684</f>
        <v>6103264212.87154</v>
      </c>
      <c r="J685" s="85"/>
      <c r="K685" s="85"/>
      <c r="L685" s="85"/>
      <c r="M685" s="85"/>
      <c r="N685" s="85"/>
      <c r="O685" s="85"/>
      <c r="P685" s="85"/>
      <c r="Q685" s="85"/>
      <c r="R685" s="85"/>
      <c r="S685" s="85"/>
    </row>
    <row r="686" customFormat="false" ht="15" hidden="false" customHeight="false" outlineLevel="0" collapsed="false">
      <c r="F686" s="99" t="n">
        <f aca="false">H686/G686</f>
        <v>5.24506599477864E-013</v>
      </c>
      <c r="G686" s="52" t="n">
        <f aca="false">G685*(1+$O$1)</f>
        <v>107871224112.178</v>
      </c>
      <c r="H686" s="15" t="n">
        <f aca="false">I686/G686</f>
        <v>0.0565791689405933</v>
      </c>
      <c r="I686" s="0" t="n">
        <f aca="false">I685</f>
        <v>6103264212.87154</v>
      </c>
      <c r="J686" s="85"/>
      <c r="K686" s="85"/>
      <c r="L686" s="85"/>
      <c r="M686" s="85"/>
      <c r="N686" s="85"/>
      <c r="O686" s="85"/>
      <c r="P686" s="85"/>
      <c r="Q686" s="85"/>
      <c r="R686" s="85"/>
      <c r="S686" s="85"/>
    </row>
    <row r="687" customFormat="false" ht="15" hidden="false" customHeight="false" outlineLevel="0" collapsed="false">
      <c r="F687" s="99" t="n">
        <f aca="false">H687/G687</f>
        <v>4.99232932281131E-013</v>
      </c>
      <c r="G687" s="52" t="n">
        <f aca="false">G686*(1+$O$1)</f>
        <v>110568004714.983</v>
      </c>
      <c r="H687" s="15" t="n">
        <f aca="false">I687/G687</f>
        <v>0.0551991892103349</v>
      </c>
      <c r="I687" s="0" t="n">
        <f aca="false">I686</f>
        <v>6103264212.87154</v>
      </c>
      <c r="J687" s="85"/>
      <c r="K687" s="85"/>
      <c r="L687" s="85"/>
      <c r="M687" s="85"/>
      <c r="N687" s="85"/>
      <c r="O687" s="85"/>
      <c r="P687" s="85"/>
      <c r="Q687" s="85"/>
      <c r="R687" s="85"/>
      <c r="S687" s="85"/>
    </row>
    <row r="688" customFormat="false" ht="15" hidden="false" customHeight="false" outlineLevel="0" collapsed="false">
      <c r="F688" s="99" t="n">
        <f aca="false">H688/G688</f>
        <v>4.75177091998698E-013</v>
      </c>
      <c r="G688" s="52" t="n">
        <f aca="false">G687*(1+$O$1)</f>
        <v>113332204832.857</v>
      </c>
      <c r="H688" s="15" t="n">
        <f aca="false">I688/G688</f>
        <v>0.0538528675222779</v>
      </c>
      <c r="I688" s="0" t="n">
        <f aca="false">I687</f>
        <v>6103264212.87154</v>
      </c>
      <c r="J688" s="85"/>
      <c r="K688" s="85"/>
      <c r="L688" s="85"/>
      <c r="M688" s="85"/>
      <c r="N688" s="85"/>
      <c r="O688" s="85"/>
      <c r="P688" s="85"/>
      <c r="Q688" s="85"/>
      <c r="R688" s="85"/>
      <c r="S688" s="85"/>
    </row>
    <row r="689" customFormat="false" ht="15" hidden="false" customHeight="false" outlineLevel="0" collapsed="false">
      <c r="F689" s="99" t="n">
        <f aca="false">H689/G689</f>
        <v>4.52280396905364E-013</v>
      </c>
      <c r="G689" s="52" t="n">
        <f aca="false">G688*(1+$O$1)</f>
        <v>116165509953.679</v>
      </c>
      <c r="H689" s="15" t="n">
        <f aca="false">I689/G689</f>
        <v>0.0525393829485638</v>
      </c>
      <c r="I689" s="0" t="n">
        <f aca="false">I688</f>
        <v>6103264212.87154</v>
      </c>
      <c r="J689" s="85"/>
      <c r="K689" s="85"/>
      <c r="L689" s="85"/>
      <c r="M689" s="85"/>
      <c r="N689" s="85"/>
      <c r="O689" s="85"/>
      <c r="P689" s="85"/>
      <c r="Q689" s="85"/>
      <c r="R689" s="85"/>
      <c r="S689" s="85"/>
    </row>
    <row r="690" customFormat="false" ht="15" hidden="false" customHeight="false" outlineLevel="0" collapsed="false">
      <c r="F690" s="99" t="n">
        <f aca="false">H690/G690</f>
        <v>4.30486992890293E-013</v>
      </c>
      <c r="G690" s="52" t="n">
        <f aca="false">G689*(1+$O$1)</f>
        <v>119069647702.521</v>
      </c>
      <c r="H690" s="15" t="n">
        <f aca="false">I690/G690</f>
        <v>0.0512579345839647</v>
      </c>
      <c r="I690" s="0" t="n">
        <f aca="false">I689</f>
        <v>6103264212.87154</v>
      </c>
      <c r="J690" s="85"/>
      <c r="K690" s="85"/>
      <c r="L690" s="85"/>
      <c r="M690" s="85"/>
      <c r="N690" s="85"/>
      <c r="O690" s="85"/>
      <c r="P690" s="85"/>
      <c r="Q690" s="85"/>
      <c r="R690" s="85"/>
      <c r="S690" s="85"/>
    </row>
    <row r="691" customFormat="false" ht="15" hidden="false" customHeight="false" outlineLevel="0" collapsed="false">
      <c r="F691" s="99" t="n">
        <f aca="false">H691/G691</f>
        <v>4.09743717206703E-013</v>
      </c>
      <c r="G691" s="52" t="n">
        <f aca="false">G690*(1+$O$1)</f>
        <v>122046388895.084</v>
      </c>
      <c r="H691" s="15" t="n">
        <f aca="false">I691/G691</f>
        <v>0.0500077410575266</v>
      </c>
      <c r="I691" s="0" t="n">
        <f aca="false">I690</f>
        <v>6103264212.87154</v>
      </c>
      <c r="J691" s="85"/>
      <c r="K691" s="85"/>
      <c r="L691" s="85"/>
      <c r="M691" s="85"/>
      <c r="N691" s="85"/>
      <c r="O691" s="85"/>
      <c r="P691" s="85"/>
      <c r="Q691" s="85"/>
      <c r="R691" s="85"/>
      <c r="S691" s="85"/>
    </row>
    <row r="692" customFormat="false" ht="15" hidden="false" customHeight="false" outlineLevel="0" collapsed="false">
      <c r="F692" s="99" t="n">
        <f aca="false">H692/G692</f>
        <v>3.89999968786868E-013</v>
      </c>
      <c r="G692" s="52" t="n">
        <f aca="false">G691*(1+$O$1)</f>
        <v>125097548617.461</v>
      </c>
      <c r="H692" s="15" t="n">
        <f aca="false">I692/G692</f>
        <v>0.0487880400561235</v>
      </c>
      <c r="I692" s="0" t="n">
        <f aca="false">I691</f>
        <v>6103264212.87154</v>
      </c>
      <c r="J692" s="85"/>
      <c r="K692" s="85"/>
      <c r="L692" s="85"/>
      <c r="M692" s="85"/>
      <c r="N692" s="85"/>
      <c r="O692" s="85"/>
      <c r="P692" s="85"/>
      <c r="Q692" s="85"/>
      <c r="R692" s="85"/>
      <c r="S692" s="85"/>
    </row>
    <row r="693" customFormat="false" ht="15" hidden="false" customHeight="false" outlineLevel="0" collapsed="false">
      <c r="F693" s="99" t="n">
        <f aca="false">H693/G693</f>
        <v>3.71207584806061E-013</v>
      </c>
      <c r="G693" s="52" t="n">
        <f aca="false">G692*(1+$O$1)</f>
        <v>128224987332.897</v>
      </c>
      <c r="H693" s="15" t="n">
        <f aca="false">I693/G693</f>
        <v>0.0475980878596327</v>
      </c>
      <c r="I693" s="0" t="n">
        <f aca="false">I692</f>
        <v>6103264212.87154</v>
      </c>
      <c r="J693" s="85"/>
      <c r="K693" s="85"/>
      <c r="L693" s="85"/>
      <c r="M693" s="85"/>
      <c r="N693" s="85"/>
      <c r="O693" s="85"/>
      <c r="P693" s="85"/>
      <c r="Q693" s="85"/>
      <c r="R693" s="85"/>
      <c r="S693" s="85"/>
    </row>
    <row r="694" customFormat="false" ht="15" hidden="false" customHeight="false" outlineLevel="0" collapsed="false">
      <c r="F694" s="99" t="n">
        <f aca="false">H694/G694</f>
        <v>3.53320723194348E-013</v>
      </c>
      <c r="G694" s="52" t="n">
        <f aca="false">G693*(1+$O$1)</f>
        <v>131430612016.22</v>
      </c>
      <c r="H694" s="15" t="n">
        <f aca="false">I694/G694</f>
        <v>0.0464371588874465</v>
      </c>
      <c r="I694" s="0" t="n">
        <f aca="false">I693</f>
        <v>6103264212.87154</v>
      </c>
      <c r="J694" s="85"/>
      <c r="K694" s="85"/>
      <c r="L694" s="85"/>
      <c r="M694" s="85"/>
      <c r="N694" s="85"/>
      <c r="O694" s="85"/>
      <c r="P694" s="85"/>
      <c r="Q694" s="85"/>
      <c r="R694" s="85"/>
      <c r="S694" s="85"/>
    </row>
    <row r="695" customFormat="false" ht="15" hidden="false" customHeight="false" outlineLevel="0" collapsed="false">
      <c r="F695" s="99" t="n">
        <f aca="false">H695/G695</f>
        <v>3.36295750809611E-013</v>
      </c>
      <c r="G695" s="52" t="n">
        <f aca="false">G694*(1+$O$1)</f>
        <v>134716377316.625</v>
      </c>
      <c r="H695" s="15" t="n">
        <f aca="false">I695/G695</f>
        <v>0.0453045452560454</v>
      </c>
      <c r="I695" s="0" t="n">
        <f aca="false">I694</f>
        <v>6103264212.87154</v>
      </c>
      <c r="J695" s="85"/>
      <c r="K695" s="85"/>
      <c r="L695" s="85"/>
      <c r="M695" s="85"/>
      <c r="N695" s="85"/>
      <c r="O695" s="85"/>
      <c r="P695" s="85"/>
      <c r="Q695" s="85"/>
      <c r="R695" s="85"/>
      <c r="S695" s="85"/>
    </row>
    <row r="696" customFormat="false" ht="15" hidden="false" customHeight="false" outlineLevel="0" collapsed="false">
      <c r="F696" s="99" t="n">
        <f aca="false">H696/G696</f>
        <v>3.20091136999035E-013</v>
      </c>
      <c r="G696" s="52" t="n">
        <f aca="false">G695*(1+$O$1)</f>
        <v>138084286749.541</v>
      </c>
      <c r="H696" s="15" t="n">
        <f aca="false">I696/G696</f>
        <v>0.0441995563473614</v>
      </c>
      <c r="I696" s="0" t="n">
        <f aca="false">I695</f>
        <v>6103264212.87154</v>
      </c>
      <c r="J696" s="85"/>
      <c r="K696" s="85"/>
      <c r="L696" s="85"/>
      <c r="M696" s="85"/>
      <c r="N696" s="85"/>
      <c r="O696" s="85"/>
      <c r="P696" s="85"/>
      <c r="Q696" s="85"/>
      <c r="R696" s="85"/>
      <c r="S696" s="85"/>
    </row>
    <row r="697" customFormat="false" ht="15" hidden="false" customHeight="false" outlineLevel="0" collapsed="false">
      <c r="F697" s="99" t="n">
        <f aca="false">H697/G697</f>
        <v>3.04667352289385E-013</v>
      </c>
      <c r="G697" s="52" t="n">
        <f aca="false">G696*(1+$O$1)</f>
        <v>141536393918.28</v>
      </c>
      <c r="H697" s="15" t="n">
        <f aca="false">I697/G697</f>
        <v>0.0431215183876696</v>
      </c>
      <c r="I697" s="0" t="n">
        <f aca="false">I696</f>
        <v>6103264212.87154</v>
      </c>
      <c r="J697" s="85"/>
      <c r="K697" s="85"/>
      <c r="L697" s="85"/>
      <c r="M697" s="85"/>
      <c r="N697" s="85"/>
      <c r="O697" s="85"/>
      <c r="P697" s="85"/>
      <c r="Q697" s="85"/>
      <c r="R697" s="85"/>
      <c r="S697" s="85"/>
    </row>
    <row r="698" customFormat="false" ht="15" hidden="false" customHeight="false" outlineLevel="0" collapsed="false">
      <c r="F698" s="99" t="n">
        <f aca="false">H698/G698</f>
        <v>2.89986771958963E-013</v>
      </c>
      <c r="G698" s="52" t="n">
        <f aca="false">G697*(1+$O$1)</f>
        <v>145074803766.236</v>
      </c>
      <c r="H698" s="15" t="n">
        <f aca="false">I698/G698</f>
        <v>0.0420697740367509</v>
      </c>
      <c r="I698" s="0" t="n">
        <f aca="false">I697</f>
        <v>6103264212.87154</v>
      </c>
      <c r="J698" s="85"/>
      <c r="K698" s="85"/>
      <c r="L698" s="85"/>
      <c r="M698" s="85"/>
      <c r="N698" s="85"/>
      <c r="O698" s="85"/>
      <c r="P698" s="85"/>
      <c r="Q698" s="85"/>
      <c r="R698" s="85"/>
      <c r="S698" s="85"/>
    </row>
    <row r="699" customFormat="false" ht="15" hidden="false" customHeight="false" outlineLevel="0" collapsed="false">
      <c r="F699" s="99" t="n">
        <f aca="false">H699/G699</f>
        <v>2.76013584256002E-013</v>
      </c>
      <c r="G699" s="52" t="n">
        <f aca="false">G698*(1+$O$1)</f>
        <v>148701673860.392</v>
      </c>
      <c r="H699" s="15" t="n">
        <f aca="false">I699/G699</f>
        <v>0.041043681987074</v>
      </c>
      <c r="I699" s="0" t="n">
        <f aca="false">I698</f>
        <v>6103264212.87154</v>
      </c>
      <c r="J699" s="85"/>
      <c r="K699" s="85"/>
      <c r="L699" s="85"/>
      <c r="M699" s="85"/>
      <c r="N699" s="85"/>
      <c r="O699" s="85"/>
      <c r="P699" s="85"/>
      <c r="Q699" s="85"/>
      <c r="R699" s="85"/>
      <c r="S699" s="85"/>
    </row>
    <row r="700" customFormat="false" ht="15" hidden="false" customHeight="false" outlineLevel="0" collapsed="false">
      <c r="F700" s="99" t="n">
        <f aca="false">H700/G700</f>
        <v>2.62713703039622E-013</v>
      </c>
      <c r="G700" s="52" t="n">
        <f aca="false">G699*(1+$O$1)</f>
        <v>152419215706.902</v>
      </c>
      <c r="H700" s="15" t="n">
        <f aca="false">I700/G700</f>
        <v>0.0400426165727551</v>
      </c>
      <c r="I700" s="0" t="n">
        <f aca="false">I699</f>
        <v>6103264212.87154</v>
      </c>
      <c r="J700" s="85"/>
      <c r="K700" s="85"/>
      <c r="L700" s="85"/>
      <c r="M700" s="85"/>
      <c r="N700" s="85"/>
      <c r="O700" s="85"/>
      <c r="P700" s="85"/>
      <c r="Q700" s="85"/>
      <c r="R700" s="85"/>
      <c r="S700" s="85"/>
    </row>
    <row r="701" customFormat="false" ht="15" hidden="false" customHeight="false" outlineLevel="0" collapsed="false">
      <c r="F701" s="99" t="n">
        <f aca="false">H701/G701</f>
        <v>2.50054684630217E-013</v>
      </c>
      <c r="G701" s="52" t="n">
        <f aca="false">G700*(1+$O$1)</f>
        <v>156229696099.575</v>
      </c>
      <c r="H701" s="15" t="n">
        <f aca="false">I701/G701</f>
        <v>0.0390659673880538</v>
      </c>
      <c r="I701" s="0" t="n">
        <f aca="false">I700</f>
        <v>6103264212.87154</v>
      </c>
      <c r="J701" s="85"/>
      <c r="K701" s="85"/>
      <c r="L701" s="85"/>
      <c r="M701" s="85"/>
      <c r="N701" s="85"/>
      <c r="O701" s="85"/>
      <c r="P701" s="85"/>
      <c r="Q701" s="85"/>
      <c r="R701" s="85"/>
      <c r="S701" s="85"/>
    </row>
    <row r="702" customFormat="false" ht="15" hidden="false" customHeight="false" outlineLevel="0" collapsed="false">
      <c r="F702" s="99" t="n">
        <f aca="false">H702/G702</f>
        <v>2.38005648666477E-013</v>
      </c>
      <c r="G702" s="52" t="n">
        <f aca="false">G701*(1+$O$1)</f>
        <v>160135438502.064</v>
      </c>
      <c r="H702" s="15" t="n">
        <f aca="false">I702/G702</f>
        <v>0.0381131389151744</v>
      </c>
      <c r="I702" s="0" t="n">
        <f aca="false">I701</f>
        <v>6103264212.87154</v>
      </c>
      <c r="J702" s="85"/>
      <c r="K702" s="85"/>
      <c r="L702" s="85"/>
      <c r="M702" s="85"/>
      <c r="N702" s="85"/>
      <c r="O702" s="85"/>
      <c r="P702" s="85"/>
      <c r="Q702" s="85"/>
      <c r="R702" s="85"/>
      <c r="S702" s="85"/>
    </row>
    <row r="703" customFormat="false" ht="15" hidden="false" customHeight="false" outlineLevel="0" collapsed="false">
      <c r="F703" s="99" t="n">
        <f aca="false">H703/G703</f>
        <v>2.26537202775944E-013</v>
      </c>
      <c r="G703" s="52" t="n">
        <f aca="false">G702*(1+$O$1)</f>
        <v>164138824464.616</v>
      </c>
      <c r="H703" s="15" t="n">
        <f aca="false">I703/G703</f>
        <v>0.0371835501611458</v>
      </c>
      <c r="I703" s="0" t="n">
        <f aca="false">I702</f>
        <v>6103264212.87154</v>
      </c>
      <c r="J703" s="85"/>
      <c r="K703" s="85"/>
      <c r="L703" s="85"/>
      <c r="M703" s="85"/>
      <c r="N703" s="85"/>
      <c r="O703" s="85"/>
      <c r="P703" s="85"/>
      <c r="Q703" s="85"/>
      <c r="R703" s="85"/>
      <c r="S703" s="85"/>
    </row>
    <row r="704" customFormat="false" ht="15" hidden="false" customHeight="false" outlineLevel="0" collapsed="false">
      <c r="F704" s="99" t="n">
        <f aca="false">H704/G704</f>
        <v>2.15621370875378E-013</v>
      </c>
      <c r="G704" s="52" t="n">
        <f aca="false">G703*(1+$O$1)</f>
        <v>168242295076.231</v>
      </c>
      <c r="H704" s="15" t="n">
        <f aca="false">I704/G704</f>
        <v>0.0362766343035569</v>
      </c>
      <c r="I704" s="0" t="n">
        <f aca="false">I703</f>
        <v>6103264212.87154</v>
      </c>
      <c r="J704" s="85"/>
      <c r="K704" s="85"/>
      <c r="L704" s="85"/>
      <c r="M704" s="85"/>
      <c r="N704" s="85"/>
      <c r="O704" s="85"/>
      <c r="P704" s="85"/>
      <c r="Q704" s="85"/>
      <c r="R704" s="85"/>
      <c r="S704" s="85"/>
    </row>
    <row r="705" customFormat="false" ht="15" hidden="false" customHeight="false" outlineLevel="0" collapsed="false">
      <c r="F705" s="99" t="n">
        <f aca="false">H705/G705</f>
        <v>2.05231524926E-013</v>
      </c>
      <c r="G705" s="52" t="n">
        <f aca="false">G704*(1+$O$1)</f>
        <v>172448352453.137</v>
      </c>
      <c r="H705" s="15" t="n">
        <f aca="false">I705/G705</f>
        <v>0.0353918383449335</v>
      </c>
      <c r="I705" s="0" t="n">
        <f aca="false">I704</f>
        <v>6103264212.87154</v>
      </c>
      <c r="J705" s="85"/>
      <c r="K705" s="85"/>
      <c r="L705" s="85"/>
      <c r="M705" s="85"/>
      <c r="N705" s="85"/>
      <c r="O705" s="85"/>
      <c r="P705" s="85"/>
      <c r="Q705" s="85"/>
      <c r="R705" s="85"/>
      <c r="S705" s="85"/>
    </row>
    <row r="706" customFormat="false" ht="15" hidden="false" customHeight="false" outlineLevel="0" collapsed="false">
      <c r="F706" s="99" t="n">
        <f aca="false">H706/G706</f>
        <v>1.95342319977156E-013</v>
      </c>
      <c r="G706" s="52" t="n">
        <f aca="false">G705*(1+$O$1)</f>
        <v>176759561264.465</v>
      </c>
      <c r="H706" s="15" t="n">
        <f aca="false">I706/G706</f>
        <v>0.0345286227755449</v>
      </c>
      <c r="I706" s="0" t="n">
        <f aca="false">I705</f>
        <v>6103264212.87154</v>
      </c>
      <c r="J706" s="85"/>
      <c r="K706" s="85"/>
      <c r="L706" s="85"/>
      <c r="M706" s="85"/>
      <c r="N706" s="85"/>
      <c r="O706" s="85"/>
      <c r="P706" s="85"/>
      <c r="Q706" s="85"/>
      <c r="R706" s="85"/>
      <c r="S706" s="85"/>
    </row>
    <row r="707" customFormat="false" ht="15" hidden="false" customHeight="false" outlineLevel="0" collapsed="false">
      <c r="F707" s="99" t="n">
        <f aca="false">H707/G707</f>
        <v>1.85929632339947E-013</v>
      </c>
      <c r="G707" s="52" t="n">
        <f aca="false">G706*(1+$O$1)</f>
        <v>181178550296.077</v>
      </c>
      <c r="H707" s="15" t="n">
        <f aca="false">I707/G707</f>
        <v>0.0336864612444341</v>
      </c>
      <c r="I707" s="0" t="n">
        <f aca="false">I706</f>
        <v>6103264212.87154</v>
      </c>
      <c r="J707" s="85"/>
      <c r="K707" s="85"/>
      <c r="L707" s="85"/>
      <c r="M707" s="85"/>
      <c r="N707" s="85"/>
      <c r="O707" s="85"/>
      <c r="P707" s="85"/>
      <c r="Q707" s="85"/>
      <c r="R707" s="85"/>
      <c r="S707" s="85"/>
    </row>
    <row r="708" customFormat="false" ht="15" hidden="false" customHeight="false" outlineLevel="0" collapsed="false">
      <c r="F708" s="99" t="n">
        <f aca="false">H708/G708</f>
        <v>1.76970500739985E-013</v>
      </c>
      <c r="G708" s="52" t="n">
        <f aca="false">G707*(1+$O$1)</f>
        <v>185708014053.479</v>
      </c>
      <c r="H708" s="15" t="n">
        <f aca="false">I708/G708</f>
        <v>0.0328648402384723</v>
      </c>
      <c r="I708" s="0" t="n">
        <f aca="false">I707</f>
        <v>6103264212.87154</v>
      </c>
      <c r="J708" s="85"/>
      <c r="K708" s="85"/>
      <c r="L708" s="85"/>
      <c r="M708" s="85"/>
      <c r="N708" s="85"/>
      <c r="O708" s="85"/>
      <c r="P708" s="85"/>
      <c r="Q708" s="85"/>
      <c r="R708" s="85"/>
      <c r="S708" s="85"/>
    </row>
    <row r="709" customFormat="false" ht="15" hidden="false" customHeight="false" outlineLevel="0" collapsed="false">
      <c r="F709" s="99" t="n">
        <f aca="false">H709/G709</f>
        <v>1.68443070305756E-013</v>
      </c>
      <c r="G709" s="52" t="n">
        <f aca="false">G708*(1+$O$1)</f>
        <v>190350714404.816</v>
      </c>
      <c r="H709" s="15" t="n">
        <f aca="false">I709/G709</f>
        <v>0.0320632587692412</v>
      </c>
      <c r="I709" s="0" t="n">
        <f aca="false">I708</f>
        <v>6103264212.87154</v>
      </c>
      <c r="J709" s="85"/>
      <c r="K709" s="85"/>
      <c r="L709" s="85"/>
      <c r="M709" s="85"/>
      <c r="N709" s="85"/>
      <c r="O709" s="85"/>
      <c r="P709" s="85"/>
      <c r="Q709" s="85"/>
      <c r="R709" s="85"/>
      <c r="S709" s="85"/>
    </row>
    <row r="710" customFormat="false" ht="15" hidden="false" customHeight="false" outlineLevel="0" collapsed="false">
      <c r="F710" s="99" t="n">
        <f aca="false">H710/G710</f>
        <v>1.60326539255925E-013</v>
      </c>
      <c r="G710" s="52" t="n">
        <f aca="false">G709*(1+$O$1)</f>
        <v>195109482264.936</v>
      </c>
      <c r="H710" s="15" t="n">
        <f aca="false">I710/G710</f>
        <v>0.0312812280675524</v>
      </c>
      <c r="I710" s="0" t="n">
        <f aca="false">I709</f>
        <v>6103264212.87154</v>
      </c>
      <c r="J710" s="85"/>
      <c r="K710" s="85"/>
      <c r="L710" s="85"/>
      <c r="M710" s="85"/>
      <c r="N710" s="85"/>
      <c r="O710" s="85"/>
      <c r="P710" s="85"/>
      <c r="Q710" s="85"/>
      <c r="R710" s="85"/>
      <c r="S710" s="85"/>
    </row>
    <row r="711" customFormat="false" ht="15" hidden="false" customHeight="false" outlineLevel="0" collapsed="false">
      <c r="F711" s="99" t="n">
        <f aca="false">H711/G711</f>
        <v>1.5260110815555E-013</v>
      </c>
      <c r="G711" s="52" t="n">
        <f aca="false">G710*(1+$O$1)</f>
        <v>199987219321.559</v>
      </c>
      <c r="H711" s="15" t="n">
        <f aca="false">I711/G711</f>
        <v>0.030518271285417</v>
      </c>
      <c r="I711" s="0" t="n">
        <f aca="false">I710</f>
        <v>6103264212.87154</v>
      </c>
      <c r="J711" s="85"/>
      <c r="K711" s="85"/>
      <c r="L711" s="85"/>
      <c r="M711" s="85"/>
      <c r="N711" s="85"/>
      <c r="O711" s="85"/>
      <c r="P711" s="85"/>
      <c r="Q711" s="85"/>
      <c r="R711" s="85"/>
      <c r="S711" s="85"/>
    </row>
    <row r="712" customFormat="false" ht="15" hidden="false" customHeight="false" outlineLevel="0" collapsed="false">
      <c r="F712" s="99" t="n">
        <f aca="false">H712/G712</f>
        <v>1.45247931617418E-013</v>
      </c>
      <c r="G712" s="52" t="n">
        <f aca="false">G711*(1+$O$1)</f>
        <v>204986899804.598</v>
      </c>
      <c r="H712" s="15" t="n">
        <f aca="false">I712/G712</f>
        <v>0.0297739232052849</v>
      </c>
      <c r="I712" s="0" t="n">
        <f aca="false">I711</f>
        <v>6103264212.87154</v>
      </c>
      <c r="J712" s="85"/>
      <c r="K712" s="85"/>
      <c r="L712" s="85"/>
      <c r="M712" s="85"/>
      <c r="N712" s="85"/>
      <c r="O712" s="85"/>
      <c r="P712" s="85"/>
      <c r="Q712" s="85"/>
      <c r="R712" s="85"/>
      <c r="S712" s="85"/>
    </row>
    <row r="713" customFormat="false" ht="15" hidden="false" customHeight="false" outlineLevel="0" collapsed="false">
      <c r="F713" s="99" t="n">
        <f aca="false">H713/G713</f>
        <v>1.38249072330678E-013</v>
      </c>
      <c r="G713" s="52" t="n">
        <f aca="false">G712*(1+$O$1)</f>
        <v>210111572299.713</v>
      </c>
      <c r="H713" s="15" t="n">
        <f aca="false">I713/G713</f>
        <v>0.0290477299563755</v>
      </c>
      <c r="I713" s="0" t="n">
        <f aca="false">I712</f>
        <v>6103264212.87154</v>
      </c>
      <c r="J713" s="85"/>
      <c r="K713" s="85"/>
      <c r="L713" s="85"/>
      <c r="M713" s="85"/>
      <c r="N713" s="85"/>
      <c r="O713" s="85"/>
      <c r="P713" s="85"/>
      <c r="Q713" s="85"/>
      <c r="R713" s="85"/>
      <c r="S713" s="85"/>
    </row>
    <row r="714" customFormat="false" ht="15" hidden="false" customHeight="false" outlineLevel="0" collapsed="false">
      <c r="F714" s="99" t="n">
        <f aca="false">H714/G714</f>
        <v>1.31587457304631E-013</v>
      </c>
      <c r="G714" s="52" t="n">
        <f aca="false">G713*(1+$O$1)</f>
        <v>215364361607.206</v>
      </c>
      <c r="H714" s="15" t="n">
        <f aca="false">I714/G714</f>
        <v>0.0283392487379273</v>
      </c>
      <c r="I714" s="0" t="n">
        <f aca="false">I713</f>
        <v>6103264212.87154</v>
      </c>
      <c r="J714" s="85"/>
      <c r="K714" s="85"/>
      <c r="L714" s="85"/>
      <c r="M714" s="85"/>
      <c r="N714" s="85"/>
      <c r="O714" s="85"/>
      <c r="P714" s="85"/>
      <c r="Q714" s="85"/>
      <c r="R714" s="85"/>
      <c r="S714" s="85"/>
    </row>
    <row r="715" customFormat="false" ht="15" hidden="false" customHeight="false" outlineLevel="0" collapsed="false">
      <c r="F715" s="99" t="n">
        <f aca="false">H715/G715</f>
        <v>1.25246836220946E-013</v>
      </c>
      <c r="G715" s="52" t="n">
        <f aca="false">G714*(1+$O$1)</f>
        <v>220748470647.386</v>
      </c>
      <c r="H715" s="15" t="n">
        <f aca="false">I715/G715</f>
        <v>0.0276480475491974</v>
      </c>
      <c r="I715" s="0" t="n">
        <f aca="false">I714</f>
        <v>6103264212.87154</v>
      </c>
      <c r="J715" s="85"/>
      <c r="K715" s="85"/>
      <c r="L715" s="85"/>
      <c r="M715" s="85"/>
      <c r="N715" s="85"/>
      <c r="O715" s="85"/>
      <c r="P715" s="85"/>
      <c r="Q715" s="85"/>
      <c r="R715" s="85"/>
      <c r="S715" s="85"/>
    </row>
    <row r="716" customFormat="false" ht="15" hidden="false" customHeight="false" outlineLevel="0" collapsed="false">
      <c r="F716" s="99" t="n">
        <f aca="false">H716/G716</f>
        <v>1.19211741792691E-013</v>
      </c>
      <c r="G716" s="52" t="n">
        <f aca="false">G715*(1+$O$1)</f>
        <v>226267182413.571</v>
      </c>
      <c r="H716" s="15" t="n">
        <f aca="false">I716/G716</f>
        <v>0.0269737049260462</v>
      </c>
      <c r="I716" s="0" t="n">
        <f aca="false">I715</f>
        <v>6103264212.87154</v>
      </c>
      <c r="J716" s="85"/>
      <c r="K716" s="85"/>
      <c r="L716" s="85"/>
      <c r="M716" s="85"/>
      <c r="N716" s="85"/>
      <c r="O716" s="85"/>
      <c r="P716" s="85"/>
      <c r="Q716" s="85"/>
      <c r="R716" s="85"/>
      <c r="S716" s="85"/>
    </row>
    <row r="717" customFormat="false" ht="15" hidden="false" customHeight="false" outlineLevel="0" collapsed="false">
      <c r="F717" s="99" t="n">
        <f aca="false">H717/G717</f>
        <v>1.13467452033495E-013</v>
      </c>
      <c r="G717" s="52" t="n">
        <f aca="false">G716*(1+$O$1)</f>
        <v>231923861973.91</v>
      </c>
      <c r="H717" s="15" t="n">
        <f aca="false">I717/G717</f>
        <v>0.0263158096839475</v>
      </c>
      <c r="I717" s="0" t="n">
        <f aca="false">I716</f>
        <v>6103264212.87154</v>
      </c>
      <c r="J717" s="85"/>
      <c r="K717" s="85"/>
      <c r="L717" s="85"/>
      <c r="M717" s="85"/>
      <c r="N717" s="85"/>
      <c r="O717" s="85"/>
      <c r="P717" s="85"/>
      <c r="Q717" s="85"/>
      <c r="R717" s="85"/>
      <c r="S717" s="85"/>
    </row>
    <row r="718" customFormat="false" ht="15" hidden="false" customHeight="false" outlineLevel="0" collapsed="false">
      <c r="F718" s="99" t="n">
        <f aca="false">H718/G718</f>
        <v>1.0799995434479E-013</v>
      </c>
      <c r="G718" s="52" t="n">
        <f aca="false">G717*(1+$O$1)</f>
        <v>237721958523.258</v>
      </c>
      <c r="H718" s="15" t="n">
        <f aca="false">I718/G718</f>
        <v>0.0256739606672659</v>
      </c>
      <c r="I718" s="0" t="n">
        <f aca="false">I717</f>
        <v>6103264212.87154</v>
      </c>
      <c r="J718" s="85"/>
      <c r="K718" s="85"/>
      <c r="L718" s="85"/>
      <c r="M718" s="85"/>
      <c r="N718" s="85"/>
      <c r="O718" s="85"/>
      <c r="P718" s="85"/>
      <c r="Q718" s="85"/>
      <c r="R718" s="85"/>
      <c r="S718" s="85"/>
    </row>
    <row r="719" customFormat="false" ht="15" hidden="false" customHeight="false" outlineLevel="0" collapsed="false">
      <c r="F719" s="99" t="n">
        <f aca="false">H719/G719</f>
        <v>1.0279591133353E-013</v>
      </c>
      <c r="G719" s="52" t="n">
        <f aca="false">G718*(1+$O$1)</f>
        <v>243665007486.339</v>
      </c>
      <c r="H719" s="15" t="n">
        <f aca="false">I719/G719</f>
        <v>0.0250477665046497</v>
      </c>
      <c r="I719" s="0" t="n">
        <f aca="false">I718</f>
        <v>6103264212.87154</v>
      </c>
      <c r="J719" s="85"/>
      <c r="K719" s="85"/>
      <c r="L719" s="85"/>
      <c r="M719" s="85"/>
      <c r="N719" s="85"/>
      <c r="O719" s="85"/>
      <c r="P719" s="85"/>
      <c r="Q719" s="85"/>
      <c r="R719" s="85"/>
      <c r="S719" s="85"/>
    </row>
    <row r="720" customFormat="false" ht="15" hidden="false" customHeight="false" outlineLevel="0" collapsed="false">
      <c r="F720" s="99" t="n">
        <f aca="false">H720/G720</f>
        <v>9.78426282770066E-014</v>
      </c>
      <c r="G720" s="52" t="n">
        <f aca="false">G719*(1+$O$1)</f>
        <v>249756632673.498</v>
      </c>
      <c r="H720" s="15" t="n">
        <f aca="false">I720/G720</f>
        <v>0.0244368453703899</v>
      </c>
      <c r="I720" s="0" t="n">
        <f aca="false">I719</f>
        <v>6103264212.87154</v>
      </c>
      <c r="J720" s="85"/>
      <c r="K720" s="85"/>
      <c r="L720" s="85"/>
      <c r="M720" s="85"/>
      <c r="N720" s="85"/>
      <c r="O720" s="85"/>
      <c r="P720" s="85"/>
      <c r="Q720" s="85"/>
      <c r="R720" s="85"/>
      <c r="S720" s="85"/>
    </row>
    <row r="721" customFormat="false" ht="15" hidden="false" customHeight="false" outlineLevel="0" collapsed="false">
      <c r="F721" s="99" t="n">
        <f aca="false">H721/G721</f>
        <v>9.312802215539E-014</v>
      </c>
      <c r="G721" s="52" t="n">
        <f aca="false">G720*(1+$O$1)</f>
        <v>256000548490.335</v>
      </c>
      <c r="H721" s="15" t="n">
        <f aca="false">I721/G721</f>
        <v>0.0238408247515999</v>
      </c>
      <c r="I721" s="0" t="n">
        <f aca="false">I720</f>
        <v>6103264212.87154</v>
      </c>
      <c r="J721" s="85"/>
      <c r="K721" s="85"/>
      <c r="L721" s="85"/>
      <c r="M721" s="85"/>
      <c r="N721" s="85"/>
      <c r="O721" s="85"/>
      <c r="P721" s="85"/>
      <c r="Q721" s="85"/>
      <c r="R721" s="85"/>
      <c r="S721" s="85"/>
    </row>
    <row r="722" customFormat="false" ht="15" hidden="false" customHeight="false" outlineLevel="0" collapsed="false">
      <c r="F722" s="99" t="n">
        <f aca="false">H722/G722</f>
        <v>8.86405921764569E-014</v>
      </c>
      <c r="G722" s="52" t="n">
        <f aca="false">G721*(1+$O$1)</f>
        <v>262400562202.594</v>
      </c>
      <c r="H722" s="15" t="n">
        <f aca="false">I722/G722</f>
        <v>0.0232593412210731</v>
      </c>
      <c r="I722" s="0" t="n">
        <f aca="false">I721</f>
        <v>6103264212.87154</v>
      </c>
      <c r="J722" s="85"/>
      <c r="K722" s="85"/>
      <c r="L722" s="85"/>
      <c r="M722" s="85"/>
      <c r="N722" s="85"/>
      <c r="O722" s="85"/>
      <c r="P722" s="85"/>
      <c r="Q722" s="85"/>
      <c r="R722" s="85"/>
      <c r="S722" s="85"/>
    </row>
    <row r="723" customFormat="false" ht="15" hidden="false" customHeight="false" outlineLevel="0" collapsed="false">
      <c r="F723" s="99" t="n">
        <f aca="false">H723/G723</f>
        <v>8.43693917206014E-014</v>
      </c>
      <c r="G723" s="52" t="n">
        <f aca="false">G722*(1+$O$1)</f>
        <v>268960576257.658</v>
      </c>
      <c r="H723" s="15" t="n">
        <f aca="false">I723/G723</f>
        <v>0.0226920402156811</v>
      </c>
      <c r="I723" s="0" t="n">
        <f aca="false">I722</f>
        <v>6103264212.87154</v>
      </c>
      <c r="J723" s="85"/>
      <c r="K723" s="85"/>
      <c r="L723" s="85"/>
      <c r="M723" s="85"/>
      <c r="N723" s="85"/>
      <c r="O723" s="85"/>
      <c r="P723" s="85"/>
      <c r="Q723" s="85"/>
      <c r="R723" s="85"/>
      <c r="S723" s="85"/>
    </row>
    <row r="724" customFormat="false" ht="15" hidden="false" customHeight="false" outlineLevel="0" collapsed="false">
      <c r="F724" s="99" t="n">
        <f aca="false">H724/G724</f>
        <v>8.03040016376932E-014</v>
      </c>
      <c r="G724" s="52" t="n">
        <f aca="false">G723*(1+$O$1)</f>
        <v>275684590664.1</v>
      </c>
      <c r="H724" s="15" t="n">
        <f aca="false">I724/G724</f>
        <v>0.0221385758201767</v>
      </c>
      <c r="I724" s="0" t="n">
        <f aca="false">I723</f>
        <v>6103264212.87154</v>
      </c>
      <c r="J724" s="85"/>
      <c r="K724" s="85"/>
      <c r="L724" s="85"/>
      <c r="M724" s="85"/>
      <c r="N724" s="85"/>
      <c r="O724" s="85"/>
      <c r="P724" s="85"/>
      <c r="Q724" s="85"/>
      <c r="R724" s="85"/>
      <c r="S724" s="85"/>
    </row>
    <row r="725" customFormat="false" ht="15" hidden="false" customHeight="false" outlineLevel="0" collapsed="false">
      <c r="F725" s="99" t="n">
        <f aca="false">H725/G725</f>
        <v>7.6434504830642E-014</v>
      </c>
      <c r="G725" s="52" t="n">
        <f aca="false">G724*(1+$O$1)</f>
        <v>282576705430.702</v>
      </c>
      <c r="H725" s="15" t="n">
        <f aca="false">I725/G725</f>
        <v>0.0215986105562699</v>
      </c>
      <c r="I725" s="0" t="n">
        <f aca="false">I724</f>
        <v>6103264212.87154</v>
      </c>
      <c r="J725" s="85"/>
      <c r="K725" s="85"/>
      <c r="L725" s="85"/>
      <c r="M725" s="85"/>
      <c r="N725" s="85"/>
      <c r="O725" s="85"/>
      <c r="P725" s="85"/>
      <c r="Q725" s="85"/>
      <c r="R725" s="85"/>
      <c r="S725" s="85"/>
    </row>
    <row r="726" customFormat="false" ht="15" hidden="false" customHeight="false" outlineLevel="0" collapsed="false">
      <c r="F726" s="99" t="n">
        <f aca="false">H726/G726</f>
        <v>7.27514620636688E-014</v>
      </c>
      <c r="G726" s="52" t="n">
        <f aca="false">G725*(1+$O$1)</f>
        <v>289641123066.47</v>
      </c>
      <c r="H726" s="15" t="n">
        <f aca="false">I726/G726</f>
        <v>0.0210718151768487</v>
      </c>
      <c r="I726" s="0" t="n">
        <f aca="false">I725</f>
        <v>6103264212.87154</v>
      </c>
      <c r="J726" s="85"/>
      <c r="K726" s="85"/>
      <c r="L726" s="85"/>
      <c r="M726" s="85"/>
      <c r="N726" s="85"/>
      <c r="O726" s="85"/>
      <c r="P726" s="85"/>
      <c r="Q726" s="85"/>
      <c r="R726" s="85"/>
      <c r="S726" s="85"/>
    </row>
    <row r="727" customFormat="false" ht="15" hidden="false" customHeight="false" outlineLevel="0" collapsed="false">
      <c r="F727" s="99" t="n">
        <f aca="false">H727/G727</f>
        <v>6.92458889362701E-014</v>
      </c>
      <c r="G727" s="52" t="n">
        <f aca="false">G726*(1+$O$1)</f>
        <v>296882151143.132</v>
      </c>
      <c r="H727" s="15" t="n">
        <f aca="false">I727/G727</f>
        <v>0.0205578684652182</v>
      </c>
      <c r="I727" s="0" t="n">
        <f aca="false">I726</f>
        <v>6103264212.87154</v>
      </c>
      <c r="J727" s="85"/>
      <c r="K727" s="85"/>
      <c r="L727" s="85"/>
      <c r="M727" s="85"/>
      <c r="N727" s="85"/>
      <c r="O727" s="85"/>
      <c r="P727" s="85"/>
      <c r="Q727" s="85"/>
      <c r="R727" s="85"/>
      <c r="S727" s="85"/>
    </row>
    <row r="728" customFormat="false" ht="15" hidden="false" customHeight="false" outlineLevel="0" collapsed="false">
      <c r="F728" s="99" t="n">
        <f aca="false">H728/G728</f>
        <v>6.59092339667056E-014</v>
      </c>
      <c r="G728" s="52" t="n">
        <f aca="false">G727*(1+$O$1)</f>
        <v>304304204921.71</v>
      </c>
      <c r="H728" s="15" t="n">
        <f aca="false">I728/G728</f>
        <v>0.0200564570392373</v>
      </c>
      <c r="I728" s="0" t="n">
        <f aca="false">I727</f>
        <v>6103264212.87154</v>
      </c>
      <c r="J728" s="85"/>
      <c r="K728" s="85"/>
      <c r="L728" s="85"/>
      <c r="M728" s="85"/>
      <c r="N728" s="85"/>
      <c r="O728" s="85"/>
      <c r="P728" s="85"/>
      <c r="Q728" s="85"/>
      <c r="R728" s="85"/>
      <c r="S728" s="85"/>
    </row>
    <row r="729" customFormat="false" ht="15" hidden="false" customHeight="false" outlineLevel="0" collapsed="false">
      <c r="F729" s="99" t="n">
        <f aca="false">H729/G729</f>
        <v>6.27333577315461E-014</v>
      </c>
      <c r="G729" s="52" t="n">
        <f aca="false">G728*(1+$O$1)</f>
        <v>311911810044.753</v>
      </c>
      <c r="H729" s="15" t="n">
        <f aca="false">I729/G729</f>
        <v>0.0195672751602315</v>
      </c>
      <c r="I729" s="0" t="n">
        <f aca="false">I728</f>
        <v>6103264212.87154</v>
      </c>
      <c r="J729" s="85"/>
      <c r="K729" s="85"/>
      <c r="L729" s="85"/>
      <c r="M729" s="85"/>
      <c r="N729" s="85"/>
      <c r="O729" s="85"/>
      <c r="P729" s="85"/>
      <c r="Q729" s="85"/>
      <c r="R729" s="85"/>
      <c r="S729" s="85"/>
    </row>
    <row r="730" customFormat="false" ht="15" hidden="false" customHeight="false" outlineLevel="0" collapsed="false">
      <c r="F730" s="99" t="n">
        <f aca="false">H730/G730</f>
        <v>5.97105130103949E-014</v>
      </c>
      <c r="G730" s="52" t="n">
        <f aca="false">G729*(1+$O$1)</f>
        <v>319709605295.871</v>
      </c>
      <c r="H730" s="15" t="n">
        <f aca="false">I730/G730</f>
        <v>0.0190900245465673</v>
      </c>
      <c r="I730" s="0" t="n">
        <f aca="false">I729</f>
        <v>6103264212.87154</v>
      </c>
      <c r="J730" s="85"/>
      <c r="K730" s="85"/>
      <c r="L730" s="85"/>
      <c r="M730" s="85"/>
      <c r="N730" s="85"/>
      <c r="O730" s="85"/>
      <c r="P730" s="85"/>
      <c r="Q730" s="85"/>
      <c r="R730" s="85"/>
      <c r="S730" s="85"/>
    </row>
    <row r="731" customFormat="false" ht="15" hidden="false" customHeight="false" outlineLevel="0" collapsed="false">
      <c r="F731" s="99" t="n">
        <f aca="false">H731/G731</f>
        <v>5.68333258873479E-014</v>
      </c>
      <c r="G731" s="52" t="n">
        <f aca="false">G730*(1+$O$1)</f>
        <v>327702345428.268</v>
      </c>
      <c r="H731" s="15" t="n">
        <f aca="false">I731/G731</f>
        <v>0.018624414191773</v>
      </c>
      <c r="I731" s="0" t="n">
        <f aca="false">I730</f>
        <v>6103264212.87154</v>
      </c>
      <c r="J731" s="85"/>
      <c r="K731" s="85"/>
      <c r="L731" s="85"/>
      <c r="M731" s="85"/>
      <c r="N731" s="85"/>
      <c r="O731" s="85"/>
      <c r="P731" s="85"/>
      <c r="Q731" s="85"/>
      <c r="R731" s="85"/>
      <c r="S731" s="85"/>
    </row>
    <row r="732" customFormat="false" ht="15" hidden="false" customHeight="false" outlineLevel="0" collapsed="false">
      <c r="F732" s="99" t="n">
        <f aca="false">H732/G732</f>
        <v>5.40947777630915E-014</v>
      </c>
      <c r="G732" s="52" t="n">
        <f aca="false">G731*(1+$O$1)</f>
        <v>335894904063.975</v>
      </c>
      <c r="H732" s="15" t="n">
        <f aca="false">I732/G732</f>
        <v>0.0181701601870956</v>
      </c>
      <c r="I732" s="0" t="n">
        <f aca="false">I731</f>
        <v>6103264212.87154</v>
      </c>
      <c r="J732" s="85"/>
      <c r="K732" s="85"/>
      <c r="L732" s="85"/>
      <c r="M732" s="85"/>
      <c r="N732" s="85"/>
      <c r="O732" s="85"/>
      <c r="P732" s="85"/>
      <c r="Q732" s="85"/>
      <c r="R732" s="85"/>
      <c r="S732" s="85"/>
    </row>
    <row r="733" customFormat="false" ht="15" hidden="false" customHeight="false" outlineLevel="0" collapsed="false">
      <c r="F733" s="99" t="n">
        <f aca="false">H733/G733</f>
        <v>5.14881882337575E-014</v>
      </c>
      <c r="G733" s="52" t="n">
        <f aca="false">G732*(1+$O$1)</f>
        <v>344292276665.574</v>
      </c>
      <c r="H733" s="15" t="n">
        <f aca="false">I733/G733</f>
        <v>0.017726985548386</v>
      </c>
      <c r="I733" s="0" t="n">
        <f aca="false">I732</f>
        <v>6103264212.87154</v>
      </c>
      <c r="J733" s="85"/>
      <c r="K733" s="85"/>
      <c r="L733" s="85"/>
      <c r="M733" s="85"/>
      <c r="N733" s="85"/>
      <c r="O733" s="85"/>
      <c r="P733" s="85"/>
      <c r="Q733" s="85"/>
      <c r="R733" s="85"/>
      <c r="S733" s="85"/>
    </row>
    <row r="734" customFormat="false" ht="15" hidden="false" customHeight="false" outlineLevel="0" collapsed="false">
      <c r="F734" s="99" t="n">
        <f aca="false">H734/G734</f>
        <v>4.90071987947721E-014</v>
      </c>
      <c r="G734" s="52" t="n">
        <f aca="false">G733*(1+$O$1)</f>
        <v>352899583582.213</v>
      </c>
      <c r="H734" s="15" t="n">
        <f aca="false">I734/G734</f>
        <v>0.0172946200472058</v>
      </c>
      <c r="I734" s="0" t="n">
        <f aca="false">I733</f>
        <v>6103264212.87154</v>
      </c>
      <c r="J734" s="85"/>
      <c r="K734" s="85"/>
      <c r="L734" s="85"/>
      <c r="M734" s="85"/>
      <c r="N734" s="85"/>
      <c r="O734" s="85"/>
      <c r="P734" s="85"/>
      <c r="Q734" s="85"/>
      <c r="R734" s="85"/>
      <c r="S734" s="85"/>
    </row>
    <row r="735" customFormat="false" ht="15" hidden="false" customHeight="false" outlineLevel="0" collapsed="false">
      <c r="F735" s="99" t="n">
        <f aca="false">H735/G735</f>
        <v>4.66457573299437E-014</v>
      </c>
      <c r="G735" s="52" t="n">
        <f aca="false">G734*(1+$O$1)</f>
        <v>361722073171.769</v>
      </c>
      <c r="H735" s="15" t="n">
        <f aca="false">I735/G735</f>
        <v>0.0168728000460545</v>
      </c>
      <c r="I735" s="0" t="n">
        <f aca="false">I734</f>
        <v>6103264212.87154</v>
      </c>
      <c r="J735" s="85"/>
      <c r="K735" s="85"/>
      <c r="L735" s="85"/>
      <c r="M735" s="85"/>
      <c r="N735" s="85"/>
      <c r="O735" s="85"/>
      <c r="P735" s="85"/>
      <c r="Q735" s="85"/>
      <c r="R735" s="85"/>
      <c r="S735" s="85"/>
    </row>
    <row r="736" customFormat="false" ht="15" hidden="false" customHeight="false" outlineLevel="0" collapsed="false">
      <c r="F736" s="99" t="n">
        <f aca="false">H736/G736</f>
        <v>4.43981033479536E-014</v>
      </c>
      <c r="G736" s="52" t="n">
        <f aca="false">G735*(1+$O$1)</f>
        <v>370765125001.063</v>
      </c>
      <c r="H736" s="15" t="n">
        <f aca="false">I736/G736</f>
        <v>0.0164612683376141</v>
      </c>
      <c r="I736" s="0" t="n">
        <f aca="false">I735</f>
        <v>6103264212.87154</v>
      </c>
      <c r="J736" s="85"/>
      <c r="K736" s="85"/>
      <c r="L736" s="85"/>
      <c r="M736" s="85"/>
      <c r="N736" s="85"/>
      <c r="O736" s="85"/>
      <c r="P736" s="85"/>
      <c r="Q736" s="85"/>
      <c r="R736" s="85"/>
      <c r="S736" s="85"/>
    </row>
    <row r="737" customFormat="false" ht="15" hidden="false" customHeight="false" outlineLevel="0" collapsed="false">
      <c r="F737" s="99" t="n">
        <f aca="false">H737/G737</f>
        <v>4.22587539302354E-014</v>
      </c>
      <c r="G737" s="52" t="n">
        <f aca="false">G736*(1+$O$1)</f>
        <v>380034253126.089</v>
      </c>
      <c r="H737" s="15" t="n">
        <f aca="false">I737/G737</f>
        <v>0.0160597739879162</v>
      </c>
      <c r="I737" s="0" t="n">
        <f aca="false">I736</f>
        <v>6103264212.87154</v>
      </c>
      <c r="J737" s="85"/>
      <c r="K737" s="85"/>
      <c r="L737" s="85"/>
      <c r="M737" s="85"/>
      <c r="N737" s="85"/>
      <c r="O737" s="85"/>
      <c r="P737" s="85"/>
      <c r="Q737" s="85"/>
      <c r="R737" s="85"/>
      <c r="S737" s="85"/>
    </row>
    <row r="738" customFormat="false" ht="15" hidden="false" customHeight="false" outlineLevel="0" collapsed="false">
      <c r="F738" s="99" t="n">
        <f aca="false">H738/G738</f>
        <v>4.02224903559647E-014</v>
      </c>
      <c r="G738" s="52" t="n">
        <f aca="false">G737*(1+$O$1)</f>
        <v>389535109454.242</v>
      </c>
      <c r="H738" s="15" t="n">
        <f aca="false">I738/G738</f>
        <v>0.0156680721833329</v>
      </c>
      <c r="I738" s="0" t="n">
        <f aca="false">I737</f>
        <v>6103264212.87154</v>
      </c>
      <c r="J738" s="85"/>
      <c r="K738" s="85"/>
      <c r="L738" s="85"/>
      <c r="M738" s="85"/>
      <c r="N738" s="85"/>
      <c r="O738" s="85"/>
      <c r="P738" s="85"/>
      <c r="Q738" s="85"/>
      <c r="R738" s="85"/>
      <c r="S738" s="85"/>
    </row>
    <row r="739" customFormat="false" ht="15" hidden="false" customHeight="false" outlineLevel="0" collapsed="false">
      <c r="F739" s="99" t="n">
        <f aca="false">H739/G739</f>
        <v>3.8284345371531E-014</v>
      </c>
      <c r="G739" s="52" t="n">
        <f aca="false">G738*(1+$O$1)</f>
        <v>399273487190.598</v>
      </c>
      <c r="H739" s="15" t="n">
        <f aca="false">I739/G739</f>
        <v>0.0152859240813004</v>
      </c>
      <c r="I739" s="0" t="n">
        <f aca="false">I738</f>
        <v>6103264212.87154</v>
      </c>
      <c r="J739" s="85"/>
      <c r="K739" s="85"/>
      <c r="L739" s="85"/>
      <c r="M739" s="85"/>
      <c r="N739" s="85"/>
      <c r="O739" s="85"/>
      <c r="P739" s="85"/>
      <c r="Q739" s="85"/>
      <c r="R739" s="85"/>
      <c r="S739" s="85"/>
    </row>
    <row r="740" customFormat="false" ht="15" hidden="false" customHeight="false" outlineLevel="0" collapsed="false">
      <c r="F740" s="99" t="n">
        <f aca="false">H740/G740</f>
        <v>3.64395910734382E-014</v>
      </c>
      <c r="G740" s="52" t="n">
        <f aca="false">G739*(1+$O$1)</f>
        <v>409255324370.363</v>
      </c>
      <c r="H740" s="15" t="n">
        <f aca="false">I740/G740</f>
        <v>0.0149130966646833</v>
      </c>
      <c r="I740" s="0" t="n">
        <f aca="false">I739</f>
        <v>6103264212.87154</v>
      </c>
      <c r="J740" s="85"/>
      <c r="K740" s="85"/>
      <c r="L740" s="85"/>
      <c r="M740" s="85"/>
      <c r="N740" s="85"/>
      <c r="O740" s="85"/>
      <c r="P740" s="85"/>
      <c r="Q740" s="85"/>
      <c r="R740" s="85"/>
      <c r="S740" s="85"/>
    </row>
    <row r="741" customFormat="false" ht="15" hidden="false" customHeight="false" outlineLevel="0" collapsed="false">
      <c r="F741" s="99" t="n">
        <f aca="false">H741/G741</f>
        <v>3.4683727375075E-014</v>
      </c>
      <c r="G741" s="52" t="n">
        <f aca="false">G740*(1+$O$1)</f>
        <v>419486707479.622</v>
      </c>
      <c r="H741" s="15" t="n">
        <f aca="false">I741/G741</f>
        <v>0.014549362599691</v>
      </c>
      <c r="I741" s="0" t="n">
        <f aca="false">I740</f>
        <v>6103264212.87154</v>
      </c>
      <c r="J741" s="85"/>
      <c r="K741" s="85"/>
      <c r="L741" s="85"/>
      <c r="M741" s="85"/>
      <c r="N741" s="85"/>
      <c r="O741" s="85"/>
      <c r="P741" s="85"/>
      <c r="Q741" s="85"/>
      <c r="R741" s="85"/>
      <c r="S741" s="85"/>
    </row>
    <row r="742" customFormat="false" ht="15" hidden="false" customHeight="false" outlineLevel="0" collapsed="false">
      <c r="F742" s="99" t="n">
        <f aca="false">H742/G742</f>
        <v>3.30124710292207E-014</v>
      </c>
      <c r="G742" s="52" t="n">
        <f aca="false">G741*(1+$O$1)</f>
        <v>429973875166.612</v>
      </c>
      <c r="H742" s="15" t="n">
        <f aca="false">I742/G742</f>
        <v>0.0141945000972596</v>
      </c>
      <c r="I742" s="0" t="n">
        <f aca="false">I741</f>
        <v>6103264212.87154</v>
      </c>
      <c r="J742" s="85"/>
      <c r="K742" s="85"/>
      <c r="L742" s="85"/>
      <c r="M742" s="85"/>
      <c r="N742" s="85"/>
      <c r="O742" s="85"/>
      <c r="P742" s="85"/>
      <c r="Q742" s="85"/>
      <c r="R742" s="85"/>
      <c r="S742" s="85"/>
    </row>
    <row r="743" customFormat="false" ht="15" hidden="false" customHeight="false" outlineLevel="0" collapsed="false">
      <c r="F743" s="99" t="n">
        <f aca="false">H743/G743</f>
        <v>3.14217451795081E-014</v>
      </c>
      <c r="G743" s="52" t="n">
        <f aca="false">G742*(1+$O$1)</f>
        <v>440723222045.777</v>
      </c>
      <c r="H743" s="15" t="n">
        <f aca="false">I743/G743</f>
        <v>0.0138482927778142</v>
      </c>
      <c r="I743" s="0" t="n">
        <f aca="false">I742</f>
        <v>6103264212.87154</v>
      </c>
      <c r="J743" s="85"/>
      <c r="K743" s="85"/>
      <c r="L743" s="85"/>
      <c r="M743" s="85"/>
      <c r="N743" s="85"/>
      <c r="O743" s="85"/>
      <c r="P743" s="85"/>
      <c r="Q743" s="85"/>
      <c r="R743" s="85"/>
      <c r="S743" s="85"/>
    </row>
    <row r="744" customFormat="false" ht="15" hidden="false" customHeight="false" outlineLevel="0" collapsed="false">
      <c r="F744" s="99" t="n">
        <f aca="false">H744/G744</f>
        <v>2.99076694153557E-014</v>
      </c>
      <c r="G744" s="52" t="n">
        <f aca="false">G743*(1+$O$1)</f>
        <v>451741302596.922</v>
      </c>
      <c r="H744" s="15" t="n">
        <f aca="false">I744/G744</f>
        <v>0.0135105295393309</v>
      </c>
      <c r="I744" s="0" t="n">
        <f aca="false">I743</f>
        <v>6103264212.87154</v>
      </c>
      <c r="J744" s="85"/>
      <c r="K744" s="85"/>
      <c r="L744" s="85"/>
      <c r="M744" s="85"/>
      <c r="N744" s="85"/>
      <c r="O744" s="85"/>
      <c r="P744" s="85"/>
      <c r="Q744" s="85"/>
      <c r="R744" s="85"/>
      <c r="S744" s="85"/>
    </row>
    <row r="745" customFormat="false" ht="15" hidden="false" customHeight="false" outlineLevel="0" collapsed="false">
      <c r="F745" s="99" t="n">
        <f aca="false">H745/G745</f>
        <v>2.8466550306109E-014</v>
      </c>
      <c r="G745" s="52" t="n">
        <f aca="false">G744*(1+$O$1)</f>
        <v>463034835161.845</v>
      </c>
      <c r="H745" s="15" t="n">
        <f aca="false">I745/G745</f>
        <v>0.0131810044286155</v>
      </c>
      <c r="I745" s="0" t="n">
        <f aca="false">I744</f>
        <v>6103264212.87154</v>
      </c>
      <c r="J745" s="85"/>
      <c r="K745" s="85"/>
      <c r="L745" s="85"/>
      <c r="M745" s="85"/>
      <c r="N745" s="85"/>
      <c r="O745" s="85"/>
      <c r="P745" s="85"/>
      <c r="Q745" s="85"/>
      <c r="R745" s="85"/>
      <c r="S745" s="85"/>
    </row>
    <row r="746" customFormat="false" ht="15" hidden="false" customHeight="false" outlineLevel="0" collapsed="false">
      <c r="F746" s="99" t="n">
        <f aca="false">H746/G746</f>
        <v>2.70948723912994E-014</v>
      </c>
      <c r="G746" s="52" t="n">
        <f aca="false">G745*(1+$O$1)</f>
        <v>474610706040.891</v>
      </c>
      <c r="H746" s="15" t="n">
        <f aca="false">I746/G746</f>
        <v>0.0128595165157225</v>
      </c>
      <c r="I746" s="0" t="n">
        <f aca="false">I745</f>
        <v>6103264212.87154</v>
      </c>
      <c r="J746" s="85"/>
      <c r="K746" s="85"/>
      <c r="L746" s="85"/>
      <c r="M746" s="85"/>
      <c r="N746" s="85"/>
      <c r="O746" s="85"/>
      <c r="P746" s="85"/>
      <c r="Q746" s="85"/>
      <c r="R746" s="85"/>
      <c r="S746" s="85"/>
    </row>
    <row r="747" customFormat="false" ht="15" hidden="false" customHeight="false" outlineLevel="0" collapsed="false">
      <c r="F747" s="99" t="n">
        <f aca="false">H747/G747</f>
        <v>2.57892896050441E-014</v>
      </c>
      <c r="G747" s="52" t="n">
        <f aca="false">G746*(1+$O$1)</f>
        <v>486475973691.913</v>
      </c>
      <c r="H747" s="15" t="n">
        <f aca="false">I747/G747</f>
        <v>0.0125458697714366</v>
      </c>
      <c r="I747" s="0" t="n">
        <f aca="false">I746</f>
        <v>6103264212.87154</v>
      </c>
      <c r="J747" s="85"/>
      <c r="K747" s="85"/>
      <c r="L747" s="85"/>
      <c r="M747" s="85"/>
      <c r="N747" s="85"/>
      <c r="O747" s="85"/>
      <c r="P747" s="85"/>
      <c r="Q747" s="85"/>
      <c r="R747" s="85"/>
      <c r="S747" s="85"/>
    </row>
    <row r="748" customFormat="false" ht="15" hidden="false" customHeight="false" outlineLevel="0" collapsed="false">
      <c r="F748" s="99" t="n">
        <f aca="false">H748/G748</f>
        <v>2.45466171136648E-014</v>
      </c>
      <c r="G748" s="52" t="n">
        <f aca="false">G747*(1+$O$1)</f>
        <v>498637873034.211</v>
      </c>
      <c r="H748" s="15" t="n">
        <f aca="false">I748/G748</f>
        <v>0.012239872947743</v>
      </c>
      <c r="I748" s="0" t="n">
        <f aca="false">I747</f>
        <v>6103264212.87154</v>
      </c>
      <c r="J748" s="85"/>
      <c r="K748" s="85"/>
      <c r="L748" s="85"/>
      <c r="M748" s="85"/>
      <c r="N748" s="85"/>
      <c r="O748" s="85"/>
      <c r="P748" s="85"/>
      <c r="Q748" s="85"/>
      <c r="R748" s="85"/>
      <c r="S748" s="85"/>
    </row>
    <row r="749" customFormat="false" ht="15" hidden="false" customHeight="false" outlineLevel="0" collapsed="false">
      <c r="F749" s="99" t="n">
        <f aca="false">H749/G749</f>
        <v>2.33638235466173E-014</v>
      </c>
      <c r="G749" s="52" t="n">
        <f aca="false">G748*(1+$O$1)</f>
        <v>511103819860.066</v>
      </c>
      <c r="H749" s="15" t="n">
        <f aca="false">I749/G749</f>
        <v>0.0119413394612127</v>
      </c>
      <c r="I749" s="0" t="n">
        <f aca="false">I748</f>
        <v>6103264212.87154</v>
      </c>
      <c r="J749" s="85"/>
      <c r="K749" s="85"/>
      <c r="L749" s="85"/>
      <c r="M749" s="85"/>
      <c r="N749" s="85"/>
      <c r="O749" s="85"/>
      <c r="P749" s="85"/>
      <c r="Q749" s="85"/>
      <c r="R749" s="85"/>
      <c r="S749" s="85"/>
    </row>
    <row r="750" customFormat="false" ht="15" hidden="false" customHeight="false" outlineLevel="0" collapsed="false">
      <c r="F750" s="99" t="n">
        <f aca="false">H750/G750</f>
        <v>2.22380236017774E-014</v>
      </c>
      <c r="G750" s="52" t="n">
        <f aca="false">G749*(1+$O$1)</f>
        <v>523881415356.568</v>
      </c>
      <c r="H750" s="15" t="n">
        <f aca="false">I750/G750</f>
        <v>0.0116500872792319</v>
      </c>
      <c r="I750" s="0" t="n">
        <f aca="false">I749</f>
        <v>6103264212.87154</v>
      </c>
      <c r="J750" s="85"/>
      <c r="K750" s="85"/>
      <c r="L750" s="85"/>
      <c r="M750" s="85"/>
      <c r="N750" s="85"/>
      <c r="O750" s="85"/>
      <c r="P750" s="85"/>
      <c r="Q750" s="85"/>
      <c r="R750" s="85"/>
      <c r="S750" s="85"/>
    </row>
    <row r="751" customFormat="false" ht="15" hidden="false" customHeight="false" outlineLevel="0" collapsed="false">
      <c r="F751" s="99" t="n">
        <f aca="false">H751/G751</f>
        <v>2.11664710070457E-014</v>
      </c>
      <c r="G751" s="52" t="n">
        <f aca="false">G750*(1+$O$1)</f>
        <v>536978450740.482</v>
      </c>
      <c r="H751" s="15" t="n">
        <f aca="false">I751/G751</f>
        <v>0.0113659388090067</v>
      </c>
      <c r="I751" s="0" t="n">
        <f aca="false">I750</f>
        <v>6103264212.87154</v>
      </c>
      <c r="J751" s="85"/>
      <c r="K751" s="85"/>
      <c r="L751" s="85"/>
      <c r="M751" s="85"/>
      <c r="N751" s="85"/>
      <c r="O751" s="85"/>
      <c r="P751" s="85"/>
      <c r="Q751" s="85"/>
      <c r="R751" s="85"/>
      <c r="S751" s="85"/>
    </row>
    <row r="752" customFormat="false" ht="15" hidden="false" customHeight="false" outlineLevel="0" collapsed="false">
      <c r="F752" s="99" t="n">
        <f aca="false">H752/G752</f>
        <v>2.01465518211024E-014</v>
      </c>
      <c r="G752" s="52" t="n">
        <f aca="false">G751*(1+$O$1)</f>
        <v>550402912008.994</v>
      </c>
      <c r="H752" s="15" t="n">
        <f aca="false">I752/G752</f>
        <v>0.0110887207892748</v>
      </c>
      <c r="I752" s="0" t="n">
        <f aca="false">I751</f>
        <v>6103264212.87154</v>
      </c>
      <c r="J752" s="85"/>
      <c r="K752" s="85"/>
      <c r="L752" s="85"/>
      <c r="M752" s="85"/>
      <c r="N752" s="85"/>
      <c r="O752" s="85"/>
      <c r="P752" s="85"/>
      <c r="Q752" s="85"/>
      <c r="R752" s="85"/>
      <c r="S752" s="85"/>
    </row>
    <row r="753" customFormat="false" ht="15" hidden="false" customHeight="false" outlineLevel="0" collapsed="false">
      <c r="F753" s="99" t="n">
        <f aca="false">H753/G753</f>
        <v>1.91757780569683E-014</v>
      </c>
      <c r="G753" s="52" t="n">
        <f aca="false">G752*(1+$O$1)</f>
        <v>564162984809.219</v>
      </c>
      <c r="H753" s="15" t="n">
        <f aca="false">I753/G753</f>
        <v>0.0108182641846584</v>
      </c>
      <c r="I753" s="0" t="n">
        <f aca="false">I752</f>
        <v>6103264212.87154</v>
      </c>
      <c r="J753" s="85"/>
      <c r="K753" s="85"/>
      <c r="L753" s="85"/>
      <c r="M753" s="85"/>
      <c r="N753" s="85"/>
      <c r="O753" s="85"/>
      <c r="P753" s="85"/>
      <c r="Q753" s="85"/>
      <c r="R753" s="85"/>
      <c r="S753" s="85"/>
    </row>
    <row r="754" customFormat="false" ht="15" hidden="false" customHeight="false" outlineLevel="0" collapsed="false">
      <c r="F754" s="99" t="n">
        <f aca="false">H754/G754</f>
        <v>1.82517816128194E-014</v>
      </c>
      <c r="G754" s="52" t="n">
        <f aca="false">G753*(1+$O$1)</f>
        <v>578267059429.449</v>
      </c>
      <c r="H754" s="15" t="n">
        <f aca="false">I754/G754</f>
        <v>0.0105544040825935</v>
      </c>
      <c r="I754" s="0" t="n">
        <f aca="false">I753</f>
        <v>6103264212.87154</v>
      </c>
      <c r="J754" s="85"/>
      <c r="K754" s="85"/>
      <c r="L754" s="85"/>
      <c r="M754" s="85"/>
      <c r="N754" s="85"/>
      <c r="O754" s="85"/>
      <c r="P754" s="85"/>
      <c r="Q754" s="85"/>
      <c r="R754" s="85"/>
      <c r="S754" s="85"/>
    </row>
    <row r="755" customFormat="false" ht="15" hidden="false" customHeight="false" outlineLevel="0" collapsed="false">
      <c r="F755" s="99" t="n">
        <f aca="false">H755/G755</f>
        <v>1.73723084952475E-014</v>
      </c>
      <c r="G755" s="52" t="n">
        <f aca="false">G754*(1+$O$1)</f>
        <v>592723735915.185</v>
      </c>
      <c r="H755" s="15" t="n">
        <f aca="false">I755/G755</f>
        <v>0.0102969795927742</v>
      </c>
      <c r="I755" s="0" t="n">
        <f aca="false">I754</f>
        <v>6103264212.87154</v>
      </c>
      <c r="J755" s="85"/>
      <c r="K755" s="85"/>
      <c r="L755" s="85"/>
      <c r="M755" s="85"/>
      <c r="N755" s="85"/>
      <c r="O755" s="85"/>
      <c r="P755" s="85"/>
      <c r="Q755" s="85"/>
      <c r="R755" s="85"/>
      <c r="S755" s="85"/>
    </row>
    <row r="756" customFormat="false" ht="15" hidden="false" customHeight="false" outlineLevel="0" collapsed="false">
      <c r="F756" s="99" t="n">
        <f aca="false">H756/G756</f>
        <v>1.6535213320878E-014</v>
      </c>
      <c r="G756" s="52" t="n">
        <f aca="false">G755*(1+$O$1)</f>
        <v>607541829313.065</v>
      </c>
      <c r="H756" s="15" t="n">
        <f aca="false">I756/G756</f>
        <v>0.010045833749048</v>
      </c>
      <c r="I756" s="0" t="n">
        <f aca="false">I755</f>
        <v>6103264212.87154</v>
      </c>
      <c r="J756" s="85"/>
      <c r="K756" s="85"/>
      <c r="L756" s="85"/>
      <c r="M756" s="85"/>
      <c r="N756" s="85"/>
      <c r="O756" s="85"/>
      <c r="P756" s="85"/>
      <c r="Q756" s="85"/>
      <c r="R756" s="85"/>
      <c r="S756" s="85"/>
    </row>
    <row r="757" customFormat="false" ht="15" hidden="false" customHeight="false" outlineLevel="0" collapsed="false">
      <c r="F757" s="99" t="n">
        <f aca="false">H757/G757</f>
        <v>1.57384540829297E-014</v>
      </c>
      <c r="G757" s="52" t="n">
        <f aca="false">G756*(1+$O$1)</f>
        <v>622730375045.892</v>
      </c>
      <c r="H757" s="15" t="n">
        <f aca="false">I757/G757</f>
        <v>0.00980081341370535</v>
      </c>
      <c r="I757" s="0" t="n">
        <f aca="false">I756</f>
        <v>6103264212.87154</v>
      </c>
      <c r="J757" s="85"/>
      <c r="K757" s="85"/>
      <c r="L757" s="85"/>
      <c r="M757" s="85"/>
      <c r="N757" s="85"/>
      <c r="O757" s="85"/>
      <c r="P757" s="85"/>
      <c r="Q757" s="85"/>
      <c r="R757" s="85"/>
      <c r="S757" s="85"/>
    </row>
    <row r="758" customFormat="false" ht="15" hidden="false" customHeight="false" outlineLevel="0" collapsed="false">
      <c r="F758" s="99" t="n">
        <f aca="false">H758/G758</f>
        <v>1.49800871699509E-014</v>
      </c>
      <c r="G758" s="52" t="n">
        <f aca="false">G757*(1+$O$1)</f>
        <v>638298634422.039</v>
      </c>
      <c r="H758" s="15" t="n">
        <f aca="false">I758/G758</f>
        <v>0.00956176918410279</v>
      </c>
      <c r="I758" s="0" t="n">
        <f aca="false">I757</f>
        <v>6103264212.87154</v>
      </c>
      <c r="J758" s="85"/>
      <c r="K758" s="85"/>
      <c r="L758" s="85"/>
      <c r="M758" s="85"/>
      <c r="N758" s="85"/>
      <c r="O758" s="85"/>
      <c r="P758" s="85"/>
      <c r="Q758" s="85"/>
      <c r="R758" s="85"/>
      <c r="S758" s="85"/>
    </row>
    <row r="759" customFormat="false" ht="15" hidden="false" customHeight="false" outlineLevel="0" collapsed="false">
      <c r="F759" s="99" t="n">
        <f aca="false">H759/G759</f>
        <v>1.42582626245815E-014</v>
      </c>
      <c r="G759" s="52" t="n">
        <f aca="false">G758*(1+$O$1)</f>
        <v>654256100282.59</v>
      </c>
      <c r="H759" s="15" t="n">
        <f aca="false">I759/G759</f>
        <v>0.00932855530156369</v>
      </c>
      <c r="I759" s="0" t="n">
        <f aca="false">I758</f>
        <v>6103264212.87154</v>
      </c>
      <c r="J759" s="85"/>
      <c r="K759" s="85"/>
      <c r="L759" s="85"/>
      <c r="M759" s="85"/>
      <c r="N759" s="85"/>
      <c r="O759" s="85"/>
      <c r="P759" s="85"/>
      <c r="Q759" s="85"/>
      <c r="R759" s="85"/>
      <c r="S759" s="85"/>
    </row>
    <row r="760" customFormat="false" ht="15" hidden="false" customHeight="false" outlineLevel="0" collapsed="false">
      <c r="F760" s="99" t="n">
        <f aca="false">H760/G760</f>
        <v>1.35712196307736E-014</v>
      </c>
      <c r="G760" s="52" t="n">
        <f aca="false">G759*(1+$O$1)</f>
        <v>670612502789.654</v>
      </c>
      <c r="H760" s="15" t="n">
        <f aca="false">I760/G760</f>
        <v>0.00910102956250117</v>
      </c>
      <c r="I760" s="0" t="n">
        <f aca="false">I759</f>
        <v>6103264212.87154</v>
      </c>
      <c r="J760" s="85"/>
      <c r="K760" s="85"/>
      <c r="L760" s="85"/>
      <c r="M760" s="85"/>
      <c r="N760" s="85"/>
      <c r="O760" s="85"/>
      <c r="P760" s="85"/>
      <c r="Q760" s="85"/>
      <c r="R760" s="85"/>
      <c r="S760" s="85"/>
    </row>
    <row r="761" customFormat="false" ht="15" hidden="false" customHeight="false" outlineLevel="0" collapsed="false">
      <c r="F761" s="99" t="n">
        <f aca="false">H761/G761</f>
        <v>1.29172822184639E-014</v>
      </c>
      <c r="G761" s="52" t="n">
        <f aca="false">G760*(1+$O$1)</f>
        <v>687377815359.396</v>
      </c>
      <c r="H761" s="15" t="n">
        <f aca="false">I761/G761</f>
        <v>0.00887905323170846</v>
      </c>
      <c r="I761" s="0" t="n">
        <f aca="false">I760</f>
        <v>6103264212.87154</v>
      </c>
      <c r="J761" s="85"/>
      <c r="K761" s="85"/>
      <c r="L761" s="85"/>
      <c r="M761" s="85"/>
      <c r="N761" s="85"/>
      <c r="O761" s="85"/>
      <c r="P761" s="85"/>
      <c r="Q761" s="85"/>
      <c r="R761" s="85"/>
      <c r="S761" s="85"/>
    </row>
    <row r="762" customFormat="false" ht="15" hidden="false" customHeight="false" outlineLevel="0" collapsed="false">
      <c r="F762" s="99" t="n">
        <f aca="false">H762/G762</f>
        <v>1.22948551752184E-014</v>
      </c>
      <c r="G762" s="52" t="n">
        <f aca="false">G761*(1+$O$1)</f>
        <v>704562260743.381</v>
      </c>
      <c r="H762" s="15" t="n">
        <f aca="false">I762/G762</f>
        <v>0.00866249095776435</v>
      </c>
      <c r="I762" s="0" t="n">
        <f aca="false">I761</f>
        <v>6103264212.87154</v>
      </c>
      <c r="J762" s="85"/>
      <c r="K762" s="85"/>
      <c r="L762" s="85"/>
      <c r="M762" s="85"/>
      <c r="N762" s="85"/>
      <c r="O762" s="85"/>
      <c r="P762" s="85"/>
      <c r="Q762" s="85"/>
      <c r="R762" s="85"/>
      <c r="S762" s="85"/>
    </row>
    <row r="763" customFormat="false" ht="15" hidden="false" customHeight="false" outlineLevel="0" collapsed="false">
      <c r="F763" s="99" t="n">
        <f aca="false">H763/G763</f>
        <v>1.17024201548777E-014</v>
      </c>
      <c r="G763" s="52" t="n">
        <f aca="false">G762*(1+$O$1)</f>
        <v>722176317261.965</v>
      </c>
      <c r="H763" s="15" t="n">
        <f aca="false">I763/G763</f>
        <v>0.0084512106905018</v>
      </c>
      <c r="I763" s="0" t="n">
        <f aca="false">I762</f>
        <v>6103264212.87154</v>
      </c>
      <c r="J763" s="85"/>
      <c r="K763" s="85"/>
      <c r="L763" s="85"/>
      <c r="M763" s="85"/>
      <c r="N763" s="85"/>
      <c r="O763" s="85"/>
      <c r="P763" s="85"/>
      <c r="Q763" s="85"/>
      <c r="R763" s="85"/>
      <c r="S763" s="85"/>
    </row>
    <row r="764" customFormat="false" ht="15" hidden="false" customHeight="false" outlineLevel="0" collapsed="false">
      <c r="F764" s="99" t="n">
        <f aca="false">H764/G764</f>
        <v>1.11385319737087E-014</v>
      </c>
      <c r="G764" s="52" t="n">
        <f aca="false">G763*(1+$O$1)</f>
        <v>740230725193.514</v>
      </c>
      <c r="H764" s="15" t="n">
        <f aca="false">I764/G764</f>
        <v>0.00824508360048957</v>
      </c>
      <c r="I764" s="0" t="n">
        <f aca="false">I763</f>
        <v>6103264212.87154</v>
      </c>
      <c r="J764" s="85"/>
      <c r="K764" s="85"/>
      <c r="L764" s="85"/>
      <c r="M764" s="85"/>
      <c r="N764" s="85"/>
      <c r="O764" s="85"/>
      <c r="P764" s="85"/>
      <c r="Q764" s="85"/>
      <c r="R764" s="85"/>
      <c r="S764" s="85"/>
    </row>
    <row r="765" customFormat="false" ht="15" hidden="false" customHeight="false" outlineLevel="0" collapsed="false">
      <c r="F765" s="99" t="n">
        <f aca="false">H765/G765</f>
        <v>1.06018150850291E-014</v>
      </c>
      <c r="G765" s="52" t="n">
        <f aca="false">G764*(1+$O$1)</f>
        <v>758736493323.352</v>
      </c>
      <c r="H765" s="15" t="n">
        <f aca="false">I765/G765</f>
        <v>0.00804398400047763</v>
      </c>
      <c r="I765" s="0" t="n">
        <f aca="false">I764</f>
        <v>6103264212.87154</v>
      </c>
      <c r="J765" s="85"/>
      <c r="K765" s="85"/>
      <c r="L765" s="85"/>
      <c r="M765" s="85"/>
      <c r="N765" s="85"/>
      <c r="O765" s="85"/>
      <c r="P765" s="85"/>
      <c r="Q765" s="85"/>
      <c r="R765" s="85"/>
      <c r="S765" s="85"/>
    </row>
    <row r="766" customFormat="false" ht="15" hidden="false" customHeight="false" outlineLevel="0" collapsed="false">
      <c r="F766" s="99" t="n">
        <f aca="false">H766/G766</f>
        <v>1.00909602237041E-014</v>
      </c>
      <c r="G766" s="52" t="n">
        <f aca="false">G765*(1+$O$1)</f>
        <v>777704905656.436</v>
      </c>
      <c r="H766" s="15" t="n">
        <f aca="false">I766/G766</f>
        <v>0.00784778926875866</v>
      </c>
      <c r="I766" s="0" t="n">
        <f aca="false">I765</f>
        <v>6103264212.87154</v>
      </c>
      <c r="J766" s="85"/>
      <c r="K766" s="85"/>
      <c r="L766" s="85"/>
      <c r="M766" s="85"/>
      <c r="N766" s="85"/>
      <c r="O766" s="85"/>
      <c r="P766" s="85"/>
      <c r="Q766" s="85"/>
      <c r="R766" s="85"/>
      <c r="S766" s="85"/>
    </row>
    <row r="767" customFormat="false" ht="15" hidden="false" customHeight="false" outlineLevel="0" collapsed="false">
      <c r="F767" s="99" t="n">
        <f aca="false">H767/G767</f>
        <v>9.60472121232992E-015</v>
      </c>
      <c r="G767" s="52" t="n">
        <f aca="false">G766*(1+$O$1)</f>
        <v>797147528297.846</v>
      </c>
      <c r="H767" s="15" t="n">
        <f aca="false">I767/G767</f>
        <v>0.00765637977439869</v>
      </c>
      <c r="I767" s="0" t="n">
        <f aca="false">I766</f>
        <v>6103264212.87154</v>
      </c>
      <c r="J767" s="85"/>
      <c r="K767" s="85"/>
      <c r="L767" s="85"/>
      <c r="M767" s="85"/>
      <c r="N767" s="85"/>
      <c r="O767" s="85"/>
      <c r="P767" s="85"/>
      <c r="Q767" s="85"/>
      <c r="R767" s="85"/>
      <c r="S767" s="85"/>
    </row>
    <row r="768" customFormat="false" ht="15" hidden="false" customHeight="false" outlineLevel="0" collapsed="false">
      <c r="F768" s="99" t="n">
        <f aca="false">H768/G768</f>
        <v>9.14191192131343E-015</v>
      </c>
      <c r="G768" s="52" t="n">
        <f aca="false">G767*(1+$O$1)</f>
        <v>817076216505.292</v>
      </c>
      <c r="H768" s="15" t="n">
        <f aca="false">I768/G768</f>
        <v>0.00746963880429141</v>
      </c>
      <c r="I768" s="0" t="n">
        <f aca="false">I767</f>
        <v>6103264212.87154</v>
      </c>
      <c r="J768" s="85"/>
      <c r="K768" s="85"/>
      <c r="L768" s="85"/>
      <c r="M768" s="85"/>
      <c r="N768" s="85"/>
      <c r="O768" s="85"/>
      <c r="P768" s="85"/>
      <c r="Q768" s="85"/>
      <c r="R768" s="85"/>
      <c r="S768" s="85"/>
    </row>
    <row r="769" customFormat="false" ht="15" hidden="false" customHeight="false" outlineLevel="0" collapsed="false">
      <c r="F769" s="99" t="n">
        <f aca="false">H769/G769</f>
        <v>8.70140337543218E-015</v>
      </c>
      <c r="G769" s="52" t="n">
        <f aca="false">G768*(1+$O$1)</f>
        <v>837503121917.925</v>
      </c>
      <c r="H769" s="15" t="n">
        <f aca="false">I769/G769</f>
        <v>0.00728745249199162</v>
      </c>
      <c r="I769" s="0" t="n">
        <f aca="false">I768</f>
        <v>6103264212.87154</v>
      </c>
      <c r="J769" s="85"/>
      <c r="K769" s="85"/>
      <c r="L769" s="85"/>
      <c r="M769" s="85"/>
      <c r="N769" s="85"/>
      <c r="O769" s="85"/>
      <c r="P769" s="85"/>
      <c r="Q769" s="85"/>
      <c r="R769" s="85"/>
      <c r="S769" s="85"/>
    </row>
    <row r="770" customFormat="false" ht="15" hidden="false" customHeight="false" outlineLevel="0" collapsed="false">
      <c r="F770" s="99" t="n">
        <f aca="false">H770/G770</f>
        <v>8.28212099981647E-015</v>
      </c>
      <c r="G770" s="52" t="n">
        <f aca="false">G769*(1+$O$1)</f>
        <v>858440699965.873</v>
      </c>
      <c r="H770" s="15" t="n">
        <f aca="false">I770/G770</f>
        <v>0.00710970974828451</v>
      </c>
      <c r="I770" s="0" t="n">
        <f aca="false">I769</f>
        <v>6103264212.87154</v>
      </c>
      <c r="J770" s="85"/>
      <c r="K770" s="85"/>
      <c r="L770" s="85"/>
      <c r="M770" s="85"/>
      <c r="N770" s="85"/>
      <c r="O770" s="85"/>
      <c r="P770" s="85"/>
      <c r="Q770" s="85"/>
      <c r="R770" s="85"/>
      <c r="S770" s="85"/>
    </row>
    <row r="771" customFormat="false" ht="15" hidden="false" customHeight="false" outlineLevel="0" collapsed="false">
      <c r="F771" s="99" t="n">
        <f aca="false">H771/G771</f>
        <v>7.88304199863555E-015</v>
      </c>
      <c r="G771" s="52" t="n">
        <f aca="false">G770*(1+$O$1)</f>
        <v>879901717465.019</v>
      </c>
      <c r="H771" s="15" t="n">
        <f aca="false">I771/G771</f>
        <v>0.0069363021934483</v>
      </c>
      <c r="I771" s="0" t="n">
        <f aca="false">I770</f>
        <v>6103264212.87154</v>
      </c>
      <c r="J771" s="85"/>
      <c r="K771" s="85"/>
      <c r="L771" s="85"/>
      <c r="M771" s="85"/>
      <c r="N771" s="85"/>
      <c r="O771" s="85"/>
      <c r="P771" s="85"/>
      <c r="Q771" s="85"/>
      <c r="R771" s="85"/>
      <c r="S771" s="85"/>
    </row>
    <row r="772" customFormat="false" ht="15" hidden="false" customHeight="false" outlineLevel="0" collapsed="false">
      <c r="F772" s="99" t="n">
        <f aca="false">H772/G772</f>
        <v>7.50319286009333E-015</v>
      </c>
      <c r="G772" s="52" t="n">
        <f aca="false">G771*(1+$O$1)</f>
        <v>901899260401.645</v>
      </c>
      <c r="H772" s="15" t="n">
        <f aca="false">I772/G772</f>
        <v>0.00676712409116907</v>
      </c>
      <c r="I772" s="0" t="n">
        <f aca="false">I771</f>
        <v>6103264212.87154</v>
      </c>
      <c r="J772" s="85"/>
      <c r="K772" s="85"/>
      <c r="L772" s="85"/>
      <c r="M772" s="85"/>
      <c r="N772" s="85"/>
      <c r="O772" s="85"/>
      <c r="P772" s="85"/>
      <c r="Q772" s="85"/>
      <c r="R772" s="85"/>
      <c r="S772" s="85"/>
    </row>
    <row r="773" customFormat="false" ht="15" hidden="false" customHeight="false" outlineLevel="0" collapsed="false">
      <c r="F773" s="99" t="n">
        <f aca="false">H773/G773</f>
        <v>7.14164698164743E-015</v>
      </c>
      <c r="G773" s="52" t="n">
        <f aca="false">G772*(1+$O$1)</f>
        <v>924446741911.686</v>
      </c>
      <c r="H773" s="15" t="n">
        <f aca="false">I773/G773</f>
        <v>0.00660207228406739</v>
      </c>
      <c r="I773" s="0" t="n">
        <f aca="false">I772</f>
        <v>6103264212.87154</v>
      </c>
      <c r="J773" s="85"/>
      <c r="K773" s="85"/>
      <c r="L773" s="85"/>
      <c r="M773" s="85"/>
      <c r="N773" s="85"/>
      <c r="O773" s="85"/>
      <c r="P773" s="85"/>
      <c r="Q773" s="85"/>
      <c r="R773" s="85"/>
      <c r="S773" s="85"/>
    </row>
    <row r="774" customFormat="false" ht="15" hidden="false" customHeight="false" outlineLevel="0" collapsed="false">
      <c r="F774" s="99" t="n">
        <f aca="false">H774/G774</f>
        <v>6.79752240965847E-015</v>
      </c>
      <c r="G774" s="52" t="n">
        <f aca="false">G773*(1+$O$1)</f>
        <v>947557910459.478</v>
      </c>
      <c r="H774" s="15" t="n">
        <f aca="false">I774/G774</f>
        <v>0.00644104613079745</v>
      </c>
      <c r="I774" s="0" t="n">
        <f aca="false">I773</f>
        <v>6103264212.87154</v>
      </c>
      <c r="J774" s="85"/>
      <c r="K774" s="85"/>
      <c r="L774" s="85"/>
      <c r="M774" s="85"/>
      <c r="N774" s="85"/>
      <c r="O774" s="85"/>
      <c r="P774" s="85"/>
      <c r="Q774" s="85"/>
      <c r="R774" s="85"/>
      <c r="S774" s="85"/>
    </row>
    <row r="775" customFormat="false" ht="15" hidden="false" customHeight="false" outlineLevel="0" collapsed="false">
      <c r="F775" s="99" t="n">
        <f aca="false">H775/G775</f>
        <v>6.46997968795571E-015</v>
      </c>
      <c r="G775" s="52" t="n">
        <f aca="false">G774*(1+$O$1)</f>
        <v>971246858220.965</v>
      </c>
      <c r="H775" s="15" t="n">
        <f aca="false">I775/G775</f>
        <v>0.00628394744468044</v>
      </c>
      <c r="I775" s="0" t="n">
        <f aca="false">I774</f>
        <v>6103264212.87154</v>
      </c>
      <c r="J775" s="85"/>
      <c r="K775" s="85"/>
      <c r="L775" s="85"/>
      <c r="M775" s="85"/>
      <c r="N775" s="85"/>
      <c r="O775" s="85"/>
      <c r="P775" s="85"/>
      <c r="Q775" s="85"/>
      <c r="R775" s="85"/>
      <c r="S775" s="85"/>
    </row>
    <row r="776" customFormat="false" ht="15" hidden="false" customHeight="false" outlineLevel="0" collapsed="false">
      <c r="F776" s="99" t="n">
        <f aca="false">H776/G776</f>
        <v>6.15821981007088E-015</v>
      </c>
      <c r="G776" s="52" t="n">
        <f aca="false">G775*(1+$O$1)</f>
        <v>995528029676.489</v>
      </c>
      <c r="H776" s="15" t="n">
        <f aca="false">I776/G776</f>
        <v>0.00613068043383458</v>
      </c>
      <c r="I776" s="0" t="n">
        <f aca="false">I775</f>
        <v>6103264212.87154</v>
      </c>
      <c r="J776" s="85"/>
      <c r="K776" s="85"/>
      <c r="L776" s="85"/>
      <c r="M776" s="85"/>
      <c r="N776" s="85"/>
      <c r="O776" s="85"/>
      <c r="P776" s="85"/>
      <c r="Q776" s="85"/>
      <c r="R776" s="85"/>
      <c r="S776" s="85"/>
    </row>
    <row r="777" customFormat="false" ht="15" hidden="false" customHeight="false" outlineLevel="0" collapsed="false">
      <c r="F777" s="99" t="n">
        <f aca="false">H777/G777</f>
        <v>5.8614822701448E-015</v>
      </c>
      <c r="G777" s="52" t="n">
        <f aca="false">G776*(1+$O$1)</f>
        <v>1020416230418.4</v>
      </c>
      <c r="H777" s="15" t="n">
        <f aca="false">I777/G777</f>
        <v>0.00598115164276545</v>
      </c>
      <c r="I777" s="0" t="n">
        <f aca="false">I776</f>
        <v>6103264212.87154</v>
      </c>
      <c r="J777" s="85"/>
      <c r="K777" s="85"/>
      <c r="L777" s="85"/>
      <c r="M777" s="85"/>
      <c r="N777" s="85"/>
      <c r="O777" s="85"/>
      <c r="P777" s="85"/>
      <c r="Q777" s="85"/>
      <c r="R777" s="85"/>
      <c r="S777" s="85"/>
    </row>
    <row r="778" customFormat="false" ht="15" hidden="false" customHeight="false" outlineLevel="0" collapsed="false">
      <c r="F778" s="99" t="n">
        <f aca="false">H778/G778</f>
        <v>5.57904320775234E-015</v>
      </c>
      <c r="G778" s="52" t="n">
        <f aca="false">G777*(1+$O$1)</f>
        <v>1045926636178.86</v>
      </c>
      <c r="H778" s="15" t="n">
        <f aca="false">I778/G778</f>
        <v>0.00583526989538092</v>
      </c>
      <c r="I778" s="0" t="n">
        <f aca="false">I777</f>
        <v>6103264212.87154</v>
      </c>
      <c r="J778" s="85"/>
      <c r="K778" s="85"/>
      <c r="L778" s="85"/>
      <c r="M778" s="85"/>
      <c r="N778" s="85"/>
      <c r="O778" s="85"/>
      <c r="P778" s="85"/>
      <c r="Q778" s="85"/>
      <c r="R778" s="85"/>
      <c r="S778" s="85"/>
    </row>
    <row r="779" customFormat="false" ht="15" hidden="false" customHeight="false" outlineLevel="0" collapsed="false">
      <c r="F779" s="99" t="n">
        <f aca="false">H779/G779</f>
        <v>5.31021364212001E-015</v>
      </c>
      <c r="G779" s="52" t="n">
        <f aca="false">G778*(1+$O$1)</f>
        <v>1072074802083.33</v>
      </c>
      <c r="H779" s="15" t="n">
        <f aca="false">I779/G779</f>
        <v>0.00569294623939602</v>
      </c>
      <c r="I779" s="0" t="n">
        <f aca="false">I778</f>
        <v>6103264212.87154</v>
      </c>
      <c r="J779" s="85"/>
      <c r="K779" s="85"/>
      <c r="L779" s="85"/>
      <c r="M779" s="85"/>
      <c r="N779" s="85"/>
      <c r="O779" s="85"/>
      <c r="P779" s="85"/>
      <c r="Q779" s="85"/>
      <c r="R779" s="85"/>
      <c r="S779" s="85"/>
    </row>
    <row r="780" customFormat="false" ht="15" hidden="false" customHeight="false" outlineLevel="0" collapsed="false">
      <c r="F780" s="99" t="n">
        <f aca="false">H780/G780</f>
        <v>5.05433779142892E-015</v>
      </c>
      <c r="G780" s="52" t="n">
        <f aca="false">G779*(1+$O$1)</f>
        <v>1098876672135.42</v>
      </c>
      <c r="H780" s="15" t="n">
        <f aca="false">I780/G780</f>
        <v>0.00555409389209368</v>
      </c>
      <c r="I780" s="0" t="n">
        <f aca="false">I779</f>
        <v>6103264212.87154</v>
      </c>
      <c r="J780" s="85"/>
      <c r="K780" s="85"/>
      <c r="L780" s="85"/>
      <c r="M780" s="85"/>
      <c r="N780" s="85"/>
      <c r="O780" s="85"/>
      <c r="P780" s="85"/>
      <c r="Q780" s="85"/>
      <c r="R780" s="85"/>
      <c r="S780" s="85"/>
    </row>
    <row r="781" customFormat="false" ht="15" hidden="false" customHeight="false" outlineLevel="0" collapsed="false">
      <c r="F781" s="99" t="n">
        <f aca="false">H781/G781</f>
        <v>4.81079147310308E-015</v>
      </c>
      <c r="G781" s="52" t="n">
        <f aca="false">G780*(1+$O$1)</f>
        <v>1126348588938.8</v>
      </c>
      <c r="H781" s="15" t="n">
        <f aca="false">I781/G781</f>
        <v>0.00541862818740847</v>
      </c>
      <c r="I781" s="0" t="n">
        <f aca="false">I780</f>
        <v>6103264212.87154</v>
      </c>
      <c r="J781" s="85"/>
      <c r="K781" s="85"/>
      <c r="L781" s="85"/>
      <c r="M781" s="85"/>
      <c r="N781" s="85"/>
      <c r="O781" s="85"/>
      <c r="P781" s="85"/>
      <c r="Q781" s="85"/>
      <c r="R781" s="85"/>
      <c r="S781" s="85"/>
    </row>
    <row r="782" customFormat="false" ht="15" hidden="false" customHeight="false" outlineLevel="0" collapsed="false">
      <c r="F782" s="99" t="n">
        <f aca="false">H782/G782</f>
        <v>4.5789805811808E-015</v>
      </c>
      <c r="G782" s="52" t="n">
        <f aca="false">G781*(1+$O$1)</f>
        <v>1154507303662.27</v>
      </c>
      <c r="H782" s="15" t="n">
        <f aca="false">I782/G782</f>
        <v>0.00528646652430095</v>
      </c>
      <c r="I782" s="0" t="n">
        <f aca="false">I781</f>
        <v>6103264212.87154</v>
      </c>
      <c r="J782" s="85"/>
      <c r="K782" s="85"/>
      <c r="L782" s="85"/>
      <c r="M782" s="85"/>
      <c r="N782" s="85"/>
      <c r="O782" s="85"/>
      <c r="P782" s="85"/>
      <c r="Q782" s="85"/>
      <c r="R782" s="85"/>
      <c r="S782" s="85"/>
    </row>
    <row r="783" customFormat="false" ht="15" hidden="false" customHeight="false" outlineLevel="0" collapsed="false">
      <c r="F783" s="99" t="n">
        <f aca="false">H783/G783</f>
        <v>4.3583396370549E-015</v>
      </c>
      <c r="G783" s="52" t="n">
        <f aca="false">G782*(1+$O$1)</f>
        <v>1183369986253.83</v>
      </c>
      <c r="H783" s="15" t="n">
        <f aca="false">I783/G783</f>
        <v>0.00515752831639117</v>
      </c>
      <c r="I783" s="0" t="n">
        <f aca="false">I782</f>
        <v>6103264212.87154</v>
      </c>
      <c r="J783" s="85"/>
      <c r="K783" s="85"/>
      <c r="L783" s="85"/>
      <c r="M783" s="85"/>
      <c r="N783" s="85"/>
      <c r="O783" s="85"/>
      <c r="P783" s="85"/>
      <c r="Q783" s="85"/>
      <c r="R783" s="85"/>
      <c r="S783" s="85"/>
    </row>
    <row r="784" customFormat="false" ht="15" hidden="false" customHeight="false" outlineLevel="0" collapsed="false">
      <c r="F784" s="99" t="n">
        <f aca="false">H784/G784</f>
        <v>4.14833041004631E-015</v>
      </c>
      <c r="G784" s="52" t="n">
        <f aca="false">G783*(1+$O$1)</f>
        <v>1212954235910.17</v>
      </c>
      <c r="H784" s="15" t="n">
        <f aca="false">I784/G784</f>
        <v>0.00503173494282065</v>
      </c>
      <c r="I784" s="0" t="n">
        <f aca="false">I783</f>
        <v>6103264212.87154</v>
      </c>
      <c r="J784" s="85"/>
      <c r="K784" s="85"/>
      <c r="L784" s="85"/>
      <c r="M784" s="85"/>
      <c r="N784" s="85"/>
      <c r="O784" s="85"/>
      <c r="P784" s="85"/>
      <c r="Q784" s="85"/>
      <c r="R784" s="85"/>
      <c r="S784" s="85"/>
    </row>
    <row r="785" customFormat="false" ht="15" hidden="false" customHeight="false" outlineLevel="0" collapsed="false">
      <c r="F785" s="99" t="n">
        <f aca="false">H785/G785</f>
        <v>3.94844060444622E-015</v>
      </c>
      <c r="G785" s="52" t="n">
        <f aca="false">G784*(1+$O$1)</f>
        <v>1243278091807.93</v>
      </c>
      <c r="H785" s="15" t="n">
        <f aca="false">I785/G785</f>
        <v>0.00490900970031283</v>
      </c>
      <c r="I785" s="0" t="n">
        <f aca="false">I784</f>
        <v>6103264212.87154</v>
      </c>
      <c r="J785" s="85"/>
      <c r="K785" s="85"/>
      <c r="L785" s="85"/>
      <c r="M785" s="85"/>
      <c r="N785" s="85"/>
      <c r="O785" s="85"/>
      <c r="P785" s="85"/>
      <c r="Q785" s="85"/>
      <c r="R785" s="85"/>
      <c r="S785" s="85"/>
    </row>
    <row r="786" customFormat="false" ht="15" hidden="false" customHeight="false" outlineLevel="0" collapsed="false">
      <c r="F786" s="99" t="n">
        <f aca="false">H786/G786</f>
        <v>3.75818260982388E-015</v>
      </c>
      <c r="G786" s="52" t="n">
        <f aca="false">G785*(1+$O$1)</f>
        <v>1274360044103.13</v>
      </c>
      <c r="H786" s="15" t="n">
        <f aca="false">I786/G786</f>
        <v>0.00478927775640276</v>
      </c>
      <c r="I786" s="0" t="n">
        <f aca="false">I785</f>
        <v>6103264212.87154</v>
      </c>
      <c r="J786" s="85"/>
      <c r="K786" s="85"/>
      <c r="L786" s="85"/>
      <c r="M786" s="85"/>
      <c r="N786" s="85"/>
      <c r="O786" s="85"/>
      <c r="P786" s="85"/>
      <c r="Q786" s="85"/>
      <c r="R786" s="85"/>
      <c r="S786" s="85"/>
    </row>
    <row r="787" customFormat="false" ht="15" hidden="false" customHeight="false" outlineLevel="0" collapsed="false">
      <c r="F787" s="99" t="n">
        <f aca="false">H787/G787</f>
        <v>3.57709231155159E-015</v>
      </c>
      <c r="G787" s="52" t="n">
        <f aca="false">G786*(1+$O$1)</f>
        <v>1306219045205.7</v>
      </c>
      <c r="H787" s="15" t="n">
        <f aca="false">I787/G787</f>
        <v>0.00467246610380757</v>
      </c>
      <c r="I787" s="0" t="n">
        <f aca="false">I786</f>
        <v>6103264212.87154</v>
      </c>
      <c r="J787" s="85"/>
      <c r="K787" s="85"/>
      <c r="L787" s="85"/>
      <c r="M787" s="85"/>
      <c r="N787" s="85"/>
      <c r="O787" s="85"/>
      <c r="P787" s="85"/>
      <c r="Q787" s="85"/>
      <c r="R787" s="85"/>
      <c r="S787" s="85"/>
    </row>
    <row r="788" customFormat="false" ht="15" hidden="false" customHeight="false" outlineLevel="0" collapsed="false">
      <c r="F788" s="99" t="n">
        <f aca="false">H788/G788</f>
        <v>3.40472795864517E-015</v>
      </c>
      <c r="G788" s="52" t="n">
        <f aca="false">G787*(1+$O$1)</f>
        <v>1338874521335.85</v>
      </c>
      <c r="H788" s="15" t="n">
        <f aca="false">I788/G788</f>
        <v>0.00455850351590983</v>
      </c>
      <c r="I788" s="0" t="n">
        <f aca="false">I787</f>
        <v>6103264212.87154</v>
      </c>
      <c r="J788" s="85"/>
      <c r="K788" s="85"/>
      <c r="L788" s="85"/>
      <c r="M788" s="85"/>
      <c r="N788" s="85"/>
      <c r="O788" s="85"/>
      <c r="P788" s="85"/>
      <c r="Q788" s="85"/>
      <c r="R788" s="85"/>
      <c r="S788" s="85"/>
    </row>
    <row r="789" customFormat="false" ht="15" hidden="false" customHeight="false" outlineLevel="0" collapsed="false">
      <c r="F789" s="99" t="n">
        <f aca="false">H789/G789</f>
        <v>3.2406690861584E-015</v>
      </c>
      <c r="G789" s="52" t="n">
        <f aca="false">G788*(1+$O$1)</f>
        <v>1372346384369.24</v>
      </c>
      <c r="H789" s="15" t="n">
        <f aca="false">I789/G789</f>
        <v>0.00444732050332666</v>
      </c>
      <c r="I789" s="0" t="n">
        <f aca="false">I788</f>
        <v>6103264212.87154</v>
      </c>
      <c r="J789" s="85"/>
      <c r="K789" s="85"/>
      <c r="L789" s="85"/>
      <c r="M789" s="85"/>
      <c r="N789" s="85"/>
      <c r="O789" s="85"/>
      <c r="P789" s="85"/>
      <c r="Q789" s="85"/>
      <c r="R789" s="85"/>
      <c r="S789" s="85"/>
    </row>
    <row r="790" customFormat="false" ht="15" hidden="false" customHeight="false" outlineLevel="0" collapsed="false">
      <c r="F790" s="99" t="n">
        <f aca="false">H790/G790</f>
        <v>3.08451548950235E-015</v>
      </c>
      <c r="G790" s="52" t="n">
        <f aca="false">G789*(1+$O$1)</f>
        <v>1406655043978.47</v>
      </c>
      <c r="H790" s="15" t="n">
        <f aca="false">I790/G790</f>
        <v>0.00433884927153821</v>
      </c>
      <c r="I790" s="0" t="n">
        <f aca="false">I789</f>
        <v>6103264212.87154</v>
      </c>
      <c r="J790" s="85"/>
      <c r="K790" s="85"/>
      <c r="L790" s="85"/>
      <c r="M790" s="85"/>
      <c r="N790" s="85"/>
      <c r="O790" s="85"/>
      <c r="P790" s="85"/>
      <c r="Q790" s="85"/>
      <c r="R790" s="85"/>
      <c r="S790" s="85"/>
    </row>
    <row r="791" customFormat="false" ht="15" hidden="false" customHeight="false" outlineLevel="0" collapsed="false">
      <c r="F791" s="99" t="n">
        <f aca="false">H791/G791</f>
        <v>2.93588624818784E-015</v>
      </c>
      <c r="G791" s="52" t="n">
        <f aca="false">G790*(1+$O$1)</f>
        <v>1441821420077.93</v>
      </c>
      <c r="H791" s="15" t="n">
        <f aca="false">I791/G791</f>
        <v>0.00423302367954947</v>
      </c>
      <c r="I791" s="0" t="n">
        <f aca="false">I790</f>
        <v>6103264212.87154</v>
      </c>
      <c r="J791" s="85"/>
      <c r="K791" s="85"/>
      <c r="L791" s="85"/>
      <c r="M791" s="85"/>
      <c r="N791" s="85"/>
      <c r="O791" s="85"/>
      <c r="P791" s="85"/>
      <c r="Q791" s="85"/>
      <c r="R791" s="85"/>
      <c r="S791" s="85"/>
    </row>
    <row r="792" customFormat="false" ht="15" hidden="false" customHeight="false" outlineLevel="0" collapsed="false">
      <c r="F792" s="99" t="n">
        <f aca="false">H792/G792</f>
        <v>2.79441879660949E-015</v>
      </c>
      <c r="G792" s="52" t="n">
        <f aca="false">G791*(1+$O$1)</f>
        <v>1477866955579.88</v>
      </c>
      <c r="H792" s="15" t="n">
        <f aca="false">I792/G792</f>
        <v>0.00412977919956046</v>
      </c>
      <c r="I792" s="0" t="n">
        <f aca="false">I791</f>
        <v>6103264212.87154</v>
      </c>
      <c r="J792" s="85"/>
      <c r="K792" s="85"/>
      <c r="L792" s="85"/>
      <c r="M792" s="85"/>
      <c r="N792" s="85"/>
      <c r="O792" s="85"/>
      <c r="P792" s="85"/>
      <c r="Q792" s="85"/>
      <c r="R792" s="85"/>
      <c r="S792" s="85"/>
    </row>
    <row r="793" customFormat="false" ht="15" hidden="false" customHeight="false" outlineLevel="0" collapsed="false">
      <c r="F793" s="99" t="n">
        <f aca="false">H793/G793</f>
        <v>2.65976803960451E-015</v>
      </c>
      <c r="G793" s="52" t="n">
        <f aca="false">G792*(1+$O$1)</f>
        <v>1514813629469.38</v>
      </c>
      <c r="H793" s="15" t="n">
        <f aca="false">I793/G793</f>
        <v>0.00402905287761996</v>
      </c>
      <c r="I793" s="0" t="n">
        <f aca="false">I792</f>
        <v>6103264212.87154</v>
      </c>
      <c r="J793" s="85"/>
      <c r="K793" s="85"/>
      <c r="L793" s="85"/>
      <c r="M793" s="85"/>
      <c r="N793" s="85"/>
      <c r="O793" s="85"/>
      <c r="P793" s="85"/>
      <c r="Q793" s="85"/>
      <c r="R793" s="85"/>
      <c r="S793" s="85"/>
    </row>
    <row r="794" customFormat="false" ht="15" hidden="false" customHeight="false" outlineLevel="0" collapsed="false">
      <c r="F794" s="99" t="n">
        <f aca="false">H794/G794</f>
        <v>2.53160551062892E-015</v>
      </c>
      <c r="G794" s="52" t="n">
        <f aca="false">G793*(1+$O$1)</f>
        <v>1552683970206.11</v>
      </c>
      <c r="H794" s="15" t="n">
        <f aca="false">I794/G794</f>
        <v>0.00393078329523899</v>
      </c>
      <c r="I794" s="0" t="n">
        <f aca="false">I793</f>
        <v>6103264212.87154</v>
      </c>
      <c r="J794" s="85"/>
      <c r="K794" s="85"/>
      <c r="L794" s="85"/>
      <c r="M794" s="85"/>
      <c r="N794" s="85"/>
      <c r="O794" s="85"/>
      <c r="P794" s="85"/>
      <c r="Q794" s="85"/>
      <c r="R794" s="85"/>
      <c r="S794" s="85"/>
    </row>
    <row r="795" customFormat="false" ht="15" hidden="false" customHeight="false" outlineLevel="0" collapsed="false">
      <c r="F795" s="99" t="n">
        <f aca="false">H795/G795</f>
        <v>2.40961857049748E-015</v>
      </c>
      <c r="G795" s="52" t="n">
        <f aca="false">G794*(1+$O$1)</f>
        <v>1591501069461.27</v>
      </c>
      <c r="H795" s="15" t="n">
        <f aca="false">I795/G795</f>
        <v>0.00383491053194048</v>
      </c>
      <c r="I795" s="0" t="n">
        <f aca="false">I794</f>
        <v>6103264212.87154</v>
      </c>
      <c r="J795" s="85"/>
      <c r="K795" s="85"/>
      <c r="L795" s="85"/>
      <c r="M795" s="85"/>
      <c r="N795" s="85"/>
      <c r="O795" s="85"/>
      <c r="P795" s="85"/>
      <c r="Q795" s="85"/>
      <c r="R795" s="85"/>
      <c r="S795" s="85"/>
    </row>
    <row r="796" customFormat="false" ht="15" hidden="false" customHeight="false" outlineLevel="0" collapsed="false">
      <c r="F796" s="99" t="n">
        <f aca="false">H796/G796</f>
        <v>2.29350964473288E-015</v>
      </c>
      <c r="G796" s="52" t="n">
        <f aca="false">G795*(1+$O$1)</f>
        <v>1631288596197.8</v>
      </c>
      <c r="H796" s="15" t="n">
        <f aca="false">I796/G796</f>
        <v>0.00374137612872242</v>
      </c>
      <c r="I796" s="0" t="n">
        <f aca="false">I795</f>
        <v>6103264212.87154</v>
      </c>
      <c r="J796" s="85"/>
      <c r="K796" s="85"/>
      <c r="L796" s="85"/>
      <c r="M796" s="85"/>
      <c r="N796" s="85"/>
      <c r="O796" s="85"/>
      <c r="P796" s="85"/>
      <c r="Q796" s="85"/>
      <c r="R796" s="85"/>
      <c r="S796" s="85"/>
    </row>
    <row r="797" customFormat="false" ht="15" hidden="false" customHeight="false" outlineLevel="0" collapsed="false">
      <c r="F797" s="99" t="n">
        <f aca="false">H797/G797</f>
        <v>2.18299549766366E-015</v>
      </c>
      <c r="G797" s="52" t="n">
        <f aca="false">G796*(1+$O$1)</f>
        <v>1672070811102.74</v>
      </c>
      <c r="H797" s="15" t="n">
        <f aca="false">I797/G797</f>
        <v>0.00365012305241211</v>
      </c>
      <c r="I797" s="0" t="n">
        <f aca="false">I796</f>
        <v>6103264212.87154</v>
      </c>
      <c r="J797" s="85"/>
      <c r="K797" s="85"/>
      <c r="L797" s="85"/>
      <c r="M797" s="85"/>
      <c r="N797" s="85"/>
      <c r="O797" s="85"/>
      <c r="P797" s="85"/>
      <c r="Q797" s="85"/>
      <c r="R797" s="85"/>
      <c r="S797" s="85"/>
    </row>
    <row r="798" customFormat="false" ht="15" hidden="false" customHeight="false" outlineLevel="0" collapsed="false">
      <c r="F798" s="99" t="n">
        <f aca="false">H798/G798</f>
        <v>2.07780654150021E-015</v>
      </c>
      <c r="G798" s="52" t="n">
        <f aca="false">G797*(1+$O$1)</f>
        <v>1713872581380.31</v>
      </c>
      <c r="H798" s="15" t="n">
        <f aca="false">I798/G798</f>
        <v>0.00356109566088987</v>
      </c>
      <c r="I798" s="0" t="n">
        <f aca="false">I797</f>
        <v>6103264212.87154</v>
      </c>
      <c r="J798" s="85"/>
      <c r="K798" s="85"/>
      <c r="L798" s="85"/>
      <c r="M798" s="85"/>
      <c r="N798" s="85"/>
      <c r="O798" s="85"/>
      <c r="P798" s="85"/>
      <c r="Q798" s="85"/>
      <c r="R798" s="85"/>
      <c r="S798" s="85"/>
    </row>
    <row r="799" customFormat="false" ht="15" hidden="false" customHeight="false" outlineLevel="0" collapsed="false">
      <c r="F799" s="99" t="n">
        <f aca="false">H799/G799</f>
        <v>1.97768617870336E-015</v>
      </c>
      <c r="G799" s="52" t="n">
        <f aca="false">G798*(1+$O$1)</f>
        <v>1756719395914.82</v>
      </c>
      <c r="H799" s="15" t="n">
        <f aca="false">I799/G799</f>
        <v>0.00347423966916085</v>
      </c>
      <c r="I799" s="0" t="n">
        <f aca="false">I798</f>
        <v>6103264212.87154</v>
      </c>
      <c r="J799" s="85"/>
      <c r="K799" s="85"/>
      <c r="L799" s="85"/>
      <c r="M799" s="85"/>
      <c r="N799" s="85"/>
      <c r="O799" s="85"/>
      <c r="P799" s="85"/>
      <c r="Q799" s="85"/>
      <c r="R799" s="85"/>
      <c r="S799" s="85"/>
    </row>
    <row r="800" customFormat="false" ht="15" hidden="false" customHeight="false" outlineLevel="0" collapsed="false">
      <c r="F800" s="99" t="n">
        <f aca="false">H800/G800</f>
        <v>1.88239017604127E-015</v>
      </c>
      <c r="G800" s="52" t="n">
        <f aca="false">G799*(1+$O$1)</f>
        <v>1800637380812.69</v>
      </c>
      <c r="H800" s="15" t="n">
        <f aca="false">I800/G800</f>
        <v>0.00338950211625448</v>
      </c>
      <c r="I800" s="0" t="n">
        <f aca="false">I799</f>
        <v>6103264212.87154</v>
      </c>
      <c r="J800" s="85"/>
      <c r="K800" s="85"/>
      <c r="L800" s="85"/>
      <c r="M800" s="85"/>
      <c r="N800" s="85"/>
      <c r="O800" s="85"/>
      <c r="P800" s="85"/>
      <c r="Q800" s="85"/>
      <c r="R800" s="85"/>
      <c r="S800" s="85"/>
    </row>
    <row r="801" customFormat="false" ht="15" hidden="false" customHeight="false" outlineLevel="0" collapsed="false">
      <c r="F801" s="99" t="n">
        <f aca="false">H801/G801</f>
        <v>1.79168606880787E-015</v>
      </c>
      <c r="G801" s="52" t="n">
        <f aca="false">G800*(1+$O$1)</f>
        <v>1845653315333.01</v>
      </c>
      <c r="H801" s="15" t="n">
        <f aca="false">I801/G801</f>
        <v>0.0033068313329312</v>
      </c>
      <c r="I801" s="0" t="n">
        <f aca="false">I800</f>
        <v>6103264212.87154</v>
      </c>
      <c r="J801" s="85"/>
      <c r="K801" s="85"/>
      <c r="L801" s="85"/>
      <c r="M801" s="85"/>
      <c r="N801" s="85"/>
      <c r="O801" s="85"/>
      <c r="P801" s="85"/>
      <c r="Q801" s="85"/>
      <c r="R801" s="85"/>
      <c r="S801" s="85"/>
    </row>
    <row r="802" customFormat="false" ht="15" hidden="false" customHeight="false" outlineLevel="0" collapsed="false">
      <c r="F802" s="99" t="n">
        <f aca="false">H802/G802</f>
        <v>1.70535259374931E-015</v>
      </c>
      <c r="G802" s="52" t="n">
        <f aca="false">G801*(1+$O$1)</f>
        <v>1891794648216.33</v>
      </c>
      <c r="H802" s="15" t="n">
        <f aca="false">I802/G802</f>
        <v>0.00322617691017678</v>
      </c>
      <c r="I802" s="0" t="n">
        <f aca="false">I801</f>
        <v>6103264212.87154</v>
      </c>
      <c r="J802" s="85"/>
      <c r="K802" s="85"/>
      <c r="L802" s="85"/>
      <c r="M802" s="85"/>
      <c r="N802" s="85"/>
      <c r="O802" s="85"/>
      <c r="P802" s="85"/>
      <c r="Q802" s="85"/>
      <c r="R802" s="85"/>
      <c r="S802" s="85"/>
    </row>
    <row r="803" customFormat="false" ht="15" hidden="false" customHeight="false" outlineLevel="0" collapsed="false">
      <c r="F803" s="99" t="n">
        <f aca="false">H803/G803</f>
        <v>1.62317914931523E-015</v>
      </c>
      <c r="G803" s="52" t="n">
        <f aca="false">G802*(1+$O$1)</f>
        <v>1939089514421.74</v>
      </c>
      <c r="H803" s="15" t="n">
        <f aca="false">I803/G803</f>
        <v>0.00314748966846516</v>
      </c>
      <c r="I803" s="0" t="n">
        <f aca="false">I802</f>
        <v>6103264212.87154</v>
      </c>
      <c r="J803" s="85"/>
      <c r="K803" s="85"/>
      <c r="L803" s="85"/>
      <c r="M803" s="85"/>
      <c r="N803" s="85"/>
      <c r="O803" s="85"/>
      <c r="P803" s="85"/>
      <c r="Q803" s="85"/>
      <c r="R803" s="85"/>
      <c r="S803" s="85"/>
    </row>
    <row r="804" customFormat="false" ht="15" hidden="false" customHeight="false" outlineLevel="0" collapsed="false">
      <c r="F804" s="99" t="n">
        <f aca="false">H804/G804</f>
        <v>1.54496528191812E-015</v>
      </c>
      <c r="G804" s="52" t="n">
        <f aca="false">G803*(1+$O$1)</f>
        <v>1987566752282.28</v>
      </c>
      <c r="H804" s="15" t="n">
        <f aca="false">I804/G804</f>
        <v>0.00307072162777088</v>
      </c>
      <c r="I804" s="0" t="n">
        <f aca="false">I803</f>
        <v>6103264212.87154</v>
      </c>
      <c r="J804" s="85"/>
      <c r="K804" s="85"/>
      <c r="L804" s="85"/>
      <c r="M804" s="85"/>
      <c r="N804" s="85"/>
      <c r="O804" s="85"/>
      <c r="P804" s="85"/>
      <c r="Q804" s="85"/>
      <c r="R804" s="85"/>
      <c r="S804" s="85"/>
    </row>
    <row r="805" customFormat="false" ht="15" hidden="false" customHeight="false" outlineLevel="0" collapsed="false">
      <c r="F805" s="99" t="n">
        <f aca="false">H805/G805</f>
        <v>1.47052019694765E-015</v>
      </c>
      <c r="G805" s="52" t="n">
        <f aca="false">G804*(1+$O$1)</f>
        <v>2037255921089.34</v>
      </c>
      <c r="H805" s="15" t="n">
        <f aca="false">I805/G805</f>
        <v>0.00299582597831306</v>
      </c>
      <c r="I805" s="0" t="n">
        <f aca="false">I804</f>
        <v>6103264212.87154</v>
      </c>
      <c r="J805" s="85"/>
      <c r="K805" s="85"/>
      <c r="L805" s="85"/>
      <c r="M805" s="85"/>
      <c r="N805" s="85"/>
      <c r="O805" s="85"/>
      <c r="P805" s="85"/>
      <c r="Q805" s="85"/>
      <c r="R805" s="85"/>
      <c r="S805" s="85"/>
    </row>
    <row r="806" customFormat="false" ht="15" hidden="false" customHeight="false" outlineLevel="0" collapsed="false">
      <c r="F806" s="99" t="n">
        <f aca="false">H806/G806</f>
        <v>1.39966229334696E-015</v>
      </c>
      <c r="G806" s="52" t="n">
        <f aca="false">G805*(1+$O$1)</f>
        <v>2088187319116.57</v>
      </c>
      <c r="H806" s="15" t="n">
        <f aca="false">I806/G806</f>
        <v>0.00292275705201274</v>
      </c>
      <c r="I806" s="0" t="n">
        <f aca="false">I805</f>
        <v>6103264212.87154</v>
      </c>
      <c r="J806" s="85"/>
      <c r="K806" s="85"/>
      <c r="L806" s="85"/>
      <c r="M806" s="85"/>
      <c r="N806" s="85"/>
      <c r="O806" s="85"/>
      <c r="P806" s="85"/>
      <c r="Q806" s="85"/>
      <c r="R806" s="85"/>
      <c r="S806" s="85"/>
    </row>
    <row r="807" customFormat="false" ht="15" hidden="false" customHeight="false" outlineLevel="0" collapsed="false">
      <c r="F807" s="99" t="n">
        <f aca="false">H807/G807</f>
        <v>1.33221872061579E-015</v>
      </c>
      <c r="G807" s="52" t="n">
        <f aca="false">G806*(1+$O$1)</f>
        <v>2140392002094.49</v>
      </c>
      <c r="H807" s="15" t="n">
        <f aca="false">I807/G807</f>
        <v>0.00285147029464658</v>
      </c>
      <c r="I807" s="0" t="n">
        <f aca="false">I806</f>
        <v>6103264212.87154</v>
      </c>
      <c r="J807" s="85"/>
      <c r="K807" s="85"/>
      <c r="L807" s="85"/>
      <c r="M807" s="85"/>
      <c r="N807" s="85"/>
      <c r="O807" s="85"/>
      <c r="P807" s="85"/>
      <c r="Q807" s="85"/>
      <c r="R807" s="85"/>
      <c r="S807" s="85"/>
    </row>
    <row r="808" customFormat="false" ht="15" hidden="false" customHeight="false" outlineLevel="0" collapsed="false">
      <c r="F808" s="99" t="n">
        <f aca="false">H808/G808</f>
        <v>1.26802495715958E-015</v>
      </c>
      <c r="G808" s="52" t="n">
        <f aca="false">G807*(1+$O$1)</f>
        <v>2193901802146.85</v>
      </c>
      <c r="H808" s="15" t="n">
        <f aca="false">I808/G808</f>
        <v>0.00278192223867959</v>
      </c>
      <c r="I808" s="0" t="n">
        <f aca="false">I807</f>
        <v>6103264212.87154</v>
      </c>
      <c r="J808" s="85"/>
      <c r="K808" s="85"/>
      <c r="L808" s="85"/>
      <c r="M808" s="85"/>
      <c r="N808" s="85"/>
      <c r="O808" s="85"/>
      <c r="P808" s="85"/>
      <c r="Q808" s="85"/>
      <c r="R808" s="85"/>
      <c r="S808" s="85"/>
    </row>
    <row r="809" customFormat="false" ht="15" hidden="false" customHeight="false" outlineLevel="0" collapsed="false">
      <c r="F809" s="99" t="n">
        <f aca="false">H809/G809</f>
        <v>1.20692440895618E-015</v>
      </c>
      <c r="G809" s="52" t="n">
        <f aca="false">G808*(1+$O$1)</f>
        <v>2248749347200.52</v>
      </c>
      <c r="H809" s="15" t="n">
        <f aca="false">I809/G809</f>
        <v>0.00271407047676057</v>
      </c>
      <c r="I809" s="0" t="n">
        <f aca="false">I808</f>
        <v>6103264212.87154</v>
      </c>
      <c r="J809" s="85"/>
      <c r="K809" s="85"/>
      <c r="L809" s="85"/>
      <c r="M809" s="85"/>
      <c r="N809" s="85"/>
      <c r="O809" s="85"/>
      <c r="P809" s="85"/>
      <c r="Q809" s="85"/>
      <c r="R809" s="85"/>
      <c r="S809" s="85"/>
    </row>
    <row r="810" customFormat="false" ht="15" hidden="false" customHeight="false" outlineLevel="0" collapsed="false">
      <c r="F810" s="99" t="n">
        <f aca="false">H810/G810</f>
        <v>1.1487680275609E-015</v>
      </c>
      <c r="G810" s="52" t="n">
        <f aca="false">G809*(1+$O$1)</f>
        <v>2304968080880.53</v>
      </c>
      <c r="H810" s="15" t="n">
        <f aca="false">I810/G810</f>
        <v>0.00264787363586397</v>
      </c>
      <c r="I810" s="0" t="n">
        <f aca="false">I809</f>
        <v>6103264212.87154</v>
      </c>
      <c r="J810" s="85"/>
      <c r="K810" s="85"/>
      <c r="L810" s="85"/>
      <c r="M810" s="85"/>
      <c r="N810" s="85"/>
      <c r="O810" s="85"/>
      <c r="P810" s="85"/>
      <c r="Q810" s="85"/>
      <c r="R810" s="85"/>
      <c r="S810" s="85"/>
    </row>
    <row r="811" customFormat="false" ht="15" hidden="false" customHeight="false" outlineLevel="0" collapsed="false">
      <c r="F811" s="99" t="n">
        <f aca="false">H811/G811</f>
        <v>1.09341394651841E-015</v>
      </c>
      <c r="G811" s="52" t="n">
        <f aca="false">G810*(1+$O$1)</f>
        <v>2362592282902.55</v>
      </c>
      <c r="H811" s="15" t="n">
        <f aca="false">I811/G811</f>
        <v>0.00258329135206241</v>
      </c>
      <c r="I811" s="0" t="n">
        <f aca="false">I810</f>
        <v>6103264212.87154</v>
      </c>
      <c r="J811" s="85"/>
      <c r="K811" s="85"/>
      <c r="L811" s="85"/>
      <c r="M811" s="85"/>
      <c r="S811" s="85"/>
    </row>
    <row r="812" customFormat="false" ht="15" hidden="false" customHeight="false" outlineLevel="0" collapsed="false">
      <c r="F812" s="99" t="n">
        <f aca="false">H812/G812</f>
        <v>1.04072713529414E-015</v>
      </c>
      <c r="G812" s="52" t="n">
        <f aca="false">G811*(1+$O$1)</f>
        <v>2421657089975.11</v>
      </c>
      <c r="H812" s="15" t="n">
        <f aca="false">I812/G812</f>
        <v>0.00252028424591455</v>
      </c>
      <c r="I812" s="0" t="n">
        <f aca="false">I811</f>
        <v>6103264212.87154</v>
      </c>
      <c r="J812" s="85"/>
      <c r="K812" s="85"/>
      <c r="L812" s="85"/>
      <c r="M812" s="85"/>
      <c r="S812" s="85"/>
    </row>
    <row r="813" customFormat="false" ht="15" hidden="false" customHeight="false" outlineLevel="0" collapsed="false">
      <c r="F813" s="99" t="n">
        <f aca="false">H813/G813</f>
        <v>9.90579069881399E-016</v>
      </c>
      <c r="G813" s="52" t="n">
        <f aca="false">G812*(1+$O$1)</f>
        <v>2482198517224.49</v>
      </c>
      <c r="H813" s="15" t="n">
        <f aca="false">I813/G813</f>
        <v>0.00245881389845322</v>
      </c>
      <c r="I813" s="0" t="n">
        <f aca="false">I812</f>
        <v>6103264212.87154</v>
      </c>
      <c r="J813" s="85"/>
      <c r="K813" s="85"/>
      <c r="L813" s="85"/>
      <c r="M813" s="85"/>
      <c r="S813" s="85"/>
    </row>
    <row r="814" customFormat="false" ht="15" hidden="false" customHeight="false" outlineLevel="0" collapsed="false">
      <c r="F814" s="99" t="n">
        <f aca="false">H814/G814</f>
        <v>9.42847419280332E-016</v>
      </c>
      <c r="G814" s="52" t="n">
        <f aca="false">G813*(1+$O$1)</f>
        <v>2544253480155.1</v>
      </c>
      <c r="H814" s="15" t="n">
        <f aca="false">I814/G814</f>
        <v>0.00239884282775924</v>
      </c>
      <c r="I814" s="0" t="n">
        <f aca="false">I813</f>
        <v>6103264212.87154</v>
      </c>
      <c r="J814" s="85"/>
      <c r="K814" s="85"/>
      <c r="L814" s="85"/>
      <c r="M814" s="85"/>
      <c r="S814" s="85"/>
    </row>
    <row r="815" customFormat="false" ht="15" hidden="false" customHeight="false" outlineLevel="0" collapsed="false">
      <c r="F815" s="99" t="n">
        <f aca="false">H815/G815</f>
        <v>8.97415747084195E-016</v>
      </c>
      <c r="G815" s="52" t="n">
        <f aca="false">G814*(1+$O$1)</f>
        <v>2607859817158.98</v>
      </c>
      <c r="H815" s="15" t="n">
        <f aca="false">I815/G815</f>
        <v>0.00234033446610657</v>
      </c>
      <c r="I815" s="0" t="n">
        <f aca="false">I814</f>
        <v>6103264212.87154</v>
      </c>
      <c r="J815" s="85"/>
      <c r="K815" s="85"/>
      <c r="L815" s="85"/>
      <c r="M815" s="85"/>
      <c r="S815" s="85"/>
    </row>
  </sheetData>
  <mergeCells count="3">
    <mergeCell ref="N6:R6"/>
    <mergeCell ref="T6:V6"/>
    <mergeCell ref="W6:Y6"/>
  </mergeCells>
  <conditionalFormatting sqref="W12:Y71">
    <cfRule type="cellIs" priority="2" operator="lessThan" aboveAverage="0" equalAverage="0" bottom="0" percent="0" rank="0" text="" dxfId="43">
      <formula>0</formula>
    </cfRule>
  </conditionalFormatting>
  <conditionalFormatting sqref="W8:Y11">
    <cfRule type="cellIs" priority="3" operator="lessThan" aboveAverage="0" equalAverage="0" bottom="0" percent="0" rank="0" text="" dxfId="44">
      <formula>0</formula>
    </cfRule>
  </conditionalFormatting>
  <conditionalFormatting sqref="W72:Y72">
    <cfRule type="cellIs" priority="4" operator="lessThan" aboveAverage="0" equalAverage="0" bottom="0" percent="0" rank="0" text="" dxfId="45">
      <formula>0</formula>
    </cfRule>
  </conditionalFormatting>
  <conditionalFormatting sqref="W73:Y73">
    <cfRule type="cellIs" priority="5" operator="lessThan" aboveAverage="0" equalAverage="0" bottom="0" percent="0" rank="0" text="" dxfId="46">
      <formula>0</formula>
    </cfRule>
  </conditionalFormatting>
  <conditionalFormatting sqref="W74:Y74">
    <cfRule type="cellIs" priority="6" operator="lessThan" aboveAverage="0" equalAverage="0" bottom="0" percent="0" rank="0" text="" dxfId="47">
      <formula>0</formula>
    </cfRule>
  </conditionalFormatting>
  <conditionalFormatting sqref="W75:Y75">
    <cfRule type="cellIs" priority="7" operator="lessThan" aboveAverage="0" equalAverage="0" bottom="0" percent="0" rank="0" text="" dxfId="48">
      <formula>0</formula>
    </cfRule>
  </conditionalFormatting>
  <conditionalFormatting sqref="W76:Y76">
    <cfRule type="cellIs" priority="8" operator="lessThan" aboveAverage="0" equalAverage="0" bottom="0" percent="0" rank="0" text="" dxfId="49">
      <formula>0</formula>
    </cfRule>
  </conditionalFormatting>
  <conditionalFormatting sqref="W77:Y77">
    <cfRule type="cellIs" priority="9" operator="lessThan" aboveAverage="0" equalAverage="0" bottom="0" percent="0" rank="0" text="" dxfId="50">
      <formula>0</formula>
    </cfRule>
  </conditionalFormatting>
  <conditionalFormatting sqref="W78:Y78">
    <cfRule type="cellIs" priority="10" operator="lessThan" aboveAverage="0" equalAverage="0" bottom="0" percent="0" rank="0" text="" dxfId="51">
      <formula>0</formula>
    </cfRule>
  </conditionalFormatting>
  <conditionalFormatting sqref="W79:Y79">
    <cfRule type="cellIs" priority="11" operator="lessThan" aboveAverage="0" equalAverage="0" bottom="0" percent="0" rank="0" text="" dxfId="52">
      <formula>0</formula>
    </cfRule>
  </conditionalFormatting>
  <conditionalFormatting sqref="W80:Y80">
    <cfRule type="cellIs" priority="12" operator="lessThan" aboveAverage="0" equalAverage="0" bottom="0" percent="0" rank="0" text="" dxfId="53">
      <formula>0</formula>
    </cfRule>
  </conditionalFormatting>
  <conditionalFormatting sqref="W81:Y81">
    <cfRule type="cellIs" priority="13" operator="lessThan" aboveAverage="0" equalAverage="0" bottom="0" percent="0" rank="0" text="" dxfId="54">
      <formula>0</formula>
    </cfRule>
  </conditionalFormatting>
  <conditionalFormatting sqref="W82:Y82">
    <cfRule type="cellIs" priority="14" operator="lessThan" aboveAverage="0" equalAverage="0" bottom="0" percent="0" rank="0" text="" dxfId="55">
      <formula>0</formula>
    </cfRule>
  </conditionalFormatting>
  <conditionalFormatting sqref="W83:Y83">
    <cfRule type="cellIs" priority="15" operator="lessThan" aboveAverage="0" equalAverage="0" bottom="0" percent="0" rank="0" text="" dxfId="56">
      <formula>0</formula>
    </cfRule>
  </conditionalFormatting>
  <conditionalFormatting sqref="W84:Y84">
    <cfRule type="cellIs" priority="16" operator="lessThan" aboveAverage="0" equalAverage="0" bottom="0" percent="0" rank="0" text="" dxfId="57">
      <formula>0</formula>
    </cfRule>
  </conditionalFormatting>
  <conditionalFormatting sqref="W85:Y85">
    <cfRule type="cellIs" priority="17" operator="lessThan" aboveAverage="0" equalAverage="0" bottom="0" percent="0" rank="0" text="" dxfId="58">
      <formula>0</formula>
    </cfRule>
  </conditionalFormatting>
  <conditionalFormatting sqref="W86:Y86">
    <cfRule type="cellIs" priority="18" operator="lessThan" aboveAverage="0" equalAverage="0" bottom="0" percent="0" rank="0" text="" dxfId="59">
      <formula>0</formula>
    </cfRule>
  </conditionalFormatting>
  <conditionalFormatting sqref="W87:Y87">
    <cfRule type="cellIs" priority="19" operator="lessThan" aboveAverage="0" equalAverage="0" bottom="0" percent="0" rank="0" text="" dxfId="60">
      <formula>0</formula>
    </cfRule>
  </conditionalFormatting>
  <conditionalFormatting sqref="W88:Y88">
    <cfRule type="cellIs" priority="20" operator="lessThan" aboveAverage="0" equalAverage="0" bottom="0" percent="0" rank="0" text="" dxfId="61">
      <formula>0</formula>
    </cfRule>
  </conditionalFormatting>
  <conditionalFormatting sqref="W89:Y89">
    <cfRule type="cellIs" priority="21" operator="lessThan" aboveAverage="0" equalAverage="0" bottom="0" percent="0" rank="0" text="" dxfId="62">
      <formula>0</formula>
    </cfRule>
  </conditionalFormatting>
  <conditionalFormatting sqref="W90:Y90">
    <cfRule type="cellIs" priority="22" operator="lessThan" aboveAverage="0" equalAverage="0" bottom="0" percent="0" rank="0" text="" dxfId="63">
      <formula>0</formula>
    </cfRule>
  </conditionalFormatting>
  <conditionalFormatting sqref="W91:Y91">
    <cfRule type="cellIs" priority="23" operator="lessThan" aboveAverage="0" equalAverage="0" bottom="0" percent="0" rank="0" text="" dxfId="64">
      <formula>0</formula>
    </cfRule>
  </conditionalFormatting>
  <conditionalFormatting sqref="W92:Y92">
    <cfRule type="cellIs" priority="24" operator="lessThan" aboveAverage="0" equalAverage="0" bottom="0" percent="0" rank="0" text="" dxfId="65">
      <formula>0</formula>
    </cfRule>
  </conditionalFormatting>
  <conditionalFormatting sqref="W93:Y93">
    <cfRule type="cellIs" priority="25" operator="lessThan" aboveAverage="0" equalAverage="0" bottom="0" percent="0" rank="0" text="" dxfId="66">
      <formula>0</formula>
    </cfRule>
  </conditionalFormatting>
  <conditionalFormatting sqref="W94:Y94">
    <cfRule type="cellIs" priority="26" operator="lessThan" aboveAverage="0" equalAverage="0" bottom="0" percent="0" rank="0" text="" dxfId="67">
      <formula>0</formula>
    </cfRule>
  </conditionalFormatting>
  <conditionalFormatting sqref="W95:Y95">
    <cfRule type="cellIs" priority="27" operator="lessThan" aboveAverage="0" equalAverage="0" bottom="0" percent="0" rank="0" text="" dxfId="68">
      <formula>0</formula>
    </cfRule>
  </conditionalFormatting>
  <conditionalFormatting sqref="W96:Y96">
    <cfRule type="cellIs" priority="28" operator="lessThan" aboveAverage="0" equalAverage="0" bottom="0" percent="0" rank="0" text="" dxfId="69">
      <formula>0</formula>
    </cfRule>
  </conditionalFormatting>
  <conditionalFormatting sqref="W97:Y97">
    <cfRule type="cellIs" priority="29" operator="lessThan" aboveAverage="0" equalAverage="0" bottom="0" percent="0" rank="0" text="" dxfId="70">
      <formula>0</formula>
    </cfRule>
  </conditionalFormatting>
  <conditionalFormatting sqref="W98:Y98">
    <cfRule type="cellIs" priority="30" operator="lessThan" aboveAverage="0" equalAverage="0" bottom="0" percent="0" rank="0" text="" dxfId="71">
      <formula>0</formula>
    </cfRule>
  </conditionalFormatting>
  <conditionalFormatting sqref="W99:Y99">
    <cfRule type="cellIs" priority="31" operator="lessThan" aboveAverage="0" equalAverage="0" bottom="0" percent="0" rank="0" text="" dxfId="72">
      <formula>0</formula>
    </cfRule>
  </conditionalFormatting>
  <conditionalFormatting sqref="W100:Y100">
    <cfRule type="cellIs" priority="32" operator="lessThan" aboveAverage="0" equalAverage="0" bottom="0" percent="0" rank="0" text="" dxfId="73">
      <formula>0</formula>
    </cfRule>
  </conditionalFormatting>
  <conditionalFormatting sqref="Z8:Z100">
    <cfRule type="cellIs" priority="33" operator="lessThan" aboveAverage="0" equalAverage="0" bottom="0" percent="0" rank="0" text="" dxfId="74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LibreOffice/6.1.5.2$Linux_X86_64 LibreOffice_project/10$Build-2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2020-09-12T03:05:58Z</dcterms:created>
  <dc:creator/>
  <dc:description/>
  <dc:language>en-GB</dc:language>
  <cp:lastModifiedBy/>
  <dcterms:modified xsi:type="dcterms:W3CDTF">2020-09-26T11:45:43Z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